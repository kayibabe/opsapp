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324\"/>
    </mc:Choice>
  </mc:AlternateContent>
  <xr:revisionPtr revIDLastSave="0" documentId="13_ncr:1_{A0D53897-75A1-4030-81D6-C0E3CFB633F0}" xr6:coauthVersionLast="47" xr6:coauthVersionMax="47" xr10:uidLastSave="{00000000-0000-0000-0000-000000000000}"/>
  <bookViews>
    <workbookView xWindow="-108" yWindow="-108" windowWidth="23256" windowHeight="12456" tabRatio="700" firstSheet="7" activeTab="15" xr2:uid="{00000000-000D-0000-FFFF-FFFF00000000}"/>
  </bookViews>
  <sheets>
    <sheet name="Mulanje" sheetId="1" r:id="rId1"/>
    <sheet name="Luchenza" sheetId="2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2" i="17" l="1"/>
  <c r="L261" i="17"/>
  <c r="L263" i="17" s="1"/>
  <c r="L257" i="17"/>
  <c r="L256" i="17"/>
  <c r="L258" i="17" s="1"/>
  <c r="L255" i="17"/>
  <c r="L254" i="17"/>
  <c r="L253" i="17"/>
  <c r="L246" i="17"/>
  <c r="L245" i="17"/>
  <c r="L247" i="17" s="1"/>
  <c r="L241" i="17"/>
  <c r="L240" i="17"/>
  <c r="L239" i="17"/>
  <c r="L238" i="17"/>
  <c r="L242" i="17" s="1"/>
  <c r="L235" i="17"/>
  <c r="L236" i="17" s="1"/>
  <c r="L234" i="17"/>
  <c r="L233" i="17"/>
  <c r="L232" i="17"/>
  <c r="L228" i="17"/>
  <c r="L227" i="17"/>
  <c r="L226" i="17"/>
  <c r="L225" i="17"/>
  <c r="L229" i="17" s="1"/>
  <c r="L222" i="17"/>
  <c r="L221" i="17"/>
  <c r="L220" i="17"/>
  <c r="L219" i="17"/>
  <c r="L223" i="17" s="1"/>
  <c r="L230" i="17" s="1"/>
  <c r="L243" i="17" s="1"/>
  <c r="L216" i="17"/>
  <c r="L215" i="17"/>
  <c r="L214" i="17"/>
  <c r="L213" i="17"/>
  <c r="L212" i="17"/>
  <c r="L209" i="17"/>
  <c r="L208" i="17"/>
  <c r="L207" i="17"/>
  <c r="L206" i="17"/>
  <c r="L210" i="17" s="1"/>
  <c r="L203" i="17"/>
  <c r="L202" i="17"/>
  <c r="L201" i="17"/>
  <c r="L200" i="17"/>
  <c r="L199" i="17"/>
  <c r="L204" i="17" s="1"/>
  <c r="L197" i="17"/>
  <c r="L196" i="17"/>
  <c r="L195" i="17"/>
  <c r="L194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8" i="17"/>
  <c r="L167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93" i="17" s="1"/>
  <c r="L147" i="17"/>
  <c r="L146" i="17"/>
  <c r="L143" i="17"/>
  <c r="L142" i="17"/>
  <c r="L141" i="17"/>
  <c r="L140" i="17"/>
  <c r="L144" i="17" s="1"/>
  <c r="L138" i="17"/>
  <c r="L139" i="17" s="1"/>
  <c r="L137" i="17"/>
  <c r="L136" i="17"/>
  <c r="L135" i="17"/>
  <c r="L133" i="17"/>
  <c r="L132" i="17"/>
  <c r="L131" i="17"/>
  <c r="L130" i="17"/>
  <c r="L145" i="17" s="1"/>
  <c r="L149" i="17" s="1"/>
  <c r="L128" i="17"/>
  <c r="L148" i="17" s="1"/>
  <c r="L127" i="17"/>
  <c r="L129" i="17" s="1"/>
  <c r="L126" i="17"/>
  <c r="L125" i="17"/>
  <c r="L122" i="17"/>
  <c r="L123" i="17" s="1"/>
  <c r="L121" i="17"/>
  <c r="L116" i="17"/>
  <c r="L115" i="17"/>
  <c r="L114" i="17"/>
  <c r="L113" i="17"/>
  <c r="L117" i="17" s="1"/>
  <c r="L111" i="17"/>
  <c r="L110" i="17"/>
  <c r="L109" i="17"/>
  <c r="L108" i="17"/>
  <c r="L107" i="17"/>
  <c r="L104" i="17"/>
  <c r="L103" i="17"/>
  <c r="L102" i="17"/>
  <c r="L101" i="17"/>
  <c r="L105" i="17" s="1"/>
  <c r="L98" i="17"/>
  <c r="L87" i="17"/>
  <c r="L86" i="17"/>
  <c r="L88" i="17" s="1"/>
  <c r="L89" i="17" s="1"/>
  <c r="L85" i="17"/>
  <c r="L84" i="17"/>
  <c r="L82" i="17"/>
  <c r="L83" i="17" s="1"/>
  <c r="L81" i="17"/>
  <c r="L80" i="17"/>
  <c r="L79" i="17"/>
  <c r="L78" i="17"/>
  <c r="L75" i="17"/>
  <c r="L74" i="17"/>
  <c r="L76" i="17" s="1"/>
  <c r="L73" i="17"/>
  <c r="L77" i="17" s="1"/>
  <c r="L72" i="17"/>
  <c r="L70" i="17"/>
  <c r="L69" i="17"/>
  <c r="L93" i="17" s="1"/>
  <c r="L68" i="17"/>
  <c r="L92" i="17" s="1"/>
  <c r="L259" i="17" s="1"/>
  <c r="L67" i="17"/>
  <c r="L91" i="17" s="1"/>
  <c r="L66" i="17"/>
  <c r="L71" i="17" s="1"/>
  <c r="L56" i="17"/>
  <c r="L55" i="17"/>
  <c r="L54" i="17"/>
  <c r="L51" i="17"/>
  <c r="L50" i="17"/>
  <c r="L49" i="17"/>
  <c r="L46" i="17"/>
  <c r="L44" i="17"/>
  <c r="L41" i="17"/>
  <c r="L58" i="17" s="1"/>
  <c r="L35" i="17"/>
  <c r="L33" i="17"/>
  <c r="L31" i="17"/>
  <c r="L32" i="17" s="1"/>
  <c r="L30" i="17"/>
  <c r="L29" i="17"/>
  <c r="L20" i="17"/>
  <c r="L19" i="17"/>
  <c r="L18" i="17"/>
  <c r="L17" i="17"/>
  <c r="L21" i="17" s="1"/>
  <c r="L22" i="17" s="1"/>
  <c r="L14" i="17"/>
  <c r="L13" i="17"/>
  <c r="L12" i="17"/>
  <c r="L11" i="17"/>
  <c r="L15" i="17" s="1"/>
  <c r="L9" i="17"/>
  <c r="L62" i="17" s="1"/>
  <c r="L118" i="16"/>
  <c r="K119" i="17"/>
  <c r="J119" i="17"/>
  <c r="I119" i="17"/>
  <c r="H119" i="17"/>
  <c r="G119" i="17"/>
  <c r="F119" i="17"/>
  <c r="E119" i="17"/>
  <c r="D119" i="17"/>
  <c r="M119" i="16"/>
  <c r="L119" i="18"/>
  <c r="L118" i="18"/>
  <c r="L117" i="18"/>
  <c r="L116" i="18"/>
  <c r="L115" i="18"/>
  <c r="L114" i="18"/>
  <c r="L113" i="18"/>
  <c r="L119" i="13"/>
  <c r="L118" i="13"/>
  <c r="L117" i="13"/>
  <c r="L116" i="13"/>
  <c r="L115" i="13"/>
  <c r="L114" i="13"/>
  <c r="L113" i="13"/>
  <c r="L9" i="13"/>
  <c r="L32" i="13" s="1"/>
  <c r="M116" i="17"/>
  <c r="M115" i="17"/>
  <c r="M114" i="17"/>
  <c r="L119" i="15"/>
  <c r="L118" i="15"/>
  <c r="L117" i="15"/>
  <c r="L116" i="15"/>
  <c r="L115" i="15"/>
  <c r="L114" i="15"/>
  <c r="L113" i="15"/>
  <c r="M118" i="16"/>
  <c r="M117" i="16"/>
  <c r="M116" i="16"/>
  <c r="M115" i="16"/>
  <c r="M114" i="16"/>
  <c r="M113" i="16"/>
  <c r="M25" i="16"/>
  <c r="K25" i="16"/>
  <c r="M24" i="16"/>
  <c r="M22" i="16"/>
  <c r="M21" i="16"/>
  <c r="M20" i="16"/>
  <c r="M19" i="16"/>
  <c r="M18" i="16"/>
  <c r="M17" i="16"/>
  <c r="M15" i="16"/>
  <c r="M14" i="16"/>
  <c r="M13" i="16"/>
  <c r="M12" i="16"/>
  <c r="M11" i="16"/>
  <c r="M9" i="16"/>
  <c r="M45" i="16"/>
  <c r="L9" i="15"/>
  <c r="L32" i="15" s="1"/>
  <c r="M105" i="16"/>
  <c r="M262" i="16"/>
  <c r="M261" i="16"/>
  <c r="M263" i="16" s="1"/>
  <c r="M257" i="16"/>
  <c r="M256" i="16"/>
  <c r="M258" i="16" s="1"/>
  <c r="M255" i="16"/>
  <c r="M254" i="16"/>
  <c r="M253" i="16"/>
  <c r="M246" i="16"/>
  <c r="M245" i="16"/>
  <c r="M247" i="16" s="1"/>
  <c r="M241" i="16"/>
  <c r="M240" i="16"/>
  <c r="M239" i="16"/>
  <c r="M238" i="16"/>
  <c r="M242" i="16" s="1"/>
  <c r="M235" i="16"/>
  <c r="M236" i="16" s="1"/>
  <c r="M234" i="16"/>
  <c r="M233" i="16"/>
  <c r="M232" i="16"/>
  <c r="M230" i="16"/>
  <c r="M229" i="16"/>
  <c r="M228" i="16"/>
  <c r="M227" i="16"/>
  <c r="M226" i="16"/>
  <c r="M225" i="16"/>
  <c r="M223" i="16"/>
  <c r="M222" i="16"/>
  <c r="M221" i="16"/>
  <c r="M220" i="16"/>
  <c r="M219" i="16"/>
  <c r="M216" i="16"/>
  <c r="M243" i="16" s="1"/>
  <c r="M215" i="16"/>
  <c r="M214" i="16"/>
  <c r="M213" i="16"/>
  <c r="M212" i="16"/>
  <c r="M210" i="16"/>
  <c r="M251" i="16" s="1"/>
  <c r="M209" i="16"/>
  <c r="M208" i="16"/>
  <c r="M207" i="16"/>
  <c r="M206" i="16"/>
  <c r="M204" i="16"/>
  <c r="M203" i="16"/>
  <c r="M202" i="16"/>
  <c r="M201" i="16"/>
  <c r="M200" i="16"/>
  <c r="M199" i="16"/>
  <c r="M197" i="16"/>
  <c r="M196" i="16"/>
  <c r="M195" i="16"/>
  <c r="M194" i="16"/>
  <c r="M192" i="16"/>
  <c r="M191" i="16"/>
  <c r="M190" i="16"/>
  <c r="M189" i="16"/>
  <c r="M187" i="16"/>
  <c r="M186" i="16"/>
  <c r="M185" i="16"/>
  <c r="M184" i="16"/>
  <c r="M182" i="16"/>
  <c r="M181" i="16"/>
  <c r="M180" i="16"/>
  <c r="M179" i="16"/>
  <c r="M178" i="16"/>
  <c r="M177" i="16"/>
  <c r="M175" i="16"/>
  <c r="M174" i="16"/>
  <c r="M173" i="16"/>
  <c r="M172" i="16"/>
  <c r="M171" i="16"/>
  <c r="M170" i="16"/>
  <c r="M169" i="16"/>
  <c r="M168" i="16"/>
  <c r="M167" i="16"/>
  <c r="M165" i="16"/>
  <c r="M164" i="16"/>
  <c r="M163" i="16"/>
  <c r="M162" i="16"/>
  <c r="M161" i="16"/>
  <c r="M160" i="16"/>
  <c r="M159" i="16"/>
  <c r="M158" i="16"/>
  <c r="M157" i="16"/>
  <c r="M156" i="16"/>
  <c r="M155" i="16"/>
  <c r="M154" i="16"/>
  <c r="M153" i="16"/>
  <c r="M193" i="16" s="1"/>
  <c r="M143" i="16"/>
  <c r="M142" i="16"/>
  <c r="M144" i="16" s="1"/>
  <c r="M141" i="16"/>
  <c r="M140" i="16"/>
  <c r="M138" i="16"/>
  <c r="M137" i="16"/>
  <c r="M136" i="16"/>
  <c r="M135" i="16"/>
  <c r="M139" i="16" s="1"/>
  <c r="M134" i="16"/>
  <c r="M133" i="16"/>
  <c r="M132" i="16"/>
  <c r="M131" i="16"/>
  <c r="M130" i="16"/>
  <c r="M145" i="16" s="1"/>
  <c r="M128" i="16"/>
  <c r="M148" i="16" s="1"/>
  <c r="M127" i="16"/>
  <c r="M147" i="16" s="1"/>
  <c r="M126" i="16"/>
  <c r="M146" i="16" s="1"/>
  <c r="M125" i="16"/>
  <c r="M122" i="16"/>
  <c r="M123" i="16" s="1"/>
  <c r="M121" i="16"/>
  <c r="M111" i="16"/>
  <c r="M110" i="16"/>
  <c r="M109" i="16"/>
  <c r="M108" i="16"/>
  <c r="M107" i="16"/>
  <c r="M104" i="16"/>
  <c r="M103" i="16"/>
  <c r="M102" i="16"/>
  <c r="M101" i="16"/>
  <c r="M98" i="16"/>
  <c r="M94" i="16"/>
  <c r="M93" i="16"/>
  <c r="M92" i="16"/>
  <c r="M259" i="16" s="1"/>
  <c r="M91" i="16"/>
  <c r="M90" i="16"/>
  <c r="M95" i="16" s="1"/>
  <c r="M88" i="16"/>
  <c r="M87" i="16"/>
  <c r="M86" i="16"/>
  <c r="M89" i="16" s="1"/>
  <c r="M85" i="16"/>
  <c r="M84" i="16"/>
  <c r="M82" i="16"/>
  <c r="M81" i="16"/>
  <c r="M80" i="16"/>
  <c r="M79" i="16"/>
  <c r="M78" i="16"/>
  <c r="M83" i="16" s="1"/>
  <c r="M75" i="16"/>
  <c r="M74" i="16"/>
  <c r="M76" i="16" s="1"/>
  <c r="M73" i="16"/>
  <c r="M72" i="16"/>
  <c r="M70" i="16"/>
  <c r="M69" i="16"/>
  <c r="M68" i="16"/>
  <c r="M67" i="16"/>
  <c r="M66" i="16"/>
  <c r="M71" i="16" s="1"/>
  <c r="M63" i="16"/>
  <c r="M61" i="16"/>
  <c r="M58" i="16"/>
  <c r="M249" i="16" s="1"/>
  <c r="M56" i="16"/>
  <c r="M55" i="16"/>
  <c r="M54" i="16"/>
  <c r="M52" i="16"/>
  <c r="M51" i="16"/>
  <c r="M50" i="16"/>
  <c r="M49" i="16"/>
  <c r="M46" i="16"/>
  <c r="M44" i="16"/>
  <c r="M41" i="16"/>
  <c r="M39" i="16"/>
  <c r="M37" i="16"/>
  <c r="M38" i="16" s="1"/>
  <c r="M35" i="16"/>
  <c r="M33" i="16"/>
  <c r="M31" i="16"/>
  <c r="M29" i="16"/>
  <c r="M36" i="16"/>
  <c r="L119" i="12"/>
  <c r="L263" i="15"/>
  <c r="L262" i="15"/>
  <c r="L261" i="15"/>
  <c r="L257" i="15"/>
  <c r="L258" i="15" s="1"/>
  <c r="L256" i="15"/>
  <c r="L255" i="15"/>
  <c r="L254" i="15"/>
  <c r="L253" i="15"/>
  <c r="L246" i="15"/>
  <c r="L245" i="15"/>
  <c r="L247" i="15" s="1"/>
  <c r="L241" i="15"/>
  <c r="L240" i="15"/>
  <c r="L239" i="15"/>
  <c r="L238" i="15"/>
  <c r="L242" i="15" s="1"/>
  <c r="L235" i="15"/>
  <c r="L234" i="15"/>
  <c r="L236" i="15" s="1"/>
  <c r="L233" i="15"/>
  <c r="L232" i="15"/>
  <c r="L230" i="15"/>
  <c r="L229" i="15"/>
  <c r="L228" i="15"/>
  <c r="L227" i="15"/>
  <c r="L226" i="15"/>
  <c r="L225" i="15"/>
  <c r="L223" i="15"/>
  <c r="L222" i="15"/>
  <c r="L221" i="15"/>
  <c r="L220" i="15"/>
  <c r="L219" i="15"/>
  <c r="L216" i="15"/>
  <c r="L215" i="15"/>
  <c r="L214" i="15"/>
  <c r="L213" i="15"/>
  <c r="L212" i="15"/>
  <c r="L210" i="15"/>
  <c r="L251" i="15" s="1"/>
  <c r="L209" i="15"/>
  <c r="L208" i="15"/>
  <c r="L207" i="15"/>
  <c r="L206" i="15"/>
  <c r="L204" i="15"/>
  <c r="L203" i="15"/>
  <c r="L202" i="15"/>
  <c r="L201" i="15"/>
  <c r="L200" i="15"/>
  <c r="L199" i="15"/>
  <c r="L197" i="15"/>
  <c r="L196" i="15"/>
  <c r="L195" i="15"/>
  <c r="L194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93" i="15" s="1"/>
  <c r="L143" i="15"/>
  <c r="L142" i="15"/>
  <c r="L144" i="15" s="1"/>
  <c r="L141" i="15"/>
  <c r="L140" i="15"/>
  <c r="L138" i="15"/>
  <c r="L137" i="15"/>
  <c r="L136" i="15"/>
  <c r="L135" i="15"/>
  <c r="L139" i="15" s="1"/>
  <c r="L134" i="15"/>
  <c r="L133" i="15"/>
  <c r="L132" i="15"/>
  <c r="L131" i="15"/>
  <c r="L130" i="15"/>
  <c r="L128" i="15"/>
  <c r="L148" i="15" s="1"/>
  <c r="L127" i="15"/>
  <c r="L147" i="15" s="1"/>
  <c r="L126" i="15"/>
  <c r="L146" i="15" s="1"/>
  <c r="L125" i="15"/>
  <c r="L145" i="15" s="1"/>
  <c r="L122" i="15"/>
  <c r="L121" i="15"/>
  <c r="L123" i="15" s="1"/>
  <c r="L111" i="15"/>
  <c r="L110" i="15"/>
  <c r="L109" i="15"/>
  <c r="L108" i="15"/>
  <c r="L107" i="15"/>
  <c r="L105" i="15"/>
  <c r="L104" i="15"/>
  <c r="L103" i="15"/>
  <c r="L102" i="15"/>
  <c r="L101" i="15"/>
  <c r="L98" i="15"/>
  <c r="L94" i="15"/>
  <c r="L95" i="15" s="1"/>
  <c r="L93" i="15"/>
  <c r="L92" i="15"/>
  <c r="L259" i="15" s="1"/>
  <c r="L91" i="15"/>
  <c r="L90" i="15"/>
  <c r="L88" i="15"/>
  <c r="L87" i="15"/>
  <c r="L86" i="15"/>
  <c r="L85" i="15"/>
  <c r="L89" i="15" s="1"/>
  <c r="L84" i="15"/>
  <c r="L81" i="15"/>
  <c r="L82" i="15" s="1"/>
  <c r="L80" i="15"/>
  <c r="L79" i="15"/>
  <c r="L78" i="15"/>
  <c r="L83" i="15" s="1"/>
  <c r="L75" i="15"/>
  <c r="L74" i="15"/>
  <c r="L76" i="15" s="1"/>
  <c r="L77" i="15" s="1"/>
  <c r="L73" i="15"/>
  <c r="L72" i="15"/>
  <c r="L70" i="15"/>
  <c r="L71" i="15" s="1"/>
  <c r="L69" i="15"/>
  <c r="L68" i="15"/>
  <c r="L67" i="15"/>
  <c r="L66" i="15"/>
  <c r="L63" i="15"/>
  <c r="L61" i="15"/>
  <c r="L58" i="15"/>
  <c r="L56" i="15"/>
  <c r="L55" i="15"/>
  <c r="L54" i="15"/>
  <c r="L52" i="15"/>
  <c r="L51" i="15"/>
  <c r="L50" i="15"/>
  <c r="L49" i="15"/>
  <c r="L46" i="15"/>
  <c r="L44" i="15"/>
  <c r="L41" i="15"/>
  <c r="L39" i="15"/>
  <c r="L37" i="15"/>
  <c r="L38" i="15" s="1"/>
  <c r="L35" i="15"/>
  <c r="L36" i="15" s="1"/>
  <c r="L33" i="15"/>
  <c r="L31" i="15"/>
  <c r="L29" i="15"/>
  <c r="L30" i="15" s="1"/>
  <c r="L20" i="15"/>
  <c r="L19" i="15"/>
  <c r="L21" i="15" s="1"/>
  <c r="L22" i="15" s="1"/>
  <c r="L60" i="15" s="1"/>
  <c r="L18" i="15"/>
  <c r="L17" i="15"/>
  <c r="L14" i="15"/>
  <c r="L13" i="15"/>
  <c r="L12" i="15"/>
  <c r="L11" i="15"/>
  <c r="L15" i="15" s="1"/>
  <c r="L262" i="18"/>
  <c r="L261" i="18"/>
  <c r="L263" i="18" s="1"/>
  <c r="L257" i="18"/>
  <c r="L258" i="18" s="1"/>
  <c r="L256" i="18"/>
  <c r="L255" i="18"/>
  <c r="L254" i="18"/>
  <c r="L253" i="18"/>
  <c r="L246" i="18"/>
  <c r="L247" i="18" s="1"/>
  <c r="L245" i="18"/>
  <c r="L241" i="18"/>
  <c r="L240" i="18"/>
  <c r="L239" i="18"/>
  <c r="L238" i="18"/>
  <c r="L242" i="18" s="1"/>
  <c r="L236" i="18"/>
  <c r="L235" i="18"/>
  <c r="L234" i="18"/>
  <c r="L233" i="18"/>
  <c r="L232" i="18"/>
  <c r="L230" i="18"/>
  <c r="L229" i="18"/>
  <c r="L228" i="18"/>
  <c r="L227" i="18"/>
  <c r="L226" i="18"/>
  <c r="L225" i="18"/>
  <c r="L223" i="18"/>
  <c r="L222" i="18"/>
  <c r="L221" i="18"/>
  <c r="L220" i="18"/>
  <c r="L219" i="18"/>
  <c r="L217" i="18"/>
  <c r="L216" i="18"/>
  <c r="L243" i="18" s="1"/>
  <c r="L249" i="18" s="1"/>
  <c r="L215" i="18"/>
  <c r="L214" i="18"/>
  <c r="L213" i="18"/>
  <c r="L212" i="18"/>
  <c r="L210" i="18"/>
  <c r="L251" i="18" s="1"/>
  <c r="L209" i="18"/>
  <c r="L208" i="18"/>
  <c r="L207" i="18"/>
  <c r="L206" i="18"/>
  <c r="L204" i="18"/>
  <c r="L203" i="18"/>
  <c r="L202" i="18"/>
  <c r="L201" i="18"/>
  <c r="L200" i="18"/>
  <c r="L199" i="18"/>
  <c r="L197" i="18"/>
  <c r="L196" i="18"/>
  <c r="L195" i="18"/>
  <c r="L194" i="18"/>
  <c r="L192" i="18"/>
  <c r="L191" i="18"/>
  <c r="L190" i="18"/>
  <c r="L189" i="18"/>
  <c r="L187" i="18"/>
  <c r="L186" i="18"/>
  <c r="L185" i="18"/>
  <c r="L184" i="18"/>
  <c r="L182" i="18"/>
  <c r="L181" i="18"/>
  <c r="L180" i="18"/>
  <c r="L179" i="18"/>
  <c r="L178" i="18"/>
  <c r="L177" i="18"/>
  <c r="L175" i="18"/>
  <c r="L174" i="18"/>
  <c r="L173" i="18"/>
  <c r="L172" i="18"/>
  <c r="L171" i="18"/>
  <c r="L170" i="18"/>
  <c r="L169" i="18"/>
  <c r="L168" i="18"/>
  <c r="L167" i="18"/>
  <c r="L165" i="18"/>
  <c r="L164" i="18"/>
  <c r="L163" i="18"/>
  <c r="L162" i="18"/>
  <c r="L161" i="18"/>
  <c r="L160" i="18"/>
  <c r="L159" i="18"/>
  <c r="L158" i="18"/>
  <c r="L157" i="18"/>
  <c r="L156" i="18"/>
  <c r="L155" i="18"/>
  <c r="L154" i="18"/>
  <c r="L153" i="18"/>
  <c r="L193" i="18" s="1"/>
  <c r="L143" i="18"/>
  <c r="L144" i="18" s="1"/>
  <c r="L142" i="18"/>
  <c r="L141" i="18"/>
  <c r="L140" i="18"/>
  <c r="L138" i="18"/>
  <c r="L137" i="18"/>
  <c r="L136" i="18"/>
  <c r="L135" i="18"/>
  <c r="L139" i="18" s="1"/>
  <c r="L134" i="18"/>
  <c r="L133" i="18"/>
  <c r="L132" i="18"/>
  <c r="L131" i="18"/>
  <c r="L130" i="18"/>
  <c r="L128" i="18"/>
  <c r="L148" i="18" s="1"/>
  <c r="L127" i="18"/>
  <c r="L147" i="18" s="1"/>
  <c r="L126" i="18"/>
  <c r="L146" i="18" s="1"/>
  <c r="L125" i="18"/>
  <c r="L123" i="18"/>
  <c r="L122" i="18"/>
  <c r="L121" i="18"/>
  <c r="L111" i="18"/>
  <c r="L110" i="18"/>
  <c r="L109" i="18"/>
  <c r="L108" i="18"/>
  <c r="L107" i="18"/>
  <c r="L105" i="18"/>
  <c r="L104" i="18"/>
  <c r="L103" i="18"/>
  <c r="L102" i="18"/>
  <c r="L101" i="18"/>
  <c r="L98" i="18"/>
  <c r="L95" i="18"/>
  <c r="L94" i="18"/>
  <c r="L93" i="18"/>
  <c r="L92" i="18"/>
  <c r="L259" i="18" s="1"/>
  <c r="L91" i="18"/>
  <c r="L90" i="18"/>
  <c r="L88" i="18"/>
  <c r="L87" i="18"/>
  <c r="L89" i="18" s="1"/>
  <c r="L86" i="18"/>
  <c r="L85" i="18"/>
  <c r="L84" i="18"/>
  <c r="L81" i="18"/>
  <c r="L82" i="18" s="1"/>
  <c r="L80" i="18"/>
  <c r="L79" i="18"/>
  <c r="L78" i="18"/>
  <c r="L75" i="18"/>
  <c r="L74" i="18"/>
  <c r="L76" i="18" s="1"/>
  <c r="L73" i="18"/>
  <c r="L77" i="18" s="1"/>
  <c r="L72" i="18"/>
  <c r="L71" i="18"/>
  <c r="L70" i="18"/>
  <c r="L69" i="18"/>
  <c r="L68" i="18"/>
  <c r="L67" i="18"/>
  <c r="L66" i="18"/>
  <c r="L63" i="18"/>
  <c r="L61" i="18"/>
  <c r="L62" i="18" s="1"/>
  <c r="L58" i="18"/>
  <c r="L56" i="18"/>
  <c r="L55" i="18"/>
  <c r="L54" i="18"/>
  <c r="L52" i="18"/>
  <c r="L51" i="18"/>
  <c r="L50" i="18"/>
  <c r="L49" i="18"/>
  <c r="L46" i="18"/>
  <c r="L47" i="18" s="1"/>
  <c r="L44" i="18"/>
  <c r="L45" i="18" s="1"/>
  <c r="L41" i="18"/>
  <c r="L42" i="18" s="1"/>
  <c r="L40" i="18"/>
  <c r="L39" i="18"/>
  <c r="L37" i="18"/>
  <c r="L38" i="18" s="1"/>
  <c r="L35" i="18"/>
  <c r="L36" i="18" s="1"/>
  <c r="L33" i="18"/>
  <c r="L34" i="18" s="1"/>
  <c r="L32" i="18"/>
  <c r="L31" i="18"/>
  <c r="L29" i="18"/>
  <c r="L30" i="18" s="1"/>
  <c r="L21" i="18"/>
  <c r="L20" i="18"/>
  <c r="L19" i="18"/>
  <c r="L18" i="18"/>
  <c r="L17" i="18"/>
  <c r="L14" i="18"/>
  <c r="L13" i="18"/>
  <c r="L12" i="18"/>
  <c r="L11" i="18"/>
  <c r="L15" i="18" s="1"/>
  <c r="L9" i="18"/>
  <c r="L59" i="18" s="1"/>
  <c r="L262" i="13"/>
  <c r="L261" i="13"/>
  <c r="L263" i="13" s="1"/>
  <c r="L257" i="13"/>
  <c r="L258" i="13" s="1"/>
  <c r="L256" i="13"/>
  <c r="L255" i="13"/>
  <c r="L254" i="13"/>
  <c r="L253" i="13"/>
  <c r="L251" i="13"/>
  <c r="L246" i="13"/>
  <c r="L245" i="13"/>
  <c r="L247" i="13" s="1"/>
  <c r="L241" i="13"/>
  <c r="L240" i="13"/>
  <c r="L239" i="13"/>
  <c r="L238" i="13"/>
  <c r="L242" i="13" s="1"/>
  <c r="L235" i="13"/>
  <c r="L234" i="13"/>
  <c r="L233" i="13"/>
  <c r="L232" i="13"/>
  <c r="L236" i="13" s="1"/>
  <c r="L230" i="13"/>
  <c r="L229" i="13"/>
  <c r="L228" i="13"/>
  <c r="L227" i="13"/>
  <c r="L226" i="13"/>
  <c r="L225" i="13"/>
  <c r="L223" i="13"/>
  <c r="L222" i="13"/>
  <c r="L221" i="13"/>
  <c r="L220" i="13"/>
  <c r="L219" i="13"/>
  <c r="L216" i="13"/>
  <c r="L243" i="13" s="1"/>
  <c r="L215" i="13"/>
  <c r="L214" i="13"/>
  <c r="L213" i="13"/>
  <c r="L212" i="13"/>
  <c r="L210" i="13"/>
  <c r="L250" i="13" s="1"/>
  <c r="L209" i="13"/>
  <c r="L208" i="13"/>
  <c r="L207" i="13"/>
  <c r="L206" i="13"/>
  <c r="L204" i="13"/>
  <c r="L203" i="13"/>
  <c r="L202" i="13"/>
  <c r="L201" i="13"/>
  <c r="L200" i="13"/>
  <c r="L199" i="13"/>
  <c r="L197" i="13"/>
  <c r="L196" i="13"/>
  <c r="L195" i="13"/>
  <c r="L194" i="13"/>
  <c r="L192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93" i="13" s="1"/>
  <c r="L143" i="13"/>
  <c r="L142" i="13"/>
  <c r="L144" i="13" s="1"/>
  <c r="L141" i="13"/>
  <c r="L140" i="13"/>
  <c r="L138" i="13"/>
  <c r="L137" i="13"/>
  <c r="L136" i="13"/>
  <c r="L135" i="13"/>
  <c r="L139" i="13" s="1"/>
  <c r="L134" i="13"/>
  <c r="L133" i="13"/>
  <c r="L132" i="13"/>
  <c r="L131" i="13"/>
  <c r="L130" i="13"/>
  <c r="L128" i="13"/>
  <c r="L148" i="13" s="1"/>
  <c r="L127" i="13"/>
  <c r="L147" i="13" s="1"/>
  <c r="L126" i="13"/>
  <c r="L146" i="13" s="1"/>
  <c r="L125" i="13"/>
  <c r="L145" i="13" s="1"/>
  <c r="L122" i="13"/>
  <c r="L123" i="13" s="1"/>
  <c r="L121" i="13"/>
  <c r="L111" i="13"/>
  <c r="L110" i="13"/>
  <c r="L109" i="13"/>
  <c r="L108" i="13"/>
  <c r="L107" i="13"/>
  <c r="L105" i="13"/>
  <c r="L104" i="13"/>
  <c r="L103" i="13"/>
  <c r="L102" i="13"/>
  <c r="L101" i="13"/>
  <c r="L98" i="13"/>
  <c r="L94" i="13"/>
  <c r="L95" i="13" s="1"/>
  <c r="L93" i="13"/>
  <c r="L92" i="13"/>
  <c r="L259" i="13" s="1"/>
  <c r="L91" i="13"/>
  <c r="L90" i="13"/>
  <c r="L88" i="13"/>
  <c r="L87" i="13"/>
  <c r="L86" i="13"/>
  <c r="L85" i="13"/>
  <c r="L84" i="13"/>
  <c r="L89" i="13" s="1"/>
  <c r="L81" i="13"/>
  <c r="L80" i="13"/>
  <c r="L82" i="13" s="1"/>
  <c r="L79" i="13"/>
  <c r="L78" i="13"/>
  <c r="L83" i="13" s="1"/>
  <c r="L75" i="13"/>
  <c r="L74" i="13"/>
  <c r="L76" i="13" s="1"/>
  <c r="L73" i="13"/>
  <c r="L77" i="13" s="1"/>
  <c r="L72" i="13"/>
  <c r="L70" i="13"/>
  <c r="L71" i="13" s="1"/>
  <c r="L69" i="13"/>
  <c r="L68" i="13"/>
  <c r="L67" i="13"/>
  <c r="L66" i="13"/>
  <c r="L63" i="13"/>
  <c r="L61" i="13"/>
  <c r="L62" i="13" s="1"/>
  <c r="L58" i="13"/>
  <c r="L56" i="13"/>
  <c r="L55" i="13"/>
  <c r="L54" i="13"/>
  <c r="L52" i="13"/>
  <c r="L51" i="13"/>
  <c r="L50" i="13"/>
  <c r="L49" i="13"/>
  <c r="L46" i="13"/>
  <c r="L44" i="13"/>
  <c r="L41" i="13"/>
  <c r="L42" i="13" s="1"/>
  <c r="L39" i="13"/>
  <c r="L37" i="13"/>
  <c r="L38" i="13" s="1"/>
  <c r="L35" i="13"/>
  <c r="L33" i="13"/>
  <c r="L34" i="13" s="1"/>
  <c r="L31" i="13"/>
  <c r="L29" i="13"/>
  <c r="L30" i="13" s="1"/>
  <c r="L20" i="13"/>
  <c r="L21" i="13" s="1"/>
  <c r="L19" i="13"/>
  <c r="L18" i="13"/>
  <c r="L17" i="13"/>
  <c r="L14" i="13"/>
  <c r="L13" i="13"/>
  <c r="L12" i="13"/>
  <c r="L11" i="13"/>
  <c r="L36" i="13" s="1"/>
  <c r="N212" i="8"/>
  <c r="N216" i="8"/>
  <c r="N195" i="8"/>
  <c r="N46" i="8"/>
  <c r="N238" i="19"/>
  <c r="N232" i="19"/>
  <c r="N219" i="19"/>
  <c r="N140" i="19"/>
  <c r="N144" i="19" s="1"/>
  <c r="N130" i="19"/>
  <c r="N125" i="19"/>
  <c r="N70" i="19"/>
  <c r="N54" i="19"/>
  <c r="N11" i="19"/>
  <c r="N238" i="7"/>
  <c r="N232" i="7"/>
  <c r="N229" i="7"/>
  <c r="N219" i="7"/>
  <c r="N206" i="7"/>
  <c r="N17" i="7"/>
  <c r="N11" i="7"/>
  <c r="N238" i="6"/>
  <c r="N232" i="6"/>
  <c r="N229" i="6"/>
  <c r="N219" i="6"/>
  <c r="N206" i="6"/>
  <c r="N140" i="6"/>
  <c r="N144" i="6" s="1"/>
  <c r="N82" i="6"/>
  <c r="N78" i="6"/>
  <c r="N83" i="6" s="1"/>
  <c r="N70" i="6"/>
  <c r="N66" i="6"/>
  <c r="N11" i="6"/>
  <c r="N238" i="5"/>
  <c r="N232" i="5"/>
  <c r="N229" i="5"/>
  <c r="N219" i="5"/>
  <c r="N223" i="4"/>
  <c r="N122" i="4"/>
  <c r="N121" i="4"/>
  <c r="N56" i="4"/>
  <c r="N55" i="4"/>
  <c r="N54" i="4"/>
  <c r="N223" i="3"/>
  <c r="L60" i="17" l="1"/>
  <c r="L59" i="17"/>
  <c r="L249" i="17"/>
  <c r="L94" i="17"/>
  <c r="L118" i="17"/>
  <c r="M117" i="17"/>
  <c r="L251" i="17"/>
  <c r="L250" i="17"/>
  <c r="L217" i="17"/>
  <c r="L42" i="17"/>
  <c r="M113" i="17"/>
  <c r="L45" i="17"/>
  <c r="L90" i="17"/>
  <c r="L95" i="17" s="1"/>
  <c r="L34" i="17"/>
  <c r="L134" i="17"/>
  <c r="L24" i="17"/>
  <c r="L25" i="17" s="1"/>
  <c r="L47" i="17"/>
  <c r="L38" i="17"/>
  <c r="L40" i="17"/>
  <c r="L45" i="13"/>
  <c r="L40" i="13"/>
  <c r="L47" i="13"/>
  <c r="L59" i="13"/>
  <c r="L59" i="15"/>
  <c r="L40" i="15"/>
  <c r="L45" i="15"/>
  <c r="L47" i="15"/>
  <c r="M40" i="16"/>
  <c r="M30" i="16"/>
  <c r="M59" i="16"/>
  <c r="M32" i="16"/>
  <c r="M42" i="16"/>
  <c r="M34" i="16"/>
  <c r="M47" i="16"/>
  <c r="M62" i="16"/>
  <c r="M77" i="16"/>
  <c r="M217" i="16"/>
  <c r="M129" i="16"/>
  <c r="M149" i="16" s="1"/>
  <c r="M250" i="16"/>
  <c r="L243" i="15"/>
  <c r="L249" i="15" s="1"/>
  <c r="L217" i="15"/>
  <c r="L34" i="15"/>
  <c r="L42" i="15"/>
  <c r="L62" i="15"/>
  <c r="L24" i="15"/>
  <c r="L25" i="15" s="1"/>
  <c r="L129" i="15"/>
  <c r="L149" i="15" s="1"/>
  <c r="L250" i="15"/>
  <c r="L83" i="18"/>
  <c r="L22" i="18"/>
  <c r="L129" i="18"/>
  <c r="L149" i="18" s="1"/>
  <c r="L145" i="18"/>
  <c r="L250" i="18"/>
  <c r="L217" i="13"/>
  <c r="L129" i="13"/>
  <c r="L149" i="13" s="1"/>
  <c r="L249" i="13"/>
  <c r="L15" i="13"/>
  <c r="L22" i="13" s="1"/>
  <c r="N215" i="2"/>
  <c r="N193" i="2"/>
  <c r="P196" i="1"/>
  <c r="N193" i="1"/>
  <c r="L119" i="17" l="1"/>
  <c r="M119" i="17" s="1"/>
  <c r="M118" i="17"/>
  <c r="M60" i="16"/>
  <c r="L24" i="18"/>
  <c r="L25" i="18" s="1"/>
  <c r="L60" i="18"/>
  <c r="L60" i="13"/>
  <c r="L24" i="13"/>
  <c r="L25" i="13" s="1"/>
  <c r="N44" i="11"/>
  <c r="O44" i="11"/>
  <c r="N39" i="11"/>
  <c r="O39" i="11"/>
  <c r="N37" i="11"/>
  <c r="O37" i="11"/>
  <c r="N35" i="11"/>
  <c r="O35" i="11"/>
  <c r="N33" i="11"/>
  <c r="O33" i="11"/>
  <c r="N31" i="11"/>
  <c r="O31" i="11"/>
  <c r="N29" i="11"/>
  <c r="O29" i="11"/>
  <c r="N20" i="11"/>
  <c r="O20" i="11"/>
  <c r="N19" i="11"/>
  <c r="O19" i="11"/>
  <c r="N18" i="11"/>
  <c r="O18" i="11"/>
  <c r="N17" i="11"/>
  <c r="O17" i="11"/>
  <c r="N14" i="11"/>
  <c r="O14" i="11"/>
  <c r="N13" i="11"/>
  <c r="O13" i="11"/>
  <c r="N12" i="11"/>
  <c r="O12" i="11"/>
  <c r="N11" i="11"/>
  <c r="O11" i="11"/>
  <c r="N9" i="11"/>
  <c r="O9" i="11"/>
  <c r="P110" i="19"/>
  <c r="P121" i="19"/>
  <c r="P9" i="19" l="1"/>
  <c r="P17" i="19"/>
  <c r="M122" i="17"/>
  <c r="M121" i="17"/>
  <c r="M216" i="8"/>
  <c r="M193" i="2"/>
  <c r="M30" i="2"/>
  <c r="M20" i="1"/>
  <c r="M11" i="1"/>
  <c r="L140" i="16" l="1"/>
  <c r="L145" i="16" s="1"/>
  <c r="L135" i="16"/>
  <c r="L130" i="16"/>
  <c r="L125" i="16"/>
  <c r="L121" i="16"/>
  <c r="L110" i="16"/>
  <c r="L84" i="16"/>
  <c r="L78" i="16"/>
  <c r="L72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N262" i="11"/>
  <c r="O262" i="11"/>
  <c r="N261" i="11"/>
  <c r="O261" i="11"/>
  <c r="M262" i="11"/>
  <c r="M261" i="11"/>
  <c r="N257" i="11"/>
  <c r="O257" i="11"/>
  <c r="N254" i="11"/>
  <c r="O254" i="11"/>
  <c r="N253" i="11"/>
  <c r="O253" i="11"/>
  <c r="M254" i="11"/>
  <c r="M257" i="11"/>
  <c r="M253" i="11"/>
  <c r="N246" i="11"/>
  <c r="O246" i="11"/>
  <c r="N245" i="11"/>
  <c r="O245" i="11"/>
  <c r="M246" i="11"/>
  <c r="M245" i="11"/>
  <c r="N241" i="11"/>
  <c r="O241" i="11"/>
  <c r="N240" i="11"/>
  <c r="O240" i="11"/>
  <c r="N239" i="11"/>
  <c r="O239" i="11"/>
  <c r="N238" i="11"/>
  <c r="O238" i="11"/>
  <c r="M239" i="11"/>
  <c r="M240" i="11"/>
  <c r="M241" i="11"/>
  <c r="M238" i="11"/>
  <c r="N235" i="11"/>
  <c r="O235" i="11"/>
  <c r="N234" i="11"/>
  <c r="O234" i="11"/>
  <c r="N233" i="11"/>
  <c r="O233" i="11"/>
  <c r="N232" i="11"/>
  <c r="O232" i="11"/>
  <c r="M235" i="11"/>
  <c r="M234" i="11"/>
  <c r="M233" i="11"/>
  <c r="M232" i="11"/>
  <c r="N228" i="11"/>
  <c r="O228" i="11"/>
  <c r="N227" i="11"/>
  <c r="O227" i="11"/>
  <c r="N226" i="11"/>
  <c r="O226" i="11"/>
  <c r="N225" i="11"/>
  <c r="O225" i="11"/>
  <c r="M226" i="11"/>
  <c r="M227" i="11"/>
  <c r="M228" i="11"/>
  <c r="M225" i="11"/>
  <c r="N221" i="11"/>
  <c r="O221" i="11"/>
  <c r="N220" i="11"/>
  <c r="O220" i="11"/>
  <c r="N219" i="11"/>
  <c r="O219" i="11"/>
  <c r="M220" i="11"/>
  <c r="M221" i="11"/>
  <c r="M222" i="11"/>
  <c r="M219" i="11"/>
  <c r="N215" i="11"/>
  <c r="O215" i="11"/>
  <c r="N214" i="11"/>
  <c r="O214" i="11"/>
  <c r="N213" i="11"/>
  <c r="O213" i="11"/>
  <c r="N212" i="11"/>
  <c r="O212" i="11"/>
  <c r="M213" i="11"/>
  <c r="M214" i="11"/>
  <c r="M215" i="11"/>
  <c r="M212" i="11"/>
  <c r="N209" i="11"/>
  <c r="O209" i="11"/>
  <c r="N208" i="11"/>
  <c r="O208" i="11"/>
  <c r="N207" i="11"/>
  <c r="O207" i="11"/>
  <c r="N206" i="11"/>
  <c r="O206" i="11"/>
  <c r="M209" i="11"/>
  <c r="M208" i="11"/>
  <c r="M207" i="11"/>
  <c r="M206" i="11"/>
  <c r="N203" i="11"/>
  <c r="O203" i="11"/>
  <c r="N202" i="11"/>
  <c r="O202" i="11"/>
  <c r="N201" i="11"/>
  <c r="O201" i="11"/>
  <c r="N200" i="11"/>
  <c r="O200" i="11"/>
  <c r="N199" i="11"/>
  <c r="O199" i="11"/>
  <c r="M200" i="11"/>
  <c r="M201" i="11"/>
  <c r="M202" i="11"/>
  <c r="M203" i="11"/>
  <c r="M199" i="11"/>
  <c r="N192" i="11"/>
  <c r="O192" i="11"/>
  <c r="N191" i="11"/>
  <c r="O191" i="11"/>
  <c r="N190" i="11"/>
  <c r="O190" i="11"/>
  <c r="M190" i="11"/>
  <c r="M191" i="11"/>
  <c r="M192" i="11"/>
  <c r="N189" i="11"/>
  <c r="O189" i="11"/>
  <c r="N187" i="11"/>
  <c r="O187" i="11"/>
  <c r="N186" i="11"/>
  <c r="O186" i="11"/>
  <c r="N185" i="11"/>
  <c r="O185" i="11"/>
  <c r="N184" i="11"/>
  <c r="O184" i="11"/>
  <c r="N182" i="11"/>
  <c r="O182" i="11"/>
  <c r="N181" i="11"/>
  <c r="O181" i="11"/>
  <c r="N180" i="11"/>
  <c r="O180" i="11"/>
  <c r="N179" i="11"/>
  <c r="O179" i="11"/>
  <c r="N178" i="11"/>
  <c r="O178" i="11"/>
  <c r="N177" i="11"/>
  <c r="O177" i="11"/>
  <c r="M195" i="11"/>
  <c r="M196" i="11"/>
  <c r="M197" i="11"/>
  <c r="M194" i="11"/>
  <c r="M189" i="11"/>
  <c r="M185" i="11"/>
  <c r="M186" i="11"/>
  <c r="M187" i="11"/>
  <c r="M184" i="11"/>
  <c r="M178" i="11"/>
  <c r="M179" i="11"/>
  <c r="M180" i="11"/>
  <c r="M181" i="11"/>
  <c r="M182" i="11"/>
  <c r="M177" i="11"/>
  <c r="N175" i="11"/>
  <c r="O175" i="11"/>
  <c r="N174" i="11"/>
  <c r="O174" i="11"/>
  <c r="N173" i="11"/>
  <c r="O173" i="11"/>
  <c r="N172" i="11"/>
  <c r="O172" i="11"/>
  <c r="N171" i="11"/>
  <c r="O171" i="11"/>
  <c r="N170" i="11"/>
  <c r="O170" i="11"/>
  <c r="N169" i="11"/>
  <c r="O169" i="11"/>
  <c r="N168" i="11"/>
  <c r="O168" i="11"/>
  <c r="N167" i="11"/>
  <c r="O167" i="11"/>
  <c r="M168" i="11"/>
  <c r="M169" i="11"/>
  <c r="M170" i="11"/>
  <c r="M171" i="11"/>
  <c r="M172" i="11"/>
  <c r="M173" i="11"/>
  <c r="M174" i="11"/>
  <c r="M175" i="11"/>
  <c r="M167" i="11"/>
  <c r="N165" i="11"/>
  <c r="O165" i="11"/>
  <c r="N164" i="11"/>
  <c r="O164" i="11"/>
  <c r="N163" i="11"/>
  <c r="O163" i="11"/>
  <c r="N162" i="11"/>
  <c r="O162" i="11"/>
  <c r="N161" i="11"/>
  <c r="O161" i="11"/>
  <c r="N160" i="11"/>
  <c r="O160" i="11"/>
  <c r="N159" i="11"/>
  <c r="O159" i="11"/>
  <c r="N158" i="11"/>
  <c r="O158" i="11"/>
  <c r="N157" i="11"/>
  <c r="O157" i="11"/>
  <c r="N156" i="11"/>
  <c r="O156" i="11"/>
  <c r="N155" i="11"/>
  <c r="O155" i="11"/>
  <c r="N154" i="11"/>
  <c r="O154" i="11"/>
  <c r="N153" i="11"/>
  <c r="O153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N143" i="11"/>
  <c r="O143" i="11"/>
  <c r="N142" i="11"/>
  <c r="O142" i="11"/>
  <c r="N141" i="11"/>
  <c r="O141" i="11"/>
  <c r="N140" i="11"/>
  <c r="O140" i="11"/>
  <c r="N138" i="11"/>
  <c r="O138" i="11"/>
  <c r="N137" i="11"/>
  <c r="O137" i="11"/>
  <c r="N136" i="11"/>
  <c r="O136" i="11"/>
  <c r="N135" i="11"/>
  <c r="O135" i="11"/>
  <c r="M143" i="11"/>
  <c r="M142" i="11"/>
  <c r="M141" i="11"/>
  <c r="M140" i="11"/>
  <c r="M138" i="11"/>
  <c r="M137" i="11"/>
  <c r="M136" i="11"/>
  <c r="M135" i="11"/>
  <c r="N133" i="11"/>
  <c r="O133" i="11"/>
  <c r="N132" i="11"/>
  <c r="O132" i="11"/>
  <c r="N131" i="11"/>
  <c r="O131" i="11"/>
  <c r="N130" i="11"/>
  <c r="O130" i="11"/>
  <c r="N128" i="11"/>
  <c r="O128" i="11"/>
  <c r="N127" i="11"/>
  <c r="O127" i="11"/>
  <c r="N126" i="11"/>
  <c r="O126" i="11"/>
  <c r="N125" i="11"/>
  <c r="O125" i="11"/>
  <c r="M133" i="11"/>
  <c r="M132" i="11"/>
  <c r="M131" i="11"/>
  <c r="M130" i="11"/>
  <c r="M128" i="11"/>
  <c r="M127" i="11"/>
  <c r="M126" i="11"/>
  <c r="M125" i="11"/>
  <c r="M229" i="11" l="1"/>
  <c r="L38" i="16"/>
  <c r="L40" i="16"/>
  <c r="M116" i="11"/>
  <c r="M115" i="11"/>
  <c r="M114" i="11"/>
  <c r="M113" i="11"/>
  <c r="N110" i="11"/>
  <c r="O110" i="11"/>
  <c r="N109" i="11"/>
  <c r="O109" i="11"/>
  <c r="N108" i="11"/>
  <c r="O108" i="11"/>
  <c r="N107" i="11"/>
  <c r="O107" i="11"/>
  <c r="M110" i="11"/>
  <c r="M109" i="11"/>
  <c r="M108" i="11"/>
  <c r="M107" i="11"/>
  <c r="N101" i="11"/>
  <c r="O101" i="11"/>
  <c r="N102" i="11"/>
  <c r="O102" i="11"/>
  <c r="N103" i="11"/>
  <c r="O103" i="11"/>
  <c r="N104" i="11"/>
  <c r="O104" i="11"/>
  <c r="M104" i="11"/>
  <c r="M103" i="11"/>
  <c r="M102" i="11"/>
  <c r="M101" i="11"/>
  <c r="N98" i="11"/>
  <c r="O98" i="11"/>
  <c r="M98" i="11"/>
  <c r="N87" i="11"/>
  <c r="O87" i="11"/>
  <c r="M87" i="11"/>
  <c r="N86" i="11"/>
  <c r="O86" i="11"/>
  <c r="M86" i="11"/>
  <c r="N85" i="11"/>
  <c r="O85" i="11"/>
  <c r="N84" i="11"/>
  <c r="O84" i="11"/>
  <c r="M85" i="11"/>
  <c r="M84" i="11"/>
  <c r="N81" i="11"/>
  <c r="O81" i="11"/>
  <c r="M81" i="11"/>
  <c r="N80" i="11"/>
  <c r="O80" i="11"/>
  <c r="M80" i="11"/>
  <c r="N79" i="11"/>
  <c r="O79" i="11"/>
  <c r="M79" i="11"/>
  <c r="N78" i="11"/>
  <c r="O78" i="11"/>
  <c r="M78" i="11"/>
  <c r="N75" i="11"/>
  <c r="O75" i="11"/>
  <c r="M75" i="11"/>
  <c r="N74" i="11"/>
  <c r="O74" i="11"/>
  <c r="M74" i="11"/>
  <c r="N73" i="11"/>
  <c r="O73" i="11"/>
  <c r="M73" i="11"/>
  <c r="N72" i="11"/>
  <c r="O72" i="11"/>
  <c r="M72" i="11"/>
  <c r="N69" i="11"/>
  <c r="O69" i="11"/>
  <c r="M69" i="11"/>
  <c r="N68" i="11"/>
  <c r="O68" i="11"/>
  <c r="M68" i="11"/>
  <c r="N67" i="11"/>
  <c r="O67" i="11"/>
  <c r="M67" i="11"/>
  <c r="O66" i="11"/>
  <c r="M66" i="11"/>
  <c r="N63" i="11"/>
  <c r="O63" i="11"/>
  <c r="M63" i="11"/>
  <c r="N61" i="11"/>
  <c r="O61" i="11"/>
  <c r="M61" i="11"/>
  <c r="N56" i="11"/>
  <c r="O56" i="11"/>
  <c r="N55" i="11"/>
  <c r="O55" i="11"/>
  <c r="N54" i="11"/>
  <c r="O54" i="11"/>
  <c r="M56" i="11"/>
  <c r="M55" i="11"/>
  <c r="M54" i="11"/>
  <c r="O52" i="11"/>
  <c r="N52" i="11"/>
  <c r="O51" i="11"/>
  <c r="N51" i="11"/>
  <c r="O50" i="11"/>
  <c r="N50" i="11"/>
  <c r="O49" i="11"/>
  <c r="N49" i="11"/>
  <c r="M52" i="11"/>
  <c r="M51" i="11"/>
  <c r="M50" i="11"/>
  <c r="M49" i="11"/>
  <c r="M44" i="11"/>
  <c r="M39" i="11"/>
  <c r="M37" i="11"/>
  <c r="M35" i="11"/>
  <c r="M33" i="11"/>
  <c r="M31" i="11"/>
  <c r="M29" i="11"/>
  <c r="M20" i="11"/>
  <c r="M19" i="11"/>
  <c r="M18" i="11"/>
  <c r="M17" i="11"/>
  <c r="M14" i="11"/>
  <c r="M13" i="11"/>
  <c r="M12" i="11"/>
  <c r="M11" i="11"/>
  <c r="M9" i="11"/>
  <c r="D46" i="19"/>
  <c r="M15" i="11" l="1"/>
  <c r="M90" i="11"/>
  <c r="M41" i="11"/>
  <c r="N263" i="19" l="1"/>
  <c r="M263" i="19"/>
  <c r="L263" i="19"/>
  <c r="K263" i="19"/>
  <c r="J263" i="19"/>
  <c r="I263" i="19"/>
  <c r="H263" i="19"/>
  <c r="G263" i="19"/>
  <c r="F263" i="19"/>
  <c r="E263" i="19"/>
  <c r="D263" i="19"/>
  <c r="P262" i="19"/>
  <c r="L262" i="16" s="1"/>
  <c r="P261" i="19"/>
  <c r="F258" i="19"/>
  <c r="E258" i="19"/>
  <c r="D258" i="19"/>
  <c r="P257" i="19"/>
  <c r="L257" i="16" s="1"/>
  <c r="P254" i="19"/>
  <c r="L254" i="16" s="1"/>
  <c r="D253" i="19"/>
  <c r="P253" i="19" s="1"/>
  <c r="L253" i="16" s="1"/>
  <c r="N247" i="19"/>
  <c r="M247" i="19"/>
  <c r="L247" i="19"/>
  <c r="K247" i="19"/>
  <c r="J247" i="19"/>
  <c r="I247" i="19"/>
  <c r="H247" i="19"/>
  <c r="G247" i="19"/>
  <c r="F247" i="19"/>
  <c r="E247" i="19"/>
  <c r="P246" i="19"/>
  <c r="L246" i="16" s="1"/>
  <c r="P245" i="19"/>
  <c r="D247" i="19"/>
  <c r="N242" i="19"/>
  <c r="M242" i="19"/>
  <c r="L242" i="19"/>
  <c r="I242" i="19"/>
  <c r="D242" i="19"/>
  <c r="P241" i="19"/>
  <c r="P240" i="19"/>
  <c r="P239" i="19"/>
  <c r="K242" i="19"/>
  <c r="J242" i="19"/>
  <c r="H242" i="19"/>
  <c r="G242" i="19"/>
  <c r="F242" i="19"/>
  <c r="E242" i="19"/>
  <c r="N236" i="19"/>
  <c r="M236" i="19"/>
  <c r="L236" i="19"/>
  <c r="I236" i="19"/>
  <c r="P235" i="19"/>
  <c r="P234" i="19"/>
  <c r="P233" i="19"/>
  <c r="K236" i="19"/>
  <c r="J236" i="19"/>
  <c r="H236" i="19"/>
  <c r="G236" i="19"/>
  <c r="F236" i="19"/>
  <c r="E236" i="19"/>
  <c r="D236" i="19"/>
  <c r="N229" i="19"/>
  <c r="M229" i="19"/>
  <c r="P229" i="19" s="1"/>
  <c r="P228" i="19"/>
  <c r="L228" i="16" s="1"/>
  <c r="L229" i="16" s="1"/>
  <c r="P227" i="19"/>
  <c r="L227" i="16" s="1"/>
  <c r="P226" i="19"/>
  <c r="L226" i="16" s="1"/>
  <c r="P225" i="19"/>
  <c r="L225" i="16" s="1"/>
  <c r="N223" i="19"/>
  <c r="M223" i="19"/>
  <c r="L223" i="19"/>
  <c r="L243" i="19" s="1"/>
  <c r="I223" i="19"/>
  <c r="I230" i="19" s="1"/>
  <c r="I243" i="19" s="1"/>
  <c r="H223" i="19"/>
  <c r="H230" i="19" s="1"/>
  <c r="F223" i="19"/>
  <c r="F230" i="19" s="1"/>
  <c r="P222" i="19"/>
  <c r="P221" i="19"/>
  <c r="P220" i="19"/>
  <c r="K223" i="19"/>
  <c r="J223" i="19"/>
  <c r="J230" i="19" s="1"/>
  <c r="G223" i="19"/>
  <c r="G230" i="19" s="1"/>
  <c r="E223" i="19"/>
  <c r="E230" i="19" s="1"/>
  <c r="P219" i="19"/>
  <c r="N216" i="19"/>
  <c r="M216" i="19"/>
  <c r="L216" i="19"/>
  <c r="K216" i="19"/>
  <c r="J216" i="19"/>
  <c r="I216" i="19"/>
  <c r="H216" i="19"/>
  <c r="G216" i="19"/>
  <c r="D216" i="19"/>
  <c r="P215" i="19"/>
  <c r="L215" i="16" s="1"/>
  <c r="P214" i="19"/>
  <c r="L214" i="16" s="1"/>
  <c r="P213" i="19"/>
  <c r="L213" i="16" s="1"/>
  <c r="F216" i="19"/>
  <c r="P212" i="19"/>
  <c r="L212" i="16" s="1"/>
  <c r="L216" i="16" s="1"/>
  <c r="N210" i="19"/>
  <c r="N250" i="19" s="1"/>
  <c r="M210" i="19"/>
  <c r="L210" i="19"/>
  <c r="J210" i="19"/>
  <c r="I210" i="19"/>
  <c r="H210" i="19"/>
  <c r="G210" i="19"/>
  <c r="F210" i="19"/>
  <c r="F250" i="19" s="1"/>
  <c r="E210" i="19"/>
  <c r="D210" i="19"/>
  <c r="P209" i="19"/>
  <c r="P208" i="19"/>
  <c r="P207" i="19"/>
  <c r="K210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L203" i="16" s="1"/>
  <c r="P202" i="19"/>
  <c r="L202" i="16" s="1"/>
  <c r="P201" i="19"/>
  <c r="L201" i="16" s="1"/>
  <c r="P200" i="19"/>
  <c r="L200" i="16" s="1"/>
  <c r="P199" i="19"/>
  <c r="L199" i="16" s="1"/>
  <c r="P197" i="19"/>
  <c r="P196" i="19"/>
  <c r="P195" i="19"/>
  <c r="P194" i="19"/>
  <c r="N193" i="19"/>
  <c r="M193" i="19"/>
  <c r="L193" i="19"/>
  <c r="K193" i="19"/>
  <c r="J193" i="19"/>
  <c r="I193" i="19"/>
  <c r="H193" i="19"/>
  <c r="F193" i="19"/>
  <c r="E193" i="19"/>
  <c r="D193" i="19"/>
  <c r="P192" i="19"/>
  <c r="P191" i="19"/>
  <c r="P190" i="19"/>
  <c r="P189" i="19"/>
  <c r="P187" i="19"/>
  <c r="L187" i="16" s="1"/>
  <c r="P186" i="19"/>
  <c r="L186" i="16" s="1"/>
  <c r="P185" i="19"/>
  <c r="L185" i="16" s="1"/>
  <c r="P184" i="19"/>
  <c r="L184" i="16" s="1"/>
  <c r="P182" i="19"/>
  <c r="L182" i="16" s="1"/>
  <c r="P181" i="19"/>
  <c r="L181" i="16" s="1"/>
  <c r="P180" i="19"/>
  <c r="L180" i="16" s="1"/>
  <c r="P179" i="19"/>
  <c r="L179" i="16" s="1"/>
  <c r="P178" i="19"/>
  <c r="L178" i="16" s="1"/>
  <c r="P177" i="19"/>
  <c r="L177" i="16" s="1"/>
  <c r="P175" i="19"/>
  <c r="L175" i="16" s="1"/>
  <c r="P174" i="19"/>
  <c r="L174" i="16" s="1"/>
  <c r="P173" i="19"/>
  <c r="L173" i="16" s="1"/>
  <c r="P172" i="19"/>
  <c r="L172" i="16" s="1"/>
  <c r="P171" i="19"/>
  <c r="L171" i="16" s="1"/>
  <c r="P170" i="19"/>
  <c r="L170" i="16" s="1"/>
  <c r="P169" i="19"/>
  <c r="L169" i="16" s="1"/>
  <c r="P168" i="19"/>
  <c r="P167" i="19"/>
  <c r="P165" i="19"/>
  <c r="L165" i="16" s="1"/>
  <c r="P164" i="19"/>
  <c r="L164" i="16" s="1"/>
  <c r="P163" i="19"/>
  <c r="L163" i="16" s="1"/>
  <c r="P162" i="19"/>
  <c r="L162" i="16" s="1"/>
  <c r="P161" i="19"/>
  <c r="L161" i="16" s="1"/>
  <c r="P160" i="19"/>
  <c r="L160" i="16" s="1"/>
  <c r="P159" i="19"/>
  <c r="L159" i="16" s="1"/>
  <c r="P158" i="19"/>
  <c r="L158" i="16" s="1"/>
  <c r="P157" i="19"/>
  <c r="L157" i="16" s="1"/>
  <c r="P156" i="19"/>
  <c r="L156" i="16" s="1"/>
  <c r="P155" i="19"/>
  <c r="P154" i="19"/>
  <c r="P153" i="19"/>
  <c r="N148" i="19"/>
  <c r="M148" i="19"/>
  <c r="L148" i="19"/>
  <c r="K148" i="19"/>
  <c r="J148" i="19"/>
  <c r="I148" i="19"/>
  <c r="H148" i="19"/>
  <c r="G148" i="19"/>
  <c r="F148" i="19"/>
  <c r="E148" i="19"/>
  <c r="D148" i="19"/>
  <c r="N147" i="19"/>
  <c r="M147" i="19"/>
  <c r="L147" i="19"/>
  <c r="K147" i="19"/>
  <c r="J147" i="19"/>
  <c r="I147" i="19"/>
  <c r="H147" i="19"/>
  <c r="G147" i="19"/>
  <c r="F147" i="19"/>
  <c r="E147" i="19"/>
  <c r="D147" i="19"/>
  <c r="N146" i="19"/>
  <c r="M146" i="19"/>
  <c r="L146" i="19"/>
  <c r="K146" i="19"/>
  <c r="J146" i="19"/>
  <c r="H146" i="19"/>
  <c r="G146" i="19"/>
  <c r="F146" i="19"/>
  <c r="E146" i="19"/>
  <c r="D146" i="19"/>
  <c r="N145" i="19"/>
  <c r="M145" i="19"/>
  <c r="L145" i="19"/>
  <c r="K145" i="19"/>
  <c r="D145" i="19"/>
  <c r="L144" i="19"/>
  <c r="K144" i="19"/>
  <c r="J144" i="19"/>
  <c r="D144" i="19"/>
  <c r="P143" i="19"/>
  <c r="L143" i="16" s="1"/>
  <c r="P142" i="19"/>
  <c r="L142" i="16" s="1"/>
  <c r="P141" i="19"/>
  <c r="L141" i="16" s="1"/>
  <c r="P140" i="19"/>
  <c r="H140" i="19"/>
  <c r="H144" i="19" s="1"/>
  <c r="E140" i="19"/>
  <c r="E144" i="19" s="1"/>
  <c r="F140" i="19" s="1"/>
  <c r="F144" i="19" s="1"/>
  <c r="N139" i="19"/>
  <c r="L139" i="19"/>
  <c r="K139" i="19"/>
  <c r="J139" i="19"/>
  <c r="I139" i="19"/>
  <c r="D139" i="19"/>
  <c r="E135" i="19" s="1"/>
  <c r="E139" i="19" s="1"/>
  <c r="F135" i="19" s="1"/>
  <c r="F139" i="19" s="1"/>
  <c r="G135" i="19" s="1"/>
  <c r="G139" i="19" s="1"/>
  <c r="H135" i="19" s="1"/>
  <c r="H139" i="19" s="1"/>
  <c r="P138" i="19"/>
  <c r="P137" i="19"/>
  <c r="P136" i="19"/>
  <c r="P135" i="19"/>
  <c r="N134" i="19"/>
  <c r="L134" i="19"/>
  <c r="K134" i="19"/>
  <c r="J134" i="19"/>
  <c r="I134" i="19"/>
  <c r="D134" i="19"/>
  <c r="E130" i="19" s="1"/>
  <c r="E134" i="19" s="1"/>
  <c r="F130" i="19" s="1"/>
  <c r="F134" i="19" s="1"/>
  <c r="G130" i="19" s="1"/>
  <c r="G134" i="19" s="1"/>
  <c r="H130" i="19" s="1"/>
  <c r="H134" i="19" s="1"/>
  <c r="P133" i="19"/>
  <c r="L133" i="16" s="1"/>
  <c r="P132" i="19"/>
  <c r="P131" i="19"/>
  <c r="L131" i="16" s="1"/>
  <c r="P130" i="19"/>
  <c r="N129" i="19"/>
  <c r="L129" i="19"/>
  <c r="K129" i="19"/>
  <c r="J125" i="19"/>
  <c r="J145" i="19" s="1"/>
  <c r="D129" i="19"/>
  <c r="P128" i="19"/>
  <c r="P127" i="19"/>
  <c r="P126" i="19"/>
  <c r="P125" i="19"/>
  <c r="E125" i="19"/>
  <c r="E129" i="19" s="1"/>
  <c r="F125" i="19" s="1"/>
  <c r="N123" i="19"/>
  <c r="M123" i="19"/>
  <c r="L123" i="19"/>
  <c r="K123" i="19"/>
  <c r="J123" i="19"/>
  <c r="I123" i="19"/>
  <c r="H123" i="19"/>
  <c r="G123" i="19"/>
  <c r="F123" i="19"/>
  <c r="E123" i="19"/>
  <c r="D123" i="19"/>
  <c r="P122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L116" i="16" s="1"/>
  <c r="P115" i="19"/>
  <c r="L115" i="16" s="1"/>
  <c r="P114" i="19"/>
  <c r="L114" i="16" s="1"/>
  <c r="P113" i="19"/>
  <c r="P111" i="19"/>
  <c r="N111" i="19"/>
  <c r="N118" i="19" s="1"/>
  <c r="M111" i="19"/>
  <c r="M118" i="19" s="1"/>
  <c r="L111" i="19"/>
  <c r="K111" i="19"/>
  <c r="J111" i="19"/>
  <c r="I111" i="19"/>
  <c r="H111" i="19"/>
  <c r="H118" i="19" s="1"/>
  <c r="G111" i="19"/>
  <c r="F111" i="19"/>
  <c r="E111" i="19"/>
  <c r="D111" i="19"/>
  <c r="P109" i="19"/>
  <c r="L109" i="16" s="1"/>
  <c r="P108" i="19"/>
  <c r="L108" i="16" s="1"/>
  <c r="P107" i="19"/>
  <c r="L107" i="16" s="1"/>
  <c r="P105" i="19"/>
  <c r="N105" i="19"/>
  <c r="M105" i="19"/>
  <c r="L105" i="19"/>
  <c r="K105" i="19"/>
  <c r="J105" i="19"/>
  <c r="I105" i="19"/>
  <c r="H105" i="19"/>
  <c r="G105" i="19"/>
  <c r="F105" i="19"/>
  <c r="E105" i="19"/>
  <c r="D105" i="19"/>
  <c r="P104" i="19"/>
  <c r="L104" i="16" s="1"/>
  <c r="P103" i="19"/>
  <c r="L103" i="16" s="1"/>
  <c r="P102" i="19"/>
  <c r="L102" i="16" s="1"/>
  <c r="P101" i="19"/>
  <c r="L101" i="16" s="1"/>
  <c r="P98" i="19"/>
  <c r="L98" i="16" s="1"/>
  <c r="N93" i="19"/>
  <c r="M93" i="19"/>
  <c r="M94" i="19" s="1"/>
  <c r="L93" i="19"/>
  <c r="K93" i="19"/>
  <c r="J93" i="19"/>
  <c r="I93" i="19"/>
  <c r="H93" i="19"/>
  <c r="G93" i="19"/>
  <c r="F93" i="19"/>
  <c r="E93" i="19"/>
  <c r="E94" i="19" s="1"/>
  <c r="D93" i="19"/>
  <c r="D94" i="19" s="1"/>
  <c r="N92" i="19"/>
  <c r="M92" i="19"/>
  <c r="L92" i="19"/>
  <c r="K92" i="19"/>
  <c r="J92" i="19"/>
  <c r="I92" i="19"/>
  <c r="H92" i="19"/>
  <c r="H94" i="19" s="1"/>
  <c r="G92" i="19"/>
  <c r="F92" i="19"/>
  <c r="F259" i="19" s="1"/>
  <c r="E92" i="19"/>
  <c r="E259" i="19" s="1"/>
  <c r="D92" i="19"/>
  <c r="D259" i="19" s="1"/>
  <c r="N91" i="19"/>
  <c r="N256" i="19" s="1"/>
  <c r="M91" i="19"/>
  <c r="M256" i="19" s="1"/>
  <c r="M258" i="19" s="1"/>
  <c r="L91" i="19"/>
  <c r="L256" i="19" s="1"/>
  <c r="L258" i="19" s="1"/>
  <c r="K91" i="19"/>
  <c r="K256" i="19" s="1"/>
  <c r="K258" i="19" s="1"/>
  <c r="J91" i="19"/>
  <c r="J256" i="19" s="1"/>
  <c r="J258" i="19" s="1"/>
  <c r="I91" i="19"/>
  <c r="I256" i="19" s="1"/>
  <c r="I258" i="19" s="1"/>
  <c r="H91" i="19"/>
  <c r="H256" i="19" s="1"/>
  <c r="H258" i="19" s="1"/>
  <c r="G91" i="19"/>
  <c r="G256" i="19" s="1"/>
  <c r="F91" i="19"/>
  <c r="E91" i="19"/>
  <c r="D91" i="19"/>
  <c r="M90" i="19"/>
  <c r="M95" i="19" s="1"/>
  <c r="M255" i="19" s="1"/>
  <c r="L90" i="19"/>
  <c r="K90" i="19"/>
  <c r="J90" i="19"/>
  <c r="I90" i="19"/>
  <c r="D90" i="19"/>
  <c r="P90" i="19" s="1"/>
  <c r="J89" i="19"/>
  <c r="I89" i="19"/>
  <c r="N88" i="19"/>
  <c r="N89" i="19" s="1"/>
  <c r="M88" i="19"/>
  <c r="M89" i="19" s="1"/>
  <c r="L88" i="19"/>
  <c r="L89" i="19" s="1"/>
  <c r="K88" i="19"/>
  <c r="K89" i="19" s="1"/>
  <c r="J88" i="19"/>
  <c r="I88" i="19"/>
  <c r="H88" i="19"/>
  <c r="H89" i="19" s="1"/>
  <c r="G88" i="19"/>
  <c r="F88" i="19"/>
  <c r="E88" i="19"/>
  <c r="D88" i="19"/>
  <c r="P87" i="19"/>
  <c r="L87" i="16" s="1"/>
  <c r="P86" i="19"/>
  <c r="L86" i="16" s="1"/>
  <c r="P85" i="19"/>
  <c r="L85" i="16" s="1"/>
  <c r="P84" i="19"/>
  <c r="G84" i="19"/>
  <c r="G90" i="19" s="1"/>
  <c r="F84" i="19"/>
  <c r="F90" i="19" s="1"/>
  <c r="J83" i="19"/>
  <c r="N82" i="19"/>
  <c r="N83" i="19" s="1"/>
  <c r="M82" i="19"/>
  <c r="M83" i="19" s="1"/>
  <c r="L82" i="19"/>
  <c r="L83" i="19" s="1"/>
  <c r="K82" i="19"/>
  <c r="K83" i="19" s="1"/>
  <c r="J82" i="19"/>
  <c r="I82" i="19"/>
  <c r="I83" i="19" s="1"/>
  <c r="H82" i="19"/>
  <c r="H83" i="19" s="1"/>
  <c r="G82" i="19"/>
  <c r="G83" i="19" s="1"/>
  <c r="F82" i="19"/>
  <c r="F83" i="19" s="1"/>
  <c r="E82" i="19"/>
  <c r="E83" i="19" s="1"/>
  <c r="D82" i="19"/>
  <c r="D83" i="19" s="1"/>
  <c r="P81" i="19"/>
  <c r="P80" i="19"/>
  <c r="L80" i="16" s="1"/>
  <c r="P79" i="19"/>
  <c r="L79" i="16" s="1"/>
  <c r="P78" i="19"/>
  <c r="H77" i="19"/>
  <c r="N76" i="19"/>
  <c r="N77" i="19" s="1"/>
  <c r="M76" i="19"/>
  <c r="M77" i="19" s="1"/>
  <c r="L76" i="19"/>
  <c r="L77" i="19" s="1"/>
  <c r="K76" i="19"/>
  <c r="K77" i="19" s="1"/>
  <c r="J76" i="19"/>
  <c r="J77" i="19" s="1"/>
  <c r="I76" i="19"/>
  <c r="I77" i="19" s="1"/>
  <c r="H76" i="19"/>
  <c r="G76" i="19"/>
  <c r="G77" i="19" s="1"/>
  <c r="H72" i="19" s="1"/>
  <c r="F76" i="19"/>
  <c r="F77" i="19" s="1"/>
  <c r="E76" i="19"/>
  <c r="E77" i="19" s="1"/>
  <c r="D76" i="19"/>
  <c r="D77" i="19" s="1"/>
  <c r="P75" i="19"/>
  <c r="L75" i="16" s="1"/>
  <c r="P74" i="19"/>
  <c r="P73" i="19"/>
  <c r="P72" i="19"/>
  <c r="M71" i="19"/>
  <c r="N66" i="19" s="1"/>
  <c r="N71" i="19" s="1"/>
  <c r="L71" i="19"/>
  <c r="G71" i="19"/>
  <c r="H66" i="19" s="1"/>
  <c r="D71" i="19"/>
  <c r="M70" i="19"/>
  <c r="L70" i="19"/>
  <c r="K70" i="19"/>
  <c r="K71" i="19" s="1"/>
  <c r="J70" i="19"/>
  <c r="J71" i="19" s="1"/>
  <c r="I70" i="19"/>
  <c r="I71" i="19" s="1"/>
  <c r="H70" i="19"/>
  <c r="G70" i="19"/>
  <c r="F70" i="19"/>
  <c r="F71" i="19" s="1"/>
  <c r="E70" i="19"/>
  <c r="E71" i="19" s="1"/>
  <c r="D70" i="19"/>
  <c r="P69" i="19"/>
  <c r="L69" i="16" s="1"/>
  <c r="P68" i="19"/>
  <c r="P67" i="19"/>
  <c r="L67" i="16" s="1"/>
  <c r="P66" i="19"/>
  <c r="P63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G56" i="19"/>
  <c r="P56" i="19" s="1"/>
  <c r="L56" i="16" s="1"/>
  <c r="G55" i="19"/>
  <c r="P54" i="19"/>
  <c r="P52" i="19"/>
  <c r="P51" i="19"/>
  <c r="P50" i="19"/>
  <c r="P49" i="19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G47" i="19" s="1"/>
  <c r="F46" i="19"/>
  <c r="F47" i="19" s="1"/>
  <c r="E46" i="19"/>
  <c r="E47" i="19" s="1"/>
  <c r="D47" i="19"/>
  <c r="N45" i="19"/>
  <c r="M45" i="19"/>
  <c r="L45" i="19"/>
  <c r="K45" i="19"/>
  <c r="J45" i="19"/>
  <c r="I45" i="19"/>
  <c r="H45" i="19"/>
  <c r="G45" i="19"/>
  <c r="F45" i="19"/>
  <c r="E45" i="19"/>
  <c r="D45" i="19"/>
  <c r="P44" i="19"/>
  <c r="N41" i="19"/>
  <c r="N42" i="19" s="1"/>
  <c r="M41" i="19"/>
  <c r="M42" i="19" s="1"/>
  <c r="L41" i="19"/>
  <c r="L42" i="19" s="1"/>
  <c r="K41" i="19"/>
  <c r="J41" i="19"/>
  <c r="J42" i="19" s="1"/>
  <c r="I41" i="19"/>
  <c r="I58" i="19" s="1"/>
  <c r="H41" i="19"/>
  <c r="H42" i="19" s="1"/>
  <c r="G41" i="19"/>
  <c r="G42" i="19" s="1"/>
  <c r="F41" i="19"/>
  <c r="F42" i="19" s="1"/>
  <c r="E41" i="19"/>
  <c r="E42" i="19" s="1"/>
  <c r="D41" i="19"/>
  <c r="D42" i="19" s="1"/>
  <c r="N40" i="19"/>
  <c r="M40" i="19"/>
  <c r="L40" i="19"/>
  <c r="K40" i="19"/>
  <c r="J40" i="19"/>
  <c r="I40" i="19"/>
  <c r="H40" i="19"/>
  <c r="G40" i="19"/>
  <c r="F40" i="19"/>
  <c r="E40" i="19"/>
  <c r="D40" i="19"/>
  <c r="P39" i="19"/>
  <c r="N38" i="19"/>
  <c r="M38" i="19"/>
  <c r="L38" i="19"/>
  <c r="K38" i="19"/>
  <c r="J38" i="19"/>
  <c r="I38" i="19"/>
  <c r="H38" i="19"/>
  <c r="G38" i="19"/>
  <c r="F38" i="19"/>
  <c r="E38" i="19"/>
  <c r="D38" i="19"/>
  <c r="P37" i="19"/>
  <c r="N34" i="19"/>
  <c r="M34" i="19"/>
  <c r="L34" i="19"/>
  <c r="K34" i="19"/>
  <c r="J34" i="19"/>
  <c r="I34" i="19"/>
  <c r="H34" i="19"/>
  <c r="G34" i="19"/>
  <c r="F34" i="19"/>
  <c r="E34" i="19"/>
  <c r="D34" i="19"/>
  <c r="P33" i="19"/>
  <c r="L33" i="16" s="1"/>
  <c r="L34" i="16" s="1"/>
  <c r="N32" i="19"/>
  <c r="M32" i="19"/>
  <c r="L32" i="19"/>
  <c r="K32" i="19"/>
  <c r="J32" i="19"/>
  <c r="I32" i="19"/>
  <c r="H32" i="19"/>
  <c r="G32" i="19"/>
  <c r="F32" i="19"/>
  <c r="E32" i="19"/>
  <c r="D32" i="19"/>
  <c r="P31" i="19"/>
  <c r="L31" i="16" s="1"/>
  <c r="L32" i="16" s="1"/>
  <c r="N30" i="19"/>
  <c r="M30" i="19"/>
  <c r="K30" i="19"/>
  <c r="J30" i="19"/>
  <c r="I30" i="19"/>
  <c r="H30" i="19"/>
  <c r="G30" i="19"/>
  <c r="F30" i="19"/>
  <c r="E30" i="19"/>
  <c r="D30" i="19"/>
  <c r="P29" i="19"/>
  <c r="L29" i="16" s="1"/>
  <c r="N21" i="19"/>
  <c r="N22" i="19" s="1"/>
  <c r="N24" i="19" s="1"/>
  <c r="N25" i="19" s="1"/>
  <c r="M21" i="19"/>
  <c r="L21" i="19"/>
  <c r="L22" i="19" s="1"/>
  <c r="L24" i="19" s="1"/>
  <c r="L25" i="19" s="1"/>
  <c r="K21" i="19"/>
  <c r="J21" i="19"/>
  <c r="I21" i="19"/>
  <c r="H21" i="19"/>
  <c r="G21" i="19"/>
  <c r="F21" i="19"/>
  <c r="E21" i="19"/>
  <c r="D21" i="19"/>
  <c r="P20" i="19"/>
  <c r="L20" i="16" s="1"/>
  <c r="P19" i="19"/>
  <c r="L19" i="16" s="1"/>
  <c r="P18" i="19"/>
  <c r="L18" i="16" s="1"/>
  <c r="N15" i="19"/>
  <c r="M15" i="19"/>
  <c r="L15" i="19"/>
  <c r="K15" i="19"/>
  <c r="J15" i="19"/>
  <c r="H15" i="19"/>
  <c r="P14" i="19"/>
  <c r="P13" i="19"/>
  <c r="P12" i="19"/>
  <c r="I15" i="19"/>
  <c r="G15" i="19"/>
  <c r="F15" i="19"/>
  <c r="E15" i="19"/>
  <c r="D15" i="19"/>
  <c r="P145" i="19" l="1"/>
  <c r="P89" i="19"/>
  <c r="F94" i="19"/>
  <c r="F95" i="19" s="1"/>
  <c r="D149" i="19"/>
  <c r="L204" i="16"/>
  <c r="H251" i="19"/>
  <c r="N90" i="19"/>
  <c r="E145" i="19"/>
  <c r="E149" i="19" s="1"/>
  <c r="N230" i="19"/>
  <c r="K94" i="19"/>
  <c r="K95" i="19" s="1"/>
  <c r="K255" i="19" s="1"/>
  <c r="K149" i="19"/>
  <c r="L95" i="19"/>
  <c r="L255" i="19" s="1"/>
  <c r="L259" i="19" s="1"/>
  <c r="L66" i="16"/>
  <c r="L90" i="16" s="1"/>
  <c r="N66" i="11"/>
  <c r="L94" i="19"/>
  <c r="I94" i="19"/>
  <c r="L149" i="19"/>
  <c r="G94" i="19"/>
  <c r="P88" i="19"/>
  <c r="J94" i="19"/>
  <c r="J95" i="19" s="1"/>
  <c r="J255" i="19" s="1"/>
  <c r="J259" i="19" s="1"/>
  <c r="D217" i="19"/>
  <c r="L88" i="16"/>
  <c r="L89" i="16" s="1"/>
  <c r="L50" i="16"/>
  <c r="L73" i="16"/>
  <c r="L91" i="16" s="1"/>
  <c r="L207" i="16"/>
  <c r="L49" i="16"/>
  <c r="L51" i="16"/>
  <c r="P76" i="19"/>
  <c r="P77" i="19" s="1"/>
  <c r="L74" i="16"/>
  <c r="L76" i="16" s="1"/>
  <c r="L77" i="16" s="1"/>
  <c r="P117" i="19"/>
  <c r="P118" i="19" s="1"/>
  <c r="P119" i="19" s="1"/>
  <c r="L113" i="16"/>
  <c r="L208" i="16"/>
  <c r="P247" i="19"/>
  <c r="L245" i="16"/>
  <c r="L247" i="16" s="1"/>
  <c r="P82" i="19"/>
  <c r="P83" i="19" s="1"/>
  <c r="L81" i="16"/>
  <c r="L93" i="16" s="1"/>
  <c r="L105" i="16"/>
  <c r="L111" i="16"/>
  <c r="L117" i="16"/>
  <c r="L209" i="16"/>
  <c r="L21" i="16"/>
  <c r="P263" i="19"/>
  <c r="L261" i="16"/>
  <c r="L263" i="16" s="1"/>
  <c r="L168" i="16"/>
  <c r="L138" i="16"/>
  <c r="L136" i="16"/>
  <c r="L137" i="16"/>
  <c r="P123" i="19"/>
  <c r="L122" i="16"/>
  <c r="L123" i="16" s="1"/>
  <c r="L144" i="16"/>
  <c r="L239" i="16"/>
  <c r="L240" i="16"/>
  <c r="L241" i="16"/>
  <c r="N243" i="19"/>
  <c r="L233" i="16"/>
  <c r="L235" i="16"/>
  <c r="L234" i="16"/>
  <c r="L222" i="16"/>
  <c r="L221" i="16"/>
  <c r="L219" i="16"/>
  <c r="L220" i="16"/>
  <c r="L196" i="16"/>
  <c r="L197" i="16"/>
  <c r="L194" i="16"/>
  <c r="L195" i="16"/>
  <c r="L167" i="16"/>
  <c r="L155" i="16"/>
  <c r="L154" i="16"/>
  <c r="L153" i="16"/>
  <c r="L132" i="16"/>
  <c r="L134" i="16" s="1"/>
  <c r="L126" i="16"/>
  <c r="L146" i="16" s="1"/>
  <c r="P129" i="19"/>
  <c r="N149" i="19"/>
  <c r="L127" i="16"/>
  <c r="N119" i="19"/>
  <c r="P70" i="19"/>
  <c r="P71" i="19" s="1"/>
  <c r="L68" i="16"/>
  <c r="N258" i="19"/>
  <c r="N94" i="19"/>
  <c r="L54" i="16"/>
  <c r="L44" i="16"/>
  <c r="L45" i="16" s="1"/>
  <c r="L30" i="16"/>
  <c r="L41" i="16"/>
  <c r="L42" i="16" s="1"/>
  <c r="L12" i="16"/>
  <c r="L13" i="16"/>
  <c r="L14" i="16"/>
  <c r="M230" i="19"/>
  <c r="M243" i="19" s="1"/>
  <c r="M250" i="19"/>
  <c r="P139" i="19"/>
  <c r="P134" i="19"/>
  <c r="P148" i="19"/>
  <c r="L128" i="16"/>
  <c r="M149" i="19"/>
  <c r="M119" i="19"/>
  <c r="M22" i="19"/>
  <c r="M24" i="19" s="1"/>
  <c r="M25" i="19" s="1"/>
  <c r="L217" i="19"/>
  <c r="P204" i="19"/>
  <c r="K243" i="19"/>
  <c r="J243" i="19"/>
  <c r="I251" i="19"/>
  <c r="G251" i="19"/>
  <c r="J217" i="19"/>
  <c r="I250" i="19"/>
  <c r="P146" i="19"/>
  <c r="P147" i="19"/>
  <c r="P144" i="19"/>
  <c r="L118" i="19"/>
  <c r="K118" i="19"/>
  <c r="K119" i="19" s="1"/>
  <c r="J118" i="19"/>
  <c r="J119" i="19" s="1"/>
  <c r="I118" i="19"/>
  <c r="I119" i="19" s="1"/>
  <c r="G118" i="19"/>
  <c r="L119" i="19"/>
  <c r="H119" i="19"/>
  <c r="G119" i="19"/>
  <c r="K58" i="19"/>
  <c r="K249" i="19" s="1"/>
  <c r="L58" i="19"/>
  <c r="L59" i="19" s="1"/>
  <c r="K42" i="19"/>
  <c r="H22" i="19"/>
  <c r="H24" i="19" s="1"/>
  <c r="H25" i="19" s="1"/>
  <c r="K22" i="19"/>
  <c r="K24" i="19" s="1"/>
  <c r="K25" i="19" s="1"/>
  <c r="J22" i="19"/>
  <c r="J24" i="19" s="1"/>
  <c r="J25" i="19" s="1"/>
  <c r="I22" i="19"/>
  <c r="I24" i="19" s="1"/>
  <c r="I25" i="19" s="1"/>
  <c r="G22" i="19"/>
  <c r="G24" i="19" s="1"/>
  <c r="G25" i="19" s="1"/>
  <c r="F118" i="19"/>
  <c r="F119" i="19" s="1"/>
  <c r="E250" i="19"/>
  <c r="E118" i="19"/>
  <c r="E119" i="19" s="1"/>
  <c r="P21" i="19"/>
  <c r="P30" i="19"/>
  <c r="P193" i="19"/>
  <c r="D118" i="19"/>
  <c r="D119" i="19" s="1"/>
  <c r="D58" i="19"/>
  <c r="D59" i="19" s="1"/>
  <c r="D22" i="19"/>
  <c r="D24" i="19" s="1"/>
  <c r="D25" i="19" s="1"/>
  <c r="P62" i="19"/>
  <c r="P40" i="19"/>
  <c r="P32" i="19"/>
  <c r="P45" i="19"/>
  <c r="P38" i="19"/>
  <c r="F22" i="19"/>
  <c r="F24" i="19" s="1"/>
  <c r="F25" i="19" s="1"/>
  <c r="I249" i="19"/>
  <c r="I59" i="19"/>
  <c r="I60" i="19"/>
  <c r="F145" i="19"/>
  <c r="F149" i="19" s="1"/>
  <c r="F129" i="19"/>
  <c r="G125" i="19" s="1"/>
  <c r="P256" i="19"/>
  <c r="P258" i="19" s="1"/>
  <c r="G258" i="19"/>
  <c r="G95" i="19"/>
  <c r="G255" i="19" s="1"/>
  <c r="M259" i="19"/>
  <c r="E243" i="19"/>
  <c r="H90" i="19"/>
  <c r="H95" i="19" s="1"/>
  <c r="H255" i="19" s="1"/>
  <c r="H259" i="19" s="1"/>
  <c r="H71" i="19"/>
  <c r="G243" i="19"/>
  <c r="F243" i="19"/>
  <c r="J149" i="19"/>
  <c r="J129" i="19"/>
  <c r="H243" i="19"/>
  <c r="K217" i="19"/>
  <c r="E22" i="19"/>
  <c r="E24" i="19" s="1"/>
  <c r="E25" i="19" s="1"/>
  <c r="I95" i="19"/>
  <c r="I255" i="19" s="1"/>
  <c r="I259" i="19"/>
  <c r="I145" i="19"/>
  <c r="I149" i="19" s="1"/>
  <c r="I144" i="19"/>
  <c r="P11" i="19"/>
  <c r="I42" i="19"/>
  <c r="D89" i="19"/>
  <c r="E84" i="19" s="1"/>
  <c r="P92" i="19"/>
  <c r="M217" i="19"/>
  <c r="D223" i="19"/>
  <c r="D250" i="19" s="1"/>
  <c r="L249" i="19"/>
  <c r="G250" i="19"/>
  <c r="J251" i="19"/>
  <c r="G217" i="19"/>
  <c r="P34" i="19"/>
  <c r="F217" i="19"/>
  <c r="N217" i="19"/>
  <c r="P232" i="19"/>
  <c r="P238" i="19"/>
  <c r="H250" i="19"/>
  <c r="E58" i="19"/>
  <c r="M58" i="19"/>
  <c r="P91" i="19"/>
  <c r="D95" i="19"/>
  <c r="P206" i="19"/>
  <c r="P210" i="19"/>
  <c r="E216" i="19"/>
  <c r="P216" i="19" s="1"/>
  <c r="H217" i="19"/>
  <c r="J250" i="19"/>
  <c r="E251" i="19"/>
  <c r="M251" i="19"/>
  <c r="K259" i="19"/>
  <c r="F58" i="19"/>
  <c r="N58" i="19"/>
  <c r="I217" i="19"/>
  <c r="F251" i="19"/>
  <c r="N251" i="19"/>
  <c r="G58" i="19"/>
  <c r="P93" i="19"/>
  <c r="P41" i="19"/>
  <c r="P42" i="19" s="1"/>
  <c r="P46" i="19"/>
  <c r="J55" i="19"/>
  <c r="P55" i="19" s="1"/>
  <c r="H58" i="19"/>
  <c r="H40" i="8"/>
  <c r="H38" i="8"/>
  <c r="P94" i="19" l="1"/>
  <c r="P95" i="19" s="1"/>
  <c r="E217" i="19"/>
  <c r="E90" i="19"/>
  <c r="E95" i="19" s="1"/>
  <c r="N95" i="19"/>
  <c r="N255" i="19" s="1"/>
  <c r="N259" i="19" s="1"/>
  <c r="L148" i="16"/>
  <c r="L139" i="16"/>
  <c r="L119" i="16"/>
  <c r="L82" i="16"/>
  <c r="L83" i="16" s="1"/>
  <c r="L206" i="16"/>
  <c r="L210" i="16" s="1"/>
  <c r="L217" i="16" s="1"/>
  <c r="L256" i="16"/>
  <c r="L258" i="16" s="1"/>
  <c r="L223" i="16"/>
  <c r="L230" i="16" s="1"/>
  <c r="L193" i="16"/>
  <c r="L147" i="16"/>
  <c r="L92" i="16"/>
  <c r="L94" i="16" s="1"/>
  <c r="L95" i="16" s="1"/>
  <c r="L70" i="16"/>
  <c r="L71" i="16" s="1"/>
  <c r="L55" i="16"/>
  <c r="P242" i="19"/>
  <c r="L238" i="16"/>
  <c r="L242" i="16" s="1"/>
  <c r="P236" i="19"/>
  <c r="L232" i="16"/>
  <c r="L236" i="16" s="1"/>
  <c r="L129" i="16"/>
  <c r="P47" i="19"/>
  <c r="L46" i="16"/>
  <c r="P15" i="19"/>
  <c r="P22" i="19" s="1"/>
  <c r="P24" i="19" s="1"/>
  <c r="P25" i="19" s="1"/>
  <c r="L11" i="16"/>
  <c r="L15" i="16" s="1"/>
  <c r="L22" i="16" s="1"/>
  <c r="P149" i="19"/>
  <c r="K59" i="19"/>
  <c r="L60" i="19"/>
  <c r="K60" i="19"/>
  <c r="D60" i="19"/>
  <c r="G145" i="19"/>
  <c r="G149" i="19" s="1"/>
  <c r="G129" i="19"/>
  <c r="H125" i="19" s="1"/>
  <c r="P259" i="19"/>
  <c r="G259" i="19"/>
  <c r="G60" i="19"/>
  <c r="G59" i="19"/>
  <c r="G249" i="19"/>
  <c r="J58" i="19"/>
  <c r="F60" i="19"/>
  <c r="F249" i="19"/>
  <c r="F59" i="19"/>
  <c r="M60" i="19"/>
  <c r="M249" i="19"/>
  <c r="M59" i="19"/>
  <c r="N60" i="19"/>
  <c r="N249" i="19"/>
  <c r="N59" i="19"/>
  <c r="E60" i="19"/>
  <c r="E249" i="19"/>
  <c r="E59" i="19"/>
  <c r="H249" i="19"/>
  <c r="H59" i="19"/>
  <c r="H60" i="19"/>
  <c r="P217" i="19"/>
  <c r="D251" i="19"/>
  <c r="D230" i="19"/>
  <c r="P223" i="19"/>
  <c r="L105" i="8"/>
  <c r="L45" i="7"/>
  <c r="L216" i="5"/>
  <c r="L139" i="5"/>
  <c r="L250" i="16" l="1"/>
  <c r="L255" i="16"/>
  <c r="L259" i="16" s="1"/>
  <c r="L149" i="16"/>
  <c r="L251" i="16"/>
  <c r="P243" i="19"/>
  <c r="L243" i="16"/>
  <c r="L47" i="16"/>
  <c r="L58" i="16"/>
  <c r="L60" i="16" s="1"/>
  <c r="L24" i="16"/>
  <c r="L25" i="16" s="1"/>
  <c r="P250" i="19"/>
  <c r="P251" i="19"/>
  <c r="J249" i="19"/>
  <c r="J60" i="19"/>
  <c r="J59" i="19"/>
  <c r="H145" i="19"/>
  <c r="H149" i="19" s="1"/>
  <c r="H129" i="19"/>
  <c r="D243" i="19"/>
  <c r="D249" i="19" s="1"/>
  <c r="P230" i="19"/>
  <c r="P58" i="19"/>
  <c r="K229" i="8"/>
  <c r="K215" i="8"/>
  <c r="K212" i="8"/>
  <c r="K195" i="8"/>
  <c r="K62" i="8"/>
  <c r="K46" i="8"/>
  <c r="K30" i="8"/>
  <c r="K19" i="8"/>
  <c r="K17" i="8"/>
  <c r="K238" i="7"/>
  <c r="K232" i="7"/>
  <c r="K229" i="7"/>
  <c r="K219" i="7"/>
  <c r="K206" i="7"/>
  <c r="K45" i="7"/>
  <c r="K30" i="7"/>
  <c r="K11" i="7"/>
  <c r="K245" i="6"/>
  <c r="K238" i="6"/>
  <c r="K232" i="6"/>
  <c r="K229" i="6"/>
  <c r="K219" i="6"/>
  <c r="K212" i="6"/>
  <c r="K206" i="6"/>
  <c r="K70" i="6"/>
  <c r="K62" i="6"/>
  <c r="K30" i="6"/>
  <c r="K17" i="6"/>
  <c r="K238" i="5"/>
  <c r="K232" i="5"/>
  <c r="K229" i="5"/>
  <c r="K219" i="5"/>
  <c r="K223" i="5" s="1"/>
  <c r="K212" i="5"/>
  <c r="K122" i="5"/>
  <c r="K70" i="5"/>
  <c r="K71" i="5" s="1"/>
  <c r="K62" i="5"/>
  <c r="K49" i="5"/>
  <c r="K45" i="5"/>
  <c r="K30" i="5"/>
  <c r="K17" i="5"/>
  <c r="K11" i="5"/>
  <c r="K245" i="4"/>
  <c r="K238" i="4"/>
  <c r="K232" i="4"/>
  <c r="K219" i="4"/>
  <c r="K215" i="4"/>
  <c r="K206" i="4"/>
  <c r="K70" i="4"/>
  <c r="K62" i="4"/>
  <c r="K45" i="4"/>
  <c r="K30" i="4"/>
  <c r="K20" i="4"/>
  <c r="K245" i="3"/>
  <c r="K238" i="3"/>
  <c r="K232" i="3"/>
  <c r="K219" i="3"/>
  <c r="K215" i="3"/>
  <c r="K206" i="3"/>
  <c r="K122" i="3"/>
  <c r="K70" i="3"/>
  <c r="K52" i="3"/>
  <c r="K51" i="3"/>
  <c r="K50" i="3"/>
  <c r="K45" i="3"/>
  <c r="K30" i="3"/>
  <c r="K19" i="3"/>
  <c r="K11" i="3"/>
  <c r="K253" i="1"/>
  <c r="K245" i="1"/>
  <c r="K238" i="1"/>
  <c r="K232" i="1"/>
  <c r="K219" i="2"/>
  <c r="K215" i="2"/>
  <c r="K212" i="2"/>
  <c r="K220" i="1"/>
  <c r="K219" i="1"/>
  <c r="K215" i="1"/>
  <c r="K206" i="1"/>
  <c r="K122" i="1"/>
  <c r="K121" i="1"/>
  <c r="K82" i="1"/>
  <c r="K72" i="1"/>
  <c r="K70" i="1"/>
  <c r="K30" i="1"/>
  <c r="K19" i="1"/>
  <c r="K245" i="2"/>
  <c r="K238" i="2"/>
  <c r="K232" i="2"/>
  <c r="K223" i="2"/>
  <c r="K230" i="2" s="1"/>
  <c r="K206" i="2"/>
  <c r="K193" i="2"/>
  <c r="L193" i="2"/>
  <c r="K122" i="2"/>
  <c r="K121" i="2"/>
  <c r="K70" i="2"/>
  <c r="K30" i="2"/>
  <c r="K20" i="2"/>
  <c r="K11" i="2"/>
  <c r="L249" i="16" l="1"/>
  <c r="L59" i="16"/>
  <c r="P249" i="19"/>
  <c r="P59" i="19"/>
  <c r="P60" i="19"/>
  <c r="M61" i="17"/>
  <c r="H153" i="15"/>
  <c r="J153" i="11"/>
  <c r="J229" i="8" l="1"/>
  <c r="D223" i="8"/>
  <c r="G212" i="8"/>
  <c r="F212" i="8"/>
  <c r="E212" i="8"/>
  <c r="J216" i="8" l="1"/>
  <c r="I216" i="8"/>
  <c r="J46" i="8"/>
  <c r="J30" i="8"/>
  <c r="J238" i="7"/>
  <c r="J232" i="7"/>
  <c r="J229" i="7"/>
  <c r="J219" i="7"/>
  <c r="J30" i="7"/>
  <c r="J11" i="7"/>
  <c r="J238" i="6"/>
  <c r="J232" i="6"/>
  <c r="J229" i="6"/>
  <c r="J219" i="6"/>
  <c r="J215" i="6"/>
  <c r="J214" i="6"/>
  <c r="J206" i="6"/>
  <c r="J122" i="6"/>
  <c r="J70" i="6"/>
  <c r="J30" i="6"/>
  <c r="J20" i="6"/>
  <c r="J19" i="6"/>
  <c r="J232" i="5"/>
  <c r="J229" i="5"/>
  <c r="J219" i="5"/>
  <c r="J212" i="5"/>
  <c r="J122" i="5"/>
  <c r="J70" i="5"/>
  <c r="J55" i="5"/>
  <c r="J45" i="5"/>
  <c r="J30" i="5"/>
  <c r="J11" i="5"/>
  <c r="J238" i="4"/>
  <c r="J232" i="4"/>
  <c r="J219" i="4"/>
  <c r="J215" i="4"/>
  <c r="J206" i="4"/>
  <c r="J122" i="4"/>
  <c r="J70" i="4"/>
  <c r="J30" i="4"/>
  <c r="J20" i="4"/>
  <c r="J11" i="4"/>
  <c r="J238" i="3"/>
  <c r="J232" i="3"/>
  <c r="J219" i="3"/>
  <c r="J215" i="3"/>
  <c r="J206" i="3"/>
  <c r="J122" i="3"/>
  <c r="J70" i="3"/>
  <c r="J51" i="3"/>
  <c r="J30" i="3"/>
  <c r="J20" i="3"/>
  <c r="J11" i="3"/>
  <c r="J253" i="2"/>
  <c r="J238" i="2"/>
  <c r="J232" i="2"/>
  <c r="J219" i="2"/>
  <c r="J215" i="2"/>
  <c r="J212" i="2"/>
  <c r="J206" i="2"/>
  <c r="J193" i="2"/>
  <c r="I193" i="2"/>
  <c r="J122" i="2"/>
  <c r="J121" i="2"/>
  <c r="J45" i="2"/>
  <c r="J30" i="2"/>
  <c r="J238" i="1"/>
  <c r="J232" i="1"/>
  <c r="J229" i="1"/>
  <c r="J219" i="1"/>
  <c r="J223" i="1" s="1"/>
  <c r="J212" i="1"/>
  <c r="J206" i="1"/>
  <c r="J122" i="1"/>
  <c r="J30" i="1"/>
  <c r="J20" i="1"/>
  <c r="J19" i="1"/>
  <c r="J17" i="1"/>
  <c r="K52" i="18" l="1"/>
  <c r="J52" i="18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E196" i="12" l="1"/>
  <c r="D196" i="12"/>
  <c r="K262" i="18"/>
  <c r="J262" i="18"/>
  <c r="I262" i="18"/>
  <c r="H262" i="18"/>
  <c r="G262" i="18"/>
  <c r="F262" i="18"/>
  <c r="E262" i="18"/>
  <c r="D262" i="18"/>
  <c r="K261" i="18"/>
  <c r="J261" i="18"/>
  <c r="J263" i="18" s="1"/>
  <c r="I261" i="18"/>
  <c r="I263" i="18" s="1"/>
  <c r="H261" i="18"/>
  <c r="H263" i="18" s="1"/>
  <c r="G261" i="18"/>
  <c r="G263" i="18" s="1"/>
  <c r="F261" i="18"/>
  <c r="E261" i="18"/>
  <c r="E263" i="18" s="1"/>
  <c r="D261" i="18"/>
  <c r="D263" i="18" s="1"/>
  <c r="K257" i="18"/>
  <c r="J257" i="18"/>
  <c r="I257" i="18"/>
  <c r="H257" i="18"/>
  <c r="G257" i="18"/>
  <c r="F257" i="18"/>
  <c r="E257" i="18"/>
  <c r="D257" i="18"/>
  <c r="K254" i="18"/>
  <c r="J254" i="18"/>
  <c r="I254" i="18"/>
  <c r="H254" i="18"/>
  <c r="G254" i="18"/>
  <c r="F254" i="18"/>
  <c r="E254" i="18"/>
  <c r="D254" i="18"/>
  <c r="K253" i="18"/>
  <c r="I253" i="18"/>
  <c r="H253" i="18"/>
  <c r="G253" i="18"/>
  <c r="K246" i="18"/>
  <c r="J246" i="18"/>
  <c r="I246" i="18"/>
  <c r="H246" i="18"/>
  <c r="F246" i="18"/>
  <c r="E246" i="18"/>
  <c r="D246" i="18"/>
  <c r="K245" i="18"/>
  <c r="K247" i="18" s="1"/>
  <c r="J245" i="18"/>
  <c r="J247" i="18" s="1"/>
  <c r="I245" i="18"/>
  <c r="I247" i="18" s="1"/>
  <c r="K241" i="18"/>
  <c r="J241" i="18"/>
  <c r="I241" i="18"/>
  <c r="H241" i="18"/>
  <c r="G241" i="18"/>
  <c r="F241" i="18"/>
  <c r="E241" i="18"/>
  <c r="D241" i="18"/>
  <c r="K240" i="18"/>
  <c r="J240" i="18"/>
  <c r="I240" i="18"/>
  <c r="H240" i="18"/>
  <c r="G240" i="18"/>
  <c r="F240" i="18"/>
  <c r="E240" i="18"/>
  <c r="D240" i="18"/>
  <c r="K239" i="18"/>
  <c r="J239" i="18"/>
  <c r="I239" i="18"/>
  <c r="H239" i="18"/>
  <c r="G239" i="18"/>
  <c r="F239" i="18"/>
  <c r="E239" i="18"/>
  <c r="D239" i="18"/>
  <c r="K238" i="18"/>
  <c r="K242" i="18" s="1"/>
  <c r="K235" i="18"/>
  <c r="J235" i="18"/>
  <c r="I235" i="18"/>
  <c r="H235" i="18"/>
  <c r="G235" i="18"/>
  <c r="F235" i="18"/>
  <c r="E235" i="18"/>
  <c r="D235" i="18"/>
  <c r="K234" i="18"/>
  <c r="J234" i="18"/>
  <c r="I234" i="18"/>
  <c r="H234" i="18"/>
  <c r="G234" i="18"/>
  <c r="F234" i="18"/>
  <c r="E234" i="18"/>
  <c r="D234" i="18"/>
  <c r="K233" i="18"/>
  <c r="J233" i="18"/>
  <c r="I233" i="18"/>
  <c r="H233" i="18"/>
  <c r="G233" i="18"/>
  <c r="F233" i="18"/>
  <c r="E233" i="18"/>
  <c r="D233" i="18"/>
  <c r="K232" i="18"/>
  <c r="K236" i="18" s="1"/>
  <c r="K228" i="18"/>
  <c r="J228" i="18"/>
  <c r="I228" i="18"/>
  <c r="H228" i="18"/>
  <c r="G228" i="18"/>
  <c r="F228" i="18"/>
  <c r="E228" i="18"/>
  <c r="D228" i="18"/>
  <c r="K227" i="18"/>
  <c r="J227" i="18"/>
  <c r="I227" i="18"/>
  <c r="H227" i="18"/>
  <c r="G227" i="18"/>
  <c r="F227" i="18"/>
  <c r="E227" i="18"/>
  <c r="D227" i="18"/>
  <c r="K226" i="18"/>
  <c r="J226" i="18"/>
  <c r="I226" i="18"/>
  <c r="H226" i="18"/>
  <c r="G226" i="18"/>
  <c r="F226" i="18"/>
  <c r="E226" i="18"/>
  <c r="D226" i="18"/>
  <c r="K225" i="18"/>
  <c r="K229" i="18" s="1"/>
  <c r="J225" i="18"/>
  <c r="J229" i="18" s="1"/>
  <c r="I225" i="18"/>
  <c r="I229" i="18" s="1"/>
  <c r="H225" i="18"/>
  <c r="H229" i="18" s="1"/>
  <c r="G225" i="18"/>
  <c r="F225" i="18"/>
  <c r="F229" i="18" s="1"/>
  <c r="E225" i="18"/>
  <c r="E229" i="18" s="1"/>
  <c r="D225" i="18"/>
  <c r="K222" i="18"/>
  <c r="J222" i="18"/>
  <c r="I222" i="18"/>
  <c r="H222" i="18"/>
  <c r="G222" i="18"/>
  <c r="F222" i="18"/>
  <c r="E222" i="18"/>
  <c r="D222" i="18"/>
  <c r="K221" i="18"/>
  <c r="J221" i="18"/>
  <c r="I221" i="18"/>
  <c r="H221" i="18"/>
  <c r="F221" i="18"/>
  <c r="E221" i="18"/>
  <c r="D221" i="18"/>
  <c r="K220" i="18"/>
  <c r="J220" i="18"/>
  <c r="I220" i="18"/>
  <c r="H220" i="18"/>
  <c r="G220" i="18"/>
  <c r="F220" i="18"/>
  <c r="E220" i="18"/>
  <c r="K219" i="18"/>
  <c r="K215" i="18"/>
  <c r="J215" i="18"/>
  <c r="H215" i="18"/>
  <c r="K214" i="18"/>
  <c r="J214" i="18"/>
  <c r="I214" i="18"/>
  <c r="H214" i="18"/>
  <c r="G214" i="18"/>
  <c r="F214" i="18"/>
  <c r="D214" i="18"/>
  <c r="K213" i="18"/>
  <c r="J213" i="18"/>
  <c r="I213" i="18"/>
  <c r="H213" i="18"/>
  <c r="G213" i="18"/>
  <c r="F213" i="18"/>
  <c r="E213" i="18"/>
  <c r="D213" i="18"/>
  <c r="K212" i="18"/>
  <c r="G212" i="18"/>
  <c r="K209" i="18"/>
  <c r="J209" i="18"/>
  <c r="I209" i="18"/>
  <c r="H209" i="18"/>
  <c r="G209" i="18"/>
  <c r="F209" i="18"/>
  <c r="E209" i="18"/>
  <c r="D209" i="18"/>
  <c r="K208" i="18"/>
  <c r="J208" i="18"/>
  <c r="I208" i="18"/>
  <c r="H208" i="18"/>
  <c r="G208" i="18"/>
  <c r="F208" i="18"/>
  <c r="E208" i="18"/>
  <c r="D208" i="18"/>
  <c r="K207" i="18"/>
  <c r="J207" i="18"/>
  <c r="I207" i="18"/>
  <c r="H207" i="18"/>
  <c r="G207" i="18"/>
  <c r="F207" i="18"/>
  <c r="E207" i="18"/>
  <c r="D207" i="18"/>
  <c r="K206" i="18"/>
  <c r="H206" i="18"/>
  <c r="K203" i="18"/>
  <c r="J203" i="18"/>
  <c r="I203" i="18"/>
  <c r="H203" i="18"/>
  <c r="G203" i="18"/>
  <c r="F203" i="18"/>
  <c r="E203" i="18"/>
  <c r="D203" i="18"/>
  <c r="K202" i="18"/>
  <c r="J202" i="18"/>
  <c r="I202" i="18"/>
  <c r="H202" i="18"/>
  <c r="G202" i="18"/>
  <c r="F202" i="18"/>
  <c r="E202" i="18"/>
  <c r="D202" i="18"/>
  <c r="K201" i="18"/>
  <c r="J201" i="18"/>
  <c r="I201" i="18"/>
  <c r="H201" i="18"/>
  <c r="G201" i="18"/>
  <c r="F201" i="18"/>
  <c r="E201" i="18"/>
  <c r="D201" i="18"/>
  <c r="K200" i="18"/>
  <c r="J200" i="18"/>
  <c r="I200" i="18"/>
  <c r="H200" i="18"/>
  <c r="G200" i="18"/>
  <c r="F200" i="18"/>
  <c r="E200" i="18"/>
  <c r="D200" i="18"/>
  <c r="K199" i="18"/>
  <c r="K204" i="18" s="1"/>
  <c r="J199" i="18"/>
  <c r="J204" i="18" s="1"/>
  <c r="I199" i="18"/>
  <c r="I204" i="18" s="1"/>
  <c r="H199" i="18"/>
  <c r="G199" i="18"/>
  <c r="F199" i="18"/>
  <c r="F204" i="18" s="1"/>
  <c r="E199" i="18"/>
  <c r="E204" i="18" s="1"/>
  <c r="D199" i="18"/>
  <c r="D204" i="18" s="1"/>
  <c r="K197" i="18"/>
  <c r="J197" i="18"/>
  <c r="I197" i="18"/>
  <c r="H197" i="18"/>
  <c r="G197" i="18"/>
  <c r="F197" i="18"/>
  <c r="E197" i="18"/>
  <c r="D197" i="18"/>
  <c r="K196" i="18"/>
  <c r="J196" i="18"/>
  <c r="I196" i="18"/>
  <c r="H196" i="18"/>
  <c r="F196" i="18"/>
  <c r="E196" i="18"/>
  <c r="D196" i="18"/>
  <c r="K195" i="18"/>
  <c r="J195" i="18"/>
  <c r="I195" i="18"/>
  <c r="H195" i="18"/>
  <c r="G195" i="18"/>
  <c r="E195" i="18"/>
  <c r="D195" i="18"/>
  <c r="K194" i="18"/>
  <c r="J194" i="18"/>
  <c r="I194" i="18"/>
  <c r="H194" i="18"/>
  <c r="G194" i="18"/>
  <c r="F194" i="18"/>
  <c r="E194" i="18"/>
  <c r="D194" i="18"/>
  <c r="K192" i="18"/>
  <c r="J192" i="18"/>
  <c r="I192" i="18"/>
  <c r="H192" i="18"/>
  <c r="G192" i="18"/>
  <c r="F192" i="18"/>
  <c r="E192" i="18"/>
  <c r="D192" i="18"/>
  <c r="K191" i="18"/>
  <c r="J191" i="18"/>
  <c r="I191" i="18"/>
  <c r="H191" i="18"/>
  <c r="G191" i="18"/>
  <c r="F191" i="18"/>
  <c r="E191" i="18"/>
  <c r="D191" i="18"/>
  <c r="K190" i="18"/>
  <c r="J190" i="18"/>
  <c r="I190" i="18"/>
  <c r="H190" i="18"/>
  <c r="G190" i="18"/>
  <c r="F190" i="18"/>
  <c r="E190" i="18"/>
  <c r="D190" i="18"/>
  <c r="K189" i="18"/>
  <c r="J189" i="18"/>
  <c r="I189" i="18"/>
  <c r="H189" i="18"/>
  <c r="G189" i="18"/>
  <c r="F189" i="18"/>
  <c r="E189" i="18"/>
  <c r="D189" i="18"/>
  <c r="K187" i="18"/>
  <c r="J187" i="18"/>
  <c r="I187" i="18"/>
  <c r="H187" i="18"/>
  <c r="G187" i="18"/>
  <c r="F187" i="18"/>
  <c r="E187" i="18"/>
  <c r="D187" i="18"/>
  <c r="K186" i="18"/>
  <c r="J186" i="18"/>
  <c r="I186" i="18"/>
  <c r="H186" i="18"/>
  <c r="G186" i="18"/>
  <c r="F186" i="18"/>
  <c r="E186" i="18"/>
  <c r="D186" i="18"/>
  <c r="K185" i="18"/>
  <c r="J185" i="18"/>
  <c r="I185" i="18"/>
  <c r="H185" i="18"/>
  <c r="G185" i="18"/>
  <c r="F185" i="18"/>
  <c r="E185" i="18"/>
  <c r="D185" i="18"/>
  <c r="K184" i="18"/>
  <c r="J184" i="18"/>
  <c r="I184" i="18"/>
  <c r="H184" i="18"/>
  <c r="G184" i="18"/>
  <c r="F184" i="18"/>
  <c r="E184" i="18"/>
  <c r="D184" i="18"/>
  <c r="K182" i="18"/>
  <c r="J182" i="18"/>
  <c r="I182" i="18"/>
  <c r="H182" i="18"/>
  <c r="G182" i="18"/>
  <c r="F182" i="18"/>
  <c r="E182" i="18"/>
  <c r="D182" i="18"/>
  <c r="K181" i="18"/>
  <c r="J181" i="18"/>
  <c r="I181" i="18"/>
  <c r="H181" i="18"/>
  <c r="G181" i="18"/>
  <c r="F181" i="18"/>
  <c r="E181" i="18"/>
  <c r="D181" i="18"/>
  <c r="K180" i="18"/>
  <c r="J180" i="18"/>
  <c r="I180" i="18"/>
  <c r="H180" i="18"/>
  <c r="G180" i="18"/>
  <c r="F180" i="18"/>
  <c r="E180" i="18"/>
  <c r="D180" i="18"/>
  <c r="K179" i="18"/>
  <c r="J179" i="18"/>
  <c r="I179" i="18"/>
  <c r="H179" i="18"/>
  <c r="G179" i="18"/>
  <c r="F179" i="18"/>
  <c r="E179" i="18"/>
  <c r="D179" i="18"/>
  <c r="K178" i="18"/>
  <c r="J178" i="18"/>
  <c r="I178" i="18"/>
  <c r="H178" i="18"/>
  <c r="G178" i="18"/>
  <c r="F178" i="18"/>
  <c r="E178" i="18"/>
  <c r="D178" i="18"/>
  <c r="K177" i="18"/>
  <c r="J177" i="18"/>
  <c r="I177" i="18"/>
  <c r="H177" i="18"/>
  <c r="G177" i="18"/>
  <c r="F177" i="18"/>
  <c r="E177" i="18"/>
  <c r="D177" i="18"/>
  <c r="K175" i="18"/>
  <c r="J175" i="18"/>
  <c r="I175" i="18"/>
  <c r="H175" i="18"/>
  <c r="G175" i="18"/>
  <c r="F175" i="18"/>
  <c r="E175" i="18"/>
  <c r="D175" i="18"/>
  <c r="K174" i="18"/>
  <c r="J174" i="18"/>
  <c r="I174" i="18"/>
  <c r="H174" i="18"/>
  <c r="G174" i="18"/>
  <c r="F174" i="18"/>
  <c r="E174" i="18"/>
  <c r="D174" i="18"/>
  <c r="K173" i="18"/>
  <c r="J173" i="18"/>
  <c r="I173" i="18"/>
  <c r="H173" i="18"/>
  <c r="G173" i="18"/>
  <c r="F173" i="18"/>
  <c r="E173" i="18"/>
  <c r="D173" i="18"/>
  <c r="K172" i="18"/>
  <c r="J172" i="18"/>
  <c r="I172" i="18"/>
  <c r="H172" i="18"/>
  <c r="G172" i="18"/>
  <c r="F172" i="18"/>
  <c r="E172" i="18"/>
  <c r="D172" i="18"/>
  <c r="K171" i="18"/>
  <c r="J171" i="18"/>
  <c r="I171" i="18"/>
  <c r="H171" i="18"/>
  <c r="G171" i="18"/>
  <c r="F171" i="18"/>
  <c r="E171" i="18"/>
  <c r="D171" i="18"/>
  <c r="K170" i="18"/>
  <c r="J170" i="18"/>
  <c r="I170" i="18"/>
  <c r="H170" i="18"/>
  <c r="G170" i="18"/>
  <c r="F170" i="18"/>
  <c r="E170" i="18"/>
  <c r="D170" i="18"/>
  <c r="K169" i="18"/>
  <c r="J169" i="18"/>
  <c r="I169" i="18"/>
  <c r="H169" i="18"/>
  <c r="G169" i="18"/>
  <c r="F169" i="18"/>
  <c r="E169" i="18"/>
  <c r="D169" i="18"/>
  <c r="K168" i="18"/>
  <c r="J168" i="18"/>
  <c r="I168" i="18"/>
  <c r="H168" i="18"/>
  <c r="G168" i="18"/>
  <c r="F168" i="18"/>
  <c r="E168" i="18"/>
  <c r="D168" i="18"/>
  <c r="K167" i="18"/>
  <c r="J167" i="18"/>
  <c r="I167" i="18"/>
  <c r="H167" i="18"/>
  <c r="G167" i="18"/>
  <c r="F167" i="18"/>
  <c r="E167" i="18"/>
  <c r="D167" i="18"/>
  <c r="K165" i="18"/>
  <c r="J165" i="18"/>
  <c r="I165" i="18"/>
  <c r="H165" i="18"/>
  <c r="G165" i="18"/>
  <c r="F165" i="18"/>
  <c r="E165" i="18"/>
  <c r="D165" i="18"/>
  <c r="K164" i="18"/>
  <c r="J164" i="18"/>
  <c r="I164" i="18"/>
  <c r="H164" i="18"/>
  <c r="G164" i="18"/>
  <c r="F164" i="18"/>
  <c r="E164" i="18"/>
  <c r="D164" i="18"/>
  <c r="K163" i="18"/>
  <c r="J163" i="18"/>
  <c r="I163" i="18"/>
  <c r="H163" i="18"/>
  <c r="G163" i="18"/>
  <c r="F163" i="18"/>
  <c r="E163" i="18"/>
  <c r="D163" i="18"/>
  <c r="K162" i="18"/>
  <c r="J162" i="18"/>
  <c r="I162" i="18"/>
  <c r="H162" i="18"/>
  <c r="G162" i="18"/>
  <c r="F162" i="18"/>
  <c r="E162" i="18"/>
  <c r="D162" i="18"/>
  <c r="K161" i="18"/>
  <c r="J161" i="18"/>
  <c r="I161" i="18"/>
  <c r="H161" i="18"/>
  <c r="G161" i="18"/>
  <c r="F161" i="18"/>
  <c r="E161" i="18"/>
  <c r="D161" i="18"/>
  <c r="K160" i="18"/>
  <c r="J160" i="18"/>
  <c r="I160" i="18"/>
  <c r="H160" i="18"/>
  <c r="G160" i="18"/>
  <c r="F160" i="18"/>
  <c r="E160" i="18"/>
  <c r="D160" i="18"/>
  <c r="K159" i="18"/>
  <c r="J159" i="18"/>
  <c r="I159" i="18"/>
  <c r="H159" i="18"/>
  <c r="G159" i="18"/>
  <c r="F159" i="18"/>
  <c r="E159" i="18"/>
  <c r="D159" i="18"/>
  <c r="K158" i="18"/>
  <c r="J158" i="18"/>
  <c r="I158" i="18"/>
  <c r="H158" i="18"/>
  <c r="G158" i="18"/>
  <c r="F158" i="18"/>
  <c r="E158" i="18"/>
  <c r="D158" i="18"/>
  <c r="K157" i="18"/>
  <c r="J157" i="18"/>
  <c r="I157" i="18"/>
  <c r="H157" i="18"/>
  <c r="G157" i="18"/>
  <c r="F157" i="18"/>
  <c r="E157" i="18"/>
  <c r="D157" i="18"/>
  <c r="K156" i="18"/>
  <c r="J156" i="18"/>
  <c r="I156" i="18"/>
  <c r="H156" i="18"/>
  <c r="G156" i="18"/>
  <c r="F156" i="18"/>
  <c r="E156" i="18"/>
  <c r="D156" i="18"/>
  <c r="K155" i="18"/>
  <c r="J155" i="18"/>
  <c r="I155" i="18"/>
  <c r="H155" i="18"/>
  <c r="G155" i="18"/>
  <c r="F155" i="18"/>
  <c r="E155" i="18"/>
  <c r="D155" i="18"/>
  <c r="K154" i="18"/>
  <c r="J154" i="18"/>
  <c r="I154" i="18"/>
  <c r="H154" i="18"/>
  <c r="G154" i="18"/>
  <c r="F154" i="18"/>
  <c r="E154" i="18"/>
  <c r="D154" i="18"/>
  <c r="K153" i="18"/>
  <c r="J153" i="18"/>
  <c r="I153" i="18"/>
  <c r="H153" i="18"/>
  <c r="G153" i="18"/>
  <c r="F153" i="18"/>
  <c r="E153" i="18"/>
  <c r="D153" i="18"/>
  <c r="E144" i="18"/>
  <c r="K143" i="18"/>
  <c r="J143" i="18"/>
  <c r="I143" i="18"/>
  <c r="H143" i="18"/>
  <c r="G143" i="18"/>
  <c r="F143" i="18"/>
  <c r="E143" i="18"/>
  <c r="D143" i="18"/>
  <c r="K142" i="18"/>
  <c r="J142" i="18"/>
  <c r="I142" i="18"/>
  <c r="H142" i="18"/>
  <c r="G142" i="18"/>
  <c r="F142" i="18"/>
  <c r="E142" i="18"/>
  <c r="D142" i="18"/>
  <c r="K141" i="18"/>
  <c r="J141" i="18"/>
  <c r="I141" i="18"/>
  <c r="H141" i="18"/>
  <c r="G141" i="18"/>
  <c r="F141" i="18"/>
  <c r="E141" i="18"/>
  <c r="D141" i="18"/>
  <c r="K140" i="18"/>
  <c r="J140" i="18"/>
  <c r="I140" i="18"/>
  <c r="H140" i="18"/>
  <c r="G140" i="18"/>
  <c r="F140" i="18"/>
  <c r="F144" i="18" s="1"/>
  <c r="E140" i="18"/>
  <c r="D140" i="18"/>
  <c r="G139" i="18"/>
  <c r="K138" i="18"/>
  <c r="J138" i="18"/>
  <c r="I138" i="18"/>
  <c r="H138" i="18"/>
  <c r="G138" i="18"/>
  <c r="F138" i="18"/>
  <c r="E138" i="18"/>
  <c r="D138" i="18"/>
  <c r="K137" i="18"/>
  <c r="J137" i="18"/>
  <c r="I137" i="18"/>
  <c r="H137" i="18"/>
  <c r="G137" i="18"/>
  <c r="F137" i="18"/>
  <c r="E137" i="18"/>
  <c r="D137" i="18"/>
  <c r="K136" i="18"/>
  <c r="J136" i="18"/>
  <c r="I136" i="18"/>
  <c r="H136" i="18"/>
  <c r="G136" i="18"/>
  <c r="F136" i="18"/>
  <c r="E136" i="18"/>
  <c r="E139" i="18" s="1"/>
  <c r="D136" i="18"/>
  <c r="K135" i="18"/>
  <c r="J135" i="18"/>
  <c r="J139" i="18" s="1"/>
  <c r="I135" i="18"/>
  <c r="I139" i="18" s="1"/>
  <c r="H135" i="18"/>
  <c r="H139" i="18" s="1"/>
  <c r="G135" i="18"/>
  <c r="F135" i="18"/>
  <c r="F139" i="18" s="1"/>
  <c r="E135" i="18"/>
  <c r="D135" i="18"/>
  <c r="K133" i="18"/>
  <c r="J133" i="18"/>
  <c r="I133" i="18"/>
  <c r="H133" i="18"/>
  <c r="G133" i="18"/>
  <c r="F133" i="18"/>
  <c r="E133" i="18"/>
  <c r="D133" i="18"/>
  <c r="K132" i="18"/>
  <c r="J132" i="18"/>
  <c r="I132" i="18"/>
  <c r="H132" i="18"/>
  <c r="G132" i="18"/>
  <c r="F132" i="18"/>
  <c r="E132" i="18"/>
  <c r="D132" i="18"/>
  <c r="K131" i="18"/>
  <c r="J131" i="18"/>
  <c r="I131" i="18"/>
  <c r="H131" i="18"/>
  <c r="G131" i="18"/>
  <c r="F131" i="18"/>
  <c r="E131" i="18"/>
  <c r="D131" i="18"/>
  <c r="K130" i="18"/>
  <c r="J130" i="18"/>
  <c r="I130" i="18"/>
  <c r="I134" i="18" s="1"/>
  <c r="H130" i="18"/>
  <c r="H134" i="18" s="1"/>
  <c r="G130" i="18"/>
  <c r="F130" i="18"/>
  <c r="E130" i="18"/>
  <c r="E134" i="18" s="1"/>
  <c r="D130" i="18"/>
  <c r="K128" i="18"/>
  <c r="J128" i="18"/>
  <c r="I128" i="18"/>
  <c r="H128" i="18"/>
  <c r="G128" i="18"/>
  <c r="G148" i="18" s="1"/>
  <c r="F128" i="18"/>
  <c r="F148" i="18" s="1"/>
  <c r="E128" i="18"/>
  <c r="D128" i="18"/>
  <c r="K127" i="18"/>
  <c r="J127" i="18"/>
  <c r="I127" i="18"/>
  <c r="H127" i="18"/>
  <c r="G127" i="18"/>
  <c r="F127" i="18"/>
  <c r="E127" i="18"/>
  <c r="D127" i="18"/>
  <c r="K126" i="18"/>
  <c r="J126" i="18"/>
  <c r="I126" i="18"/>
  <c r="H126" i="18"/>
  <c r="G126" i="18"/>
  <c r="F126" i="18"/>
  <c r="E126" i="18"/>
  <c r="D126" i="18"/>
  <c r="K125" i="18"/>
  <c r="J125" i="18"/>
  <c r="I125" i="18"/>
  <c r="H125" i="18"/>
  <c r="G125" i="18"/>
  <c r="F125" i="18"/>
  <c r="E125" i="18"/>
  <c r="D125" i="18"/>
  <c r="K122" i="18"/>
  <c r="J122" i="18"/>
  <c r="J123" i="18" s="1"/>
  <c r="G122" i="18"/>
  <c r="G123" i="18" s="1"/>
  <c r="K121" i="18"/>
  <c r="J121" i="18"/>
  <c r="I121" i="18"/>
  <c r="H121" i="18"/>
  <c r="G121" i="18"/>
  <c r="F121" i="18"/>
  <c r="E121" i="18"/>
  <c r="D121" i="18"/>
  <c r="K116" i="18"/>
  <c r="J116" i="18"/>
  <c r="I116" i="18"/>
  <c r="H116" i="18"/>
  <c r="G116" i="18"/>
  <c r="F116" i="18"/>
  <c r="E116" i="18"/>
  <c r="D116" i="18"/>
  <c r="K115" i="18"/>
  <c r="J115" i="18"/>
  <c r="I115" i="18"/>
  <c r="H115" i="18"/>
  <c r="G115" i="18"/>
  <c r="F115" i="18"/>
  <c r="E115" i="18"/>
  <c r="D115" i="18"/>
  <c r="K114" i="18"/>
  <c r="J114" i="18"/>
  <c r="I114" i="18"/>
  <c r="H114" i="18"/>
  <c r="G114" i="18"/>
  <c r="F114" i="18"/>
  <c r="E114" i="18"/>
  <c r="D114" i="18"/>
  <c r="K113" i="18"/>
  <c r="J113" i="18"/>
  <c r="I113" i="18"/>
  <c r="H113" i="18"/>
  <c r="H117" i="18" s="1"/>
  <c r="G113" i="18"/>
  <c r="G117" i="18" s="1"/>
  <c r="F113" i="18"/>
  <c r="F117" i="18" s="1"/>
  <c r="E113" i="18"/>
  <c r="D113" i="18"/>
  <c r="D117" i="18" s="1"/>
  <c r="K110" i="18"/>
  <c r="J110" i="18"/>
  <c r="I110" i="18"/>
  <c r="H110" i="18"/>
  <c r="G110" i="18"/>
  <c r="F110" i="18"/>
  <c r="E110" i="18"/>
  <c r="D110" i="18"/>
  <c r="K109" i="18"/>
  <c r="J109" i="18"/>
  <c r="I109" i="18"/>
  <c r="H109" i="18"/>
  <c r="G109" i="18"/>
  <c r="F109" i="18"/>
  <c r="E109" i="18"/>
  <c r="D109" i="18"/>
  <c r="K108" i="18"/>
  <c r="J108" i="18"/>
  <c r="I108" i="18"/>
  <c r="H108" i="18"/>
  <c r="G108" i="18"/>
  <c r="F108" i="18"/>
  <c r="F111" i="18" s="1"/>
  <c r="E108" i="18"/>
  <c r="D108" i="18"/>
  <c r="K107" i="18"/>
  <c r="K111" i="18" s="1"/>
  <c r="J107" i="18"/>
  <c r="I107" i="18"/>
  <c r="I111" i="18" s="1"/>
  <c r="H107" i="18"/>
  <c r="G107" i="18"/>
  <c r="G111" i="18" s="1"/>
  <c r="G118" i="18" s="1"/>
  <c r="F107" i="18"/>
  <c r="E107" i="18"/>
  <c r="D107" i="18"/>
  <c r="K104" i="18"/>
  <c r="J104" i="18"/>
  <c r="I104" i="18"/>
  <c r="H104" i="18"/>
  <c r="G104" i="18"/>
  <c r="F104" i="18"/>
  <c r="E104" i="18"/>
  <c r="D104" i="18"/>
  <c r="K103" i="18"/>
  <c r="J103" i="18"/>
  <c r="I103" i="18"/>
  <c r="H103" i="18"/>
  <c r="G103" i="18"/>
  <c r="F103" i="18"/>
  <c r="E103" i="18"/>
  <c r="D103" i="18"/>
  <c r="K102" i="18"/>
  <c r="J102" i="18"/>
  <c r="I102" i="18"/>
  <c r="H102" i="18"/>
  <c r="G102" i="18"/>
  <c r="F102" i="18"/>
  <c r="E102" i="18"/>
  <c r="E105" i="18" s="1"/>
  <c r="D102" i="18"/>
  <c r="K101" i="18"/>
  <c r="J101" i="18"/>
  <c r="J105" i="18" s="1"/>
  <c r="I101" i="18"/>
  <c r="I105" i="18" s="1"/>
  <c r="H101" i="18"/>
  <c r="G101" i="18"/>
  <c r="G105" i="18" s="1"/>
  <c r="F101" i="18"/>
  <c r="E101" i="18"/>
  <c r="D101" i="18"/>
  <c r="K98" i="18"/>
  <c r="J98" i="18"/>
  <c r="I98" i="18"/>
  <c r="H98" i="18"/>
  <c r="F98" i="18"/>
  <c r="E98" i="18"/>
  <c r="D98" i="18"/>
  <c r="F92" i="18"/>
  <c r="I88" i="18"/>
  <c r="I89" i="18" s="1"/>
  <c r="F88" i="18"/>
  <c r="K87" i="18"/>
  <c r="J87" i="18"/>
  <c r="I87" i="18"/>
  <c r="H87" i="18"/>
  <c r="G87" i="18"/>
  <c r="F87" i="18"/>
  <c r="E87" i="18"/>
  <c r="D87" i="18"/>
  <c r="K86" i="18"/>
  <c r="J86" i="18"/>
  <c r="I86" i="18"/>
  <c r="H86" i="18"/>
  <c r="G86" i="18"/>
  <c r="F86" i="18"/>
  <c r="E86" i="18"/>
  <c r="D86" i="18"/>
  <c r="K85" i="18"/>
  <c r="J85" i="18"/>
  <c r="I85" i="18"/>
  <c r="H85" i="18"/>
  <c r="G85" i="18"/>
  <c r="F85" i="18"/>
  <c r="E85" i="18"/>
  <c r="D85" i="18"/>
  <c r="K84" i="18"/>
  <c r="J84" i="18"/>
  <c r="I84" i="18"/>
  <c r="H84" i="18"/>
  <c r="G84" i="18"/>
  <c r="F84" i="18"/>
  <c r="E84" i="18"/>
  <c r="D84" i="18"/>
  <c r="F82" i="18"/>
  <c r="K81" i="18"/>
  <c r="J81" i="18"/>
  <c r="I81" i="18"/>
  <c r="H81" i="18"/>
  <c r="G81" i="18"/>
  <c r="G82" i="18" s="1"/>
  <c r="F81" i="18"/>
  <c r="E81" i="18"/>
  <c r="D81" i="18"/>
  <c r="K80" i="18"/>
  <c r="J80" i="18"/>
  <c r="I80" i="18"/>
  <c r="H80" i="18"/>
  <c r="G80" i="18"/>
  <c r="F80" i="18"/>
  <c r="E80" i="18"/>
  <c r="D80" i="18"/>
  <c r="K79" i="18"/>
  <c r="J79" i="18"/>
  <c r="I79" i="18"/>
  <c r="H79" i="18"/>
  <c r="G79" i="18"/>
  <c r="F79" i="18"/>
  <c r="E79" i="18"/>
  <c r="D79" i="18"/>
  <c r="K78" i="18"/>
  <c r="J78" i="18"/>
  <c r="I78" i="18"/>
  <c r="H78" i="18"/>
  <c r="G78" i="18"/>
  <c r="F78" i="18"/>
  <c r="E78" i="18"/>
  <c r="D78" i="18"/>
  <c r="G77" i="18"/>
  <c r="E77" i="18"/>
  <c r="K75" i="18"/>
  <c r="J75" i="18"/>
  <c r="I75" i="18"/>
  <c r="H75" i="18"/>
  <c r="G75" i="18"/>
  <c r="F75" i="18"/>
  <c r="E75" i="18"/>
  <c r="D75" i="18"/>
  <c r="K74" i="18"/>
  <c r="K76" i="18" s="1"/>
  <c r="J74" i="18"/>
  <c r="J76" i="18" s="1"/>
  <c r="I74" i="18"/>
  <c r="I76" i="18" s="1"/>
  <c r="H74" i="18"/>
  <c r="G74" i="18"/>
  <c r="G76" i="18" s="1"/>
  <c r="F74" i="18"/>
  <c r="E74" i="18"/>
  <c r="E76" i="18" s="1"/>
  <c r="D74" i="18"/>
  <c r="K73" i="18"/>
  <c r="J73" i="18"/>
  <c r="J77" i="18" s="1"/>
  <c r="I73" i="18"/>
  <c r="H73" i="18"/>
  <c r="G73" i="18"/>
  <c r="F73" i="18"/>
  <c r="E73" i="18"/>
  <c r="D73" i="18"/>
  <c r="K72" i="18"/>
  <c r="J72" i="18"/>
  <c r="I72" i="18"/>
  <c r="H72" i="18"/>
  <c r="G72" i="18"/>
  <c r="F72" i="18"/>
  <c r="E72" i="18"/>
  <c r="D72" i="18"/>
  <c r="K69" i="18"/>
  <c r="J69" i="18"/>
  <c r="I69" i="18"/>
  <c r="H69" i="18"/>
  <c r="G69" i="18"/>
  <c r="F69" i="18"/>
  <c r="E69" i="18"/>
  <c r="E93" i="18" s="1"/>
  <c r="D69" i="18"/>
  <c r="K68" i="18"/>
  <c r="K70" i="18" s="1"/>
  <c r="J68" i="18"/>
  <c r="I68" i="18"/>
  <c r="I92" i="18" s="1"/>
  <c r="H68" i="18"/>
  <c r="G68" i="18"/>
  <c r="F68" i="18"/>
  <c r="E68" i="18"/>
  <c r="E70" i="18" s="1"/>
  <c r="D68" i="18"/>
  <c r="D70" i="18" s="1"/>
  <c r="K67" i="18"/>
  <c r="J67" i="18"/>
  <c r="I67" i="18"/>
  <c r="H67" i="18"/>
  <c r="G67" i="18"/>
  <c r="G91" i="18" s="1"/>
  <c r="G256" i="18" s="1"/>
  <c r="F67" i="18"/>
  <c r="E67" i="18"/>
  <c r="D67" i="18"/>
  <c r="K66" i="18"/>
  <c r="J66" i="18"/>
  <c r="I66" i="18"/>
  <c r="H66" i="18"/>
  <c r="G66" i="18"/>
  <c r="F66" i="18"/>
  <c r="E66" i="18"/>
  <c r="E90" i="18" s="1"/>
  <c r="D66" i="18"/>
  <c r="K63" i="18"/>
  <c r="J63" i="18"/>
  <c r="I63" i="18"/>
  <c r="H63" i="18"/>
  <c r="G63" i="18"/>
  <c r="F63" i="18"/>
  <c r="E63" i="18"/>
  <c r="D63" i="18"/>
  <c r="K61" i="18"/>
  <c r="J61" i="18"/>
  <c r="I61" i="18"/>
  <c r="H61" i="18"/>
  <c r="G61" i="18"/>
  <c r="F61" i="18"/>
  <c r="F62" i="18" s="1"/>
  <c r="E61" i="18"/>
  <c r="D61" i="18"/>
  <c r="H56" i="18"/>
  <c r="D56" i="18"/>
  <c r="H55" i="18"/>
  <c r="D55" i="18"/>
  <c r="K54" i="18"/>
  <c r="J54" i="18"/>
  <c r="D54" i="18"/>
  <c r="K51" i="18"/>
  <c r="J51" i="18"/>
  <c r="H51" i="18"/>
  <c r="G51" i="18"/>
  <c r="E51" i="18"/>
  <c r="K50" i="18"/>
  <c r="J50" i="18"/>
  <c r="H50" i="18"/>
  <c r="G50" i="18"/>
  <c r="F50" i="18"/>
  <c r="E50" i="18"/>
  <c r="D50" i="18"/>
  <c r="K49" i="18"/>
  <c r="J49" i="18"/>
  <c r="I49" i="18"/>
  <c r="G49" i="18"/>
  <c r="F49" i="18"/>
  <c r="E49" i="18"/>
  <c r="D49" i="18"/>
  <c r="K44" i="18"/>
  <c r="J44" i="18"/>
  <c r="I44" i="18"/>
  <c r="H44" i="18"/>
  <c r="G44" i="18"/>
  <c r="F44" i="18"/>
  <c r="E44" i="18"/>
  <c r="E45" i="18" s="1"/>
  <c r="D44" i="18"/>
  <c r="E40" i="18"/>
  <c r="K39" i="18"/>
  <c r="J39" i="18"/>
  <c r="I39" i="18"/>
  <c r="H39" i="18"/>
  <c r="G39" i="18"/>
  <c r="F39" i="18"/>
  <c r="F40" i="18" s="1"/>
  <c r="E39" i="18"/>
  <c r="D39" i="18"/>
  <c r="K37" i="18"/>
  <c r="J37" i="18"/>
  <c r="I37" i="18"/>
  <c r="H37" i="18"/>
  <c r="G37" i="18"/>
  <c r="F37" i="18"/>
  <c r="F38" i="18" s="1"/>
  <c r="E37" i="18"/>
  <c r="E38" i="18" s="1"/>
  <c r="D37" i="18"/>
  <c r="K35" i="18"/>
  <c r="J35" i="18"/>
  <c r="I35" i="18"/>
  <c r="H35" i="18"/>
  <c r="G35" i="18"/>
  <c r="F35" i="18"/>
  <c r="E35" i="18"/>
  <c r="D35" i="18"/>
  <c r="F34" i="18"/>
  <c r="K33" i="18"/>
  <c r="J33" i="18"/>
  <c r="I33" i="18"/>
  <c r="H33" i="18"/>
  <c r="G33" i="18"/>
  <c r="G41" i="18" s="1"/>
  <c r="F33" i="18"/>
  <c r="E33" i="18"/>
  <c r="D33" i="18"/>
  <c r="F32" i="18"/>
  <c r="K31" i="18"/>
  <c r="J31" i="18"/>
  <c r="I31" i="18"/>
  <c r="H31" i="18"/>
  <c r="G31" i="18"/>
  <c r="F31" i="18"/>
  <c r="E31" i="18"/>
  <c r="D31" i="18"/>
  <c r="E30" i="18"/>
  <c r="K29" i="18"/>
  <c r="J29" i="18"/>
  <c r="I29" i="18"/>
  <c r="H29" i="18"/>
  <c r="G29" i="18"/>
  <c r="F29" i="18"/>
  <c r="E29" i="18"/>
  <c r="D29" i="18"/>
  <c r="K20" i="18"/>
  <c r="J20" i="18"/>
  <c r="H20" i="18"/>
  <c r="J19" i="18"/>
  <c r="H19" i="18"/>
  <c r="E19" i="18"/>
  <c r="K18" i="18"/>
  <c r="J18" i="18"/>
  <c r="I18" i="18"/>
  <c r="H18" i="18"/>
  <c r="G18" i="18"/>
  <c r="F18" i="18"/>
  <c r="E18" i="18"/>
  <c r="D18" i="18"/>
  <c r="J17" i="18"/>
  <c r="G17" i="18"/>
  <c r="K14" i="18"/>
  <c r="J14" i="18"/>
  <c r="I14" i="18"/>
  <c r="H14" i="18"/>
  <c r="G14" i="18"/>
  <c r="F14" i="18"/>
  <c r="E14" i="18"/>
  <c r="D14" i="18"/>
  <c r="K13" i="18"/>
  <c r="J13" i="18"/>
  <c r="I13" i="18"/>
  <c r="G13" i="18"/>
  <c r="F13" i="18"/>
  <c r="E13" i="18"/>
  <c r="D13" i="18"/>
  <c r="K12" i="18"/>
  <c r="J12" i="18"/>
  <c r="I12" i="18"/>
  <c r="H12" i="18"/>
  <c r="G12" i="18"/>
  <c r="F12" i="18"/>
  <c r="E12" i="18"/>
  <c r="D12" i="18"/>
  <c r="K11" i="18"/>
  <c r="K15" i="18" s="1"/>
  <c r="K9" i="18"/>
  <c r="J9" i="18"/>
  <c r="I9" i="18"/>
  <c r="I30" i="18" s="1"/>
  <c r="H9" i="18"/>
  <c r="G9" i="18"/>
  <c r="F9" i="18"/>
  <c r="E9" i="18"/>
  <c r="E32" i="18" s="1"/>
  <c r="D9" i="18"/>
  <c r="K9" i="13"/>
  <c r="H90" i="18" l="1"/>
  <c r="K123" i="18"/>
  <c r="J144" i="18"/>
  <c r="H210" i="18"/>
  <c r="G229" i="18"/>
  <c r="E41" i="18"/>
  <c r="J32" i="18"/>
  <c r="F76" i="18"/>
  <c r="F93" i="18"/>
  <c r="F94" i="18" s="1"/>
  <c r="E111" i="18"/>
  <c r="E118" i="18" s="1"/>
  <c r="E119" i="18" s="1"/>
  <c r="K144" i="18"/>
  <c r="E34" i="18"/>
  <c r="G134" i="18"/>
  <c r="E147" i="18"/>
  <c r="E71" i="18"/>
  <c r="I34" i="18"/>
  <c r="K134" i="18"/>
  <c r="J21" i="18"/>
  <c r="F105" i="18"/>
  <c r="D90" i="18"/>
  <c r="I82" i="18"/>
  <c r="F146" i="18"/>
  <c r="F70" i="18"/>
  <c r="J147" i="18"/>
  <c r="I45" i="18"/>
  <c r="I32" i="18"/>
  <c r="I62" i="18"/>
  <c r="I146" i="18"/>
  <c r="I148" i="18"/>
  <c r="I38" i="18"/>
  <c r="I91" i="18"/>
  <c r="I256" i="18" s="1"/>
  <c r="I258" i="18" s="1"/>
  <c r="I117" i="18"/>
  <c r="I118" i="18" s="1"/>
  <c r="I119" i="18" s="1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263" i="18"/>
  <c r="K93" i="18"/>
  <c r="H147" i="18"/>
  <c r="H34" i="18"/>
  <c r="K223" i="18"/>
  <c r="K230" i="18" s="1"/>
  <c r="K243" i="18" s="1"/>
  <c r="K216" i="18"/>
  <c r="K210" i="18"/>
  <c r="K251" i="18" s="1"/>
  <c r="H247" i="18"/>
  <c r="H91" i="18"/>
  <c r="H256" i="18" s="1"/>
  <c r="H258" i="18" s="1"/>
  <c r="H105" i="18"/>
  <c r="H32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F83" i="18"/>
  <c r="G145" i="18"/>
  <c r="G144" i="18"/>
  <c r="H38" i="18"/>
  <c r="H41" i="18"/>
  <c r="H144" i="18"/>
  <c r="H146" i="18"/>
  <c r="E146" i="18"/>
  <c r="I41" i="18"/>
  <c r="G42" i="18"/>
  <c r="G62" i="18"/>
  <c r="J92" i="18"/>
  <c r="J70" i="18"/>
  <c r="J71" i="18" s="1"/>
  <c r="H82" i="18"/>
  <c r="H83" i="18" s="1"/>
  <c r="H45" i="18"/>
  <c r="I83" i="18"/>
  <c r="E88" i="18"/>
  <c r="E89" i="18" s="1"/>
  <c r="G119" i="18"/>
  <c r="D147" i="18"/>
  <c r="I145" i="18"/>
  <c r="F247" i="18"/>
  <c r="D62" i="18"/>
  <c r="D34" i="18"/>
  <c r="D45" i="18"/>
  <c r="F89" i="18"/>
  <c r="D129" i="18"/>
  <c r="E42" i="18"/>
  <c r="H40" i="18"/>
  <c r="G38" i="18"/>
  <c r="I93" i="18"/>
  <c r="I94" i="18" s="1"/>
  <c r="I70" i="18"/>
  <c r="I71" i="18" s="1"/>
  <c r="G83" i="18"/>
  <c r="G34" i="18"/>
  <c r="D256" i="18"/>
  <c r="I144" i="18"/>
  <c r="H62" i="18"/>
  <c r="K148" i="18"/>
  <c r="H119" i="18"/>
  <c r="E145" i="18"/>
  <c r="E129" i="18"/>
  <c r="G204" i="18"/>
  <c r="D41" i="18"/>
  <c r="G32" i="18"/>
  <c r="J45" i="18"/>
  <c r="H76" i="18"/>
  <c r="H77" i="18" s="1"/>
  <c r="H93" i="18"/>
  <c r="G89" i="18"/>
  <c r="F145" i="18"/>
  <c r="F129" i="18"/>
  <c r="H193" i="18"/>
  <c r="D30" i="18"/>
  <c r="J40" i="18"/>
  <c r="D71" i="18"/>
  <c r="I77" i="18"/>
  <c r="H123" i="18"/>
  <c r="I193" i="18"/>
  <c r="J62" i="18"/>
  <c r="J193" i="18"/>
  <c r="J30" i="18"/>
  <c r="J34" i="18"/>
  <c r="K38" i="18"/>
  <c r="E92" i="18"/>
  <c r="E94" i="18" s="1"/>
  <c r="E95" i="18" s="1"/>
  <c r="E255" i="18" s="1"/>
  <c r="K77" i="18"/>
  <c r="D105" i="18"/>
  <c r="K105" i="18"/>
  <c r="F118" i="18"/>
  <c r="F119" i="18" s="1"/>
  <c r="J145" i="18"/>
  <c r="J129" i="18"/>
  <c r="J146" i="18"/>
  <c r="I147" i="18"/>
  <c r="H148" i="18"/>
  <c r="F134" i="18"/>
  <c r="F91" i="18"/>
  <c r="F256" i="18" s="1"/>
  <c r="F258" i="18" s="1"/>
  <c r="K94" i="18"/>
  <c r="K83" i="18"/>
  <c r="D193" i="18"/>
  <c r="G90" i="18"/>
  <c r="G95" i="18" s="1"/>
  <c r="G255" i="18" s="1"/>
  <c r="J91" i="18"/>
  <c r="J256" i="18" s="1"/>
  <c r="J258" i="18" s="1"/>
  <c r="K145" i="18"/>
  <c r="G40" i="18"/>
  <c r="G70" i="18"/>
  <c r="G71" i="18" s="1"/>
  <c r="G92" i="18"/>
  <c r="G93" i="18"/>
  <c r="G94" i="18" s="1"/>
  <c r="F90" i="18"/>
  <c r="F95" i="18" s="1"/>
  <c r="F255" i="18" s="1"/>
  <c r="F259" i="18" s="1"/>
  <c r="E91" i="18"/>
  <c r="E256" i="18" s="1"/>
  <c r="E258" i="18" s="1"/>
  <c r="D76" i="18"/>
  <c r="D77" i="18" s="1"/>
  <c r="D82" i="18"/>
  <c r="D83" i="18" s="1"/>
  <c r="K88" i="18"/>
  <c r="K89" i="18" s="1"/>
  <c r="K118" i="18"/>
  <c r="D146" i="18"/>
  <c r="D149" i="18" s="1"/>
  <c r="K147" i="18"/>
  <c r="J148" i="18"/>
  <c r="G147" i="18"/>
  <c r="E193" i="18"/>
  <c r="F147" i="18"/>
  <c r="F193" i="18"/>
  <c r="F77" i="18"/>
  <c r="D111" i="18"/>
  <c r="D118" i="18" s="1"/>
  <c r="D119" i="18" s="1"/>
  <c r="E117" i="18"/>
  <c r="E123" i="18"/>
  <c r="H145" i="18"/>
  <c r="H129" i="18"/>
  <c r="K139" i="18"/>
  <c r="G146" i="18"/>
  <c r="G129" i="18"/>
  <c r="E148" i="18"/>
  <c r="G193" i="18"/>
  <c r="F45" i="18"/>
  <c r="E62" i="18"/>
  <c r="F71" i="18"/>
  <c r="D93" i="18"/>
  <c r="J82" i="18"/>
  <c r="J83" i="18" s="1"/>
  <c r="G88" i="18"/>
  <c r="J134" i="18"/>
  <c r="H204" i="18"/>
  <c r="G258" i="18"/>
  <c r="F263" i="18"/>
  <c r="K129" i="18"/>
  <c r="D144" i="18"/>
  <c r="H9" i="11"/>
  <c r="G9" i="11"/>
  <c r="I46" i="8"/>
  <c r="I47" i="8" s="1"/>
  <c r="I45" i="8"/>
  <c r="I30" i="8"/>
  <c r="I19" i="8"/>
  <c r="K19" i="18" s="1"/>
  <c r="I263" i="6"/>
  <c r="I238" i="6"/>
  <c r="I232" i="6"/>
  <c r="I219" i="6"/>
  <c r="I215" i="6"/>
  <c r="I206" i="6"/>
  <c r="I122" i="6"/>
  <c r="I122" i="18" s="1"/>
  <c r="I123" i="18" s="1"/>
  <c r="I70" i="6"/>
  <c r="I62" i="6"/>
  <c r="I11" i="6"/>
  <c r="I245" i="5"/>
  <c r="H245" i="18" s="1"/>
  <c r="I238" i="5"/>
  <c r="I232" i="5"/>
  <c r="I229" i="5"/>
  <c r="I219" i="5"/>
  <c r="I122" i="5"/>
  <c r="H122" i="18" s="1"/>
  <c r="I91" i="5"/>
  <c r="I92" i="5"/>
  <c r="I93" i="5"/>
  <c r="I94" i="5"/>
  <c r="I70" i="5"/>
  <c r="I62" i="5"/>
  <c r="I49" i="5"/>
  <c r="I46" i="5"/>
  <c r="I45" i="5"/>
  <c r="I30" i="5"/>
  <c r="I11" i="5"/>
  <c r="I263" i="4"/>
  <c r="I246" i="4"/>
  <c r="G246" i="18" s="1"/>
  <c r="I245" i="4"/>
  <c r="G245" i="18" s="1"/>
  <c r="G247" i="18" s="1"/>
  <c r="I238" i="4"/>
  <c r="I232" i="4"/>
  <c r="I219" i="4"/>
  <c r="I223" i="4"/>
  <c r="I215" i="4"/>
  <c r="I206" i="4"/>
  <c r="I70" i="4"/>
  <c r="I45" i="4"/>
  <c r="I46" i="4"/>
  <c r="I47" i="4" s="1"/>
  <c r="I30" i="4"/>
  <c r="I19" i="4"/>
  <c r="I11" i="4"/>
  <c r="I263" i="3"/>
  <c r="I245" i="3"/>
  <c r="F245" i="18" s="1"/>
  <c r="I238" i="3"/>
  <c r="I232" i="3"/>
  <c r="I219" i="3"/>
  <c r="I215" i="3"/>
  <c r="I206" i="3"/>
  <c r="I122" i="3"/>
  <c r="F122" i="18" s="1"/>
  <c r="F123" i="18" s="1"/>
  <c r="I70" i="3"/>
  <c r="I62" i="3"/>
  <c r="I54" i="3"/>
  <c r="I51" i="3"/>
  <c r="I30" i="3"/>
  <c r="I19" i="3"/>
  <c r="I17" i="3"/>
  <c r="I11" i="3"/>
  <c r="I238" i="7"/>
  <c r="I232" i="7"/>
  <c r="I229" i="7"/>
  <c r="I219" i="7"/>
  <c r="I146" i="7"/>
  <c r="I30" i="7"/>
  <c r="I11" i="7"/>
  <c r="I245" i="1"/>
  <c r="D245" i="18" s="1"/>
  <c r="D247" i="18" s="1"/>
  <c r="I238" i="1"/>
  <c r="I232" i="1"/>
  <c r="I219" i="1"/>
  <c r="I215" i="1"/>
  <c r="I206" i="1"/>
  <c r="I122" i="1"/>
  <c r="D122" i="18" s="1"/>
  <c r="D123" i="18" s="1"/>
  <c r="I70" i="1"/>
  <c r="I62" i="1"/>
  <c r="I51" i="1"/>
  <c r="D51" i="18" s="1"/>
  <c r="I46" i="1"/>
  <c r="I45" i="1"/>
  <c r="I30" i="1"/>
  <c r="I17" i="1"/>
  <c r="D17" i="18" s="1"/>
  <c r="I263" i="2"/>
  <c r="I245" i="2"/>
  <c r="E245" i="18" s="1"/>
  <c r="E247" i="18" s="1"/>
  <c r="I238" i="2"/>
  <c r="I232" i="2"/>
  <c r="I219" i="2"/>
  <c r="I223" i="2"/>
  <c r="I214" i="2"/>
  <c r="E214" i="18" s="1"/>
  <c r="I206" i="2"/>
  <c r="I122" i="2"/>
  <c r="E122" i="18" s="1"/>
  <c r="I72" i="2"/>
  <c r="I70" i="2"/>
  <c r="I62" i="2"/>
  <c r="I47" i="2"/>
  <c r="I45" i="2"/>
  <c r="I30" i="2"/>
  <c r="I20" i="2"/>
  <c r="I11" i="2"/>
  <c r="J94" i="18" l="1"/>
  <c r="I95" i="18"/>
  <c r="I255" i="18" s="1"/>
  <c r="I259" i="18" s="1"/>
  <c r="J118" i="18"/>
  <c r="J119" i="18" s="1"/>
  <c r="J42" i="18"/>
  <c r="K95" i="18"/>
  <c r="K255" i="18" s="1"/>
  <c r="K259" i="18" s="1"/>
  <c r="K217" i="18"/>
  <c r="K250" i="18"/>
  <c r="H94" i="18"/>
  <c r="H95" i="18" s="1"/>
  <c r="H255" i="18" s="1"/>
  <c r="D258" i="18"/>
  <c r="I149" i="18"/>
  <c r="G259" i="18"/>
  <c r="J149" i="18"/>
  <c r="E259" i="18"/>
  <c r="J95" i="18"/>
  <c r="J255" i="18" s="1"/>
  <c r="J259" i="18" s="1"/>
  <c r="H149" i="18"/>
  <c r="D42" i="18"/>
  <c r="F42" i="18"/>
  <c r="G149" i="18"/>
  <c r="D94" i="18"/>
  <c r="D95" i="18" s="1"/>
  <c r="D255" i="18" s="1"/>
  <c r="E149" i="18"/>
  <c r="F149" i="18"/>
  <c r="I42" i="18"/>
  <c r="K119" i="18"/>
  <c r="K149" i="18"/>
  <c r="H42" i="18"/>
  <c r="H259" i="18"/>
  <c r="H263" i="8"/>
  <c r="H229" i="8"/>
  <c r="H62" i="8"/>
  <c r="H46" i="8"/>
  <c r="H47" i="8" s="1"/>
  <c r="H45" i="8"/>
  <c r="H30" i="8"/>
  <c r="H238" i="7"/>
  <c r="H232" i="7"/>
  <c r="H229" i="7"/>
  <c r="H219" i="7"/>
  <c r="H140" i="7"/>
  <c r="H144" i="7" s="1"/>
  <c r="I140" i="7" s="1"/>
  <c r="I145" i="7" s="1"/>
  <c r="H70" i="7"/>
  <c r="H45" i="7"/>
  <c r="H30" i="7"/>
  <c r="D259" i="18" l="1"/>
  <c r="H11" i="7"/>
  <c r="H263" i="6"/>
  <c r="H238" i="6" l="1"/>
  <c r="H232" i="6"/>
  <c r="H229" i="6"/>
  <c r="H219" i="6"/>
  <c r="H212" i="6"/>
  <c r="H206" i="6"/>
  <c r="H122" i="6"/>
  <c r="H88" i="6"/>
  <c r="H82" i="6"/>
  <c r="H76" i="6"/>
  <c r="H77" i="6" s="1"/>
  <c r="H70" i="6"/>
  <c r="H62" i="6"/>
  <c r="H11" i="6"/>
  <c r="H238" i="5"/>
  <c r="H232" i="5"/>
  <c r="H229" i="5"/>
  <c r="H219" i="5"/>
  <c r="H122" i="5"/>
  <c r="H88" i="5"/>
  <c r="H82" i="5"/>
  <c r="H76" i="5"/>
  <c r="H77" i="5" s="1"/>
  <c r="H70" i="5"/>
  <c r="H62" i="5"/>
  <c r="H49" i="5"/>
  <c r="H45" i="5"/>
  <c r="H13" i="5"/>
  <c r="H13" i="18" s="1"/>
  <c r="H11" i="5"/>
  <c r="H263" i="4"/>
  <c r="H238" i="4"/>
  <c r="H232" i="4"/>
  <c r="H219" i="4"/>
  <c r="H215" i="4"/>
  <c r="H206" i="4"/>
  <c r="H122" i="4"/>
  <c r="H123" i="4" s="1"/>
  <c r="H88" i="4"/>
  <c r="H82" i="4"/>
  <c r="H76" i="4"/>
  <c r="H77" i="4" s="1"/>
  <c r="H70" i="4"/>
  <c r="H62" i="4"/>
  <c r="H45" i="4"/>
  <c r="H30" i="4"/>
  <c r="H20" i="4"/>
  <c r="H11" i="4"/>
  <c r="H263" i="3"/>
  <c r="H256" i="3"/>
  <c r="H253" i="3"/>
  <c r="H238" i="3"/>
  <c r="H232" i="3"/>
  <c r="H219" i="3"/>
  <c r="H215" i="3"/>
  <c r="H206" i="3"/>
  <c r="H196" i="3"/>
  <c r="H195" i="3"/>
  <c r="H122" i="3"/>
  <c r="H88" i="3"/>
  <c r="H82" i="3"/>
  <c r="H76" i="3"/>
  <c r="H77" i="3" s="1"/>
  <c r="H70" i="3"/>
  <c r="H62" i="3"/>
  <c r="H51" i="3"/>
  <c r="H45" i="3"/>
  <c r="H38" i="3"/>
  <c r="H40" i="3"/>
  <c r="H34" i="3"/>
  <c r="H32" i="3"/>
  <c r="H30" i="3"/>
  <c r="H19" i="3"/>
  <c r="H17" i="3"/>
  <c r="F17" i="18" s="1"/>
  <c r="H256" i="2"/>
  <c r="H253" i="2"/>
  <c r="H238" i="2"/>
  <c r="H232" i="2"/>
  <c r="H229" i="2"/>
  <c r="H219" i="2"/>
  <c r="H215" i="2"/>
  <c r="H212" i="2"/>
  <c r="E212" i="18" s="1"/>
  <c r="H206" i="2"/>
  <c r="H204" i="2"/>
  <c r="H193" i="2"/>
  <c r="H122" i="2"/>
  <c r="H88" i="2"/>
  <c r="H82" i="2"/>
  <c r="H76" i="2"/>
  <c r="H70" i="2"/>
  <c r="H56" i="2"/>
  <c r="E56" i="18" s="1"/>
  <c r="H20" i="2"/>
  <c r="H11" i="2"/>
  <c r="H263" i="1"/>
  <c r="H238" i="1"/>
  <c r="H232" i="1"/>
  <c r="H229" i="1"/>
  <c r="H219" i="1"/>
  <c r="H223" i="1" s="1"/>
  <c r="H212" i="1"/>
  <c r="D212" i="18" s="1"/>
  <c r="H206" i="1"/>
  <c r="H204" i="1"/>
  <c r="H122" i="1"/>
  <c r="G122" i="1"/>
  <c r="H88" i="1"/>
  <c r="H82" i="1"/>
  <c r="H76" i="1"/>
  <c r="H70" i="1"/>
  <c r="H46" i="1"/>
  <c r="P9" i="4" l="1"/>
  <c r="G229" i="8"/>
  <c r="G223" i="8"/>
  <c r="G216" i="8"/>
  <c r="G144" i="8"/>
  <c r="G139" i="8"/>
  <c r="G88" i="8"/>
  <c r="G82" i="8"/>
  <c r="G76" i="8"/>
  <c r="G77" i="8" s="1"/>
  <c r="G70" i="8"/>
  <c r="G56" i="8"/>
  <c r="G55" i="8"/>
  <c r="G46" i="8"/>
  <c r="G45" i="8"/>
  <c r="G17" i="8"/>
  <c r="K17" i="18" s="1"/>
  <c r="G238" i="7"/>
  <c r="G232" i="7"/>
  <c r="G219" i="7"/>
  <c r="G88" i="7"/>
  <c r="G84" i="7"/>
  <c r="G82" i="7"/>
  <c r="G83" i="7" s="1"/>
  <c r="G76" i="7"/>
  <c r="G77" i="7" s="1"/>
  <c r="H72" i="7" s="1"/>
  <c r="G70" i="7"/>
  <c r="G71" i="7" s="1"/>
  <c r="H66" i="7" s="1"/>
  <c r="H71" i="7" s="1"/>
  <c r="G56" i="7"/>
  <c r="J56" i="18" s="1"/>
  <c r="G55" i="7"/>
  <c r="G45" i="7"/>
  <c r="G11" i="7"/>
  <c r="G238" i="6"/>
  <c r="G232" i="6"/>
  <c r="G229" i="6"/>
  <c r="G219" i="6"/>
  <c r="G215" i="6"/>
  <c r="G212" i="6"/>
  <c r="G206" i="6"/>
  <c r="G204" i="6"/>
  <c r="G122" i="6"/>
  <c r="G88" i="6"/>
  <c r="G82" i="6"/>
  <c r="G76" i="6"/>
  <c r="G77" i="6" s="1"/>
  <c r="H72" i="6" s="1"/>
  <c r="G70" i="6"/>
  <c r="G56" i="6"/>
  <c r="G55" i="6"/>
  <c r="G54" i="6"/>
  <c r="G46" i="6"/>
  <c r="G47" i="6" s="1"/>
  <c r="G45" i="6"/>
  <c r="G17" i="6"/>
  <c r="G11" i="6"/>
  <c r="G238" i="5"/>
  <c r="G232" i="5"/>
  <c r="G229" i="5"/>
  <c r="G219" i="5"/>
  <c r="G122" i="5"/>
  <c r="G123" i="5" s="1"/>
  <c r="G88" i="5"/>
  <c r="G82" i="5"/>
  <c r="G76" i="5"/>
  <c r="G77" i="5" s="1"/>
  <c r="H72" i="5" s="1"/>
  <c r="G70" i="5"/>
  <c r="G54" i="5"/>
  <c r="G45" i="5"/>
  <c r="G11" i="5"/>
  <c r="G238" i="4"/>
  <c r="G232" i="4"/>
  <c r="G219" i="4"/>
  <c r="G215" i="4"/>
  <c r="G206" i="4"/>
  <c r="G204" i="4"/>
  <c r="I54" i="5" l="1"/>
  <c r="H54" i="18" s="1"/>
  <c r="H54" i="5"/>
  <c r="I54" i="6"/>
  <c r="I54" i="18"/>
  <c r="I55" i="6"/>
  <c r="I55" i="18"/>
  <c r="I56" i="6"/>
  <c r="J56" i="6" s="1"/>
  <c r="J55" i="7"/>
  <c r="J55" i="18"/>
  <c r="K21" i="18"/>
  <c r="K22" i="18" s="1"/>
  <c r="K24" i="18" s="1"/>
  <c r="J55" i="8"/>
  <c r="K55" i="18"/>
  <c r="J56" i="8"/>
  <c r="K56" i="18"/>
  <c r="G122" i="4"/>
  <c r="G123" i="4" s="1"/>
  <c r="G88" i="4"/>
  <c r="G89" i="4" s="1"/>
  <c r="H84" i="4" s="1"/>
  <c r="H89" i="4" s="1"/>
  <c r="G82" i="4"/>
  <c r="G83" i="4" s="1"/>
  <c r="H78" i="4" s="1"/>
  <c r="H83" i="4" s="1"/>
  <c r="G76" i="4"/>
  <c r="G77" i="4" s="1"/>
  <c r="H72" i="4" s="1"/>
  <c r="G70" i="4"/>
  <c r="G56" i="4"/>
  <c r="G55" i="4"/>
  <c r="G55" i="18" s="1"/>
  <c r="G54" i="4"/>
  <c r="G45" i="4"/>
  <c r="G20" i="4"/>
  <c r="G11" i="4"/>
  <c r="D41" i="4"/>
  <c r="I56" i="4" l="1"/>
  <c r="G56" i="18"/>
  <c r="J54" i="5"/>
  <c r="I56" i="18"/>
  <c r="I54" i="4"/>
  <c r="G54" i="18"/>
  <c r="K25" i="18"/>
  <c r="G30" i="4"/>
  <c r="G41" i="4"/>
  <c r="G238" i="3"/>
  <c r="G232" i="3"/>
  <c r="G219" i="3"/>
  <c r="G215" i="3"/>
  <c r="G206" i="3"/>
  <c r="G204" i="3"/>
  <c r="G122" i="3"/>
  <c r="G88" i="3"/>
  <c r="G82" i="3"/>
  <c r="G76" i="3"/>
  <c r="G77" i="3" s="1"/>
  <c r="H72" i="3" s="1"/>
  <c r="G72" i="3"/>
  <c r="G70" i="3"/>
  <c r="G62" i="3"/>
  <c r="G56" i="3"/>
  <c r="G55" i="3"/>
  <c r="F55" i="18" s="1"/>
  <c r="G54" i="3"/>
  <c r="F54" i="18" s="1"/>
  <c r="G51" i="3"/>
  <c r="G19" i="3"/>
  <c r="G11" i="3"/>
  <c r="G253" i="2"/>
  <c r="G253" i="11" s="1"/>
  <c r="G238" i="2"/>
  <c r="G232" i="2"/>
  <c r="G219" i="2"/>
  <c r="G225" i="11"/>
  <c r="G215" i="2"/>
  <c r="G206" i="2"/>
  <c r="G204" i="2"/>
  <c r="G193" i="2"/>
  <c r="G122" i="2"/>
  <c r="G88" i="2"/>
  <c r="G82" i="2"/>
  <c r="G76" i="2"/>
  <c r="G77" i="2" s="1"/>
  <c r="H72" i="2" s="1"/>
  <c r="G70" i="2"/>
  <c r="G55" i="2"/>
  <c r="G54" i="2"/>
  <c r="G45" i="2"/>
  <c r="G11" i="2"/>
  <c r="G238" i="1"/>
  <c r="G232" i="1"/>
  <c r="G219" i="1"/>
  <c r="G223" i="1" s="1"/>
  <c r="G215" i="1"/>
  <c r="G206" i="1"/>
  <c r="G204" i="1"/>
  <c r="G93" i="1"/>
  <c r="G92" i="1"/>
  <c r="G91" i="1"/>
  <c r="G88" i="1"/>
  <c r="G82" i="1"/>
  <c r="G76" i="1"/>
  <c r="G70" i="1"/>
  <c r="G46" i="1"/>
  <c r="G45" i="1"/>
  <c r="G34" i="1"/>
  <c r="G32" i="1"/>
  <c r="G38" i="1"/>
  <c r="G40" i="1"/>
  <c r="G19" i="1"/>
  <c r="G19" i="11" s="1"/>
  <c r="G11" i="1"/>
  <c r="E262" i="11"/>
  <c r="F262" i="11"/>
  <c r="G262" i="11"/>
  <c r="H262" i="11"/>
  <c r="I262" i="11"/>
  <c r="J262" i="11"/>
  <c r="K262" i="11"/>
  <c r="L262" i="11"/>
  <c r="E261" i="11"/>
  <c r="F261" i="11"/>
  <c r="G261" i="11"/>
  <c r="H261" i="11"/>
  <c r="I261" i="11"/>
  <c r="J261" i="11"/>
  <c r="K261" i="11"/>
  <c r="L261" i="11"/>
  <c r="E257" i="11"/>
  <c r="F257" i="11"/>
  <c r="G257" i="11"/>
  <c r="H257" i="11"/>
  <c r="I257" i="11"/>
  <c r="J257" i="11"/>
  <c r="K257" i="11"/>
  <c r="L257" i="11"/>
  <c r="E254" i="11"/>
  <c r="F254" i="11"/>
  <c r="G254" i="11"/>
  <c r="H254" i="11"/>
  <c r="I254" i="11"/>
  <c r="J254" i="11"/>
  <c r="K254" i="11"/>
  <c r="L254" i="11"/>
  <c r="H253" i="11"/>
  <c r="I253" i="11"/>
  <c r="J253" i="11"/>
  <c r="K253" i="11"/>
  <c r="L253" i="11"/>
  <c r="E246" i="11"/>
  <c r="F246" i="11"/>
  <c r="G246" i="11"/>
  <c r="H246" i="11"/>
  <c r="I246" i="11"/>
  <c r="J246" i="11"/>
  <c r="K246" i="11"/>
  <c r="L246" i="11"/>
  <c r="G245" i="11"/>
  <c r="H245" i="11"/>
  <c r="I245" i="11"/>
  <c r="J245" i="11"/>
  <c r="K245" i="11"/>
  <c r="L245" i="11"/>
  <c r="E241" i="11"/>
  <c r="F241" i="11"/>
  <c r="G241" i="11"/>
  <c r="H241" i="11"/>
  <c r="I241" i="11"/>
  <c r="J241" i="11"/>
  <c r="K241" i="11"/>
  <c r="L241" i="11"/>
  <c r="E240" i="11"/>
  <c r="F240" i="11"/>
  <c r="G240" i="11"/>
  <c r="H240" i="11"/>
  <c r="I240" i="11"/>
  <c r="J240" i="11"/>
  <c r="K240" i="11"/>
  <c r="L240" i="11"/>
  <c r="E239" i="11"/>
  <c r="F239" i="11"/>
  <c r="G239" i="11"/>
  <c r="H239" i="11"/>
  <c r="I239" i="11"/>
  <c r="J239" i="11"/>
  <c r="K239" i="11"/>
  <c r="L239" i="11"/>
  <c r="H238" i="11"/>
  <c r="I238" i="11"/>
  <c r="J238" i="11"/>
  <c r="K238" i="11"/>
  <c r="L238" i="11"/>
  <c r="E235" i="11"/>
  <c r="F235" i="11"/>
  <c r="G235" i="11"/>
  <c r="H235" i="11"/>
  <c r="I235" i="11"/>
  <c r="J235" i="11"/>
  <c r="K235" i="11"/>
  <c r="L235" i="11"/>
  <c r="E234" i="11"/>
  <c r="F234" i="11"/>
  <c r="G234" i="11"/>
  <c r="H234" i="11"/>
  <c r="I234" i="11"/>
  <c r="J234" i="11"/>
  <c r="K234" i="11"/>
  <c r="L234" i="11"/>
  <c r="E233" i="11"/>
  <c r="F233" i="11"/>
  <c r="G233" i="11"/>
  <c r="H233" i="11"/>
  <c r="I233" i="11"/>
  <c r="J233" i="11"/>
  <c r="K233" i="11"/>
  <c r="L233" i="11"/>
  <c r="H232" i="11"/>
  <c r="I232" i="11"/>
  <c r="J232" i="11"/>
  <c r="K232" i="11"/>
  <c r="L232" i="11"/>
  <c r="E228" i="11"/>
  <c r="F228" i="11"/>
  <c r="G228" i="11"/>
  <c r="H228" i="11"/>
  <c r="I228" i="11"/>
  <c r="J228" i="11"/>
  <c r="K228" i="11"/>
  <c r="L228" i="11"/>
  <c r="E227" i="11"/>
  <c r="F227" i="11"/>
  <c r="G227" i="11"/>
  <c r="H227" i="11"/>
  <c r="I227" i="11"/>
  <c r="J227" i="11"/>
  <c r="K227" i="11"/>
  <c r="L227" i="11"/>
  <c r="E226" i="11"/>
  <c r="F226" i="11"/>
  <c r="G226" i="11"/>
  <c r="H226" i="11"/>
  <c r="I226" i="11"/>
  <c r="J226" i="11"/>
  <c r="K226" i="11"/>
  <c r="L226" i="11"/>
  <c r="E225" i="11"/>
  <c r="F225" i="11"/>
  <c r="H225" i="11"/>
  <c r="I225" i="11"/>
  <c r="J225" i="11"/>
  <c r="K225" i="11"/>
  <c r="L225" i="11"/>
  <c r="E222" i="11"/>
  <c r="F222" i="11"/>
  <c r="G222" i="11"/>
  <c r="H222" i="11"/>
  <c r="I222" i="11"/>
  <c r="J222" i="11"/>
  <c r="K222" i="11"/>
  <c r="L222" i="11"/>
  <c r="N222" i="11"/>
  <c r="O222" i="11"/>
  <c r="E221" i="11"/>
  <c r="G221" i="11"/>
  <c r="H221" i="11"/>
  <c r="I221" i="11"/>
  <c r="J221" i="11"/>
  <c r="K221" i="11"/>
  <c r="L221" i="11"/>
  <c r="E220" i="11"/>
  <c r="G220" i="11"/>
  <c r="H220" i="11"/>
  <c r="I220" i="11"/>
  <c r="J220" i="11"/>
  <c r="K220" i="11"/>
  <c r="L220" i="11"/>
  <c r="H219" i="11"/>
  <c r="I219" i="11"/>
  <c r="J219" i="11"/>
  <c r="K219" i="11"/>
  <c r="L219" i="11"/>
  <c r="H215" i="11"/>
  <c r="I215" i="11"/>
  <c r="J215" i="11"/>
  <c r="K215" i="11"/>
  <c r="L215" i="11"/>
  <c r="E214" i="11"/>
  <c r="F214" i="11"/>
  <c r="G214" i="11"/>
  <c r="H214" i="11"/>
  <c r="I214" i="11"/>
  <c r="J214" i="11"/>
  <c r="K214" i="11"/>
  <c r="L214" i="11"/>
  <c r="E213" i="11"/>
  <c r="F213" i="11"/>
  <c r="G213" i="11"/>
  <c r="H213" i="11"/>
  <c r="I213" i="11"/>
  <c r="J213" i="11"/>
  <c r="K213" i="11"/>
  <c r="L213" i="11"/>
  <c r="G212" i="11"/>
  <c r="H212" i="11"/>
  <c r="I212" i="11"/>
  <c r="J212" i="11"/>
  <c r="K212" i="11"/>
  <c r="L212" i="11"/>
  <c r="E209" i="11"/>
  <c r="F209" i="11"/>
  <c r="G209" i="11"/>
  <c r="H209" i="11"/>
  <c r="I209" i="11"/>
  <c r="J209" i="11"/>
  <c r="K209" i="11"/>
  <c r="L209" i="11"/>
  <c r="E208" i="11"/>
  <c r="F208" i="11"/>
  <c r="G208" i="11"/>
  <c r="H208" i="11"/>
  <c r="I208" i="11"/>
  <c r="J208" i="11"/>
  <c r="K208" i="11"/>
  <c r="L208" i="11"/>
  <c r="E207" i="11"/>
  <c r="F207" i="11"/>
  <c r="G207" i="11"/>
  <c r="H207" i="11"/>
  <c r="I207" i="11"/>
  <c r="J207" i="11"/>
  <c r="K207" i="11"/>
  <c r="L207" i="11"/>
  <c r="H206" i="11"/>
  <c r="I206" i="11"/>
  <c r="J206" i="11"/>
  <c r="K206" i="11"/>
  <c r="L206" i="11"/>
  <c r="E203" i="11"/>
  <c r="F203" i="11"/>
  <c r="G203" i="11"/>
  <c r="H203" i="11"/>
  <c r="I203" i="11"/>
  <c r="J203" i="11"/>
  <c r="K203" i="11"/>
  <c r="L203" i="11"/>
  <c r="E202" i="11"/>
  <c r="F202" i="11"/>
  <c r="G202" i="11"/>
  <c r="H202" i="11"/>
  <c r="I202" i="11"/>
  <c r="J202" i="11"/>
  <c r="K202" i="11"/>
  <c r="L202" i="11"/>
  <c r="E201" i="11"/>
  <c r="F201" i="11"/>
  <c r="G201" i="11"/>
  <c r="H201" i="11"/>
  <c r="I201" i="11"/>
  <c r="J201" i="11"/>
  <c r="K201" i="11"/>
  <c r="L201" i="11"/>
  <c r="E200" i="11"/>
  <c r="F200" i="11"/>
  <c r="G200" i="11"/>
  <c r="H200" i="11"/>
  <c r="I200" i="11"/>
  <c r="J200" i="11"/>
  <c r="K200" i="11"/>
  <c r="L200" i="11"/>
  <c r="E199" i="11"/>
  <c r="F199" i="11"/>
  <c r="G199" i="11"/>
  <c r="H199" i="11"/>
  <c r="I199" i="11"/>
  <c r="J199" i="11"/>
  <c r="K199" i="11"/>
  <c r="L199" i="11"/>
  <c r="E197" i="11"/>
  <c r="F197" i="11"/>
  <c r="G197" i="11"/>
  <c r="H197" i="11"/>
  <c r="I197" i="11"/>
  <c r="J197" i="11"/>
  <c r="K197" i="11"/>
  <c r="L197" i="11"/>
  <c r="N197" i="11"/>
  <c r="O197" i="11"/>
  <c r="G196" i="11"/>
  <c r="H196" i="11"/>
  <c r="J196" i="11"/>
  <c r="K196" i="11"/>
  <c r="L196" i="11"/>
  <c r="N196" i="11"/>
  <c r="O196" i="11"/>
  <c r="E195" i="11"/>
  <c r="G195" i="11"/>
  <c r="H195" i="11"/>
  <c r="I195" i="11"/>
  <c r="J195" i="11"/>
  <c r="K195" i="11"/>
  <c r="L195" i="11"/>
  <c r="N195" i="11"/>
  <c r="O195" i="11"/>
  <c r="E194" i="11"/>
  <c r="F194" i="11"/>
  <c r="G194" i="11"/>
  <c r="H194" i="11"/>
  <c r="I194" i="11"/>
  <c r="J194" i="11"/>
  <c r="K194" i="11"/>
  <c r="L194" i="11"/>
  <c r="N194" i="11"/>
  <c r="O194" i="11"/>
  <c r="E192" i="11"/>
  <c r="F192" i="11"/>
  <c r="H192" i="11"/>
  <c r="I192" i="11"/>
  <c r="J192" i="11"/>
  <c r="K192" i="11"/>
  <c r="L192" i="11"/>
  <c r="E191" i="11"/>
  <c r="F191" i="11"/>
  <c r="G191" i="11"/>
  <c r="H191" i="11"/>
  <c r="I191" i="11"/>
  <c r="J191" i="11"/>
  <c r="K191" i="11"/>
  <c r="L191" i="11"/>
  <c r="E190" i="11"/>
  <c r="F190" i="11"/>
  <c r="G190" i="11"/>
  <c r="H190" i="11"/>
  <c r="I190" i="11"/>
  <c r="J190" i="11"/>
  <c r="K190" i="11"/>
  <c r="L190" i="11"/>
  <c r="E189" i="11"/>
  <c r="F189" i="11"/>
  <c r="G189" i="11"/>
  <c r="H189" i="11"/>
  <c r="I189" i="11"/>
  <c r="J189" i="11"/>
  <c r="K189" i="11"/>
  <c r="L189" i="11"/>
  <c r="E187" i="11"/>
  <c r="F187" i="11"/>
  <c r="G187" i="11"/>
  <c r="H187" i="11"/>
  <c r="I187" i="11"/>
  <c r="J187" i="11"/>
  <c r="K187" i="11"/>
  <c r="L187" i="11"/>
  <c r="E186" i="11"/>
  <c r="F186" i="11"/>
  <c r="G186" i="11"/>
  <c r="H186" i="11"/>
  <c r="I186" i="11"/>
  <c r="J186" i="11"/>
  <c r="K186" i="11"/>
  <c r="L186" i="11"/>
  <c r="E185" i="11"/>
  <c r="F185" i="11"/>
  <c r="G185" i="11"/>
  <c r="H185" i="11"/>
  <c r="I185" i="11"/>
  <c r="J185" i="11"/>
  <c r="K185" i="11"/>
  <c r="L185" i="11"/>
  <c r="E184" i="11"/>
  <c r="F184" i="11"/>
  <c r="G184" i="11"/>
  <c r="H184" i="11"/>
  <c r="I184" i="11"/>
  <c r="J184" i="11"/>
  <c r="K184" i="11"/>
  <c r="L184" i="11"/>
  <c r="E182" i="11"/>
  <c r="F182" i="11"/>
  <c r="G182" i="11"/>
  <c r="H182" i="11"/>
  <c r="I182" i="11"/>
  <c r="J182" i="11"/>
  <c r="K182" i="11"/>
  <c r="L182" i="11"/>
  <c r="E181" i="11"/>
  <c r="F181" i="11"/>
  <c r="G181" i="11"/>
  <c r="H181" i="11"/>
  <c r="I181" i="11"/>
  <c r="J181" i="11"/>
  <c r="K181" i="11"/>
  <c r="L181" i="11"/>
  <c r="E180" i="11"/>
  <c r="F180" i="11"/>
  <c r="G180" i="11"/>
  <c r="H180" i="11"/>
  <c r="I180" i="11"/>
  <c r="J180" i="11"/>
  <c r="K180" i="11"/>
  <c r="L180" i="11"/>
  <c r="E179" i="11"/>
  <c r="F179" i="11"/>
  <c r="G179" i="11"/>
  <c r="H179" i="11"/>
  <c r="I179" i="11"/>
  <c r="J179" i="11"/>
  <c r="K179" i="11"/>
  <c r="L179" i="11"/>
  <c r="E178" i="11"/>
  <c r="F178" i="11"/>
  <c r="G178" i="11"/>
  <c r="H178" i="11"/>
  <c r="I178" i="11"/>
  <c r="J178" i="11"/>
  <c r="K178" i="11"/>
  <c r="L178" i="11"/>
  <c r="E177" i="11"/>
  <c r="F177" i="11"/>
  <c r="G177" i="11"/>
  <c r="H177" i="11"/>
  <c r="I177" i="11"/>
  <c r="J177" i="11"/>
  <c r="K177" i="11"/>
  <c r="L177" i="11"/>
  <c r="E175" i="11"/>
  <c r="F175" i="11"/>
  <c r="G175" i="11"/>
  <c r="H175" i="11"/>
  <c r="I175" i="11"/>
  <c r="J175" i="11"/>
  <c r="K175" i="11"/>
  <c r="L175" i="11"/>
  <c r="E174" i="11"/>
  <c r="F174" i="11"/>
  <c r="G174" i="11"/>
  <c r="H174" i="11"/>
  <c r="I174" i="11"/>
  <c r="J174" i="11"/>
  <c r="K174" i="11"/>
  <c r="L174" i="11"/>
  <c r="E173" i="11"/>
  <c r="F173" i="11"/>
  <c r="G173" i="11"/>
  <c r="H173" i="11"/>
  <c r="I173" i="11"/>
  <c r="J173" i="11"/>
  <c r="K173" i="11"/>
  <c r="L173" i="11"/>
  <c r="E172" i="11"/>
  <c r="F172" i="11"/>
  <c r="G172" i="11"/>
  <c r="H172" i="11"/>
  <c r="I172" i="11"/>
  <c r="J172" i="11"/>
  <c r="K172" i="11"/>
  <c r="L172" i="11"/>
  <c r="E171" i="11"/>
  <c r="F171" i="11"/>
  <c r="G171" i="11"/>
  <c r="H171" i="11"/>
  <c r="I171" i="11"/>
  <c r="J171" i="11"/>
  <c r="K171" i="11"/>
  <c r="L171" i="11"/>
  <c r="E170" i="11"/>
  <c r="F170" i="11"/>
  <c r="G170" i="11"/>
  <c r="H170" i="11"/>
  <c r="I170" i="11"/>
  <c r="J170" i="11"/>
  <c r="K170" i="11"/>
  <c r="L170" i="11"/>
  <c r="E169" i="11"/>
  <c r="F169" i="11"/>
  <c r="G169" i="11"/>
  <c r="H169" i="11"/>
  <c r="I169" i="11"/>
  <c r="J169" i="11"/>
  <c r="K169" i="11"/>
  <c r="L169" i="11"/>
  <c r="E168" i="11"/>
  <c r="F168" i="11"/>
  <c r="G168" i="11"/>
  <c r="H168" i="11"/>
  <c r="I168" i="11"/>
  <c r="J168" i="11"/>
  <c r="K168" i="11"/>
  <c r="L168" i="11"/>
  <c r="E167" i="11"/>
  <c r="F167" i="11"/>
  <c r="G167" i="11"/>
  <c r="H167" i="11"/>
  <c r="I167" i="11"/>
  <c r="J167" i="11"/>
  <c r="K167" i="11"/>
  <c r="L167" i="11"/>
  <c r="E165" i="11"/>
  <c r="F165" i="11"/>
  <c r="G165" i="11"/>
  <c r="H165" i="11"/>
  <c r="I165" i="11"/>
  <c r="J165" i="11"/>
  <c r="K165" i="11"/>
  <c r="L165" i="11"/>
  <c r="E164" i="11"/>
  <c r="F164" i="11"/>
  <c r="G164" i="11"/>
  <c r="H164" i="11"/>
  <c r="I164" i="11"/>
  <c r="J164" i="11"/>
  <c r="K164" i="11"/>
  <c r="L164" i="11"/>
  <c r="E163" i="11"/>
  <c r="F163" i="11"/>
  <c r="G163" i="11"/>
  <c r="H163" i="11"/>
  <c r="I163" i="11"/>
  <c r="J163" i="11"/>
  <c r="K163" i="11"/>
  <c r="L163" i="11"/>
  <c r="E162" i="11"/>
  <c r="F162" i="11"/>
  <c r="G162" i="11"/>
  <c r="H162" i="11"/>
  <c r="I162" i="11"/>
  <c r="J162" i="11"/>
  <c r="K162" i="11"/>
  <c r="L162" i="11"/>
  <c r="E161" i="11"/>
  <c r="F161" i="11"/>
  <c r="G161" i="11"/>
  <c r="H161" i="11"/>
  <c r="I161" i="11"/>
  <c r="J161" i="11"/>
  <c r="K161" i="11"/>
  <c r="L161" i="11"/>
  <c r="E160" i="11"/>
  <c r="F160" i="11"/>
  <c r="G160" i="11"/>
  <c r="H160" i="11"/>
  <c r="I160" i="11"/>
  <c r="J160" i="11"/>
  <c r="K160" i="11"/>
  <c r="L160" i="11"/>
  <c r="E159" i="11"/>
  <c r="F159" i="11"/>
  <c r="G159" i="11"/>
  <c r="H159" i="11"/>
  <c r="I159" i="11"/>
  <c r="J159" i="11"/>
  <c r="K159" i="11"/>
  <c r="L159" i="11"/>
  <c r="E158" i="11"/>
  <c r="F158" i="11"/>
  <c r="G158" i="11"/>
  <c r="H158" i="11"/>
  <c r="I158" i="11"/>
  <c r="J158" i="11"/>
  <c r="K158" i="11"/>
  <c r="L158" i="11"/>
  <c r="D157" i="11"/>
  <c r="E157" i="11"/>
  <c r="F157" i="11"/>
  <c r="G157" i="11"/>
  <c r="H157" i="11"/>
  <c r="I157" i="11"/>
  <c r="J157" i="11"/>
  <c r="K157" i="11"/>
  <c r="L157" i="11"/>
  <c r="E156" i="11"/>
  <c r="F156" i="11"/>
  <c r="G156" i="11"/>
  <c r="H156" i="11"/>
  <c r="I156" i="11"/>
  <c r="J156" i="11"/>
  <c r="K156" i="11"/>
  <c r="L156" i="11"/>
  <c r="E155" i="11"/>
  <c r="F155" i="11"/>
  <c r="G155" i="11"/>
  <c r="H155" i="11"/>
  <c r="I155" i="11"/>
  <c r="J155" i="11"/>
  <c r="K155" i="11"/>
  <c r="L155" i="11"/>
  <c r="E154" i="11"/>
  <c r="F154" i="11"/>
  <c r="G154" i="11"/>
  <c r="H154" i="11"/>
  <c r="I154" i="11"/>
  <c r="J154" i="11"/>
  <c r="K154" i="11"/>
  <c r="L154" i="11"/>
  <c r="E153" i="11"/>
  <c r="F153" i="11"/>
  <c r="G153" i="11"/>
  <c r="H153" i="11"/>
  <c r="I153" i="11"/>
  <c r="K153" i="11"/>
  <c r="L153" i="11"/>
  <c r="E143" i="11"/>
  <c r="F143" i="11"/>
  <c r="G143" i="11"/>
  <c r="H143" i="11"/>
  <c r="I143" i="11"/>
  <c r="J143" i="11"/>
  <c r="K143" i="11"/>
  <c r="L143" i="11"/>
  <c r="E142" i="11"/>
  <c r="F142" i="11"/>
  <c r="G142" i="11"/>
  <c r="H142" i="11"/>
  <c r="I142" i="11"/>
  <c r="J142" i="11"/>
  <c r="K142" i="11"/>
  <c r="L142" i="11"/>
  <c r="E141" i="11"/>
  <c r="F141" i="11"/>
  <c r="G141" i="11"/>
  <c r="H141" i="11"/>
  <c r="I141" i="11"/>
  <c r="J141" i="11"/>
  <c r="K141" i="11"/>
  <c r="L141" i="11"/>
  <c r="L140" i="11"/>
  <c r="D138" i="11"/>
  <c r="E138" i="11"/>
  <c r="F138" i="11"/>
  <c r="G138" i="11"/>
  <c r="H138" i="11"/>
  <c r="I138" i="11"/>
  <c r="J138" i="11"/>
  <c r="K138" i="11"/>
  <c r="L138" i="11"/>
  <c r="E137" i="11"/>
  <c r="F137" i="11"/>
  <c r="G137" i="11"/>
  <c r="H137" i="11"/>
  <c r="I137" i="11"/>
  <c r="J137" i="11"/>
  <c r="K137" i="11"/>
  <c r="L137" i="11"/>
  <c r="E136" i="11"/>
  <c r="F136" i="11"/>
  <c r="G136" i="11"/>
  <c r="H136" i="11"/>
  <c r="I136" i="11"/>
  <c r="J136" i="11"/>
  <c r="K136" i="11"/>
  <c r="L136" i="11"/>
  <c r="I135" i="11"/>
  <c r="J135" i="11"/>
  <c r="K135" i="11"/>
  <c r="L135" i="11"/>
  <c r="E133" i="11"/>
  <c r="F133" i="11"/>
  <c r="G133" i="11"/>
  <c r="H133" i="11"/>
  <c r="I133" i="11"/>
  <c r="J133" i="11"/>
  <c r="K133" i="11"/>
  <c r="L133" i="11"/>
  <c r="E132" i="11"/>
  <c r="F132" i="11"/>
  <c r="G132" i="11"/>
  <c r="H132" i="11"/>
  <c r="I132" i="11"/>
  <c r="J132" i="11"/>
  <c r="K132" i="11"/>
  <c r="L132" i="11"/>
  <c r="E131" i="11"/>
  <c r="F131" i="11"/>
  <c r="G131" i="11"/>
  <c r="H131" i="11"/>
  <c r="I131" i="11"/>
  <c r="J131" i="11"/>
  <c r="K131" i="11"/>
  <c r="L131" i="11"/>
  <c r="I130" i="11"/>
  <c r="J130" i="11"/>
  <c r="K130" i="11"/>
  <c r="L130" i="11"/>
  <c r="E128" i="11"/>
  <c r="F128" i="11"/>
  <c r="G128" i="11"/>
  <c r="H128" i="11"/>
  <c r="I128" i="11"/>
  <c r="J128" i="11"/>
  <c r="K128" i="11"/>
  <c r="L128" i="11"/>
  <c r="E127" i="11"/>
  <c r="F127" i="11"/>
  <c r="G127" i="11"/>
  <c r="H127" i="11"/>
  <c r="I127" i="11"/>
  <c r="J127" i="11"/>
  <c r="K127" i="11"/>
  <c r="L127" i="11"/>
  <c r="E126" i="11"/>
  <c r="F126" i="11"/>
  <c r="G126" i="11"/>
  <c r="H126" i="11"/>
  <c r="I126" i="11"/>
  <c r="J126" i="11"/>
  <c r="K126" i="11"/>
  <c r="L126" i="11"/>
  <c r="I125" i="11"/>
  <c r="K125" i="11"/>
  <c r="L125" i="11"/>
  <c r="H122" i="11"/>
  <c r="I122" i="11"/>
  <c r="J122" i="11"/>
  <c r="K122" i="11"/>
  <c r="L122" i="11"/>
  <c r="M122" i="11"/>
  <c r="N122" i="11"/>
  <c r="O122" i="11"/>
  <c r="E121" i="11"/>
  <c r="F121" i="11"/>
  <c r="G121" i="11"/>
  <c r="H121" i="11"/>
  <c r="I121" i="11"/>
  <c r="J121" i="11"/>
  <c r="K121" i="11"/>
  <c r="L121" i="11"/>
  <c r="M121" i="11"/>
  <c r="N121" i="11"/>
  <c r="O121" i="11"/>
  <c r="E116" i="11"/>
  <c r="F116" i="11"/>
  <c r="G116" i="11"/>
  <c r="H116" i="11"/>
  <c r="I116" i="11"/>
  <c r="J116" i="11"/>
  <c r="K116" i="11"/>
  <c r="L116" i="11"/>
  <c r="N116" i="11"/>
  <c r="O116" i="11"/>
  <c r="E115" i="11"/>
  <c r="F115" i="11"/>
  <c r="G115" i="11"/>
  <c r="H115" i="11"/>
  <c r="I115" i="11"/>
  <c r="J115" i="11"/>
  <c r="K115" i="11"/>
  <c r="L115" i="11"/>
  <c r="N115" i="11"/>
  <c r="O115" i="11"/>
  <c r="E114" i="11"/>
  <c r="F114" i="11"/>
  <c r="G114" i="11"/>
  <c r="H114" i="11"/>
  <c r="I114" i="11"/>
  <c r="J114" i="11"/>
  <c r="K114" i="11"/>
  <c r="L114" i="11"/>
  <c r="N114" i="11"/>
  <c r="O114" i="11"/>
  <c r="E113" i="11"/>
  <c r="F113" i="11"/>
  <c r="G113" i="11"/>
  <c r="H113" i="11"/>
  <c r="I113" i="11"/>
  <c r="J113" i="11"/>
  <c r="K113" i="11"/>
  <c r="L113" i="11"/>
  <c r="N113" i="11"/>
  <c r="O113" i="11"/>
  <c r="E110" i="11"/>
  <c r="F110" i="11"/>
  <c r="G110" i="11"/>
  <c r="H110" i="11"/>
  <c r="I110" i="11"/>
  <c r="J110" i="11"/>
  <c r="K110" i="11"/>
  <c r="L110" i="11"/>
  <c r="E109" i="11"/>
  <c r="F109" i="11"/>
  <c r="G109" i="11"/>
  <c r="H109" i="11"/>
  <c r="I109" i="11"/>
  <c r="J109" i="11"/>
  <c r="K109" i="11"/>
  <c r="L109" i="11"/>
  <c r="E108" i="11"/>
  <c r="F108" i="11"/>
  <c r="G108" i="11"/>
  <c r="H108" i="11"/>
  <c r="I108" i="11"/>
  <c r="J108" i="11"/>
  <c r="K108" i="11"/>
  <c r="L108" i="11"/>
  <c r="E107" i="11"/>
  <c r="F107" i="11"/>
  <c r="G107" i="11"/>
  <c r="H107" i="11"/>
  <c r="I107" i="11"/>
  <c r="J107" i="11"/>
  <c r="K107" i="11"/>
  <c r="L107" i="11"/>
  <c r="E104" i="11"/>
  <c r="F104" i="11"/>
  <c r="G104" i="11"/>
  <c r="H104" i="11"/>
  <c r="I104" i="11"/>
  <c r="J104" i="11"/>
  <c r="K104" i="11"/>
  <c r="L104" i="11"/>
  <c r="E103" i="11"/>
  <c r="F103" i="11"/>
  <c r="G103" i="11"/>
  <c r="H103" i="11"/>
  <c r="I103" i="11"/>
  <c r="J103" i="11"/>
  <c r="K103" i="11"/>
  <c r="L103" i="11"/>
  <c r="E102" i="11"/>
  <c r="F102" i="11"/>
  <c r="G102" i="11"/>
  <c r="H102" i="11"/>
  <c r="I102" i="11"/>
  <c r="J102" i="11"/>
  <c r="K102" i="11"/>
  <c r="L102" i="11"/>
  <c r="E101" i="11"/>
  <c r="F101" i="11"/>
  <c r="G101" i="11"/>
  <c r="H101" i="11"/>
  <c r="I101" i="11"/>
  <c r="J101" i="11"/>
  <c r="K101" i="11"/>
  <c r="L101" i="11"/>
  <c r="E98" i="11"/>
  <c r="F98" i="11"/>
  <c r="H98" i="11"/>
  <c r="I98" i="11"/>
  <c r="J98" i="11"/>
  <c r="K98" i="11"/>
  <c r="L98" i="11"/>
  <c r="E87" i="11"/>
  <c r="F87" i="11"/>
  <c r="G87" i="11"/>
  <c r="H87" i="11"/>
  <c r="I87" i="11"/>
  <c r="J87" i="11"/>
  <c r="K87" i="11"/>
  <c r="L87" i="11"/>
  <c r="E86" i="11"/>
  <c r="F86" i="11"/>
  <c r="G86" i="11"/>
  <c r="H86" i="11"/>
  <c r="I86" i="11"/>
  <c r="J86" i="11"/>
  <c r="K86" i="11"/>
  <c r="L86" i="11"/>
  <c r="E85" i="11"/>
  <c r="F85" i="11"/>
  <c r="G85" i="11"/>
  <c r="H85" i="11"/>
  <c r="I85" i="11"/>
  <c r="J85" i="11"/>
  <c r="K85" i="11"/>
  <c r="L85" i="11"/>
  <c r="I84" i="11"/>
  <c r="J84" i="11"/>
  <c r="K84" i="11"/>
  <c r="L84" i="11"/>
  <c r="E81" i="11"/>
  <c r="F81" i="11"/>
  <c r="G81" i="11"/>
  <c r="H81" i="11"/>
  <c r="I81" i="11"/>
  <c r="J81" i="11"/>
  <c r="K81" i="11"/>
  <c r="L81" i="11"/>
  <c r="E80" i="11"/>
  <c r="F80" i="11"/>
  <c r="G80" i="11"/>
  <c r="H80" i="11"/>
  <c r="I80" i="11"/>
  <c r="J80" i="11"/>
  <c r="K80" i="11"/>
  <c r="L80" i="11"/>
  <c r="E79" i="11"/>
  <c r="F79" i="11"/>
  <c r="G79" i="11"/>
  <c r="H79" i="11"/>
  <c r="I79" i="11"/>
  <c r="J79" i="11"/>
  <c r="K79" i="11"/>
  <c r="L79" i="11"/>
  <c r="L78" i="11"/>
  <c r="E75" i="11"/>
  <c r="F75" i="11"/>
  <c r="G75" i="11"/>
  <c r="H75" i="11"/>
  <c r="I75" i="11"/>
  <c r="J75" i="11"/>
  <c r="K75" i="11"/>
  <c r="L75" i="11"/>
  <c r="E74" i="11"/>
  <c r="F74" i="11"/>
  <c r="G74" i="11"/>
  <c r="H74" i="11"/>
  <c r="I74" i="11"/>
  <c r="J74" i="11"/>
  <c r="K74" i="11"/>
  <c r="L74" i="11"/>
  <c r="E73" i="11"/>
  <c r="F73" i="11"/>
  <c r="G73" i="11"/>
  <c r="H73" i="11"/>
  <c r="I73" i="11"/>
  <c r="J73" i="11"/>
  <c r="K73" i="11"/>
  <c r="L73" i="11"/>
  <c r="L72" i="11"/>
  <c r="E69" i="11"/>
  <c r="F69" i="11"/>
  <c r="G69" i="11"/>
  <c r="H69" i="11"/>
  <c r="I69" i="11"/>
  <c r="J69" i="11"/>
  <c r="K69" i="11"/>
  <c r="L69" i="11"/>
  <c r="E68" i="11"/>
  <c r="F68" i="11"/>
  <c r="G68" i="11"/>
  <c r="H68" i="11"/>
  <c r="I68" i="11"/>
  <c r="J68" i="11"/>
  <c r="K68" i="11"/>
  <c r="L68" i="11"/>
  <c r="E67" i="11"/>
  <c r="F67" i="11"/>
  <c r="G67" i="11"/>
  <c r="H67" i="11"/>
  <c r="I67" i="11"/>
  <c r="J67" i="11"/>
  <c r="K67" i="11"/>
  <c r="L67" i="11"/>
  <c r="L66" i="11"/>
  <c r="E63" i="11"/>
  <c r="F63" i="11"/>
  <c r="G63" i="11"/>
  <c r="H63" i="11"/>
  <c r="I63" i="11"/>
  <c r="J63" i="11"/>
  <c r="K63" i="11"/>
  <c r="L63" i="11"/>
  <c r="E61" i="11"/>
  <c r="F61" i="11"/>
  <c r="G61" i="11"/>
  <c r="H61" i="11"/>
  <c r="I61" i="11"/>
  <c r="J61" i="11"/>
  <c r="K61" i="11"/>
  <c r="L61" i="11"/>
  <c r="E56" i="11"/>
  <c r="F56" i="11"/>
  <c r="G56" i="11"/>
  <c r="H56" i="11"/>
  <c r="I56" i="11"/>
  <c r="J56" i="11"/>
  <c r="L56" i="11"/>
  <c r="E55" i="11"/>
  <c r="F55" i="11"/>
  <c r="H55" i="11"/>
  <c r="I55" i="11"/>
  <c r="J55" i="11"/>
  <c r="K55" i="11"/>
  <c r="L55" i="11"/>
  <c r="E54" i="11"/>
  <c r="F54" i="11"/>
  <c r="H54" i="11"/>
  <c r="J54" i="11"/>
  <c r="K54" i="11"/>
  <c r="L54" i="11"/>
  <c r="G52" i="11"/>
  <c r="H52" i="11"/>
  <c r="I52" i="11"/>
  <c r="J52" i="11"/>
  <c r="K52" i="11"/>
  <c r="L52" i="11"/>
  <c r="G51" i="11"/>
  <c r="H51" i="11"/>
  <c r="I51" i="11"/>
  <c r="J51" i="11"/>
  <c r="K51" i="11"/>
  <c r="L51" i="11"/>
  <c r="G50" i="11"/>
  <c r="H50" i="11"/>
  <c r="I50" i="11"/>
  <c r="J50" i="11"/>
  <c r="K50" i="11"/>
  <c r="L50" i="11"/>
  <c r="F49" i="11"/>
  <c r="G49" i="11"/>
  <c r="H49" i="11"/>
  <c r="I49" i="11"/>
  <c r="J49" i="11"/>
  <c r="K49" i="11"/>
  <c r="L49" i="11"/>
  <c r="E44" i="11"/>
  <c r="F44" i="11"/>
  <c r="G44" i="11"/>
  <c r="H44" i="11"/>
  <c r="I44" i="11"/>
  <c r="J44" i="11"/>
  <c r="K44" i="11"/>
  <c r="L44" i="1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E29" i="11"/>
  <c r="F29" i="11"/>
  <c r="G29" i="11"/>
  <c r="H29" i="11"/>
  <c r="I29" i="11"/>
  <c r="J29" i="11"/>
  <c r="K29" i="11"/>
  <c r="L29" i="11"/>
  <c r="G20" i="11"/>
  <c r="H20" i="11"/>
  <c r="I20" i="11"/>
  <c r="J20" i="11"/>
  <c r="K20" i="11"/>
  <c r="L20" i="11"/>
  <c r="F19" i="11"/>
  <c r="H19" i="11"/>
  <c r="I19" i="11"/>
  <c r="J19" i="11"/>
  <c r="K19" i="11"/>
  <c r="L19" i="11"/>
  <c r="E18" i="11"/>
  <c r="F18" i="11"/>
  <c r="G18" i="11"/>
  <c r="H18" i="11"/>
  <c r="I18" i="11"/>
  <c r="J18" i="11"/>
  <c r="K18" i="11"/>
  <c r="L18" i="11"/>
  <c r="F17" i="11"/>
  <c r="G17" i="11"/>
  <c r="H17" i="11"/>
  <c r="I17" i="11"/>
  <c r="J17" i="11"/>
  <c r="K17" i="11"/>
  <c r="L17" i="11"/>
  <c r="E14" i="11"/>
  <c r="F14" i="11"/>
  <c r="G14" i="11"/>
  <c r="H14" i="11"/>
  <c r="I14" i="11"/>
  <c r="J14" i="11"/>
  <c r="K14" i="11"/>
  <c r="L14" i="11"/>
  <c r="E13" i="11"/>
  <c r="F13" i="11"/>
  <c r="G13" i="11"/>
  <c r="H13" i="11"/>
  <c r="I13" i="11"/>
  <c r="J13" i="11"/>
  <c r="K13" i="11"/>
  <c r="L13" i="11"/>
  <c r="E12" i="11"/>
  <c r="F12" i="11"/>
  <c r="G12" i="11"/>
  <c r="H12" i="11"/>
  <c r="I12" i="11"/>
  <c r="J12" i="11"/>
  <c r="K12" i="11"/>
  <c r="L12" i="11"/>
  <c r="H11" i="11"/>
  <c r="I11" i="11"/>
  <c r="J11" i="11"/>
  <c r="K11" i="11"/>
  <c r="L11" i="11"/>
  <c r="E9" i="11"/>
  <c r="F9" i="11"/>
  <c r="I9" i="11"/>
  <c r="J9" i="11"/>
  <c r="K9" i="11"/>
  <c r="L9" i="11"/>
  <c r="D262" i="11"/>
  <c r="D261" i="11"/>
  <c r="D257" i="11"/>
  <c r="D254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4" i="11"/>
  <c r="D213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6" i="11"/>
  <c r="D155" i="11"/>
  <c r="D154" i="11"/>
  <c r="D153" i="11"/>
  <c r="D143" i="11"/>
  <c r="D142" i="11"/>
  <c r="D141" i="11"/>
  <c r="D140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44" i="11"/>
  <c r="D39" i="11"/>
  <c r="D37" i="11"/>
  <c r="D35" i="11"/>
  <c r="D33" i="11"/>
  <c r="D31" i="11"/>
  <c r="D29" i="11"/>
  <c r="D18" i="11"/>
  <c r="D14" i="11"/>
  <c r="D13" i="11"/>
  <c r="D12" i="11"/>
  <c r="D9" i="11"/>
  <c r="F242" i="8"/>
  <c r="E242" i="8"/>
  <c r="D242" i="8"/>
  <c r="F229" i="8"/>
  <c r="D229" i="8"/>
  <c r="F144" i="8"/>
  <c r="E144" i="8"/>
  <c r="D144" i="8"/>
  <c r="F139" i="8"/>
  <c r="E139" i="8"/>
  <c r="D139" i="8"/>
  <c r="D134" i="8"/>
  <c r="E130" i="8" s="1"/>
  <c r="E134" i="8" s="1"/>
  <c r="F130" i="8" s="1"/>
  <c r="F134" i="8" s="1"/>
  <c r="G130" i="8" s="1"/>
  <c r="G134" i="8" s="1"/>
  <c r="D129" i="8"/>
  <c r="E125" i="8" s="1"/>
  <c r="E129" i="8" s="1"/>
  <c r="F125" i="8" s="1"/>
  <c r="F129" i="8" s="1"/>
  <c r="G125" i="8" s="1"/>
  <c r="G129" i="8" s="1"/>
  <c r="F123" i="8"/>
  <c r="E123" i="8"/>
  <c r="D121" i="8"/>
  <c r="D123" i="8" s="1"/>
  <c r="F88" i="8"/>
  <c r="E88" i="8"/>
  <c r="D88" i="8"/>
  <c r="D89" i="8" s="1"/>
  <c r="E84" i="8" s="1"/>
  <c r="F82" i="8"/>
  <c r="E82" i="8"/>
  <c r="D82" i="8"/>
  <c r="D83" i="8" s="1"/>
  <c r="E78" i="8" s="1"/>
  <c r="F76" i="8"/>
  <c r="F77" i="8" s="1"/>
  <c r="G72" i="8" s="1"/>
  <c r="E76" i="8"/>
  <c r="E77" i="8" s="1"/>
  <c r="F72" i="8" s="1"/>
  <c r="D76" i="8"/>
  <c r="D77" i="8" s="1"/>
  <c r="E72" i="8" s="1"/>
  <c r="F70" i="8"/>
  <c r="E70" i="8"/>
  <c r="D70" i="8"/>
  <c r="D71" i="8" s="1"/>
  <c r="E66" i="8" s="1"/>
  <c r="E71" i="8" s="1"/>
  <c r="F66" i="8" s="1"/>
  <c r="F62" i="8"/>
  <c r="E62" i="8"/>
  <c r="D62" i="8"/>
  <c r="F45" i="8"/>
  <c r="E45" i="8"/>
  <c r="D45" i="8"/>
  <c r="F40" i="8"/>
  <c r="E40" i="8"/>
  <c r="D40" i="8"/>
  <c r="F38" i="8"/>
  <c r="E38" i="8"/>
  <c r="D38" i="8"/>
  <c r="F34" i="8"/>
  <c r="E34" i="8"/>
  <c r="D34" i="8"/>
  <c r="F32" i="8"/>
  <c r="E32" i="8"/>
  <c r="D32" i="8"/>
  <c r="F30" i="8"/>
  <c r="E30" i="8"/>
  <c r="D30" i="8"/>
  <c r="F15" i="8"/>
  <c r="E15" i="8"/>
  <c r="D15" i="8"/>
  <c r="D253" i="7"/>
  <c r="J253" i="18" s="1"/>
  <c r="E245" i="7"/>
  <c r="D245" i="7"/>
  <c r="F238" i="7"/>
  <c r="E238" i="7"/>
  <c r="J238" i="18" s="1"/>
  <c r="J242" i="18" s="1"/>
  <c r="F232" i="7"/>
  <c r="E232" i="7"/>
  <c r="D232" i="7"/>
  <c r="J232" i="18" s="1"/>
  <c r="J236" i="18" s="1"/>
  <c r="F229" i="7"/>
  <c r="E229" i="7"/>
  <c r="D229" i="7"/>
  <c r="F219" i="7"/>
  <c r="E219" i="7"/>
  <c r="D219" i="7"/>
  <c r="F212" i="7"/>
  <c r="E212" i="7"/>
  <c r="J212" i="18" s="1"/>
  <c r="D206" i="7"/>
  <c r="J206" i="18" s="1"/>
  <c r="J210" i="18" s="1"/>
  <c r="D144" i="7"/>
  <c r="E140" i="7" s="1"/>
  <c r="E144" i="7" s="1"/>
  <c r="F140" i="7" s="1"/>
  <c r="F144" i="7" s="1"/>
  <c r="D139" i="7"/>
  <c r="E135" i="7" s="1"/>
  <c r="E139" i="7" s="1"/>
  <c r="F135" i="7" s="1"/>
  <c r="F139" i="7" s="1"/>
  <c r="G135" i="7" s="1"/>
  <c r="G139" i="7" s="1"/>
  <c r="H135" i="7" s="1"/>
  <c r="H139" i="7" s="1"/>
  <c r="D134" i="7"/>
  <c r="E130" i="7" s="1"/>
  <c r="E134" i="7" s="1"/>
  <c r="F130" i="7" s="1"/>
  <c r="F134" i="7" s="1"/>
  <c r="G130" i="7" s="1"/>
  <c r="G134" i="7" s="1"/>
  <c r="H130" i="7" s="1"/>
  <c r="H134" i="7" s="1"/>
  <c r="D129" i="7"/>
  <c r="E125" i="7" s="1"/>
  <c r="E129" i="7" s="1"/>
  <c r="F125" i="7" s="1"/>
  <c r="F129" i="7" s="1"/>
  <c r="G125" i="7" s="1"/>
  <c r="G129" i="7" s="1"/>
  <c r="H125" i="7" s="1"/>
  <c r="H129" i="7" s="1"/>
  <c r="F123" i="7"/>
  <c r="E123" i="7"/>
  <c r="D123" i="7"/>
  <c r="F93" i="7"/>
  <c r="E93" i="7"/>
  <c r="D93" i="7"/>
  <c r="F92" i="7"/>
  <c r="E92" i="7"/>
  <c r="D92" i="7"/>
  <c r="F91" i="7"/>
  <c r="E91" i="7"/>
  <c r="D91" i="7"/>
  <c r="F90" i="7"/>
  <c r="D90" i="7"/>
  <c r="F88" i="7"/>
  <c r="E88" i="7"/>
  <c r="D88" i="7"/>
  <c r="D89" i="7" s="1"/>
  <c r="E84" i="7" s="1"/>
  <c r="E90" i="7" s="1"/>
  <c r="F84" i="7"/>
  <c r="F82" i="7"/>
  <c r="F83" i="7" s="1"/>
  <c r="E82" i="7"/>
  <c r="E83" i="7" s="1"/>
  <c r="D82" i="7"/>
  <c r="D83" i="7" s="1"/>
  <c r="F76" i="7"/>
  <c r="F77" i="7" s="1"/>
  <c r="E76" i="7"/>
  <c r="E77" i="7" s="1"/>
  <c r="D76" i="7"/>
  <c r="D77" i="7" s="1"/>
  <c r="F70" i="7"/>
  <c r="F71" i="7" s="1"/>
  <c r="E70" i="7"/>
  <c r="E71" i="7" s="1"/>
  <c r="D70" i="7"/>
  <c r="D71" i="7" s="1"/>
  <c r="F62" i="7"/>
  <c r="E62" i="7"/>
  <c r="D62" i="7"/>
  <c r="F45" i="7"/>
  <c r="E45" i="7"/>
  <c r="D45" i="7"/>
  <c r="F40" i="7"/>
  <c r="E40" i="7"/>
  <c r="D40" i="7"/>
  <c r="F38" i="7"/>
  <c r="E38" i="7"/>
  <c r="D38" i="7"/>
  <c r="F34" i="7"/>
  <c r="E34" i="7"/>
  <c r="D34" i="7"/>
  <c r="F32" i="7"/>
  <c r="E32" i="7"/>
  <c r="D32" i="7"/>
  <c r="F30" i="7"/>
  <c r="E30" i="7"/>
  <c r="D30" i="7"/>
  <c r="F11" i="7"/>
  <c r="E11" i="7"/>
  <c r="D11" i="7"/>
  <c r="J11" i="18" s="1"/>
  <c r="J15" i="18" s="1"/>
  <c r="J22" i="18" s="1"/>
  <c r="F263" i="6"/>
  <c r="E263" i="6"/>
  <c r="D263" i="6"/>
  <c r="E245" i="6"/>
  <c r="D245" i="6"/>
  <c r="F238" i="6"/>
  <c r="E238" i="6"/>
  <c r="D238" i="6"/>
  <c r="I238" i="18" s="1"/>
  <c r="I242" i="18" s="1"/>
  <c r="F232" i="6"/>
  <c r="E232" i="6"/>
  <c r="D232" i="6"/>
  <c r="F229" i="6"/>
  <c r="D229" i="6"/>
  <c r="F219" i="6"/>
  <c r="E219" i="6"/>
  <c r="D219" i="6"/>
  <c r="I219" i="18" s="1"/>
  <c r="I223" i="18" s="1"/>
  <c r="I230" i="18" s="1"/>
  <c r="D215" i="6"/>
  <c r="I215" i="18" s="1"/>
  <c r="F212" i="6"/>
  <c r="E212" i="6"/>
  <c r="F206" i="6"/>
  <c r="E206" i="6"/>
  <c r="D206" i="6"/>
  <c r="D144" i="6"/>
  <c r="E140" i="6" s="1"/>
  <c r="E144" i="6" s="1"/>
  <c r="F140" i="6" s="1"/>
  <c r="F144" i="6" s="1"/>
  <c r="G140" i="6" s="1"/>
  <c r="G144" i="6" s="1"/>
  <c r="H140" i="6" s="1"/>
  <c r="H144" i="6" s="1"/>
  <c r="I140" i="6" s="1"/>
  <c r="I144" i="6" s="1"/>
  <c r="J140" i="6" s="1"/>
  <c r="J144" i="6" s="1"/>
  <c r="K140" i="6" s="1"/>
  <c r="K144" i="6" s="1"/>
  <c r="D139" i="6"/>
  <c r="E135" i="6" s="1"/>
  <c r="E139" i="6" s="1"/>
  <c r="F135" i="6" s="1"/>
  <c r="F139" i="6" s="1"/>
  <c r="G135" i="6" s="1"/>
  <c r="G139" i="6" s="1"/>
  <c r="H135" i="6" s="1"/>
  <c r="H139" i="6" s="1"/>
  <c r="D134" i="6"/>
  <c r="E130" i="6" s="1"/>
  <c r="E134" i="6" s="1"/>
  <c r="F130" i="6" s="1"/>
  <c r="F134" i="6" s="1"/>
  <c r="G130" i="6" s="1"/>
  <c r="G134" i="6" s="1"/>
  <c r="H130" i="6" s="1"/>
  <c r="H134" i="6" s="1"/>
  <c r="D129" i="6"/>
  <c r="E125" i="6" s="1"/>
  <c r="E129" i="6" s="1"/>
  <c r="F125" i="6" s="1"/>
  <c r="F129" i="6" s="1"/>
  <c r="G125" i="6" s="1"/>
  <c r="G129" i="6" s="1"/>
  <c r="H125" i="6" s="1"/>
  <c r="H129" i="6" s="1"/>
  <c r="F122" i="6"/>
  <c r="F123" i="6" s="1"/>
  <c r="E122" i="6"/>
  <c r="E123" i="6" s="1"/>
  <c r="D122" i="6"/>
  <c r="D123" i="6" s="1"/>
  <c r="F88" i="6"/>
  <c r="E88" i="6"/>
  <c r="D88" i="6"/>
  <c r="D89" i="6" s="1"/>
  <c r="E84" i="6" s="1"/>
  <c r="E89" i="6" s="1"/>
  <c r="F84" i="6" s="1"/>
  <c r="F82" i="6"/>
  <c r="E82" i="6"/>
  <c r="D82" i="6"/>
  <c r="D83" i="6" s="1"/>
  <c r="E78" i="6" s="1"/>
  <c r="F76" i="6"/>
  <c r="F77" i="6" s="1"/>
  <c r="G72" i="6" s="1"/>
  <c r="E76" i="6"/>
  <c r="E77" i="6" s="1"/>
  <c r="F72" i="6" s="1"/>
  <c r="D76" i="6"/>
  <c r="D77" i="6" s="1"/>
  <c r="E72" i="6" s="1"/>
  <c r="F70" i="6"/>
  <c r="E70" i="6"/>
  <c r="D70" i="6"/>
  <c r="D71" i="6" s="1"/>
  <c r="E66" i="6" s="1"/>
  <c r="D62" i="6"/>
  <c r="E62" i="6"/>
  <c r="F62" i="6"/>
  <c r="P54" i="6"/>
  <c r="P55" i="6"/>
  <c r="P56" i="6"/>
  <c r="F51" i="6"/>
  <c r="F52" i="11" s="1"/>
  <c r="E51" i="6"/>
  <c r="E52" i="11" s="1"/>
  <c r="D51" i="6"/>
  <c r="F50" i="6"/>
  <c r="F50" i="11" s="1"/>
  <c r="E50" i="6"/>
  <c r="E50" i="11" s="1"/>
  <c r="D50" i="6"/>
  <c r="F40" i="6"/>
  <c r="E40" i="6"/>
  <c r="D40" i="6"/>
  <c r="F38" i="6"/>
  <c r="E38" i="6"/>
  <c r="D38" i="6"/>
  <c r="F34" i="6"/>
  <c r="E34" i="6"/>
  <c r="D34" i="6"/>
  <c r="F32" i="6"/>
  <c r="E32" i="6"/>
  <c r="D32" i="6"/>
  <c r="F30" i="6"/>
  <c r="E30" i="6"/>
  <c r="D30" i="6"/>
  <c r="F20" i="6"/>
  <c r="I20" i="18" s="1"/>
  <c r="D19" i="6"/>
  <c r="E17" i="6"/>
  <c r="I17" i="18" s="1"/>
  <c r="F11" i="6"/>
  <c r="E11" i="6"/>
  <c r="D11" i="6"/>
  <c r="I11" i="18" s="1"/>
  <c r="I15" i="18" s="1"/>
  <c r="F245" i="5"/>
  <c r="F245" i="11" s="1"/>
  <c r="E245" i="5"/>
  <c r="D245" i="5"/>
  <c r="F238" i="5"/>
  <c r="E238" i="5"/>
  <c r="D238" i="5"/>
  <c r="H238" i="18" s="1"/>
  <c r="H242" i="18" s="1"/>
  <c r="F232" i="5"/>
  <c r="E232" i="5"/>
  <c r="D232" i="5"/>
  <c r="H232" i="18" s="1"/>
  <c r="H236" i="18" s="1"/>
  <c r="F229" i="5"/>
  <c r="E229" i="5"/>
  <c r="D229" i="5"/>
  <c r="F219" i="5"/>
  <c r="E219" i="5"/>
  <c r="D219" i="5"/>
  <c r="H219" i="18" s="1"/>
  <c r="H223" i="18" s="1"/>
  <c r="D212" i="5"/>
  <c r="D144" i="5"/>
  <c r="E140" i="5" s="1"/>
  <c r="E144" i="5" s="1"/>
  <c r="F140" i="5" s="1"/>
  <c r="F144" i="5" s="1"/>
  <c r="G140" i="5" s="1"/>
  <c r="G144" i="5" s="1"/>
  <c r="H140" i="5" s="1"/>
  <c r="H144" i="5" s="1"/>
  <c r="D139" i="5"/>
  <c r="E135" i="5" s="1"/>
  <c r="E139" i="5" s="1"/>
  <c r="F135" i="5" s="1"/>
  <c r="F139" i="5" s="1"/>
  <c r="G135" i="5" s="1"/>
  <c r="G139" i="5" s="1"/>
  <c r="H135" i="5" s="1"/>
  <c r="H139" i="5" s="1"/>
  <c r="D134" i="5"/>
  <c r="E130" i="5" s="1"/>
  <c r="E134" i="5" s="1"/>
  <c r="F130" i="5" s="1"/>
  <c r="F134" i="5" s="1"/>
  <c r="G130" i="5" s="1"/>
  <c r="G134" i="5" s="1"/>
  <c r="H130" i="5" s="1"/>
  <c r="H134" i="5" s="1"/>
  <c r="D129" i="5"/>
  <c r="E125" i="5" s="1"/>
  <c r="E129" i="5" s="1"/>
  <c r="F125" i="5" s="1"/>
  <c r="F129" i="5" s="1"/>
  <c r="G125" i="5" s="1"/>
  <c r="G129" i="5" s="1"/>
  <c r="H125" i="5" s="1"/>
  <c r="H129" i="5" s="1"/>
  <c r="F122" i="5"/>
  <c r="F123" i="5" s="1"/>
  <c r="E122" i="5"/>
  <c r="E123" i="5" s="1"/>
  <c r="D121" i="5"/>
  <c r="D123" i="5" s="1"/>
  <c r="F88" i="5"/>
  <c r="E88" i="5"/>
  <c r="D88" i="5"/>
  <c r="D89" i="5" s="1"/>
  <c r="E84" i="5" s="1"/>
  <c r="F82" i="5"/>
  <c r="E82" i="5"/>
  <c r="D82" i="5"/>
  <c r="D83" i="5" s="1"/>
  <c r="E78" i="5" s="1"/>
  <c r="F76" i="5"/>
  <c r="F77" i="5" s="1"/>
  <c r="G72" i="5" s="1"/>
  <c r="E76" i="5"/>
  <c r="E77" i="5" s="1"/>
  <c r="F72" i="5" s="1"/>
  <c r="D76" i="5"/>
  <c r="D77" i="5" s="1"/>
  <c r="E72" i="5" s="1"/>
  <c r="F70" i="5"/>
  <c r="E70" i="5"/>
  <c r="D70" i="5"/>
  <c r="D71" i="5" s="1"/>
  <c r="E66" i="5" s="1"/>
  <c r="F62" i="5"/>
  <c r="E62" i="5"/>
  <c r="D62" i="5"/>
  <c r="E49" i="5"/>
  <c r="E49" i="11" s="1"/>
  <c r="D49" i="5"/>
  <c r="H49" i="18" s="1"/>
  <c r="F45" i="5"/>
  <c r="E45" i="5"/>
  <c r="D45" i="5"/>
  <c r="F40" i="5"/>
  <c r="E40" i="5"/>
  <c r="D40" i="5"/>
  <c r="F38" i="5"/>
  <c r="E38" i="5"/>
  <c r="D38" i="5"/>
  <c r="F34" i="5"/>
  <c r="E34" i="5"/>
  <c r="D34" i="5"/>
  <c r="F32" i="5"/>
  <c r="E32" i="5"/>
  <c r="D32" i="5"/>
  <c r="F30" i="5"/>
  <c r="E30" i="5"/>
  <c r="D30" i="5"/>
  <c r="D17" i="5"/>
  <c r="F11" i="5"/>
  <c r="E11" i="5"/>
  <c r="D11" i="5"/>
  <c r="H11" i="18" s="1"/>
  <c r="H15" i="18" s="1"/>
  <c r="D263" i="4"/>
  <c r="E245" i="4"/>
  <c r="D245" i="4"/>
  <c r="F238" i="4"/>
  <c r="E238" i="4"/>
  <c r="D238" i="4"/>
  <c r="F232" i="4"/>
  <c r="E232" i="4"/>
  <c r="D232" i="4"/>
  <c r="G232" i="18" s="1"/>
  <c r="G236" i="18" s="1"/>
  <c r="F221" i="4"/>
  <c r="F219" i="4"/>
  <c r="E219" i="4"/>
  <c r="D219" i="4"/>
  <c r="F215" i="4"/>
  <c r="D215" i="4"/>
  <c r="F206" i="4"/>
  <c r="E206" i="4"/>
  <c r="D206" i="4"/>
  <c r="G206" i="18" s="1"/>
  <c r="G210" i="18" s="1"/>
  <c r="F196" i="4"/>
  <c r="F196" i="11" s="1"/>
  <c r="E196" i="4"/>
  <c r="E196" i="11" s="1"/>
  <c r="D144" i="4"/>
  <c r="E140" i="4" s="1"/>
  <c r="E144" i="4" s="1"/>
  <c r="F140" i="4" s="1"/>
  <c r="F144" i="4" s="1"/>
  <c r="G140" i="4" s="1"/>
  <c r="G144" i="4" s="1"/>
  <c r="H140" i="4" s="1"/>
  <c r="H144" i="4" s="1"/>
  <c r="D139" i="4"/>
  <c r="E135" i="4" s="1"/>
  <c r="E139" i="4" s="1"/>
  <c r="F135" i="4" s="1"/>
  <c r="F139" i="4" s="1"/>
  <c r="G135" i="4" s="1"/>
  <c r="G139" i="4" s="1"/>
  <c r="H135" i="4" s="1"/>
  <c r="H139" i="4" s="1"/>
  <c r="D134" i="4"/>
  <c r="E130" i="4" s="1"/>
  <c r="E134" i="4" s="1"/>
  <c r="F130" i="4" s="1"/>
  <c r="F134" i="4" s="1"/>
  <c r="G130" i="4" s="1"/>
  <c r="G134" i="4" s="1"/>
  <c r="H130" i="4" s="1"/>
  <c r="H134" i="4" s="1"/>
  <c r="D129" i="4"/>
  <c r="E125" i="4" s="1"/>
  <c r="E129" i="4" s="1"/>
  <c r="F125" i="4" s="1"/>
  <c r="F129" i="4" s="1"/>
  <c r="G125" i="4" s="1"/>
  <c r="G129" i="4" s="1"/>
  <c r="H125" i="4" s="1"/>
  <c r="H129" i="4" s="1"/>
  <c r="E123" i="4"/>
  <c r="F122" i="4"/>
  <c r="F123" i="4" s="1"/>
  <c r="D122" i="4"/>
  <c r="D123" i="4" s="1"/>
  <c r="F88" i="4"/>
  <c r="E88" i="4"/>
  <c r="D88" i="4"/>
  <c r="D89" i="4" s="1"/>
  <c r="E84" i="4" s="1"/>
  <c r="F82" i="4"/>
  <c r="E82" i="4"/>
  <c r="D82" i="4"/>
  <c r="D83" i="4" s="1"/>
  <c r="E78" i="4" s="1"/>
  <c r="F76" i="4"/>
  <c r="F77" i="4" s="1"/>
  <c r="G72" i="4" s="1"/>
  <c r="E76" i="4"/>
  <c r="E77" i="4" s="1"/>
  <c r="F72" i="4" s="1"/>
  <c r="D76" i="4"/>
  <c r="D77" i="4" s="1"/>
  <c r="E72" i="4" s="1"/>
  <c r="F70" i="4"/>
  <c r="E70" i="4"/>
  <c r="D70" i="4"/>
  <c r="D71" i="4" s="1"/>
  <c r="E66" i="4" s="1"/>
  <c r="F62" i="4"/>
  <c r="E62" i="4"/>
  <c r="D62" i="4"/>
  <c r="F45" i="4"/>
  <c r="E45" i="4"/>
  <c r="D45" i="4"/>
  <c r="F40" i="4"/>
  <c r="E40" i="4"/>
  <c r="D40" i="4"/>
  <c r="F38" i="4"/>
  <c r="E38" i="4"/>
  <c r="D38" i="4"/>
  <c r="F34" i="4"/>
  <c r="E34" i="4"/>
  <c r="D34" i="4"/>
  <c r="F32" i="4"/>
  <c r="E32" i="4"/>
  <c r="D32" i="4"/>
  <c r="F30" i="4"/>
  <c r="E30" i="4"/>
  <c r="D30" i="4"/>
  <c r="F20" i="4"/>
  <c r="G20" i="18" s="1"/>
  <c r="E19" i="4"/>
  <c r="G19" i="18" s="1"/>
  <c r="F11" i="4"/>
  <c r="E11" i="4"/>
  <c r="D11" i="4"/>
  <c r="G11" i="18" s="1"/>
  <c r="G15" i="18" s="1"/>
  <c r="F263" i="3"/>
  <c r="E263" i="3"/>
  <c r="D263" i="3"/>
  <c r="F256" i="3"/>
  <c r="E256" i="3"/>
  <c r="D256" i="3"/>
  <c r="D258" i="3" s="1"/>
  <c r="F253" i="3"/>
  <c r="E253" i="3"/>
  <c r="D253" i="3"/>
  <c r="F253" i="18" s="1"/>
  <c r="E245" i="3"/>
  <c r="D245" i="3"/>
  <c r="F238" i="3"/>
  <c r="E238" i="3"/>
  <c r="D238" i="3"/>
  <c r="F232" i="3"/>
  <c r="E232" i="3"/>
  <c r="D232" i="3"/>
  <c r="F232" i="18" s="1"/>
  <c r="F236" i="18" s="1"/>
  <c r="E223" i="3"/>
  <c r="F223" i="3"/>
  <c r="D223" i="3"/>
  <c r="F219" i="3"/>
  <c r="E219" i="3"/>
  <c r="D219" i="3"/>
  <c r="F215" i="3"/>
  <c r="E215" i="3"/>
  <c r="D215" i="3"/>
  <c r="F215" i="18" s="1"/>
  <c r="F212" i="3"/>
  <c r="F212" i="18" s="1"/>
  <c r="F206" i="3"/>
  <c r="E206" i="3"/>
  <c r="D206" i="3"/>
  <c r="F195" i="3"/>
  <c r="D144" i="3"/>
  <c r="E140" i="3" s="1"/>
  <c r="E144" i="3" s="1"/>
  <c r="F140" i="3" s="1"/>
  <c r="F144" i="3" s="1"/>
  <c r="G140" i="3" s="1"/>
  <c r="G144" i="3" s="1"/>
  <c r="H140" i="3" s="1"/>
  <c r="H144" i="3" s="1"/>
  <c r="I140" i="3" s="1"/>
  <c r="I144" i="3" s="1"/>
  <c r="J140" i="3" s="1"/>
  <c r="D139" i="3"/>
  <c r="E135" i="3"/>
  <c r="E139" i="3" s="1"/>
  <c r="F135" i="3" s="1"/>
  <c r="F139" i="3" s="1"/>
  <c r="G135" i="3" s="1"/>
  <c r="G139" i="3" s="1"/>
  <c r="H135" i="3" s="1"/>
  <c r="H139" i="3" s="1"/>
  <c r="D134" i="3"/>
  <c r="E130" i="3" s="1"/>
  <c r="E134" i="3" s="1"/>
  <c r="F130" i="3" s="1"/>
  <c r="F134" i="3" s="1"/>
  <c r="G130" i="3" s="1"/>
  <c r="G134" i="3" s="1"/>
  <c r="H130" i="3" s="1"/>
  <c r="H134" i="3" s="1"/>
  <c r="D129" i="3"/>
  <c r="E125" i="3" s="1"/>
  <c r="E129" i="3" s="1"/>
  <c r="F125" i="3" s="1"/>
  <c r="F129" i="3" s="1"/>
  <c r="G125" i="3" s="1"/>
  <c r="G129" i="3" s="1"/>
  <c r="H125" i="3" s="1"/>
  <c r="H129" i="3" s="1"/>
  <c r="F122" i="3"/>
  <c r="F123" i="3" s="1"/>
  <c r="E122" i="3"/>
  <c r="E123" i="3" s="1"/>
  <c r="D122" i="3"/>
  <c r="D121" i="3"/>
  <c r="F88" i="3"/>
  <c r="E88" i="3"/>
  <c r="D88" i="3"/>
  <c r="D89" i="3" s="1"/>
  <c r="E84" i="3" s="1"/>
  <c r="F82" i="3"/>
  <c r="E82" i="3"/>
  <c r="D82" i="3"/>
  <c r="D83" i="3" s="1"/>
  <c r="E78" i="3" s="1"/>
  <c r="E83" i="3" s="1"/>
  <c r="F78" i="3" s="1"/>
  <c r="F76" i="3"/>
  <c r="F77" i="3" s="1"/>
  <c r="E76" i="3"/>
  <c r="E77" i="3" s="1"/>
  <c r="F72" i="3" s="1"/>
  <c r="D76" i="3"/>
  <c r="D77" i="3" s="1"/>
  <c r="E72" i="3" s="1"/>
  <c r="F70" i="3"/>
  <c r="E70" i="3"/>
  <c r="D70" i="3"/>
  <c r="D71" i="3" s="1"/>
  <c r="E66" i="3" s="1"/>
  <c r="F62" i="3"/>
  <c r="E62" i="3"/>
  <c r="D62" i="3"/>
  <c r="F51" i="3"/>
  <c r="E51" i="3"/>
  <c r="E51" i="11" s="1"/>
  <c r="D51" i="3"/>
  <c r="F51" i="18" s="1"/>
  <c r="D46" i="3"/>
  <c r="F45" i="3"/>
  <c r="E45" i="3"/>
  <c r="D45" i="3"/>
  <c r="F40" i="3"/>
  <c r="E40" i="3"/>
  <c r="D40" i="3"/>
  <c r="F38" i="3"/>
  <c r="E38" i="3"/>
  <c r="D38" i="3"/>
  <c r="F34" i="3"/>
  <c r="E34" i="3"/>
  <c r="D34" i="3"/>
  <c r="F32" i="3"/>
  <c r="E32" i="3"/>
  <c r="D32" i="3"/>
  <c r="F30" i="3"/>
  <c r="E30" i="3"/>
  <c r="D30" i="3"/>
  <c r="D20" i="3"/>
  <c r="F20" i="18" s="1"/>
  <c r="E19" i="3"/>
  <c r="F19" i="18" s="1"/>
  <c r="F21" i="18" s="1"/>
  <c r="F11" i="3"/>
  <c r="E11" i="3"/>
  <c r="D11" i="3"/>
  <c r="F263" i="2"/>
  <c r="E263" i="2"/>
  <c r="D263" i="2"/>
  <c r="F256" i="2"/>
  <c r="E256" i="2"/>
  <c r="D256" i="2"/>
  <c r="D258" i="2" s="1"/>
  <c r="F253" i="2"/>
  <c r="E253" i="2"/>
  <c r="D253" i="2"/>
  <c r="F221" i="11" l="1"/>
  <c r="G221" i="18"/>
  <c r="D212" i="11"/>
  <c r="H212" i="18"/>
  <c r="H216" i="18" s="1"/>
  <c r="H217" i="18" s="1"/>
  <c r="E94" i="7"/>
  <c r="E95" i="7" s="1"/>
  <c r="I54" i="2"/>
  <c r="I54" i="11" s="1"/>
  <c r="E54" i="18"/>
  <c r="H230" i="18"/>
  <c r="H243" i="18" s="1"/>
  <c r="H250" i="18"/>
  <c r="H251" i="18"/>
  <c r="G55" i="11"/>
  <c r="E55" i="18"/>
  <c r="G206" i="11"/>
  <c r="D123" i="3"/>
  <c r="F195" i="11"/>
  <c r="F195" i="18"/>
  <c r="F219" i="18"/>
  <c r="F223" i="18" s="1"/>
  <c r="F230" i="18" s="1"/>
  <c r="F243" i="18" s="1"/>
  <c r="D49" i="11"/>
  <c r="G215" i="11"/>
  <c r="F83" i="3"/>
  <c r="G78" i="3" s="1"/>
  <c r="G83" i="3" s="1"/>
  <c r="H78" i="3" s="1"/>
  <c r="H83" i="3" s="1"/>
  <c r="F206" i="18"/>
  <c r="F210" i="18" s="1"/>
  <c r="F238" i="18"/>
  <c r="F242" i="18" s="1"/>
  <c r="G215" i="18"/>
  <c r="G216" i="18" s="1"/>
  <c r="G217" i="18" s="1"/>
  <c r="G219" i="11"/>
  <c r="G21" i="18"/>
  <c r="G22" i="18" s="1"/>
  <c r="E89" i="4"/>
  <c r="F84" i="4" s="1"/>
  <c r="F89" i="4" s="1"/>
  <c r="G238" i="18"/>
  <c r="G242" i="18" s="1"/>
  <c r="I206" i="18"/>
  <c r="I210" i="18" s="1"/>
  <c r="E253" i="18"/>
  <c r="K56" i="3"/>
  <c r="K56" i="11" s="1"/>
  <c r="F56" i="18"/>
  <c r="G219" i="18"/>
  <c r="G223" i="18" s="1"/>
  <c r="G230" i="18" s="1"/>
  <c r="D17" i="11"/>
  <c r="H17" i="18"/>
  <c r="H21" i="18" s="1"/>
  <c r="H22" i="18" s="1"/>
  <c r="H24" i="18" s="1"/>
  <c r="H25" i="18" s="1"/>
  <c r="F11" i="18"/>
  <c r="F15" i="18" s="1"/>
  <c r="F22" i="18" s="1"/>
  <c r="F24" i="18" s="1"/>
  <c r="F25" i="18" s="1"/>
  <c r="D47" i="3"/>
  <c r="F216" i="18"/>
  <c r="F217" i="18" s="1"/>
  <c r="G94" i="1"/>
  <c r="G122" i="11"/>
  <c r="D50" i="11"/>
  <c r="I50" i="18"/>
  <c r="D52" i="11"/>
  <c r="I51" i="18"/>
  <c r="D19" i="11"/>
  <c r="I19" i="18"/>
  <c r="I21" i="18" s="1"/>
  <c r="I22" i="18" s="1"/>
  <c r="I24" i="18" s="1"/>
  <c r="I25" i="18" s="1"/>
  <c r="I250" i="18"/>
  <c r="I251" i="18"/>
  <c r="E83" i="6"/>
  <c r="F78" i="6" s="1"/>
  <c r="F83" i="6" s="1"/>
  <c r="G78" i="6" s="1"/>
  <c r="G83" i="6" s="1"/>
  <c r="H78" i="6" s="1"/>
  <c r="I212" i="18"/>
  <c r="I216" i="18" s="1"/>
  <c r="I217" i="18" s="1"/>
  <c r="I232" i="18"/>
  <c r="I236" i="18" s="1"/>
  <c r="I243" i="18" s="1"/>
  <c r="D94" i="7"/>
  <c r="J219" i="18"/>
  <c r="J223" i="18" s="1"/>
  <c r="J230" i="18" s="1"/>
  <c r="J243" i="18" s="1"/>
  <c r="J216" i="18"/>
  <c r="F212" i="11"/>
  <c r="E212" i="11"/>
  <c r="J217" i="18"/>
  <c r="J251" i="18"/>
  <c r="J5" i="18"/>
  <c r="J24" i="18"/>
  <c r="J25" i="18" s="1"/>
  <c r="G11" i="11"/>
  <c r="G232" i="11"/>
  <c r="G238" i="11"/>
  <c r="F71" i="8"/>
  <c r="G66" i="8" s="1"/>
  <c r="G71" i="8" s="1"/>
  <c r="E89" i="8"/>
  <c r="F84" i="8" s="1"/>
  <c r="F89" i="8" s="1"/>
  <c r="G84" i="8" s="1"/>
  <c r="G89" i="8" s="1"/>
  <c r="E83" i="8"/>
  <c r="F78" i="8" s="1"/>
  <c r="F83" i="8" s="1"/>
  <c r="G78" i="8" s="1"/>
  <c r="G83" i="8" s="1"/>
  <c r="P9" i="11"/>
  <c r="P175" i="11"/>
  <c r="G54" i="11"/>
  <c r="G216" i="2"/>
  <c r="E71" i="6"/>
  <c r="F66" i="6" s="1"/>
  <c r="F94" i="7"/>
  <c r="F95" i="7" s="1"/>
  <c r="F71" i="6"/>
  <c r="G66" i="6" s="1"/>
  <c r="G71" i="6" s="1"/>
  <c r="H66" i="6" s="1"/>
  <c r="H71" i="6" s="1"/>
  <c r="I66" i="6" s="1"/>
  <c r="I71" i="6" s="1"/>
  <c r="J66" i="6" s="1"/>
  <c r="J71" i="6" s="1"/>
  <c r="K66" i="6" s="1"/>
  <c r="K71" i="6" s="1"/>
  <c r="D51" i="11"/>
  <c r="F89" i="6"/>
  <c r="G84" i="6" s="1"/>
  <c r="G89" i="6" s="1"/>
  <c r="H84" i="6" s="1"/>
  <c r="H89" i="6" s="1"/>
  <c r="N144" i="11"/>
  <c r="F51" i="11"/>
  <c r="E83" i="5"/>
  <c r="F78" i="5" s="1"/>
  <c r="F83" i="5" s="1"/>
  <c r="G78" i="5" s="1"/>
  <c r="G83" i="5" s="1"/>
  <c r="H78" i="5" s="1"/>
  <c r="H83" i="5" s="1"/>
  <c r="E71" i="5"/>
  <c r="F66" i="5" s="1"/>
  <c r="F71" i="5" s="1"/>
  <c r="G66" i="5" s="1"/>
  <c r="G71" i="5" s="1"/>
  <c r="H66" i="5" s="1"/>
  <c r="H71" i="5" s="1"/>
  <c r="I66" i="5" s="1"/>
  <c r="E89" i="5"/>
  <c r="F84" i="5" s="1"/>
  <c r="F89" i="5" s="1"/>
  <c r="G84" i="5" s="1"/>
  <c r="G89" i="5" s="1"/>
  <c r="H84" i="5" s="1"/>
  <c r="H89" i="5" s="1"/>
  <c r="E83" i="4"/>
  <c r="F78" i="4" s="1"/>
  <c r="F83" i="4" s="1"/>
  <c r="G78" i="4" s="1"/>
  <c r="E71" i="4"/>
  <c r="F66" i="4" s="1"/>
  <c r="F71" i="4" s="1"/>
  <c r="G66" i="4" s="1"/>
  <c r="G71" i="4" s="1"/>
  <c r="H66" i="4" s="1"/>
  <c r="H71" i="4" s="1"/>
  <c r="I66" i="4" s="1"/>
  <c r="I71" i="4" s="1"/>
  <c r="J66" i="4" s="1"/>
  <c r="J71" i="4" s="1"/>
  <c r="K66" i="4" s="1"/>
  <c r="K71" i="4" s="1"/>
  <c r="H30" i="11"/>
  <c r="N30" i="11"/>
  <c r="I30" i="11"/>
  <c r="M45" i="11"/>
  <c r="E45" i="11"/>
  <c r="M144" i="11"/>
  <c r="L45" i="11"/>
  <c r="K45" i="11"/>
  <c r="N45" i="11"/>
  <c r="J45" i="11"/>
  <c r="F30" i="11"/>
  <c r="F45" i="11"/>
  <c r="E71" i="3"/>
  <c r="F66" i="3" s="1"/>
  <c r="F71" i="3" s="1"/>
  <c r="G66" i="3" s="1"/>
  <c r="G71" i="3" s="1"/>
  <c r="H66" i="3" s="1"/>
  <c r="H71" i="3" s="1"/>
  <c r="I66" i="3" s="1"/>
  <c r="I71" i="3" s="1"/>
  <c r="J66" i="3" s="1"/>
  <c r="J71" i="3" s="1"/>
  <c r="K66" i="3" s="1"/>
  <c r="K71" i="3" s="1"/>
  <c r="E89" i="3"/>
  <c r="F84" i="3" s="1"/>
  <c r="F89" i="3" s="1"/>
  <c r="G84" i="3" s="1"/>
  <c r="G89" i="3" s="1"/>
  <c r="H84" i="3" s="1"/>
  <c r="H89" i="3" s="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D95" i="7"/>
  <c r="I90" i="5" l="1"/>
  <c r="I95" i="5" s="1"/>
  <c r="I71" i="5"/>
  <c r="J66" i="5" s="1"/>
  <c r="J71" i="5" s="1"/>
  <c r="G24" i="18"/>
  <c r="G25" i="18" s="1"/>
  <c r="G243" i="18"/>
  <c r="F250" i="18"/>
  <c r="F251" i="18"/>
  <c r="G250" i="18"/>
  <c r="G251" i="18"/>
  <c r="J250" i="18"/>
  <c r="D246" i="2"/>
  <c r="D245" i="2" s="1"/>
  <c r="E245" i="2"/>
  <c r="F238" i="2" l="1"/>
  <c r="E238" i="2"/>
  <c r="D238" i="2"/>
  <c r="E238" i="18" s="1"/>
  <c r="E242" i="18" s="1"/>
  <c r="F232" i="2"/>
  <c r="E232" i="2"/>
  <c r="D232" i="2"/>
  <c r="E232" i="18" s="1"/>
  <c r="E236" i="18" s="1"/>
  <c r="E223" i="2"/>
  <c r="F219" i="2"/>
  <c r="F223" i="2" s="1"/>
  <c r="E219" i="2"/>
  <c r="D219" i="2"/>
  <c r="F215" i="2"/>
  <c r="E215" i="2"/>
  <c r="D215" i="2"/>
  <c r="E215" i="18" s="1"/>
  <c r="E216" i="18" s="1"/>
  <c r="F206" i="2"/>
  <c r="E206" i="2"/>
  <c r="D206" i="2"/>
  <c r="E193" i="2"/>
  <c r="F193" i="2"/>
  <c r="D193" i="2"/>
  <c r="D144" i="2"/>
  <c r="E140" i="2" s="1"/>
  <c r="E144" i="2" s="1"/>
  <c r="F140" i="2" s="1"/>
  <c r="F144" i="2" s="1"/>
  <c r="G140" i="2" s="1"/>
  <c r="D139" i="2"/>
  <c r="E135" i="2" s="1"/>
  <c r="E139" i="2" s="1"/>
  <c r="F135" i="2" s="1"/>
  <c r="F139" i="2" s="1"/>
  <c r="G135" i="2" s="1"/>
  <c r="D134" i="2"/>
  <c r="E130" i="2" s="1"/>
  <c r="E134" i="2" s="1"/>
  <c r="F130" i="2" s="1"/>
  <c r="F134" i="2" s="1"/>
  <c r="G130" i="2" s="1"/>
  <c r="D129" i="2"/>
  <c r="E125" i="2" s="1"/>
  <c r="F122" i="2"/>
  <c r="F123" i="2" s="1"/>
  <c r="E122" i="2"/>
  <c r="E123" i="2" s="1"/>
  <c r="D122" i="2"/>
  <c r="D121" i="2"/>
  <c r="F88" i="2"/>
  <c r="E88" i="2"/>
  <c r="D88" i="2"/>
  <c r="D89" i="2" s="1"/>
  <c r="E84" i="2" s="1"/>
  <c r="F82" i="2"/>
  <c r="E82" i="2"/>
  <c r="D82" i="2"/>
  <c r="D83" i="2" s="1"/>
  <c r="E78" i="2" s="1"/>
  <c r="F76" i="2"/>
  <c r="F77" i="2" s="1"/>
  <c r="G72" i="2" s="1"/>
  <c r="E76" i="2"/>
  <c r="E77" i="2" s="1"/>
  <c r="F72" i="2" s="1"/>
  <c r="D76" i="2"/>
  <c r="D77" i="2" s="1"/>
  <c r="E72" i="2" s="1"/>
  <c r="F70" i="2"/>
  <c r="E70" i="2"/>
  <c r="D70" i="2"/>
  <c r="D71" i="2" s="1"/>
  <c r="E66" i="2" s="1"/>
  <c r="F62" i="2"/>
  <c r="E62" i="2"/>
  <c r="D62" i="2"/>
  <c r="D46" i="2"/>
  <c r="F45" i="2"/>
  <c r="E45" i="2"/>
  <c r="D45" i="2"/>
  <c r="F40" i="2"/>
  <c r="E40" i="2"/>
  <c r="D40" i="2"/>
  <c r="F38" i="2"/>
  <c r="E38" i="2"/>
  <c r="D38" i="2"/>
  <c r="F34" i="2"/>
  <c r="E34" i="2"/>
  <c r="D34" i="2"/>
  <c r="F32" i="2"/>
  <c r="E32" i="2"/>
  <c r="D32" i="2"/>
  <c r="F30" i="2"/>
  <c r="E30" i="2"/>
  <c r="D30" i="2"/>
  <c r="F20" i="2"/>
  <c r="E20" i="2"/>
  <c r="E20" i="11" s="1"/>
  <c r="D20" i="2"/>
  <c r="E17" i="2"/>
  <c r="F11" i="2"/>
  <c r="F11" i="11" s="1"/>
  <c r="E11" i="2"/>
  <c r="D11" i="2"/>
  <c r="E11" i="18" s="1"/>
  <c r="E15" i="18" s="1"/>
  <c r="E17" i="11" l="1"/>
  <c r="E17" i="18"/>
  <c r="E83" i="2"/>
  <c r="F78" i="2" s="1"/>
  <c r="F83" i="2" s="1"/>
  <c r="G78" i="2" s="1"/>
  <c r="E20" i="18"/>
  <c r="E206" i="18"/>
  <c r="E210" i="18" s="1"/>
  <c r="D47" i="2"/>
  <c r="D223" i="2"/>
  <c r="E219" i="18"/>
  <c r="E223" i="18" s="1"/>
  <c r="E230" i="18" s="1"/>
  <c r="E243" i="18" s="1"/>
  <c r="E71" i="2"/>
  <c r="F66" i="2" s="1"/>
  <c r="F71" i="2" s="1"/>
  <c r="G66" i="2" s="1"/>
  <c r="G134" i="2"/>
  <c r="H130" i="2" s="1"/>
  <c r="G83" i="2"/>
  <c r="H78" i="2" s="1"/>
  <c r="G139" i="2"/>
  <c r="H135" i="2" s="1"/>
  <c r="D123" i="2"/>
  <c r="G71" i="2"/>
  <c r="H66" i="2" s="1"/>
  <c r="E89" i="2"/>
  <c r="F84" i="2" s="1"/>
  <c r="F89" i="2" s="1"/>
  <c r="G84" i="2" s="1"/>
  <c r="G144" i="2"/>
  <c r="H140" i="2" s="1"/>
  <c r="E129" i="2"/>
  <c r="F125" i="2" s="1"/>
  <c r="E125" i="11"/>
  <c r="G263" i="1"/>
  <c r="J263" i="1"/>
  <c r="K263" i="1"/>
  <c r="L263" i="1"/>
  <c r="M263" i="1"/>
  <c r="N263" i="1"/>
  <c r="F263" i="1"/>
  <c r="E263" i="1"/>
  <c r="D263" i="1"/>
  <c r="F258" i="1"/>
  <c r="E258" i="1"/>
  <c r="D258" i="1"/>
  <c r="F253" i="1"/>
  <c r="F253" i="11" s="1"/>
  <c r="E253" i="1"/>
  <c r="E253" i="11" s="1"/>
  <c r="D253" i="1"/>
  <c r="D246" i="1"/>
  <c r="D246" i="11" s="1"/>
  <c r="E245" i="1"/>
  <c r="E245" i="11" s="1"/>
  <c r="D245" i="1"/>
  <c r="D245" i="11" s="1"/>
  <c r="F238" i="1"/>
  <c r="F238" i="11" s="1"/>
  <c r="E238" i="1"/>
  <c r="E238" i="11" s="1"/>
  <c r="D238" i="1"/>
  <c r="F232" i="1"/>
  <c r="F232" i="11" s="1"/>
  <c r="E232" i="1"/>
  <c r="E232" i="11" s="1"/>
  <c r="D232" i="1"/>
  <c r="F220" i="1"/>
  <c r="F219" i="1"/>
  <c r="E219" i="1"/>
  <c r="E219" i="11" s="1"/>
  <c r="D219" i="1"/>
  <c r="F215" i="1"/>
  <c r="F215" i="11" s="1"/>
  <c r="E215" i="1"/>
  <c r="E215" i="11" s="1"/>
  <c r="D215" i="1"/>
  <c r="F206" i="1"/>
  <c r="F206" i="11" s="1"/>
  <c r="E206" i="1"/>
  <c r="E206" i="11" s="1"/>
  <c r="D206" i="1"/>
  <c r="F204" i="1"/>
  <c r="E204" i="1"/>
  <c r="D204" i="1"/>
  <c r="F148" i="1"/>
  <c r="E148" i="1"/>
  <c r="D148" i="1"/>
  <c r="F147" i="1"/>
  <c r="E147" i="1"/>
  <c r="D147" i="1"/>
  <c r="F146" i="1"/>
  <c r="E146" i="1"/>
  <c r="D146" i="1"/>
  <c r="D145" i="1"/>
  <c r="D144" i="1"/>
  <c r="E140" i="1" s="1"/>
  <c r="D139" i="1"/>
  <c r="E135" i="1" s="1"/>
  <c r="D134" i="1"/>
  <c r="E130" i="1" s="1"/>
  <c r="F122" i="1"/>
  <c r="F122" i="11" s="1"/>
  <c r="E122" i="1"/>
  <c r="E122" i="11" s="1"/>
  <c r="D122" i="1"/>
  <c r="D121" i="1"/>
  <c r="D121" i="11" s="1"/>
  <c r="F88" i="1"/>
  <c r="E88" i="1"/>
  <c r="D88" i="1"/>
  <c r="D89" i="1" s="1"/>
  <c r="E84" i="1" s="1"/>
  <c r="F82" i="1"/>
  <c r="E82" i="1"/>
  <c r="D82" i="1"/>
  <c r="D83" i="1" s="1"/>
  <c r="E78" i="1" s="1"/>
  <c r="F76" i="1"/>
  <c r="E76" i="1"/>
  <c r="D76" i="1"/>
  <c r="D77" i="1" s="1"/>
  <c r="E72" i="1" s="1"/>
  <c r="F70" i="1"/>
  <c r="E70" i="1"/>
  <c r="D70" i="1"/>
  <c r="D71" i="1" s="1"/>
  <c r="E66" i="1" s="1"/>
  <c r="F62" i="1"/>
  <c r="E62" i="1"/>
  <c r="D62" i="1"/>
  <c r="F46" i="1"/>
  <c r="E46" i="1"/>
  <c r="D46" i="1"/>
  <c r="D46" i="18" s="1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F20" i="1"/>
  <c r="F20" i="11" s="1"/>
  <c r="D20" i="1"/>
  <c r="E19" i="1"/>
  <c r="E11" i="1"/>
  <c r="E11" i="11" s="1"/>
  <c r="D11" i="1"/>
  <c r="E251" i="18" l="1"/>
  <c r="E217" i="18"/>
  <c r="E250" i="18"/>
  <c r="E21" i="18"/>
  <c r="E22" i="18" s="1"/>
  <c r="E24" i="18" s="1"/>
  <c r="E25" i="18" s="1"/>
  <c r="D253" i="11"/>
  <c r="D253" i="18"/>
  <c r="D20" i="11"/>
  <c r="D20" i="18"/>
  <c r="E123" i="1"/>
  <c r="D219" i="11"/>
  <c r="D219" i="18"/>
  <c r="D238" i="11"/>
  <c r="D238" i="18"/>
  <c r="F123" i="1"/>
  <c r="D47" i="18"/>
  <c r="D58" i="18"/>
  <c r="D206" i="11"/>
  <c r="D206" i="18"/>
  <c r="F219" i="11"/>
  <c r="F223" i="1"/>
  <c r="D11" i="11"/>
  <c r="D11" i="18"/>
  <c r="F220" i="11"/>
  <c r="D220" i="18"/>
  <c r="E223" i="1"/>
  <c r="E19" i="11"/>
  <c r="D19" i="18"/>
  <c r="D215" i="11"/>
  <c r="D215" i="18"/>
  <c r="D232" i="11"/>
  <c r="D232" i="18"/>
  <c r="H139" i="2"/>
  <c r="H71" i="2"/>
  <c r="I66" i="2" s="1"/>
  <c r="H144" i="2"/>
  <c r="I140" i="2" s="1"/>
  <c r="H83" i="2"/>
  <c r="G89" i="2"/>
  <c r="H84" i="2" s="1"/>
  <c r="H90" i="2" s="1"/>
  <c r="H134" i="2"/>
  <c r="F129" i="2"/>
  <c r="G125" i="2" s="1"/>
  <c r="F125" i="11"/>
  <c r="F47" i="1"/>
  <c r="E144" i="1"/>
  <c r="F140" i="1" s="1"/>
  <c r="E140" i="11"/>
  <c r="E144" i="11" s="1"/>
  <c r="D123" i="1"/>
  <c r="D122" i="11"/>
  <c r="D149" i="1"/>
  <c r="E71" i="1"/>
  <c r="F66" i="1" s="1"/>
  <c r="E66" i="11"/>
  <c r="D47" i="1"/>
  <c r="E134" i="1"/>
  <c r="F130" i="1" s="1"/>
  <c r="G125" i="1" s="1"/>
  <c r="G129" i="1" s="1"/>
  <c r="E130" i="11"/>
  <c r="E47" i="1"/>
  <c r="E77" i="1"/>
  <c r="F72" i="1" s="1"/>
  <c r="E72" i="11"/>
  <c r="E139" i="1"/>
  <c r="F135" i="1" s="1"/>
  <c r="E135" i="11"/>
  <c r="E83" i="1"/>
  <c r="F78" i="1" s="1"/>
  <c r="E78" i="11"/>
  <c r="E145" i="1"/>
  <c r="E149" i="1" s="1"/>
  <c r="D223" i="1"/>
  <c r="D230" i="1" s="1"/>
  <c r="E89" i="1"/>
  <c r="F84" i="1" s="1"/>
  <c r="E84" i="11"/>
  <c r="F46" i="8"/>
  <c r="D223" i="18" l="1"/>
  <c r="D210" i="18"/>
  <c r="D59" i="18"/>
  <c r="D236" i="18"/>
  <c r="D21" i="18"/>
  <c r="D15" i="18"/>
  <c r="D216" i="18"/>
  <c r="D242" i="18"/>
  <c r="G129" i="2"/>
  <c r="H125" i="2" s="1"/>
  <c r="G125" i="11"/>
  <c r="I71" i="2"/>
  <c r="J66" i="2" s="1"/>
  <c r="H89" i="2"/>
  <c r="F89" i="1"/>
  <c r="G84" i="1" s="1"/>
  <c r="F84" i="11"/>
  <c r="F77" i="1"/>
  <c r="G72" i="1" s="1"/>
  <c r="F72" i="11"/>
  <c r="F71" i="1"/>
  <c r="G66" i="1" s="1"/>
  <c r="F66" i="11"/>
  <c r="F83" i="1"/>
  <c r="G78" i="1" s="1"/>
  <c r="F78" i="11"/>
  <c r="F134" i="1"/>
  <c r="G130" i="1" s="1"/>
  <c r="F130" i="11"/>
  <c r="F145" i="1"/>
  <c r="F149" i="1" s="1"/>
  <c r="F144" i="1"/>
  <c r="G140" i="1" s="1"/>
  <c r="F140" i="11"/>
  <c r="F144" i="11" s="1"/>
  <c r="F139" i="1"/>
  <c r="G135" i="1" s="1"/>
  <c r="F135" i="11"/>
  <c r="E46" i="8"/>
  <c r="G139" i="1" l="1"/>
  <c r="H135" i="1" s="1"/>
  <c r="G135" i="11"/>
  <c r="G71" i="1"/>
  <c r="H66" i="1" s="1"/>
  <c r="G90" i="1"/>
  <c r="G66" i="11"/>
  <c r="D250" i="18"/>
  <c r="D217" i="18"/>
  <c r="D251" i="18"/>
  <c r="G77" i="1"/>
  <c r="H72" i="1" s="1"/>
  <c r="G72" i="11"/>
  <c r="G83" i="1"/>
  <c r="H78" i="1" s="1"/>
  <c r="G78" i="11"/>
  <c r="G144" i="1"/>
  <c r="H140" i="1" s="1"/>
  <c r="G140" i="11"/>
  <c r="G144" i="11" s="1"/>
  <c r="D22" i="18"/>
  <c r="G134" i="1"/>
  <c r="H130" i="1" s="1"/>
  <c r="H125" i="1"/>
  <c r="H129" i="1" s="1"/>
  <c r="G130" i="11"/>
  <c r="G89" i="1"/>
  <c r="H84" i="1" s="1"/>
  <c r="G84" i="11"/>
  <c r="D230" i="18"/>
  <c r="H129" i="2"/>
  <c r="D46" i="8"/>
  <c r="K46" i="18" s="1"/>
  <c r="H83" i="1" l="1"/>
  <c r="I78" i="1" s="1"/>
  <c r="H78" i="11"/>
  <c r="H89" i="1"/>
  <c r="H84" i="11"/>
  <c r="H125" i="11"/>
  <c r="D24" i="18"/>
  <c r="D60" i="18"/>
  <c r="H71" i="1"/>
  <c r="I66" i="1" s="1"/>
  <c r="H66" i="11"/>
  <c r="H77" i="1"/>
  <c r="I72" i="1" s="1"/>
  <c r="I72" i="11" s="1"/>
  <c r="H72" i="11"/>
  <c r="D243" i="18"/>
  <c r="D249" i="18" s="1"/>
  <c r="H134" i="1"/>
  <c r="H130" i="11"/>
  <c r="H144" i="1"/>
  <c r="I140" i="1" s="1"/>
  <c r="H140" i="11"/>
  <c r="H144" i="11" s="1"/>
  <c r="H139" i="1"/>
  <c r="H135" i="11"/>
  <c r="K47" i="18"/>
  <c r="K58" i="18"/>
  <c r="D90" i="1"/>
  <c r="D25" i="18" l="1"/>
  <c r="I144" i="1"/>
  <c r="J140" i="1" s="1"/>
  <c r="I140" i="11"/>
  <c r="I144" i="11" s="1"/>
  <c r="I71" i="1"/>
  <c r="J66" i="1" s="1"/>
  <c r="J66" i="11" s="1"/>
  <c r="I66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P196" i="6" l="1"/>
  <c r="P246" i="8" l="1"/>
  <c r="P245" i="8"/>
  <c r="P246" i="6"/>
  <c r="P245" i="6"/>
  <c r="P246" i="5"/>
  <c r="P245" i="5"/>
  <c r="P246" i="4"/>
  <c r="P245" i="4"/>
  <c r="P246" i="3"/>
  <c r="P245" i="3"/>
  <c r="P246" i="7"/>
  <c r="P245" i="7"/>
  <c r="P246" i="2"/>
  <c r="P245" i="2"/>
  <c r="P246" i="1"/>
  <c r="P245" i="1"/>
  <c r="J143" i="16" l="1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K50" i="12"/>
  <c r="D51" i="12"/>
  <c r="E51" i="12"/>
  <c r="F51" i="12"/>
  <c r="G51" i="12"/>
  <c r="H51" i="12"/>
  <c r="I51" i="12"/>
  <c r="J51" i="12"/>
  <c r="K51" i="12"/>
  <c r="K52" i="12"/>
  <c r="P88" i="6"/>
  <c r="I89" i="6"/>
  <c r="J89" i="6"/>
  <c r="K89" i="6"/>
  <c r="L89" i="6"/>
  <c r="N89" i="6"/>
  <c r="P88" i="5"/>
  <c r="P86" i="4"/>
  <c r="I76" i="1"/>
  <c r="I77" i="1" s="1"/>
  <c r="J76" i="1"/>
  <c r="K76" i="1"/>
  <c r="K77" i="1" s="1"/>
  <c r="M76" i="1"/>
  <c r="M77" i="1" s="1"/>
  <c r="N76" i="1"/>
  <c r="N77" i="1" s="1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G82" i="16" s="1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D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D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N92" i="1"/>
  <c r="P80" i="1"/>
  <c r="J88" i="16" l="1"/>
  <c r="J89" i="16" s="1"/>
  <c r="E88" i="16"/>
  <c r="E89" i="16" s="1"/>
  <c r="J144" i="16"/>
  <c r="I88" i="16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9" i="16"/>
  <c r="I83" i="16"/>
  <c r="I90" i="16"/>
  <c r="H90" i="16"/>
  <c r="G83" i="16"/>
  <c r="G77" i="16"/>
  <c r="G90" i="16"/>
  <c r="F89" i="16"/>
  <c r="F82" i="16"/>
  <c r="F83" i="16" s="1"/>
  <c r="F77" i="16"/>
  <c r="F90" i="16"/>
  <c r="P263" i="1"/>
  <c r="D90" i="16"/>
  <c r="K83" i="16"/>
  <c r="K77" i="16"/>
  <c r="J122" i="16" l="1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G94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P196" i="2"/>
  <c r="P116" i="2"/>
  <c r="P115" i="2"/>
  <c r="P114" i="2"/>
  <c r="P113" i="2"/>
  <c r="P86" i="2"/>
  <c r="P75" i="2"/>
  <c r="P80" i="2"/>
  <c r="N88" i="2"/>
  <c r="E263" i="16" l="1"/>
  <c r="J263" i="16"/>
  <c r="I263" i="16"/>
  <c r="D91" i="16"/>
  <c r="D92" i="16"/>
  <c r="D93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G95" i="16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D94" i="16" l="1"/>
  <c r="D95" i="16" s="1"/>
  <c r="P262" i="3"/>
  <c r="P261" i="3"/>
  <c r="P196" i="3"/>
  <c r="P116" i="3"/>
  <c r="P115" i="3"/>
  <c r="P114" i="3"/>
  <c r="P113" i="3"/>
  <c r="P80" i="3"/>
  <c r="P75" i="3"/>
  <c r="P86" i="3"/>
  <c r="P262" i="4"/>
  <c r="P261" i="4"/>
  <c r="P116" i="4"/>
  <c r="P115" i="4"/>
  <c r="P114" i="4"/>
  <c r="P113" i="4"/>
  <c r="P75" i="4"/>
  <c r="P80" i="4"/>
  <c r="N90" i="4"/>
  <c r="N89" i="4"/>
  <c r="P263" i="3" l="1"/>
  <c r="P263" i="4"/>
  <c r="P262" i="5"/>
  <c r="P261" i="5"/>
  <c r="P196" i="5"/>
  <c r="P116" i="5"/>
  <c r="P115" i="5"/>
  <c r="P114" i="5"/>
  <c r="P113" i="5"/>
  <c r="P75" i="5"/>
  <c r="P80" i="5"/>
  <c r="P86" i="5"/>
  <c r="P263" i="5" l="1"/>
  <c r="P262" i="6"/>
  <c r="P261" i="6"/>
  <c r="P116" i="6"/>
  <c r="P115" i="6"/>
  <c r="P114" i="6"/>
  <c r="P113" i="6"/>
  <c r="P75" i="6"/>
  <c r="P80" i="6"/>
  <c r="P86" i="6"/>
  <c r="P262" i="7"/>
  <c r="P261" i="7"/>
  <c r="P196" i="7"/>
  <c r="P116" i="7"/>
  <c r="P115" i="7"/>
  <c r="P114" i="7"/>
  <c r="P113" i="7"/>
  <c r="P75" i="7"/>
  <c r="P80" i="7"/>
  <c r="P86" i="7"/>
  <c r="P262" i="8"/>
  <c r="P261" i="8"/>
  <c r="P196" i="8"/>
  <c r="P116" i="8"/>
  <c r="P115" i="8"/>
  <c r="P114" i="8"/>
  <c r="P113" i="8"/>
  <c r="P86" i="8"/>
  <c r="P88" i="8"/>
  <c r="P75" i="8"/>
  <c r="P80" i="8"/>
  <c r="O46" i="11" l="1"/>
  <c r="P263" i="7"/>
  <c r="P263" i="6"/>
  <c r="P263" i="8"/>
  <c r="P117" i="8"/>
  <c r="P262" i="2" l="1"/>
  <c r="P261" i="2"/>
  <c r="P263" i="2" l="1"/>
  <c r="N92" i="6" l="1"/>
  <c r="M92" i="4"/>
  <c r="N92" i="4"/>
  <c r="L92" i="4"/>
  <c r="L259" i="4" s="1"/>
  <c r="N93" i="4"/>
  <c r="N93" i="1"/>
  <c r="N263" i="3" l="1"/>
  <c r="N129" i="3"/>
  <c r="N134" i="3"/>
  <c r="N139" i="3"/>
  <c r="N145" i="3"/>
  <c r="N146" i="3"/>
  <c r="N147" i="3"/>
  <c r="N148" i="3"/>
  <c r="N117" i="3"/>
  <c r="N76" i="3"/>
  <c r="N77" i="3" s="1"/>
  <c r="N82" i="3"/>
  <c r="N83" i="3" s="1"/>
  <c r="N88" i="3"/>
  <c r="N89" i="3" s="1"/>
  <c r="N90" i="3"/>
  <c r="N91" i="3"/>
  <c r="N256" i="3" s="1"/>
  <c r="N92" i="3"/>
  <c r="N93" i="3"/>
  <c r="N46" i="3"/>
  <c r="N263" i="6"/>
  <c r="N129" i="6"/>
  <c r="N134" i="6"/>
  <c r="N139" i="6"/>
  <c r="N145" i="6"/>
  <c r="N146" i="6"/>
  <c r="N147" i="6"/>
  <c r="N148" i="6"/>
  <c r="N117" i="6"/>
  <c r="N71" i="6"/>
  <c r="N76" i="6"/>
  <c r="N77" i="6" s="1"/>
  <c r="N90" i="6"/>
  <c r="N91" i="6"/>
  <c r="N256" i="6" s="1"/>
  <c r="N93" i="6"/>
  <c r="N94" i="6" s="1"/>
  <c r="N46" i="6"/>
  <c r="N94" i="3" l="1"/>
  <c r="N95" i="3" s="1"/>
  <c r="N255" i="3" s="1"/>
  <c r="N149" i="3"/>
  <c r="N149" i="6"/>
  <c r="N95" i="6"/>
  <c r="N255" i="6" s="1"/>
  <c r="N263" i="7" l="1"/>
  <c r="N129" i="7"/>
  <c r="N134" i="7"/>
  <c r="N139" i="7"/>
  <c r="N144" i="7"/>
  <c r="N145" i="7"/>
  <c r="N146" i="7"/>
  <c r="N147" i="7"/>
  <c r="N148" i="7"/>
  <c r="N117" i="7"/>
  <c r="N70" i="7"/>
  <c r="N71" i="7" s="1"/>
  <c r="N76" i="7"/>
  <c r="N77" i="7" s="1"/>
  <c r="N82" i="7"/>
  <c r="N83" i="7" s="1"/>
  <c r="N88" i="7"/>
  <c r="N89" i="7" s="1"/>
  <c r="N90" i="7"/>
  <c r="N91" i="7"/>
  <c r="N256" i="7" s="1"/>
  <c r="N92" i="7"/>
  <c r="N93" i="7"/>
  <c r="N94" i="7" s="1"/>
  <c r="N46" i="7"/>
  <c r="N95" i="7" l="1"/>
  <c r="N255" i="7" s="1"/>
  <c r="N149" i="7"/>
  <c r="N263" i="5"/>
  <c r="N129" i="5"/>
  <c r="N134" i="5"/>
  <c r="N139" i="5"/>
  <c r="N144" i="5"/>
  <c r="N145" i="5"/>
  <c r="N146" i="5"/>
  <c r="N147" i="5"/>
  <c r="N148" i="5"/>
  <c r="N117" i="5"/>
  <c r="N76" i="5"/>
  <c r="N77" i="5" s="1"/>
  <c r="N82" i="5"/>
  <c r="N83" i="5" s="1"/>
  <c r="N89" i="5"/>
  <c r="N90" i="5"/>
  <c r="N91" i="5"/>
  <c r="N256" i="5" s="1"/>
  <c r="N92" i="5"/>
  <c r="N93" i="5"/>
  <c r="N46" i="5"/>
  <c r="N149" i="5" l="1"/>
  <c r="N94" i="5"/>
  <c r="N95" i="5" s="1"/>
  <c r="N255" i="5" s="1"/>
  <c r="N263" i="4"/>
  <c r="N263" i="8" l="1"/>
  <c r="N129" i="8"/>
  <c r="N134" i="8"/>
  <c r="N139" i="8"/>
  <c r="N144" i="8"/>
  <c r="N145" i="8"/>
  <c r="N146" i="8"/>
  <c r="N147" i="8"/>
  <c r="N148" i="8"/>
  <c r="N117" i="8"/>
  <c r="N149" i="8" l="1"/>
  <c r="N70" i="8"/>
  <c r="N71" i="8" s="1"/>
  <c r="N76" i="8"/>
  <c r="N77" i="8" s="1"/>
  <c r="N82" i="8"/>
  <c r="N83" i="8" s="1"/>
  <c r="N90" i="8"/>
  <c r="N91" i="8"/>
  <c r="N256" i="8" s="1"/>
  <c r="N92" i="8"/>
  <c r="N93" i="8"/>
  <c r="N94" i="8" l="1"/>
  <c r="N95" i="8" s="1"/>
  <c r="N255" i="8" s="1"/>
  <c r="N145" i="4"/>
  <c r="N146" i="4"/>
  <c r="N147" i="4"/>
  <c r="N148" i="4"/>
  <c r="N129" i="4"/>
  <c r="N134" i="4"/>
  <c r="N139" i="4"/>
  <c r="N149" i="4" l="1"/>
  <c r="N46" i="4" l="1"/>
  <c r="N263" i="2" l="1"/>
  <c r="N129" i="2"/>
  <c r="N134" i="2"/>
  <c r="N139" i="2"/>
  <c r="N145" i="2"/>
  <c r="N146" i="2"/>
  <c r="N147" i="2"/>
  <c r="N148" i="2"/>
  <c r="N46" i="2"/>
  <c r="N149" i="2" l="1"/>
  <c r="N117" i="1" l="1"/>
  <c r="N46" i="1"/>
  <c r="N46" i="11" s="1"/>
  <c r="M263" i="7" l="1"/>
  <c r="M145" i="7"/>
  <c r="M146" i="7"/>
  <c r="M147" i="7"/>
  <c r="M148" i="7"/>
  <c r="M117" i="7"/>
  <c r="M76" i="7"/>
  <c r="M77" i="7" s="1"/>
  <c r="M82" i="7"/>
  <c r="M83" i="7" s="1"/>
  <c r="M88" i="7"/>
  <c r="M89" i="7"/>
  <c r="M90" i="7"/>
  <c r="M91" i="7"/>
  <c r="M256" i="7" s="1"/>
  <c r="J256" i="16" s="1"/>
  <c r="M92" i="7"/>
  <c r="M93" i="7"/>
  <c r="M94" i="7" s="1"/>
  <c r="M46" i="7"/>
  <c r="J46" i="16" s="1"/>
  <c r="M263" i="8"/>
  <c r="M129" i="8"/>
  <c r="M134" i="8"/>
  <c r="M139" i="8"/>
  <c r="M144" i="8"/>
  <c r="M145" i="8"/>
  <c r="M146" i="8"/>
  <c r="M147" i="8"/>
  <c r="M148" i="8"/>
  <c r="M117" i="8"/>
  <c r="M70" i="8"/>
  <c r="M71" i="8" s="1"/>
  <c r="M76" i="8"/>
  <c r="M77" i="8"/>
  <c r="M82" i="8"/>
  <c r="M83" i="8" s="1"/>
  <c r="M90" i="8"/>
  <c r="M91" i="8"/>
  <c r="M256" i="8" s="1"/>
  <c r="K256" i="16" s="1"/>
  <c r="M92" i="8"/>
  <c r="M93" i="8"/>
  <c r="M149" i="7" l="1"/>
  <c r="M95" i="7"/>
  <c r="M255" i="7" s="1"/>
  <c r="J255" i="16" s="1"/>
  <c r="M149" i="8"/>
  <c r="M94" i="8"/>
  <c r="M95" i="8" s="1"/>
  <c r="M255" i="8" s="1"/>
  <c r="K255" i="16" s="1"/>
  <c r="M263" i="6" l="1"/>
  <c r="M145" i="6"/>
  <c r="M146" i="6"/>
  <c r="M147" i="6"/>
  <c r="M148" i="6"/>
  <c r="M117" i="6"/>
  <c r="M149" i="6" l="1"/>
  <c r="M90" i="6"/>
  <c r="M91" i="6"/>
  <c r="M256" i="6" s="1"/>
  <c r="I256" i="16" s="1"/>
  <c r="M92" i="6"/>
  <c r="M93" i="6"/>
  <c r="M46" i="6"/>
  <c r="I46" i="16" s="1"/>
  <c r="M263" i="5"/>
  <c r="M145" i="5"/>
  <c r="M146" i="5"/>
  <c r="M147" i="5"/>
  <c r="M148" i="5"/>
  <c r="M117" i="5"/>
  <c r="M90" i="5"/>
  <c r="M91" i="5"/>
  <c r="M256" i="5" s="1"/>
  <c r="H256" i="16" s="1"/>
  <c r="M92" i="5"/>
  <c r="M93" i="5"/>
  <c r="M46" i="5"/>
  <c r="H46" i="16" s="1"/>
  <c r="M94" i="6" l="1"/>
  <c r="M95" i="6" s="1"/>
  <c r="M255" i="6" s="1"/>
  <c r="I255" i="16" s="1"/>
  <c r="M94" i="5"/>
  <c r="M95" i="5" s="1"/>
  <c r="M255" i="5" s="1"/>
  <c r="H255" i="16" s="1"/>
  <c r="M149" i="5"/>
  <c r="M263" i="4" l="1"/>
  <c r="M145" i="4"/>
  <c r="M146" i="4"/>
  <c r="M147" i="4"/>
  <c r="M148" i="4"/>
  <c r="M117" i="4"/>
  <c r="M76" i="4"/>
  <c r="M77" i="4" s="1"/>
  <c r="M82" i="4"/>
  <c r="M83" i="4" s="1"/>
  <c r="M89" i="4"/>
  <c r="M90" i="4"/>
  <c r="M91" i="4"/>
  <c r="M256" i="4" s="1"/>
  <c r="M93" i="4"/>
  <c r="M94" i="4" s="1"/>
  <c r="M46" i="4"/>
  <c r="G46" i="16" s="1"/>
  <c r="M149" i="4" l="1"/>
  <c r="M95" i="4"/>
  <c r="M255" i="4" s="1"/>
  <c r="M263" i="3" l="1"/>
  <c r="M145" i="3"/>
  <c r="M146" i="3"/>
  <c r="M147" i="3"/>
  <c r="M148" i="3"/>
  <c r="M117" i="3"/>
  <c r="M76" i="3"/>
  <c r="M77" i="3" s="1"/>
  <c r="M82" i="3"/>
  <c r="M83" i="3" s="1"/>
  <c r="M88" i="3"/>
  <c r="M89" i="3" s="1"/>
  <c r="M90" i="3"/>
  <c r="M91" i="3"/>
  <c r="M256" i="3" s="1"/>
  <c r="F256" i="16" s="1"/>
  <c r="M92" i="3"/>
  <c r="M93" i="3"/>
  <c r="M46" i="3"/>
  <c r="F46" i="16" s="1"/>
  <c r="M263" i="2"/>
  <c r="M145" i="2"/>
  <c r="M146" i="2"/>
  <c r="M147" i="2"/>
  <c r="M148" i="2"/>
  <c r="M117" i="2"/>
  <c r="M94" i="3" l="1"/>
  <c r="M95" i="3" s="1"/>
  <c r="M255" i="3" s="1"/>
  <c r="F255" i="16" s="1"/>
  <c r="M149" i="3"/>
  <c r="M149" i="2"/>
  <c r="L90" i="2"/>
  <c r="M90" i="2"/>
  <c r="N90" i="2"/>
  <c r="L91" i="2"/>
  <c r="M91" i="2"/>
  <c r="M256" i="2" s="1"/>
  <c r="N91" i="2"/>
  <c r="N256" i="2" s="1"/>
  <c r="L92" i="2"/>
  <c r="M92" i="2"/>
  <c r="N92" i="2"/>
  <c r="L93" i="2"/>
  <c r="M93" i="2"/>
  <c r="N93" i="2"/>
  <c r="N89" i="2"/>
  <c r="M46" i="2"/>
  <c r="E46" i="16" s="1"/>
  <c r="E256" i="16" l="1"/>
  <c r="L94" i="2"/>
  <c r="L95" i="2" s="1"/>
  <c r="N94" i="2"/>
  <c r="N95" i="2" s="1"/>
  <c r="N255" i="2" s="1"/>
  <c r="M94" i="2"/>
  <c r="M95" i="2" s="1"/>
  <c r="M255" i="2" s="1"/>
  <c r="M259" i="2" s="1"/>
  <c r="E255" i="16" l="1"/>
  <c r="M145" i="1"/>
  <c r="N145" i="1"/>
  <c r="M146" i="1"/>
  <c r="N146" i="1"/>
  <c r="M147" i="1"/>
  <c r="N147" i="1"/>
  <c r="M148" i="1"/>
  <c r="N148" i="1"/>
  <c r="N139" i="1"/>
  <c r="N134" i="1"/>
  <c r="N129" i="1"/>
  <c r="M117" i="1"/>
  <c r="M90" i="1"/>
  <c r="M91" i="1"/>
  <c r="M256" i="1" s="1"/>
  <c r="M256" i="11" s="1"/>
  <c r="M92" i="1"/>
  <c r="M93" i="1"/>
  <c r="M88" i="1"/>
  <c r="M89" i="1" s="1"/>
  <c r="M94" i="1" l="1"/>
  <c r="M95" i="1" s="1"/>
  <c r="M255" i="1" s="1"/>
  <c r="M255" i="11" s="1"/>
  <c r="N149" i="1"/>
  <c r="M149" i="1"/>
  <c r="M46" i="1" l="1"/>
  <c r="M46" i="11" s="1"/>
  <c r="D46" i="16" l="1"/>
  <c r="L111" i="8"/>
  <c r="M111" i="8"/>
  <c r="M118" i="8" s="1"/>
  <c r="L117" i="7"/>
  <c r="L263" i="8" l="1"/>
  <c r="L129" i="8"/>
  <c r="L134" i="8"/>
  <c r="L139" i="8"/>
  <c r="L144" i="8"/>
  <c r="L145" i="8"/>
  <c r="L146" i="8"/>
  <c r="L147" i="8"/>
  <c r="L148" i="8"/>
  <c r="L117" i="8"/>
  <c r="L118" i="8" s="1"/>
  <c r="L149" i="8" l="1"/>
  <c r="L70" i="8" l="1"/>
  <c r="L71" i="8" s="1"/>
  <c r="L76" i="8"/>
  <c r="L77" i="8" s="1"/>
  <c r="L82" i="8"/>
  <c r="L83" i="8" s="1"/>
  <c r="L90" i="8"/>
  <c r="L91" i="8"/>
  <c r="L256" i="8" s="1"/>
  <c r="L92" i="8"/>
  <c r="L93" i="8"/>
  <c r="L263" i="7"/>
  <c r="L129" i="7"/>
  <c r="L134" i="7"/>
  <c r="L139" i="7"/>
  <c r="L144" i="7"/>
  <c r="L145" i="7"/>
  <c r="L146" i="7"/>
  <c r="L147" i="7"/>
  <c r="L148" i="7"/>
  <c r="L94" i="8" l="1"/>
  <c r="L95" i="8"/>
  <c r="L255" i="8" s="1"/>
  <c r="L149" i="7"/>
  <c r="L70" i="7"/>
  <c r="L71" i="7" s="1"/>
  <c r="L76" i="7"/>
  <c r="L77" i="7" s="1"/>
  <c r="L82" i="7"/>
  <c r="L83" i="7" s="1"/>
  <c r="L88" i="7"/>
  <c r="L89" i="7" s="1"/>
  <c r="L90" i="7"/>
  <c r="L91" i="7"/>
  <c r="L256" i="7" s="1"/>
  <c r="L92" i="7"/>
  <c r="L93" i="7"/>
  <c r="E46" i="7"/>
  <c r="F46" i="7"/>
  <c r="G46" i="7"/>
  <c r="H46" i="7"/>
  <c r="I46" i="7"/>
  <c r="J46" i="7"/>
  <c r="K46" i="7"/>
  <c r="L46" i="7"/>
  <c r="D46" i="7"/>
  <c r="L263" i="6"/>
  <c r="L129" i="6"/>
  <c r="L139" i="6"/>
  <c r="L145" i="6"/>
  <c r="L146" i="6"/>
  <c r="L147" i="6"/>
  <c r="L148" i="6"/>
  <c r="J46" i="18" l="1"/>
  <c r="L94" i="7"/>
  <c r="L95" i="7"/>
  <c r="L255" i="7" s="1"/>
  <c r="L149" i="6"/>
  <c r="L76" i="6"/>
  <c r="L77" i="6" s="1"/>
  <c r="L90" i="6"/>
  <c r="L91" i="6"/>
  <c r="L92" i="6"/>
  <c r="L93" i="6"/>
  <c r="E46" i="6"/>
  <c r="F46" i="6"/>
  <c r="I46" i="6"/>
  <c r="J46" i="6"/>
  <c r="K46" i="6"/>
  <c r="L46" i="6"/>
  <c r="D46" i="6"/>
  <c r="I46" i="18" s="1"/>
  <c r="I47" i="18" l="1"/>
  <c r="I58" i="18"/>
  <c r="J47" i="18"/>
  <c r="J58" i="18"/>
  <c r="L94" i="6"/>
  <c r="L95" i="6" s="1"/>
  <c r="L263" i="5"/>
  <c r="L129" i="5"/>
  <c r="L134" i="5"/>
  <c r="L146" i="5"/>
  <c r="L147" i="5"/>
  <c r="L149" i="5" l="1"/>
  <c r="I249" i="18"/>
  <c r="I60" i="18"/>
  <c r="I59" i="18"/>
  <c r="J60" i="18"/>
  <c r="J59" i="18"/>
  <c r="J249" i="18"/>
  <c r="L76" i="5"/>
  <c r="L77" i="5"/>
  <c r="L82" i="5"/>
  <c r="L83" i="5" s="1"/>
  <c r="L89" i="5"/>
  <c r="L90" i="5"/>
  <c r="L91" i="5"/>
  <c r="L92" i="5"/>
  <c r="L93" i="5"/>
  <c r="E46" i="5"/>
  <c r="F46" i="5"/>
  <c r="G46" i="5"/>
  <c r="H46" i="5"/>
  <c r="J46" i="5"/>
  <c r="K46" i="5"/>
  <c r="L46" i="5"/>
  <c r="D46" i="5"/>
  <c r="H46" i="18" s="1"/>
  <c r="H47" i="18" l="1"/>
  <c r="H58" i="18"/>
  <c r="L94" i="5"/>
  <c r="L95" i="5" s="1"/>
  <c r="L263" i="4"/>
  <c r="L129" i="4"/>
  <c r="L134" i="4"/>
  <c r="L139" i="4"/>
  <c r="L145" i="4"/>
  <c r="L146" i="4"/>
  <c r="L147" i="4"/>
  <c r="L148" i="4"/>
  <c r="H249" i="18" l="1"/>
  <c r="H59" i="18"/>
  <c r="H60" i="18"/>
  <c r="L149" i="4"/>
  <c r="L90" i="4" l="1"/>
  <c r="L91" i="4"/>
  <c r="L93" i="4"/>
  <c r="L94" i="4" s="1"/>
  <c r="E46" i="4"/>
  <c r="F46" i="4"/>
  <c r="G46" i="4"/>
  <c r="H46" i="4"/>
  <c r="J46" i="4"/>
  <c r="K46" i="4"/>
  <c r="L46" i="4"/>
  <c r="D46" i="4"/>
  <c r="D46" i="11" l="1"/>
  <c r="G46" i="18"/>
  <c r="L95" i="4"/>
  <c r="G58" i="18" l="1"/>
  <c r="G47" i="18"/>
  <c r="L263" i="3"/>
  <c r="L129" i="3"/>
  <c r="L134" i="3"/>
  <c r="L139" i="3"/>
  <c r="L145" i="3"/>
  <c r="L146" i="3"/>
  <c r="L147" i="3"/>
  <c r="L148" i="3"/>
  <c r="L117" i="3"/>
  <c r="L76" i="3"/>
  <c r="L77" i="3" s="1"/>
  <c r="L82" i="3"/>
  <c r="L83" i="3"/>
  <c r="L88" i="3"/>
  <c r="L89" i="3" s="1"/>
  <c r="L90" i="3"/>
  <c r="L91" i="3"/>
  <c r="L92" i="3"/>
  <c r="L93" i="3"/>
  <c r="E46" i="3"/>
  <c r="F46" i="3"/>
  <c r="G46" i="3"/>
  <c r="H46" i="3"/>
  <c r="I46" i="3"/>
  <c r="J46" i="3"/>
  <c r="K46" i="3"/>
  <c r="L46" i="3"/>
  <c r="F46" i="18" l="1"/>
  <c r="G59" i="18"/>
  <c r="G60" i="18"/>
  <c r="G249" i="18"/>
  <c r="L94" i="3"/>
  <c r="L95" i="3" s="1"/>
  <c r="L149" i="3"/>
  <c r="F47" i="18" l="1"/>
  <c r="F58" i="18"/>
  <c r="L263" i="2"/>
  <c r="L145" i="2"/>
  <c r="L146" i="2"/>
  <c r="L147" i="2"/>
  <c r="L148" i="2"/>
  <c r="F249" i="18" l="1"/>
  <c r="F59" i="18"/>
  <c r="F60" i="18"/>
  <c r="L149" i="2"/>
  <c r="J46" i="1" l="1"/>
  <c r="K46" i="1"/>
  <c r="L46" i="1"/>
  <c r="E46" i="2"/>
  <c r="F46" i="2"/>
  <c r="G46" i="2"/>
  <c r="H46" i="2"/>
  <c r="J46" i="2"/>
  <c r="J47" i="2" s="1"/>
  <c r="K46" i="2"/>
  <c r="L46" i="2"/>
  <c r="E46" i="18" l="1"/>
  <c r="F47" i="2"/>
  <c r="F46" i="11"/>
  <c r="L46" i="11"/>
  <c r="K46" i="11"/>
  <c r="I46" i="11"/>
  <c r="E47" i="2"/>
  <c r="E46" i="11"/>
  <c r="J46" i="11"/>
  <c r="H46" i="11"/>
  <c r="G46" i="11"/>
  <c r="L144" i="1"/>
  <c r="L145" i="1"/>
  <c r="L146" i="1"/>
  <c r="L147" i="1"/>
  <c r="L148" i="1"/>
  <c r="E47" i="18" l="1"/>
  <c r="E58" i="18"/>
  <c r="L149" i="1"/>
  <c r="E249" i="18" l="1"/>
  <c r="E59" i="18"/>
  <c r="E60" i="18"/>
  <c r="L90" i="1"/>
  <c r="L91" i="1"/>
  <c r="L92" i="1"/>
  <c r="L93" i="1"/>
  <c r="L94" i="1" l="1"/>
  <c r="L95" i="1" s="1"/>
  <c r="K263" i="2" l="1"/>
  <c r="K263" i="3" l="1"/>
  <c r="K129" i="3"/>
  <c r="K134" i="3"/>
  <c r="K139" i="3"/>
  <c r="K146" i="3"/>
  <c r="K147" i="3"/>
  <c r="K148" i="3"/>
  <c r="K117" i="3"/>
  <c r="K76" i="3"/>
  <c r="K77" i="3" s="1"/>
  <c r="K82" i="3"/>
  <c r="K88" i="3"/>
  <c r="K89" i="3" s="1"/>
  <c r="K91" i="3"/>
  <c r="K256" i="3" s="1"/>
  <c r="K92" i="3"/>
  <c r="K93" i="3"/>
  <c r="K263" i="5"/>
  <c r="K129" i="5"/>
  <c r="K134" i="5"/>
  <c r="K139" i="5"/>
  <c r="K144" i="5"/>
  <c r="K145" i="5"/>
  <c r="K146" i="5"/>
  <c r="K147" i="5"/>
  <c r="K148" i="5"/>
  <c r="K117" i="5"/>
  <c r="K76" i="5"/>
  <c r="K77" i="5" s="1"/>
  <c r="K82" i="5"/>
  <c r="K83" i="5" s="1"/>
  <c r="K89" i="5"/>
  <c r="K90" i="5"/>
  <c r="K91" i="5"/>
  <c r="K92" i="5"/>
  <c r="K93" i="5"/>
  <c r="K94" i="5" l="1"/>
  <c r="K95" i="5" s="1"/>
  <c r="K94" i="3"/>
  <c r="K149" i="5"/>
  <c r="K263" i="6" l="1"/>
  <c r="K129" i="6"/>
  <c r="K134" i="6"/>
  <c r="K139" i="6"/>
  <c r="K145" i="6"/>
  <c r="K146" i="6"/>
  <c r="K147" i="6"/>
  <c r="K148" i="6"/>
  <c r="K117" i="6"/>
  <c r="K76" i="6"/>
  <c r="K77" i="6" s="1"/>
  <c r="K82" i="6"/>
  <c r="K91" i="6"/>
  <c r="K92" i="6"/>
  <c r="K93" i="6"/>
  <c r="K149" i="6" l="1"/>
  <c r="K94" i="6"/>
  <c r="K263" i="8" l="1"/>
  <c r="K129" i="8"/>
  <c r="K134" i="8"/>
  <c r="K139" i="8"/>
  <c r="K144" i="8"/>
  <c r="K145" i="8"/>
  <c r="K146" i="8"/>
  <c r="K147" i="8"/>
  <c r="K148" i="8"/>
  <c r="K117" i="8"/>
  <c r="K70" i="8"/>
  <c r="K71" i="8" s="1"/>
  <c r="K76" i="8"/>
  <c r="K77" i="8"/>
  <c r="K82" i="8"/>
  <c r="K83" i="8" s="1"/>
  <c r="K90" i="8"/>
  <c r="K91" i="8"/>
  <c r="K256" i="8" s="1"/>
  <c r="K92" i="8"/>
  <c r="K93" i="8"/>
  <c r="K94" i="8" s="1"/>
  <c r="K149" i="8" l="1"/>
  <c r="K95" i="8"/>
  <c r="K255" i="8" s="1"/>
  <c r="K263" i="7" l="1"/>
  <c r="K129" i="7"/>
  <c r="K134" i="7"/>
  <c r="K139" i="7"/>
  <c r="K144" i="7"/>
  <c r="K145" i="7"/>
  <c r="K146" i="7"/>
  <c r="K147" i="7"/>
  <c r="K148" i="7"/>
  <c r="K117" i="7"/>
  <c r="K149" i="7" l="1"/>
  <c r="K70" i="7"/>
  <c r="K71" i="7" s="1"/>
  <c r="K76" i="7"/>
  <c r="K77" i="7" s="1"/>
  <c r="K82" i="7"/>
  <c r="K83" i="7" s="1"/>
  <c r="K88" i="7"/>
  <c r="K89" i="7"/>
  <c r="K90" i="7"/>
  <c r="K91" i="7"/>
  <c r="K256" i="7" s="1"/>
  <c r="K92" i="7"/>
  <c r="K93" i="7"/>
  <c r="K94" i="7" s="1"/>
  <c r="K95" i="7" l="1"/>
  <c r="K255" i="7" s="1"/>
  <c r="K263" i="4"/>
  <c r="K129" i="4"/>
  <c r="K134" i="4"/>
  <c r="K139" i="4"/>
  <c r="K144" i="4"/>
  <c r="K145" i="4"/>
  <c r="K146" i="4"/>
  <c r="K147" i="4"/>
  <c r="K148" i="4"/>
  <c r="K117" i="4"/>
  <c r="K76" i="4"/>
  <c r="K77" i="4" s="1"/>
  <c r="K82" i="4"/>
  <c r="K89" i="4"/>
  <c r="K91" i="4"/>
  <c r="K92" i="4"/>
  <c r="K93" i="4"/>
  <c r="K94" i="4" l="1"/>
  <c r="K149" i="4"/>
  <c r="K129" i="2" l="1"/>
  <c r="K134" i="2"/>
  <c r="K139" i="2"/>
  <c r="K146" i="2"/>
  <c r="K147" i="2"/>
  <c r="K148" i="2"/>
  <c r="K117" i="2"/>
  <c r="K76" i="2" l="1"/>
  <c r="K82" i="2"/>
  <c r="K83" i="2" s="1"/>
  <c r="K88" i="2"/>
  <c r="K89" i="2" s="1"/>
  <c r="K91" i="2"/>
  <c r="K92" i="2"/>
  <c r="K93" i="2"/>
  <c r="K94" i="2" l="1"/>
  <c r="K129" i="1" l="1"/>
  <c r="K134" i="1"/>
  <c r="K139" i="1"/>
  <c r="K146" i="1"/>
  <c r="K147" i="1"/>
  <c r="K148" i="1"/>
  <c r="K117" i="1" l="1"/>
  <c r="K91" i="1"/>
  <c r="K92" i="1"/>
  <c r="K93" i="1"/>
  <c r="K88" i="1"/>
  <c r="K89" i="1" s="1"/>
  <c r="K83" i="1"/>
  <c r="K94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F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D72" i="15"/>
  <c r="K66" i="15"/>
  <c r="J66" i="15"/>
  <c r="I66" i="15"/>
  <c r="H66" i="15"/>
  <c r="G66" i="15"/>
  <c r="F66" i="15"/>
  <c r="E66" i="15"/>
  <c r="D66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K247" i="15" s="1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H139" i="15" s="1"/>
  <c r="G136" i="15"/>
  <c r="G139" i="15" s="1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H145" i="15" l="1"/>
  <c r="I145" i="15"/>
  <c r="G90" i="15"/>
  <c r="G148" i="15"/>
  <c r="J139" i="15"/>
  <c r="I139" i="15"/>
  <c r="E247" i="15"/>
  <c r="K92" i="15"/>
  <c r="J247" i="15"/>
  <c r="I93" i="15"/>
  <c r="G111" i="15"/>
  <c r="E134" i="15"/>
  <c r="F247" i="15"/>
  <c r="H111" i="15"/>
  <c r="D247" i="15"/>
  <c r="H263" i="15"/>
  <c r="D145" i="15"/>
  <c r="J90" i="15"/>
  <c r="G247" i="15"/>
  <c r="H90" i="15"/>
  <c r="F145" i="15"/>
  <c r="H247" i="15"/>
  <c r="K144" i="15"/>
  <c r="F92" i="15"/>
  <c r="D111" i="15"/>
  <c r="D118" i="15" s="1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I94" i="15" s="1"/>
  <c r="G93" i="15"/>
  <c r="E148" i="15"/>
  <c r="E139" i="15"/>
  <c r="G91" i="15"/>
  <c r="I111" i="15"/>
  <c r="H117" i="15"/>
  <c r="E263" i="15"/>
  <c r="G117" i="15"/>
  <c r="K111" i="15"/>
  <c r="K91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7" i="15"/>
  <c r="G134" i="15"/>
  <c r="G146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E118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F118" i="15" l="1"/>
  <c r="F94" i="15"/>
  <c r="F95" i="15" s="1"/>
  <c r="G118" i="15"/>
  <c r="H118" i="15"/>
  <c r="K94" i="15"/>
  <c r="K95" i="15" s="1"/>
  <c r="I118" i="15"/>
  <c r="J94" i="15"/>
  <c r="J95" i="15" s="1"/>
  <c r="G94" i="15"/>
  <c r="G95" i="15" s="1"/>
  <c r="J118" i="15"/>
  <c r="H94" i="15"/>
  <c r="H95" i="15" s="1"/>
  <c r="K149" i="15"/>
  <c r="E21" i="15"/>
  <c r="K118" i="15"/>
  <c r="H149" i="15"/>
  <c r="F149" i="15"/>
  <c r="E94" i="15"/>
  <c r="I149" i="15"/>
  <c r="D149" i="15"/>
  <c r="D89" i="15"/>
  <c r="D94" i="15"/>
  <c r="J263" i="7" l="1"/>
  <c r="J134" i="7"/>
  <c r="J139" i="7"/>
  <c r="J144" i="7"/>
  <c r="J146" i="7"/>
  <c r="J147" i="7"/>
  <c r="J148" i="7"/>
  <c r="J117" i="7"/>
  <c r="J70" i="7"/>
  <c r="J71" i="7" s="1"/>
  <c r="J76" i="7"/>
  <c r="J77" i="7" s="1"/>
  <c r="J82" i="7"/>
  <c r="J83" i="7" s="1"/>
  <c r="J88" i="7"/>
  <c r="J89" i="7" s="1"/>
  <c r="J90" i="7"/>
  <c r="J91" i="7"/>
  <c r="J256" i="7" s="1"/>
  <c r="J256" i="15" s="1"/>
  <c r="J92" i="7"/>
  <c r="J93" i="7"/>
  <c r="J263" i="6"/>
  <c r="J129" i="6"/>
  <c r="J134" i="6"/>
  <c r="J139" i="6"/>
  <c r="J145" i="6"/>
  <c r="J146" i="6"/>
  <c r="J147" i="6"/>
  <c r="J148" i="6"/>
  <c r="J117" i="6"/>
  <c r="J76" i="6"/>
  <c r="J77" i="6" s="1"/>
  <c r="J82" i="6"/>
  <c r="J91" i="6"/>
  <c r="I256" i="15" s="1"/>
  <c r="J92" i="6"/>
  <c r="J93" i="6"/>
  <c r="J263" i="5"/>
  <c r="J129" i="5"/>
  <c r="J134" i="5"/>
  <c r="J139" i="5"/>
  <c r="J144" i="5"/>
  <c r="J145" i="5"/>
  <c r="J146" i="5"/>
  <c r="J147" i="5"/>
  <c r="J148" i="5"/>
  <c r="J117" i="5"/>
  <c r="J76" i="5"/>
  <c r="J77" i="5" s="1"/>
  <c r="J82" i="5"/>
  <c r="J83" i="5" s="1"/>
  <c r="J89" i="5"/>
  <c r="J90" i="5"/>
  <c r="J91" i="5"/>
  <c r="H256" i="15" s="1"/>
  <c r="J92" i="5"/>
  <c r="J93" i="5"/>
  <c r="J94" i="7" l="1"/>
  <c r="J95" i="7" s="1"/>
  <c r="J255" i="7" s="1"/>
  <c r="J255" i="15" s="1"/>
  <c r="J94" i="6"/>
  <c r="J94" i="5"/>
  <c r="J95" i="5" s="1"/>
  <c r="H255" i="15" s="1"/>
  <c r="J149" i="6"/>
  <c r="J149" i="5"/>
  <c r="J263" i="4" l="1"/>
  <c r="J129" i="4"/>
  <c r="J134" i="4"/>
  <c r="J139" i="4"/>
  <c r="J146" i="4"/>
  <c r="J147" i="4"/>
  <c r="J148" i="4"/>
  <c r="J117" i="4"/>
  <c r="J76" i="4"/>
  <c r="J77" i="4" s="1"/>
  <c r="J82" i="4"/>
  <c r="J83" i="4" s="1"/>
  <c r="K78" i="4" s="1"/>
  <c r="J89" i="4"/>
  <c r="J90" i="4"/>
  <c r="J91" i="4"/>
  <c r="G256" i="15" s="1"/>
  <c r="J92" i="4"/>
  <c r="J93" i="4"/>
  <c r="K90" i="4" l="1"/>
  <c r="K95" i="4" s="1"/>
  <c r="K83" i="4"/>
  <c r="J94" i="4"/>
  <c r="J95" i="4" s="1"/>
  <c r="G255" i="15" s="1"/>
  <c r="J263" i="3" l="1"/>
  <c r="J129" i="3"/>
  <c r="J134" i="3"/>
  <c r="J139" i="3"/>
  <c r="J144" i="3"/>
  <c r="K140" i="3" s="1"/>
  <c r="J145" i="3"/>
  <c r="J146" i="3"/>
  <c r="J147" i="3"/>
  <c r="J148" i="3"/>
  <c r="J117" i="3"/>
  <c r="J76" i="3"/>
  <c r="J77" i="3" s="1"/>
  <c r="J82" i="3"/>
  <c r="J83" i="3" s="1"/>
  <c r="K78" i="3" s="1"/>
  <c r="J88" i="3"/>
  <c r="J89" i="3"/>
  <c r="J90" i="3"/>
  <c r="J91" i="3"/>
  <c r="F256" i="15" s="1"/>
  <c r="J92" i="3"/>
  <c r="J93" i="3"/>
  <c r="K144" i="3" l="1"/>
  <c r="K145" i="3"/>
  <c r="K149" i="3" s="1"/>
  <c r="K90" i="3"/>
  <c r="K95" i="3" s="1"/>
  <c r="K83" i="3"/>
  <c r="J94" i="3"/>
  <c r="J149" i="3"/>
  <c r="J95" i="3"/>
  <c r="F255" i="15" s="1"/>
  <c r="J263" i="2"/>
  <c r="J129" i="2"/>
  <c r="J134" i="2"/>
  <c r="J139" i="2"/>
  <c r="J146" i="2"/>
  <c r="J147" i="2"/>
  <c r="J148" i="2"/>
  <c r="J117" i="2"/>
  <c r="J70" i="2"/>
  <c r="J71" i="2" s="1"/>
  <c r="K66" i="2" s="1"/>
  <c r="J76" i="2"/>
  <c r="J82" i="2"/>
  <c r="J83" i="2" s="1"/>
  <c r="E83" i="15" s="1"/>
  <c r="J88" i="2"/>
  <c r="J89" i="2" s="1"/>
  <c r="J91" i="2"/>
  <c r="E256" i="15" s="1"/>
  <c r="J92" i="2"/>
  <c r="J93" i="2"/>
  <c r="K71" i="2" l="1"/>
  <c r="J94" i="2"/>
  <c r="J129" i="1" l="1"/>
  <c r="J134" i="1"/>
  <c r="J139" i="1"/>
  <c r="J144" i="1"/>
  <c r="K140" i="1" s="1"/>
  <c r="J145" i="1"/>
  <c r="J146" i="1"/>
  <c r="J147" i="1"/>
  <c r="J148" i="1"/>
  <c r="J91" i="1"/>
  <c r="D256" i="15" s="1"/>
  <c r="J92" i="1"/>
  <c r="J93" i="1"/>
  <c r="J88" i="1"/>
  <c r="J89" i="1" s="1"/>
  <c r="I88" i="1"/>
  <c r="J82" i="1"/>
  <c r="I82" i="1"/>
  <c r="J70" i="1"/>
  <c r="J45" i="1"/>
  <c r="K144" i="1" l="1"/>
  <c r="K145" i="1"/>
  <c r="K149" i="1" s="1"/>
  <c r="P88" i="1"/>
  <c r="J94" i="1"/>
  <c r="J149" i="1"/>
  <c r="J263" i="8" l="1"/>
  <c r="J70" i="8"/>
  <c r="J71" i="8" s="1"/>
  <c r="J76" i="8"/>
  <c r="J77" i="8" s="1"/>
  <c r="J82" i="8"/>
  <c r="J83" i="8" s="1"/>
  <c r="J90" i="8"/>
  <c r="J91" i="8"/>
  <c r="J256" i="8" s="1"/>
  <c r="K256" i="15" s="1"/>
  <c r="J92" i="8"/>
  <c r="J93" i="8"/>
  <c r="J145" i="8"/>
  <c r="J146" i="8"/>
  <c r="J147" i="8"/>
  <c r="J148" i="8"/>
  <c r="J144" i="8"/>
  <c r="J129" i="8"/>
  <c r="J134" i="8"/>
  <c r="J139" i="8"/>
  <c r="J149" i="8" l="1"/>
  <c r="J94" i="8"/>
  <c r="J95" i="8" s="1"/>
  <c r="J255" i="8" s="1"/>
  <c r="K255" i="15" s="1"/>
  <c r="J117" i="8" l="1"/>
  <c r="J236" i="8" l="1"/>
  <c r="K236" i="8"/>
  <c r="L236" i="8"/>
  <c r="M236" i="8"/>
  <c r="N236" i="8"/>
  <c r="J236" i="7"/>
  <c r="K236" i="7"/>
  <c r="L236" i="7"/>
  <c r="M236" i="7"/>
  <c r="N236" i="7"/>
  <c r="J236" i="6"/>
  <c r="K236" i="6"/>
  <c r="L236" i="6"/>
  <c r="M236" i="6"/>
  <c r="N236" i="6"/>
  <c r="J236" i="5"/>
  <c r="K236" i="5"/>
  <c r="L236" i="5"/>
  <c r="M236" i="5"/>
  <c r="N236" i="5"/>
  <c r="J236" i="4"/>
  <c r="K236" i="4"/>
  <c r="L236" i="4"/>
  <c r="M236" i="4"/>
  <c r="N236" i="4"/>
  <c r="J236" i="3"/>
  <c r="K236" i="3"/>
  <c r="L236" i="3"/>
  <c r="M236" i="3"/>
  <c r="N236" i="3"/>
  <c r="J236" i="2"/>
  <c r="K236" i="2"/>
  <c r="L236" i="2"/>
  <c r="M236" i="2"/>
  <c r="N236" i="2"/>
  <c r="J236" i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I129" i="1"/>
  <c r="I134" i="1"/>
  <c r="I139" i="1"/>
  <c r="I145" i="1"/>
  <c r="I146" i="1"/>
  <c r="I147" i="1"/>
  <c r="I148" i="1"/>
  <c r="I149" i="1" l="1"/>
  <c r="I83" i="1"/>
  <c r="J78" i="1" s="1"/>
  <c r="I89" i="1"/>
  <c r="I90" i="1"/>
  <c r="I91" i="1"/>
  <c r="I92" i="1"/>
  <c r="I93" i="1"/>
  <c r="D78" i="15" l="1"/>
  <c r="J90" i="1"/>
  <c r="J95" i="1" s="1"/>
  <c r="D255" i="15" s="1"/>
  <c r="I94" i="1"/>
  <c r="I95" i="1" s="1"/>
  <c r="D90" i="15" l="1"/>
  <c r="I129" i="8"/>
  <c r="I134" i="8"/>
  <c r="I139" i="8"/>
  <c r="I144" i="8"/>
  <c r="I145" i="8"/>
  <c r="I146" i="8"/>
  <c r="I147" i="8"/>
  <c r="I148" i="8"/>
  <c r="I117" i="8"/>
  <c r="D95" i="15" l="1"/>
  <c r="I149" i="8"/>
  <c r="I70" i="8"/>
  <c r="I71" i="8" s="1"/>
  <c r="I76" i="8"/>
  <c r="I77" i="8"/>
  <c r="I82" i="8"/>
  <c r="I83" i="8" s="1"/>
  <c r="I90" i="8"/>
  <c r="I91" i="8"/>
  <c r="I256" i="8" s="1"/>
  <c r="I92" i="8"/>
  <c r="I93" i="8"/>
  <c r="I263" i="5"/>
  <c r="I129" i="5"/>
  <c r="I134" i="5"/>
  <c r="I139" i="5"/>
  <c r="I144" i="5"/>
  <c r="I145" i="5"/>
  <c r="I146" i="5"/>
  <c r="I147" i="5"/>
  <c r="I148" i="5"/>
  <c r="I94" i="8" l="1"/>
  <c r="I95" i="8" s="1"/>
  <c r="I255" i="8" s="1"/>
  <c r="I149" i="5"/>
  <c r="I76" i="5" l="1"/>
  <c r="I77" i="5" s="1"/>
  <c r="I82" i="5"/>
  <c r="I83" i="5" s="1"/>
  <c r="I89" i="5"/>
  <c r="I129" i="4" l="1"/>
  <c r="I134" i="4"/>
  <c r="I139" i="4"/>
  <c r="I144" i="4"/>
  <c r="J140" i="4" s="1"/>
  <c r="I145" i="4"/>
  <c r="I146" i="4"/>
  <c r="I147" i="4"/>
  <c r="I148" i="4"/>
  <c r="I117" i="4"/>
  <c r="J144" i="4" l="1"/>
  <c r="G140" i="15"/>
  <c r="J145" i="4"/>
  <c r="J149" i="4" s="1"/>
  <c r="I149" i="4"/>
  <c r="G144" i="15" l="1"/>
  <c r="G145" i="15"/>
  <c r="G149" i="15" s="1"/>
  <c r="I76" i="4"/>
  <c r="I77" i="4"/>
  <c r="I82" i="4"/>
  <c r="I83" i="4" s="1"/>
  <c r="I89" i="4"/>
  <c r="I90" i="4"/>
  <c r="I91" i="4"/>
  <c r="I92" i="4"/>
  <c r="I93" i="4"/>
  <c r="I94" i="4" l="1"/>
  <c r="I95" i="4" s="1"/>
  <c r="I129" i="2"/>
  <c r="I134" i="2"/>
  <c r="I139" i="2"/>
  <c r="I144" i="2"/>
  <c r="J140" i="2" s="1"/>
  <c r="I145" i="2"/>
  <c r="I146" i="2"/>
  <c r="I147" i="2"/>
  <c r="I148" i="2"/>
  <c r="I117" i="2"/>
  <c r="J144" i="2" l="1"/>
  <c r="K140" i="2" s="1"/>
  <c r="J140" i="11"/>
  <c r="J144" i="11" s="1"/>
  <c r="E140" i="15"/>
  <c r="J145" i="2"/>
  <c r="J149" i="2" s="1"/>
  <c r="I149" i="2"/>
  <c r="E145" i="15" l="1"/>
  <c r="E149" i="15" s="1"/>
  <c r="E144" i="15"/>
  <c r="K144" i="2"/>
  <c r="K145" i="2"/>
  <c r="K149" i="2" s="1"/>
  <c r="K140" i="11"/>
  <c r="K144" i="11" s="1"/>
  <c r="I76" i="2"/>
  <c r="I77" i="2" s="1"/>
  <c r="J72" i="2" s="1"/>
  <c r="I82" i="2"/>
  <c r="I83" i="2" s="1"/>
  <c r="I88" i="2"/>
  <c r="I89" i="2" s="1"/>
  <c r="I90" i="2"/>
  <c r="I91" i="2"/>
  <c r="I92" i="2"/>
  <c r="I93" i="2"/>
  <c r="J72" i="11" l="1"/>
  <c r="E72" i="15"/>
  <c r="J90" i="2"/>
  <c r="J95" i="2" s="1"/>
  <c r="E255" i="15" s="1"/>
  <c r="J77" i="2"/>
  <c r="K72" i="2" s="1"/>
  <c r="I94" i="2"/>
  <c r="I95" i="2" s="1"/>
  <c r="K72" i="11" l="1"/>
  <c r="K77" i="2"/>
  <c r="K90" i="2"/>
  <c r="K95" i="2" s="1"/>
  <c r="E90" i="15"/>
  <c r="E95" i="15" s="1"/>
  <c r="I129" i="6"/>
  <c r="I134" i="6"/>
  <c r="I139" i="6"/>
  <c r="I145" i="6"/>
  <c r="I146" i="6"/>
  <c r="I147" i="6"/>
  <c r="I148" i="6"/>
  <c r="I149" i="6" l="1"/>
  <c r="I76" i="6"/>
  <c r="I77" i="6" s="1"/>
  <c r="I82" i="6"/>
  <c r="I91" i="6"/>
  <c r="I92" i="6"/>
  <c r="I259" i="6" s="1"/>
  <c r="I93" i="6"/>
  <c r="I94" i="6" l="1"/>
  <c r="I129" i="3" l="1"/>
  <c r="I134" i="3"/>
  <c r="I139" i="3"/>
  <c r="I145" i="3"/>
  <c r="I146" i="3"/>
  <c r="I147" i="3"/>
  <c r="I148" i="3"/>
  <c r="I149" i="3" l="1"/>
  <c r="I117" i="3" l="1"/>
  <c r="I88" i="3"/>
  <c r="P88" i="3" l="1"/>
  <c r="I82" i="3"/>
  <c r="I83" i="3" s="1"/>
  <c r="I76" i="3"/>
  <c r="I77" i="3" s="1"/>
  <c r="I91" i="3"/>
  <c r="I92" i="3"/>
  <c r="I93" i="3"/>
  <c r="I89" i="3"/>
  <c r="I90" i="3"/>
  <c r="I263" i="7"/>
  <c r="I94" i="3" l="1"/>
  <c r="I95" i="3" s="1"/>
  <c r="I129" i="7"/>
  <c r="J125" i="7" s="1"/>
  <c r="I134" i="7"/>
  <c r="I139" i="7"/>
  <c r="I144" i="7"/>
  <c r="I147" i="7"/>
  <c r="I148" i="7"/>
  <c r="I117" i="7"/>
  <c r="J129" i="7" l="1"/>
  <c r="J125" i="11"/>
  <c r="J125" i="15"/>
  <c r="J145" i="7"/>
  <c r="J149" i="7" s="1"/>
  <c r="I149" i="7"/>
  <c r="J129" i="15" l="1"/>
  <c r="J145" i="15"/>
  <c r="J149" i="15" s="1"/>
  <c r="H88" i="7"/>
  <c r="I88" i="7"/>
  <c r="I70" i="7"/>
  <c r="P88" i="7" l="1"/>
  <c r="I90" i="7"/>
  <c r="I91" i="7"/>
  <c r="I256" i="7" s="1"/>
  <c r="I92" i="7"/>
  <c r="I93" i="7"/>
  <c r="I89" i="7"/>
  <c r="I94" i="7" l="1"/>
  <c r="I95" i="7" s="1"/>
  <c r="I255" i="7" s="1"/>
  <c r="P245" i="11"/>
  <c r="P246" i="11"/>
  <c r="P113" i="11"/>
  <c r="P114" i="11"/>
  <c r="P115" i="11"/>
  <c r="P116" i="11"/>
  <c r="I236" i="8"/>
  <c r="I111" i="8"/>
  <c r="I118" i="8" s="1"/>
  <c r="I15" i="8"/>
  <c r="I236" i="7"/>
  <c r="I111" i="2"/>
  <c r="I118" i="2" s="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258" i="11" s="1"/>
  <c r="L76" i="11"/>
  <c r="L77" i="11" s="1"/>
  <c r="L70" i="11"/>
  <c r="L71" i="11" s="1"/>
  <c r="L92" i="11"/>
  <c r="L93" i="11"/>
  <c r="K76" i="11"/>
  <c r="K77" i="11" s="1"/>
  <c r="K82" i="11"/>
  <c r="K263" i="11"/>
  <c r="K193" i="11"/>
  <c r="L139" i="11"/>
  <c r="K134" i="11"/>
  <c r="K129" i="11"/>
  <c r="K139" i="11"/>
  <c r="K117" i="11"/>
  <c r="K91" i="11"/>
  <c r="K256" i="11" s="1"/>
  <c r="K258" i="11" s="1"/>
  <c r="K70" i="1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91" i="11"/>
  <c r="J256" i="11" s="1"/>
  <c r="J258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258" i="11" s="1"/>
  <c r="I92" i="11"/>
  <c r="I82" i="11"/>
  <c r="I93" i="11"/>
  <c r="I70" i="11"/>
  <c r="I71" i="11" s="1"/>
  <c r="O82" i="11"/>
  <c r="O83" i="11" s="1"/>
  <c r="I76" i="11"/>
  <c r="I77" i="11" s="1"/>
  <c r="O91" i="11"/>
  <c r="N90" i="11"/>
  <c r="L88" i="11"/>
  <c r="L89" i="11" s="1"/>
  <c r="N82" i="11"/>
  <c r="N83" i="11" s="1"/>
  <c r="O92" i="11"/>
  <c r="K88" i="11"/>
  <c r="K89" i="11" s="1"/>
  <c r="M82" i="11"/>
  <c r="M83" i="11" s="1"/>
  <c r="M91" i="11"/>
  <c r="M258" i="11" s="1"/>
  <c r="L90" i="11"/>
  <c r="M88" i="11"/>
  <c r="M89" i="11" s="1"/>
  <c r="K262" i="13"/>
  <c r="J262" i="13"/>
  <c r="I262" i="13"/>
  <c r="H262" i="13"/>
  <c r="G262" i="13"/>
  <c r="F262" i="13"/>
  <c r="E262" i="13"/>
  <c r="D262" i="13"/>
  <c r="K261" i="13"/>
  <c r="J261" i="13"/>
  <c r="J263" i="13" s="1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F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I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D105" i="13" l="1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J148" i="13"/>
  <c r="J88" i="13"/>
  <c r="J89" i="13" s="1"/>
  <c r="I146" i="13"/>
  <c r="I111" i="13"/>
  <c r="I88" i="13"/>
  <c r="I89" i="13" s="1"/>
  <c r="H111" i="13"/>
  <c r="G88" i="13"/>
  <c r="G89" i="13" s="1"/>
  <c r="F263" i="13"/>
  <c r="F88" i="13"/>
  <c r="F89" i="13" s="1"/>
  <c r="E236" i="13"/>
  <c r="J149" i="11"/>
  <c r="O149" i="11"/>
  <c r="I149" i="11"/>
  <c r="L149" i="11"/>
  <c r="K149" i="11"/>
  <c r="O94" i="11"/>
  <c r="O95" i="11" s="1"/>
  <c r="K263" i="13"/>
  <c r="N94" i="11"/>
  <c r="N95" i="11" s="1"/>
  <c r="N149" i="11"/>
  <c r="M149" i="11"/>
  <c r="M94" i="11"/>
  <c r="M95" i="11" s="1"/>
  <c r="L94" i="11"/>
  <c r="L95" i="11" s="1"/>
  <c r="L255" i="11" s="1"/>
  <c r="K94" i="11"/>
  <c r="J94" i="11"/>
  <c r="D263" i="13"/>
  <c r="D117" i="13"/>
  <c r="D118" i="13" s="1"/>
  <c r="D119" i="13" s="1"/>
  <c r="H263" i="13"/>
  <c r="H146" i="13"/>
  <c r="G147" i="13"/>
  <c r="G144" i="13"/>
  <c r="I117" i="13"/>
  <c r="F146" i="13"/>
  <c r="F134" i="13"/>
  <c r="J146" i="13"/>
  <c r="J129" i="13"/>
  <c r="I94" i="11"/>
  <c r="K236" i="13"/>
  <c r="K111" i="13"/>
  <c r="J236" i="13"/>
  <c r="I236" i="13"/>
  <c r="H236" i="13"/>
  <c r="G236" i="13"/>
  <c r="G111" i="13"/>
  <c r="F236" i="13"/>
  <c r="E117" i="13"/>
  <c r="E129" i="13"/>
  <c r="J144" i="13"/>
  <c r="G117" i="13"/>
  <c r="I145" i="13"/>
  <c r="I139" i="13"/>
  <c r="J111" i="13"/>
  <c r="J117" i="13"/>
  <c r="D148" i="13"/>
  <c r="J139" i="13"/>
  <c r="K134" i="13"/>
  <c r="G134" i="13"/>
  <c r="H117" i="13"/>
  <c r="J134" i="13"/>
  <c r="H145" i="13"/>
  <c r="E111" i="13"/>
  <c r="K129" i="13"/>
  <c r="G139" i="13"/>
  <c r="D146" i="13"/>
  <c r="E147" i="13"/>
  <c r="I147" i="13"/>
  <c r="F139" i="13"/>
  <c r="F148" i="13"/>
  <c r="D139" i="13"/>
  <c r="G146" i="13"/>
  <c r="K139" i="13"/>
  <c r="F129" i="13"/>
  <c r="J147" i="13"/>
  <c r="G148" i="13"/>
  <c r="E146" i="13"/>
  <c r="I144" i="13"/>
  <c r="D145" i="13"/>
  <c r="H144" i="13"/>
  <c r="K144" i="13"/>
  <c r="J145" i="13"/>
  <c r="K145" i="13"/>
  <c r="E139" i="13"/>
  <c r="E134" i="13"/>
  <c r="I134" i="13"/>
  <c r="E145" i="13"/>
  <c r="G145" i="13"/>
  <c r="H129" i="13"/>
  <c r="D134" i="13"/>
  <c r="F144" i="13"/>
  <c r="D129" i="13"/>
  <c r="F147" i="13"/>
  <c r="F145" i="13"/>
  <c r="K146" i="13"/>
  <c r="H147" i="13"/>
  <c r="E148" i="13"/>
  <c r="G129" i="13"/>
  <c r="H134" i="13"/>
  <c r="I129" i="13"/>
  <c r="F117" i="13"/>
  <c r="I149" i="13" l="1"/>
  <c r="K149" i="13"/>
  <c r="H149" i="13"/>
  <c r="G149" i="13"/>
  <c r="J149" i="13"/>
  <c r="E149" i="13"/>
  <c r="F14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29" i="11"/>
  <c r="H242" i="11"/>
  <c r="H92" i="11"/>
  <c r="H139" i="11"/>
  <c r="H146" i="11"/>
  <c r="H91" i="11"/>
  <c r="H256" i="11" s="1"/>
  <c r="H258" i="11" s="1"/>
  <c r="H129" i="11"/>
  <c r="H145" i="11"/>
  <c r="H263" i="11"/>
  <c r="K94" i="13"/>
  <c r="K95" i="13" s="1"/>
  <c r="H193" i="11"/>
  <c r="H93" i="11"/>
  <c r="J94" i="13"/>
  <c r="J95" i="13" s="1"/>
  <c r="D94" i="13"/>
  <c r="E94" i="13"/>
  <c r="E95" i="13" s="1"/>
  <c r="F94" i="13"/>
  <c r="F95" i="13" s="1"/>
  <c r="D90" i="13"/>
  <c r="I15" i="13"/>
  <c r="G94" i="13"/>
  <c r="G95" i="13" s="1"/>
  <c r="H94" i="13"/>
  <c r="H95" i="13" s="1"/>
  <c r="I94" i="13"/>
  <c r="I95" i="13" s="1"/>
  <c r="H89" i="11"/>
  <c r="H90" i="11"/>
  <c r="H263" i="7"/>
  <c r="H236" i="7"/>
  <c r="H145" i="7"/>
  <c r="H146" i="7"/>
  <c r="H147" i="7"/>
  <c r="H148" i="7"/>
  <c r="H117" i="7"/>
  <c r="H89" i="7"/>
  <c r="H90" i="7"/>
  <c r="H91" i="7"/>
  <c r="H256" i="7" s="1"/>
  <c r="H92" i="7"/>
  <c r="H93" i="7"/>
  <c r="H76" i="7"/>
  <c r="H77" i="7"/>
  <c r="H82" i="7"/>
  <c r="H83" i="7" s="1"/>
  <c r="H94" i="11" l="1"/>
  <c r="H95" i="11" s="1"/>
  <c r="H255" i="11" s="1"/>
  <c r="H149" i="11"/>
  <c r="H94" i="7"/>
  <c r="H95" i="7" s="1"/>
  <c r="H255" i="7" s="1"/>
  <c r="D95" i="13"/>
  <c r="H149" i="7"/>
  <c r="H145" i="6" l="1"/>
  <c r="H146" i="6"/>
  <c r="H147" i="6"/>
  <c r="H148" i="6"/>
  <c r="H149" i="6" l="1"/>
  <c r="H117" i="6"/>
  <c r="H83" i="6"/>
  <c r="I78" i="6" s="1"/>
  <c r="H90" i="6"/>
  <c r="H91" i="6"/>
  <c r="H92" i="6"/>
  <c r="H93" i="6"/>
  <c r="I78" i="11" l="1"/>
  <c r="I90" i="6"/>
  <c r="I95" i="6" s="1"/>
  <c r="I83" i="6"/>
  <c r="J78" i="6" s="1"/>
  <c r="H94" i="6"/>
  <c r="H95" i="6" s="1"/>
  <c r="H263" i="5"/>
  <c r="H146" i="5"/>
  <c r="H145" i="5"/>
  <c r="H147" i="5"/>
  <c r="H148" i="5"/>
  <c r="H117" i="5"/>
  <c r="I78" i="15" l="1"/>
  <c r="J90" i="6"/>
  <c r="J95" i="6" s="1"/>
  <c r="I255" i="15" s="1"/>
  <c r="J83" i="6"/>
  <c r="K78" i="6" s="1"/>
  <c r="J78" i="11"/>
  <c r="I90" i="11"/>
  <c r="I95" i="11" s="1"/>
  <c r="I255" i="11" s="1"/>
  <c r="I83" i="11"/>
  <c r="H149" i="5"/>
  <c r="H90" i="5"/>
  <c r="H91" i="5"/>
  <c r="H92" i="5"/>
  <c r="H259" i="5" s="1"/>
  <c r="H93" i="5"/>
  <c r="J90" i="11" l="1"/>
  <c r="J95" i="11" s="1"/>
  <c r="J255" i="11" s="1"/>
  <c r="J83" i="11"/>
  <c r="K83" i="6"/>
  <c r="K78" i="11"/>
  <c r="K83" i="11" s="1"/>
  <c r="K90" i="6"/>
  <c r="K95" i="6" s="1"/>
  <c r="I90" i="15"/>
  <c r="H94" i="5"/>
  <c r="H95" i="5" s="1"/>
  <c r="H145" i="4"/>
  <c r="H146" i="4"/>
  <c r="H147" i="4"/>
  <c r="H148" i="4"/>
  <c r="H117" i="4"/>
  <c r="I95" i="15" l="1"/>
  <c r="H149" i="4"/>
  <c r="H90" i="4"/>
  <c r="H91" i="4"/>
  <c r="H92" i="4"/>
  <c r="H93" i="4"/>
  <c r="H94" i="4" l="1"/>
  <c r="H95" i="4" s="1"/>
  <c r="H145" i="3" l="1"/>
  <c r="H146" i="3"/>
  <c r="H147" i="3"/>
  <c r="H148" i="3"/>
  <c r="H117" i="3"/>
  <c r="H149" i="3" l="1"/>
  <c r="H90" i="3" l="1"/>
  <c r="H91" i="3"/>
  <c r="H92" i="3"/>
  <c r="H93" i="3"/>
  <c r="H263" i="2"/>
  <c r="H145" i="2"/>
  <c r="H146" i="2"/>
  <c r="H147" i="2"/>
  <c r="H148" i="2"/>
  <c r="H94" i="3" l="1"/>
  <c r="H95" i="3" s="1"/>
  <c r="H149" i="2"/>
  <c r="H117" i="2" l="1"/>
  <c r="H91" i="2" l="1"/>
  <c r="H92" i="2"/>
  <c r="H93" i="2"/>
  <c r="H94" i="2" l="1"/>
  <c r="H95" i="2" s="1"/>
  <c r="H236" i="8" l="1"/>
  <c r="H129" i="8"/>
  <c r="H134" i="8"/>
  <c r="H139" i="8"/>
  <c r="H144" i="8"/>
  <c r="H145" i="8"/>
  <c r="H146" i="8"/>
  <c r="H147" i="8"/>
  <c r="H148" i="8"/>
  <c r="H149" i="8" l="1"/>
  <c r="H117" i="8" l="1"/>
  <c r="H82" i="8" l="1"/>
  <c r="H76" i="8"/>
  <c r="H90" i="8" l="1"/>
  <c r="H91" i="8"/>
  <c r="H256" i="8" s="1"/>
  <c r="H92" i="8"/>
  <c r="H93" i="8"/>
  <c r="H83" i="8"/>
  <c r="H77" i="8"/>
  <c r="H94" i="8" l="1"/>
  <c r="H95" i="8" s="1"/>
  <c r="H255" i="8" s="1"/>
  <c r="H242" i="1"/>
  <c r="H236" i="1"/>
  <c r="H145" i="1"/>
  <c r="H146" i="1"/>
  <c r="H147" i="1"/>
  <c r="H148" i="1"/>
  <c r="H149" i="1" l="1"/>
  <c r="H117" i="1" l="1"/>
  <c r="H90" i="1" l="1"/>
  <c r="H91" i="1"/>
  <c r="H92" i="1"/>
  <c r="H93" i="1"/>
  <c r="G88" i="11" l="1"/>
  <c r="G89" i="11" s="1"/>
  <c r="G111" i="11"/>
  <c r="G247" i="11"/>
  <c r="G139" i="11"/>
  <c r="G105" i="11"/>
  <c r="G82" i="11"/>
  <c r="G83" i="11" s="1"/>
  <c r="G70" i="11"/>
  <c r="G71" i="11" s="1"/>
  <c r="G146" i="11"/>
  <c r="G129" i="11"/>
  <c r="G145" i="11"/>
  <c r="G236" i="11"/>
  <c r="G91" i="11"/>
  <c r="G256" i="11" s="1"/>
  <c r="G258" i="11" s="1"/>
  <c r="G117" i="11"/>
  <c r="G134" i="11"/>
  <c r="G148" i="11"/>
  <c r="G216" i="11"/>
  <c r="G229" i="11"/>
  <c r="G242" i="11"/>
  <c r="G76" i="11"/>
  <c r="G77" i="11" s="1"/>
  <c r="G263" i="11"/>
  <c r="G90" i="11"/>
  <c r="G93" i="11"/>
  <c r="G92" i="11"/>
  <c r="G118" i="11" l="1"/>
  <c r="G119" i="11" s="1"/>
  <c r="G94" i="11"/>
  <c r="G95" i="11" s="1"/>
  <c r="G255" i="11" l="1"/>
  <c r="G263" i="8" l="1"/>
  <c r="G145" i="8"/>
  <c r="G146" i="8"/>
  <c r="G147" i="8"/>
  <c r="G148" i="8"/>
  <c r="G117" i="8"/>
  <c r="G149" i="8" l="1"/>
  <c r="G90" i="8"/>
  <c r="G91" i="8"/>
  <c r="G256" i="8" s="1"/>
  <c r="K256" i="13" s="1"/>
  <c r="G92" i="8"/>
  <c r="G93" i="8"/>
  <c r="G94" i="8" s="1"/>
  <c r="G263" i="7"/>
  <c r="G145" i="7"/>
  <c r="G146" i="7"/>
  <c r="G147" i="7"/>
  <c r="G148" i="7"/>
  <c r="G95" i="8" l="1"/>
  <c r="G255" i="8" s="1"/>
  <c r="K255" i="13" s="1"/>
  <c r="G149" i="7"/>
  <c r="G90" i="7"/>
  <c r="G91" i="7"/>
  <c r="G256" i="7" s="1"/>
  <c r="J256" i="13" s="1"/>
  <c r="G92" i="7"/>
  <c r="G93" i="7"/>
  <c r="G263" i="6"/>
  <c r="G145" i="6"/>
  <c r="G146" i="6"/>
  <c r="G147" i="6"/>
  <c r="G148" i="6"/>
  <c r="G90" i="6"/>
  <c r="G91" i="6"/>
  <c r="I256" i="13" s="1"/>
  <c r="G92" i="6"/>
  <c r="G93" i="6"/>
  <c r="G149" i="6" l="1"/>
  <c r="G94" i="7"/>
  <c r="G95" i="7" s="1"/>
  <c r="G255" i="7" s="1"/>
  <c r="J255" i="13" s="1"/>
  <c r="G94" i="6"/>
  <c r="G95" i="6" s="1"/>
  <c r="I255" i="13" s="1"/>
  <c r="G263" i="3"/>
  <c r="G145" i="3"/>
  <c r="G146" i="3"/>
  <c r="G147" i="3"/>
  <c r="G148" i="3"/>
  <c r="G117" i="3"/>
  <c r="G149" i="3" l="1"/>
  <c r="G90" i="3" l="1"/>
  <c r="G91" i="3"/>
  <c r="G256" i="3" s="1"/>
  <c r="F256" i="13" s="1"/>
  <c r="G92" i="3"/>
  <c r="G93" i="3"/>
  <c r="G263" i="5"/>
  <c r="G145" i="5"/>
  <c r="G146" i="5"/>
  <c r="G147" i="5"/>
  <c r="G148" i="5"/>
  <c r="G117" i="5"/>
  <c r="G90" i="5"/>
  <c r="G91" i="5"/>
  <c r="H256" i="13" s="1"/>
  <c r="G92" i="5"/>
  <c r="G93" i="5"/>
  <c r="G94" i="5" l="1"/>
  <c r="G95" i="5" s="1"/>
  <c r="H255" i="13" s="1"/>
  <c r="G94" i="3"/>
  <c r="G95" i="3" s="1"/>
  <c r="F255" i="13" s="1"/>
  <c r="G149" i="5"/>
  <c r="G263" i="4" l="1"/>
  <c r="G145" i="4"/>
  <c r="G146" i="4"/>
  <c r="G147" i="4"/>
  <c r="G148" i="4"/>
  <c r="G149" i="4" l="1"/>
  <c r="G117" i="4"/>
  <c r="G90" i="4"/>
  <c r="G91" i="4"/>
  <c r="G256" i="4" s="1"/>
  <c r="G256" i="13" s="1"/>
  <c r="G92" i="4"/>
  <c r="G93" i="4"/>
  <c r="G98" i="4" s="1"/>
  <c r="G98" i="18" s="1"/>
  <c r="G98" i="11" l="1"/>
  <c r="G98" i="13"/>
  <c r="G263" i="2"/>
  <c r="G145" i="2"/>
  <c r="G146" i="2"/>
  <c r="G147" i="2"/>
  <c r="G148" i="2"/>
  <c r="G149" i="2" l="1"/>
  <c r="G90" i="2"/>
  <c r="G91" i="2"/>
  <c r="G92" i="2"/>
  <c r="G93" i="2"/>
  <c r="G256" i="2" l="1"/>
  <c r="G258" i="2" s="1"/>
  <c r="P88" i="2"/>
  <c r="G94" i="2"/>
  <c r="G95" i="2" s="1"/>
  <c r="G145" i="1"/>
  <c r="G146" i="1"/>
  <c r="G148" i="1"/>
  <c r="G255" i="2" l="1"/>
  <c r="G259" i="2" s="1"/>
  <c r="E256" i="13"/>
  <c r="D256" i="13"/>
  <c r="E255" i="13" l="1"/>
  <c r="G236" i="7"/>
  <c r="G236" i="1"/>
  <c r="G236" i="8"/>
  <c r="D246" i="12" l="1"/>
  <c r="E246" i="12"/>
  <c r="F246" i="12"/>
  <c r="G246" i="12"/>
  <c r="H246" i="12"/>
  <c r="I246" i="12"/>
  <c r="J246" i="12"/>
  <c r="K246" i="12"/>
  <c r="G245" i="12"/>
  <c r="H245" i="12"/>
  <c r="I245" i="12"/>
  <c r="J245" i="12"/>
  <c r="K245" i="12"/>
  <c r="F245" i="12"/>
  <c r="E245" i="12"/>
  <c r="D245" i="12"/>
  <c r="L245" i="12" l="1"/>
  <c r="L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258" i="11" s="1"/>
  <c r="F134" i="11"/>
  <c r="F90" i="11"/>
  <c r="F139" i="11"/>
  <c r="F88" i="11"/>
  <c r="F89" i="11" s="1"/>
  <c r="F93" i="11"/>
  <c r="F149" i="11" l="1"/>
  <c r="F263" i="7" l="1"/>
  <c r="F145" i="7"/>
  <c r="F146" i="7"/>
  <c r="F147" i="7"/>
  <c r="F148" i="7"/>
  <c r="F149" i="7" l="1"/>
  <c r="F145" i="6"/>
  <c r="F146" i="6"/>
  <c r="F147" i="6"/>
  <c r="F148" i="6"/>
  <c r="F90" i="6"/>
  <c r="F91" i="6"/>
  <c r="F92" i="6"/>
  <c r="F259" i="6" s="1"/>
  <c r="F93" i="6"/>
  <c r="F263" i="5"/>
  <c r="F145" i="5"/>
  <c r="F146" i="5"/>
  <c r="F147" i="5"/>
  <c r="F148" i="5"/>
  <c r="F149" i="6" l="1"/>
  <c r="F149" i="5"/>
  <c r="F90" i="5"/>
  <c r="F91" i="5"/>
  <c r="F92" i="5"/>
  <c r="F93" i="5"/>
  <c r="F94" i="5" l="1"/>
  <c r="F95" i="5" s="1"/>
  <c r="F263" i="4"/>
  <c r="F145" i="4"/>
  <c r="F146" i="4"/>
  <c r="F147" i="4"/>
  <c r="F148" i="4"/>
  <c r="F90" i="4"/>
  <c r="F91" i="4"/>
  <c r="F92" i="4"/>
  <c r="F259" i="4" s="1"/>
  <c r="F93" i="4"/>
  <c r="F149" i="4" l="1"/>
  <c r="F145" i="3" l="1"/>
  <c r="F146" i="3"/>
  <c r="F147" i="3"/>
  <c r="F148" i="3"/>
  <c r="F149" i="3" l="1"/>
  <c r="F90" i="3" l="1"/>
  <c r="F91" i="3"/>
  <c r="F92" i="3"/>
  <c r="F93" i="3"/>
  <c r="F145" i="2" l="1"/>
  <c r="F146" i="2"/>
  <c r="F147" i="2"/>
  <c r="F148" i="2"/>
  <c r="F149" i="2" l="1"/>
  <c r="F90" i="2"/>
  <c r="F91" i="2"/>
  <c r="F92" i="2"/>
  <c r="F259" i="2" s="1"/>
  <c r="F93" i="2"/>
  <c r="F263" i="8" l="1"/>
  <c r="F145" i="8"/>
  <c r="F146" i="8"/>
  <c r="F147" i="8"/>
  <c r="F148" i="8"/>
  <c r="F149" i="8" l="1"/>
  <c r="F90" i="8" l="1"/>
  <c r="F91" i="8"/>
  <c r="F92" i="8"/>
  <c r="F93" i="8"/>
  <c r="D142" i="13" l="1"/>
  <c r="G147" i="11"/>
  <c r="G149" i="11" s="1"/>
  <c r="G147" i="1"/>
  <c r="G149" i="1" s="1"/>
  <c r="F90" i="1"/>
  <c r="F91" i="1"/>
  <c r="F92" i="1"/>
  <c r="F93" i="1"/>
  <c r="D147" i="13" l="1"/>
  <c r="D149" i="13" s="1"/>
  <c r="D144" i="13"/>
  <c r="F236" i="7"/>
  <c r="F236" i="1"/>
  <c r="E88" i="11" l="1"/>
  <c r="E89" i="11" s="1"/>
  <c r="E263" i="8"/>
  <c r="E145" i="8"/>
  <c r="E146" i="8"/>
  <c r="E147" i="8"/>
  <c r="E148" i="8"/>
  <c r="E90" i="8"/>
  <c r="E91" i="8"/>
  <c r="E92" i="8"/>
  <c r="E93" i="8"/>
  <c r="E263" i="7"/>
  <c r="E236" i="7"/>
  <c r="E145" i="7"/>
  <c r="E146" i="7"/>
  <c r="E147" i="7"/>
  <c r="E148" i="7"/>
  <c r="E145" i="6"/>
  <c r="E146" i="6"/>
  <c r="E147" i="6"/>
  <c r="E148" i="6"/>
  <c r="E90" i="6"/>
  <c r="E91" i="6"/>
  <c r="E92" i="6"/>
  <c r="E93" i="6"/>
  <c r="E263" i="5"/>
  <c r="E145" i="5"/>
  <c r="E146" i="5"/>
  <c r="E147" i="5"/>
  <c r="E148" i="5"/>
  <c r="E90" i="5"/>
  <c r="E91" i="5"/>
  <c r="E92" i="5"/>
  <c r="E259" i="5" s="1"/>
  <c r="E93" i="5"/>
  <c r="E94" i="6" l="1"/>
  <c r="E95" i="6" s="1"/>
  <c r="E149" i="6"/>
  <c r="E149" i="8"/>
  <c r="E149" i="7"/>
  <c r="E149" i="5"/>
  <c r="E263" i="4"/>
  <c r="E145" i="4"/>
  <c r="E146" i="4"/>
  <c r="E147" i="4"/>
  <c r="E148" i="4"/>
  <c r="E90" i="4"/>
  <c r="E91" i="4"/>
  <c r="E92" i="4"/>
  <c r="E259" i="4" s="1"/>
  <c r="E93" i="4"/>
  <c r="E149" i="4" l="1"/>
  <c r="E145" i="3" l="1"/>
  <c r="E146" i="3"/>
  <c r="E147" i="3"/>
  <c r="E148" i="3"/>
  <c r="E149" i="3" l="1"/>
  <c r="E90" i="3"/>
  <c r="E91" i="3"/>
  <c r="E92" i="3"/>
  <c r="E93" i="3"/>
  <c r="E247" i="8" l="1"/>
  <c r="E247" i="7"/>
  <c r="E247" i="5"/>
  <c r="E247" i="4"/>
  <c r="F247" i="4"/>
  <c r="G247" i="4"/>
  <c r="E247" i="3"/>
  <c r="E247" i="2"/>
  <c r="F247" i="2"/>
  <c r="G247" i="2"/>
  <c r="E247" i="11" l="1"/>
  <c r="E145" i="2" l="1"/>
  <c r="E146" i="2"/>
  <c r="E147" i="2"/>
  <c r="E148" i="2"/>
  <c r="E149" i="2" l="1"/>
  <c r="E90" i="2" l="1"/>
  <c r="E91" i="2"/>
  <c r="E92" i="2"/>
  <c r="E259" i="2" s="1"/>
  <c r="E93" i="2"/>
  <c r="E90" i="1" l="1"/>
  <c r="E91" i="1"/>
  <c r="E92" i="1"/>
  <c r="E93" i="1"/>
  <c r="E236" i="8" l="1"/>
  <c r="F236" i="8"/>
  <c r="E236" i="6"/>
  <c r="F236" i="6"/>
  <c r="G236" i="6"/>
  <c r="H236" i="6"/>
  <c r="I236" i="6"/>
  <c r="E236" i="5"/>
  <c r="F236" i="5"/>
  <c r="G236" i="5"/>
  <c r="H236" i="5"/>
  <c r="I236" i="5"/>
  <c r="E236" i="4"/>
  <c r="F236" i="4"/>
  <c r="G236" i="4"/>
  <c r="H236" i="4"/>
  <c r="I236" i="4"/>
  <c r="E236" i="3"/>
  <c r="F236" i="3"/>
  <c r="G236" i="3"/>
  <c r="H236" i="3"/>
  <c r="I236" i="3"/>
  <c r="E76" i="11" l="1"/>
  <c r="E77" i="11" s="1"/>
  <c r="E145" i="1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E134" i="11"/>
  <c r="E129" i="11"/>
  <c r="E236" i="2" l="1"/>
  <c r="F236" i="2"/>
  <c r="G236" i="2"/>
  <c r="H236" i="2"/>
  <c r="I236" i="2"/>
  <c r="E236" i="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E263" i="17" s="1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K262" i="12"/>
  <c r="J262" i="12"/>
  <c r="I262" i="12"/>
  <c r="H262" i="12"/>
  <c r="G262" i="12"/>
  <c r="F262" i="12"/>
  <c r="E262" i="12"/>
  <c r="D262" i="12"/>
  <c r="K261" i="12"/>
  <c r="J261" i="12"/>
  <c r="J263" i="12" s="1"/>
  <c r="I261" i="12"/>
  <c r="H261" i="12"/>
  <c r="G261" i="12"/>
  <c r="F261" i="12"/>
  <c r="E261" i="12"/>
  <c r="D261" i="12"/>
  <c r="K257" i="12"/>
  <c r="J257" i="12"/>
  <c r="I257" i="12"/>
  <c r="H257" i="12"/>
  <c r="G257" i="12"/>
  <c r="F257" i="12"/>
  <c r="E257" i="12"/>
  <c r="D257" i="12"/>
  <c r="K254" i="12"/>
  <c r="J254" i="12"/>
  <c r="I254" i="12"/>
  <c r="H254" i="12"/>
  <c r="G254" i="12"/>
  <c r="F254" i="12"/>
  <c r="E254" i="12"/>
  <c r="D254" i="12"/>
  <c r="K253" i="12"/>
  <c r="J253" i="12"/>
  <c r="I253" i="12"/>
  <c r="H253" i="12"/>
  <c r="G253" i="12"/>
  <c r="F253" i="12"/>
  <c r="E253" i="12"/>
  <c r="D253" i="12"/>
  <c r="K241" i="12"/>
  <c r="J241" i="12"/>
  <c r="I241" i="12"/>
  <c r="H241" i="12"/>
  <c r="G241" i="12"/>
  <c r="F241" i="12"/>
  <c r="E241" i="12"/>
  <c r="D241" i="12"/>
  <c r="K240" i="12"/>
  <c r="J240" i="12"/>
  <c r="I240" i="12"/>
  <c r="H240" i="12"/>
  <c r="G240" i="12"/>
  <c r="F240" i="12"/>
  <c r="E240" i="12"/>
  <c r="D240" i="12"/>
  <c r="K239" i="12"/>
  <c r="J239" i="12"/>
  <c r="I239" i="12"/>
  <c r="H239" i="12"/>
  <c r="G239" i="12"/>
  <c r="F239" i="12"/>
  <c r="E239" i="12"/>
  <c r="D239" i="12"/>
  <c r="K238" i="12"/>
  <c r="J238" i="12"/>
  <c r="I238" i="12"/>
  <c r="H238" i="12"/>
  <c r="G238" i="12"/>
  <c r="F238" i="12"/>
  <c r="E238" i="12"/>
  <c r="D238" i="12"/>
  <c r="K235" i="12"/>
  <c r="J235" i="12"/>
  <c r="I235" i="12"/>
  <c r="H235" i="12"/>
  <c r="G235" i="12"/>
  <c r="F235" i="12"/>
  <c r="E235" i="12"/>
  <c r="D235" i="12"/>
  <c r="K234" i="12"/>
  <c r="J234" i="12"/>
  <c r="I234" i="12"/>
  <c r="H234" i="12"/>
  <c r="G234" i="12"/>
  <c r="F234" i="12"/>
  <c r="E234" i="12"/>
  <c r="D234" i="12"/>
  <c r="K233" i="12"/>
  <c r="J233" i="12"/>
  <c r="I233" i="12"/>
  <c r="H233" i="12"/>
  <c r="G233" i="12"/>
  <c r="F233" i="12"/>
  <c r="E233" i="12"/>
  <c r="D233" i="12"/>
  <c r="K232" i="12"/>
  <c r="J232" i="12"/>
  <c r="I232" i="12"/>
  <c r="H232" i="12"/>
  <c r="G232" i="12"/>
  <c r="F232" i="12"/>
  <c r="E232" i="12"/>
  <c r="D232" i="12"/>
  <c r="K228" i="12"/>
  <c r="J228" i="12"/>
  <c r="I228" i="12"/>
  <c r="H228" i="12"/>
  <c r="G228" i="12"/>
  <c r="F228" i="12"/>
  <c r="E228" i="12"/>
  <c r="D228" i="12"/>
  <c r="K227" i="12"/>
  <c r="J227" i="12"/>
  <c r="I227" i="12"/>
  <c r="H227" i="12"/>
  <c r="G227" i="12"/>
  <c r="F227" i="12"/>
  <c r="E227" i="12"/>
  <c r="D227" i="12"/>
  <c r="K226" i="12"/>
  <c r="J226" i="12"/>
  <c r="I226" i="12"/>
  <c r="H226" i="12"/>
  <c r="G226" i="12"/>
  <c r="F226" i="12"/>
  <c r="E226" i="12"/>
  <c r="D226" i="12"/>
  <c r="K225" i="12"/>
  <c r="J225" i="12"/>
  <c r="I225" i="12"/>
  <c r="H225" i="12"/>
  <c r="G225" i="12"/>
  <c r="F225" i="12"/>
  <c r="E225" i="12"/>
  <c r="D225" i="12"/>
  <c r="K222" i="12"/>
  <c r="J222" i="12"/>
  <c r="I222" i="12"/>
  <c r="H222" i="12"/>
  <c r="G222" i="12"/>
  <c r="F222" i="12"/>
  <c r="E222" i="12"/>
  <c r="D222" i="12"/>
  <c r="K221" i="12"/>
  <c r="J221" i="12"/>
  <c r="I221" i="12"/>
  <c r="H221" i="12"/>
  <c r="G221" i="12"/>
  <c r="F221" i="12"/>
  <c r="E221" i="12"/>
  <c r="D221" i="12"/>
  <c r="K220" i="12"/>
  <c r="J220" i="12"/>
  <c r="I220" i="12"/>
  <c r="H220" i="12"/>
  <c r="G220" i="12"/>
  <c r="F220" i="12"/>
  <c r="E220" i="12"/>
  <c r="D220" i="12"/>
  <c r="K219" i="12"/>
  <c r="J219" i="12"/>
  <c r="I219" i="12"/>
  <c r="H219" i="12"/>
  <c r="G219" i="12"/>
  <c r="F219" i="12"/>
  <c r="E219" i="12"/>
  <c r="D219" i="12"/>
  <c r="K215" i="12"/>
  <c r="J215" i="12"/>
  <c r="I215" i="12"/>
  <c r="H215" i="12"/>
  <c r="G215" i="12"/>
  <c r="F215" i="12"/>
  <c r="E215" i="12"/>
  <c r="D215" i="12"/>
  <c r="K214" i="12"/>
  <c r="J214" i="12"/>
  <c r="I214" i="12"/>
  <c r="H214" i="12"/>
  <c r="G214" i="12"/>
  <c r="F214" i="12"/>
  <c r="E214" i="12"/>
  <c r="D214" i="12"/>
  <c r="K213" i="12"/>
  <c r="J213" i="12"/>
  <c r="I213" i="12"/>
  <c r="H213" i="12"/>
  <c r="G213" i="12"/>
  <c r="F213" i="12"/>
  <c r="E213" i="12"/>
  <c r="D213" i="12"/>
  <c r="K212" i="12"/>
  <c r="J212" i="12"/>
  <c r="I212" i="12"/>
  <c r="H212" i="12"/>
  <c r="G212" i="12"/>
  <c r="F212" i="12"/>
  <c r="E212" i="12"/>
  <c r="D212" i="12"/>
  <c r="K209" i="12"/>
  <c r="J209" i="12"/>
  <c r="I209" i="12"/>
  <c r="H209" i="12"/>
  <c r="G209" i="12"/>
  <c r="F209" i="12"/>
  <c r="E209" i="12"/>
  <c r="D209" i="12"/>
  <c r="K208" i="12"/>
  <c r="J208" i="12"/>
  <c r="I208" i="12"/>
  <c r="H208" i="12"/>
  <c r="G208" i="12"/>
  <c r="F208" i="12"/>
  <c r="E208" i="12"/>
  <c r="D208" i="12"/>
  <c r="K207" i="12"/>
  <c r="J207" i="12"/>
  <c r="I207" i="12"/>
  <c r="H207" i="12"/>
  <c r="G207" i="12"/>
  <c r="F207" i="12"/>
  <c r="E207" i="12"/>
  <c r="D207" i="12"/>
  <c r="K206" i="12"/>
  <c r="J206" i="12"/>
  <c r="I206" i="12"/>
  <c r="H206" i="12"/>
  <c r="G206" i="12"/>
  <c r="F206" i="12"/>
  <c r="E206" i="12"/>
  <c r="D206" i="12"/>
  <c r="K203" i="12"/>
  <c r="J203" i="12"/>
  <c r="I203" i="12"/>
  <c r="H203" i="12"/>
  <c r="G203" i="12"/>
  <c r="F203" i="12"/>
  <c r="E203" i="12"/>
  <c r="D203" i="12"/>
  <c r="K202" i="12"/>
  <c r="J202" i="12"/>
  <c r="I202" i="12"/>
  <c r="H202" i="12"/>
  <c r="G202" i="12"/>
  <c r="F202" i="12"/>
  <c r="E202" i="12"/>
  <c r="D202" i="12"/>
  <c r="K201" i="12"/>
  <c r="J201" i="12"/>
  <c r="I201" i="12"/>
  <c r="H201" i="12"/>
  <c r="G201" i="12"/>
  <c r="F201" i="12"/>
  <c r="E201" i="12"/>
  <c r="D201" i="12"/>
  <c r="K200" i="12"/>
  <c r="J200" i="12"/>
  <c r="I200" i="12"/>
  <c r="H200" i="12"/>
  <c r="G200" i="12"/>
  <c r="F200" i="12"/>
  <c r="E200" i="12"/>
  <c r="D200" i="12"/>
  <c r="K199" i="12"/>
  <c r="J199" i="12"/>
  <c r="I199" i="12"/>
  <c r="H199" i="12"/>
  <c r="G199" i="12"/>
  <c r="F199" i="12"/>
  <c r="E199" i="12"/>
  <c r="D199" i="12"/>
  <c r="K197" i="12"/>
  <c r="J197" i="12"/>
  <c r="I197" i="12"/>
  <c r="H197" i="12"/>
  <c r="G197" i="12"/>
  <c r="F197" i="12"/>
  <c r="E197" i="12"/>
  <c r="D197" i="12"/>
  <c r="K195" i="12"/>
  <c r="J195" i="12"/>
  <c r="I195" i="12"/>
  <c r="H195" i="12"/>
  <c r="G195" i="12"/>
  <c r="F195" i="12"/>
  <c r="E195" i="12"/>
  <c r="D195" i="12"/>
  <c r="K194" i="12"/>
  <c r="J194" i="12"/>
  <c r="I194" i="12"/>
  <c r="H194" i="12"/>
  <c r="G194" i="12"/>
  <c r="F194" i="12"/>
  <c r="E194" i="12"/>
  <c r="D194" i="12"/>
  <c r="K192" i="12"/>
  <c r="J192" i="12"/>
  <c r="I192" i="12"/>
  <c r="H192" i="12"/>
  <c r="G192" i="12"/>
  <c r="F192" i="12"/>
  <c r="E192" i="12"/>
  <c r="D192" i="12"/>
  <c r="K191" i="12"/>
  <c r="J191" i="12"/>
  <c r="I191" i="12"/>
  <c r="H191" i="12"/>
  <c r="G191" i="12"/>
  <c r="F191" i="12"/>
  <c r="E191" i="12"/>
  <c r="D191" i="12"/>
  <c r="K190" i="12"/>
  <c r="J190" i="12"/>
  <c r="I190" i="12"/>
  <c r="H190" i="12"/>
  <c r="G190" i="12"/>
  <c r="F190" i="12"/>
  <c r="E190" i="12"/>
  <c r="D190" i="12"/>
  <c r="K189" i="12"/>
  <c r="J189" i="12"/>
  <c r="I189" i="12"/>
  <c r="H189" i="12"/>
  <c r="G189" i="12"/>
  <c r="F189" i="12"/>
  <c r="E189" i="12"/>
  <c r="D189" i="12"/>
  <c r="K187" i="12"/>
  <c r="J187" i="12"/>
  <c r="I187" i="12"/>
  <c r="H187" i="12"/>
  <c r="G187" i="12"/>
  <c r="F187" i="12"/>
  <c r="E187" i="12"/>
  <c r="D187" i="12"/>
  <c r="K186" i="12"/>
  <c r="J186" i="12"/>
  <c r="I186" i="12"/>
  <c r="H186" i="12"/>
  <c r="G186" i="12"/>
  <c r="F186" i="12"/>
  <c r="E186" i="12"/>
  <c r="D186" i="12"/>
  <c r="K185" i="12"/>
  <c r="J185" i="12"/>
  <c r="I185" i="12"/>
  <c r="H185" i="12"/>
  <c r="G185" i="12"/>
  <c r="F185" i="12"/>
  <c r="E185" i="12"/>
  <c r="D185" i="12"/>
  <c r="K184" i="12"/>
  <c r="J184" i="12"/>
  <c r="I184" i="12"/>
  <c r="H184" i="12"/>
  <c r="G184" i="12"/>
  <c r="F184" i="12"/>
  <c r="E184" i="12"/>
  <c r="D184" i="12"/>
  <c r="K182" i="12"/>
  <c r="J182" i="12"/>
  <c r="I182" i="12"/>
  <c r="H182" i="12"/>
  <c r="G182" i="12"/>
  <c r="F182" i="12"/>
  <c r="E182" i="12"/>
  <c r="D182" i="12"/>
  <c r="K181" i="12"/>
  <c r="J181" i="12"/>
  <c r="I181" i="12"/>
  <c r="H181" i="12"/>
  <c r="G181" i="12"/>
  <c r="F181" i="12"/>
  <c r="E181" i="12"/>
  <c r="D181" i="12"/>
  <c r="K180" i="12"/>
  <c r="J180" i="12"/>
  <c r="I180" i="12"/>
  <c r="H180" i="12"/>
  <c r="G180" i="12"/>
  <c r="F180" i="12"/>
  <c r="E180" i="12"/>
  <c r="D180" i="12"/>
  <c r="K179" i="12"/>
  <c r="J179" i="12"/>
  <c r="I179" i="12"/>
  <c r="H179" i="12"/>
  <c r="G179" i="12"/>
  <c r="F179" i="12"/>
  <c r="E179" i="12"/>
  <c r="D179" i="12"/>
  <c r="K178" i="12"/>
  <c r="J178" i="12"/>
  <c r="I178" i="12"/>
  <c r="H178" i="12"/>
  <c r="G178" i="12"/>
  <c r="F178" i="12"/>
  <c r="E178" i="12"/>
  <c r="D178" i="12"/>
  <c r="K177" i="12"/>
  <c r="J177" i="12"/>
  <c r="I177" i="12"/>
  <c r="H177" i="12"/>
  <c r="G177" i="12"/>
  <c r="F177" i="12"/>
  <c r="E177" i="12"/>
  <c r="D177" i="12"/>
  <c r="K175" i="12"/>
  <c r="J175" i="12"/>
  <c r="I175" i="12"/>
  <c r="H175" i="12"/>
  <c r="G175" i="12"/>
  <c r="F175" i="12"/>
  <c r="E175" i="12"/>
  <c r="D175" i="12"/>
  <c r="K174" i="12"/>
  <c r="J174" i="12"/>
  <c r="I174" i="12"/>
  <c r="H174" i="12"/>
  <c r="G174" i="12"/>
  <c r="F174" i="12"/>
  <c r="E174" i="12"/>
  <c r="D174" i="12"/>
  <c r="K173" i="12"/>
  <c r="J173" i="12"/>
  <c r="I173" i="12"/>
  <c r="H173" i="12"/>
  <c r="G173" i="12"/>
  <c r="F173" i="12"/>
  <c r="E173" i="12"/>
  <c r="D173" i="12"/>
  <c r="K172" i="12"/>
  <c r="J172" i="12"/>
  <c r="I172" i="12"/>
  <c r="H172" i="12"/>
  <c r="G172" i="12"/>
  <c r="F172" i="12"/>
  <c r="E172" i="12"/>
  <c r="D172" i="12"/>
  <c r="K171" i="12"/>
  <c r="J171" i="12"/>
  <c r="I171" i="12"/>
  <c r="H171" i="12"/>
  <c r="G171" i="12"/>
  <c r="F171" i="12"/>
  <c r="E171" i="12"/>
  <c r="D171" i="12"/>
  <c r="K170" i="12"/>
  <c r="J170" i="12"/>
  <c r="I170" i="12"/>
  <c r="H170" i="12"/>
  <c r="G170" i="12"/>
  <c r="F170" i="12"/>
  <c r="E170" i="12"/>
  <c r="D170" i="12"/>
  <c r="K169" i="12"/>
  <c r="J169" i="12"/>
  <c r="I169" i="12"/>
  <c r="H169" i="12"/>
  <c r="G169" i="12"/>
  <c r="F169" i="12"/>
  <c r="E169" i="12"/>
  <c r="D169" i="12"/>
  <c r="K168" i="12"/>
  <c r="J168" i="12"/>
  <c r="I168" i="12"/>
  <c r="H168" i="12"/>
  <c r="G168" i="12"/>
  <c r="F168" i="12"/>
  <c r="E168" i="12"/>
  <c r="D168" i="12"/>
  <c r="K167" i="12"/>
  <c r="J167" i="12"/>
  <c r="I167" i="12"/>
  <c r="H167" i="12"/>
  <c r="G167" i="12"/>
  <c r="F167" i="12"/>
  <c r="E167" i="12"/>
  <c r="D167" i="12"/>
  <c r="K165" i="12"/>
  <c r="J165" i="12"/>
  <c r="I165" i="12"/>
  <c r="H165" i="12"/>
  <c r="G165" i="12"/>
  <c r="F165" i="12"/>
  <c r="E165" i="12"/>
  <c r="D165" i="12"/>
  <c r="K164" i="12"/>
  <c r="J164" i="12"/>
  <c r="I164" i="12"/>
  <c r="H164" i="12"/>
  <c r="G164" i="12"/>
  <c r="F164" i="12"/>
  <c r="E164" i="12"/>
  <c r="D164" i="12"/>
  <c r="K163" i="12"/>
  <c r="J163" i="12"/>
  <c r="I163" i="12"/>
  <c r="H163" i="12"/>
  <c r="G163" i="12"/>
  <c r="F163" i="12"/>
  <c r="E163" i="12"/>
  <c r="D163" i="12"/>
  <c r="K162" i="12"/>
  <c r="J162" i="12"/>
  <c r="I162" i="12"/>
  <c r="H162" i="12"/>
  <c r="G162" i="12"/>
  <c r="F162" i="12"/>
  <c r="E162" i="12"/>
  <c r="D162" i="12"/>
  <c r="K161" i="12"/>
  <c r="J161" i="12"/>
  <c r="I161" i="12"/>
  <c r="H161" i="12"/>
  <c r="G161" i="12"/>
  <c r="F161" i="12"/>
  <c r="E161" i="12"/>
  <c r="D161" i="12"/>
  <c r="K160" i="12"/>
  <c r="J160" i="12"/>
  <c r="I160" i="12"/>
  <c r="H160" i="12"/>
  <c r="G160" i="12"/>
  <c r="F160" i="12"/>
  <c r="E160" i="12"/>
  <c r="D160" i="12"/>
  <c r="K159" i="12"/>
  <c r="J159" i="12"/>
  <c r="I159" i="12"/>
  <c r="H159" i="12"/>
  <c r="G159" i="12"/>
  <c r="F159" i="12"/>
  <c r="E159" i="12"/>
  <c r="D159" i="12"/>
  <c r="K158" i="12"/>
  <c r="J158" i="12"/>
  <c r="I158" i="12"/>
  <c r="H158" i="12"/>
  <c r="G158" i="12"/>
  <c r="F158" i="12"/>
  <c r="E158" i="12"/>
  <c r="D158" i="12"/>
  <c r="K157" i="12"/>
  <c r="J157" i="12"/>
  <c r="I157" i="12"/>
  <c r="H157" i="12"/>
  <c r="G157" i="12"/>
  <c r="F157" i="12"/>
  <c r="E157" i="12"/>
  <c r="D157" i="12"/>
  <c r="K156" i="12"/>
  <c r="J156" i="12"/>
  <c r="I156" i="12"/>
  <c r="H156" i="12"/>
  <c r="G156" i="12"/>
  <c r="F156" i="12"/>
  <c r="E156" i="12"/>
  <c r="D156" i="12"/>
  <c r="K155" i="12"/>
  <c r="J155" i="12"/>
  <c r="I155" i="12"/>
  <c r="H155" i="12"/>
  <c r="G155" i="12"/>
  <c r="F155" i="12"/>
  <c r="E155" i="12"/>
  <c r="D155" i="12"/>
  <c r="K154" i="12"/>
  <c r="J154" i="12"/>
  <c r="I154" i="12"/>
  <c r="H154" i="12"/>
  <c r="G154" i="12"/>
  <c r="F154" i="12"/>
  <c r="E154" i="12"/>
  <c r="D154" i="12"/>
  <c r="K153" i="12"/>
  <c r="J153" i="12"/>
  <c r="I153" i="12"/>
  <c r="H153" i="12"/>
  <c r="G153" i="12"/>
  <c r="F153" i="12"/>
  <c r="E153" i="12"/>
  <c r="D153" i="12"/>
  <c r="K143" i="12"/>
  <c r="J143" i="12"/>
  <c r="I143" i="12"/>
  <c r="H143" i="12"/>
  <c r="G143" i="12"/>
  <c r="F143" i="12"/>
  <c r="E143" i="12"/>
  <c r="D143" i="12"/>
  <c r="K142" i="12"/>
  <c r="J142" i="12"/>
  <c r="I142" i="12"/>
  <c r="H142" i="12"/>
  <c r="G142" i="12"/>
  <c r="F142" i="12"/>
  <c r="E142" i="12"/>
  <c r="K141" i="12"/>
  <c r="J141" i="12"/>
  <c r="I141" i="12"/>
  <c r="H141" i="12"/>
  <c r="G141" i="12"/>
  <c r="F141" i="12"/>
  <c r="E141" i="12"/>
  <c r="D141" i="12"/>
  <c r="K138" i="12"/>
  <c r="J138" i="12"/>
  <c r="I138" i="12"/>
  <c r="H138" i="12"/>
  <c r="G138" i="12"/>
  <c r="F138" i="12"/>
  <c r="E138" i="12"/>
  <c r="D138" i="12"/>
  <c r="K137" i="12"/>
  <c r="J137" i="12"/>
  <c r="I137" i="12"/>
  <c r="H137" i="12"/>
  <c r="G137" i="12"/>
  <c r="F137" i="12"/>
  <c r="E137" i="12"/>
  <c r="D137" i="12"/>
  <c r="K136" i="12"/>
  <c r="J136" i="12"/>
  <c r="I136" i="12"/>
  <c r="H136" i="12"/>
  <c r="G136" i="12"/>
  <c r="F136" i="12"/>
  <c r="E136" i="12"/>
  <c r="D136" i="12"/>
  <c r="K133" i="12"/>
  <c r="J133" i="12"/>
  <c r="I133" i="12"/>
  <c r="H133" i="12"/>
  <c r="G133" i="12"/>
  <c r="F133" i="12"/>
  <c r="E133" i="12"/>
  <c r="D133" i="12"/>
  <c r="K132" i="12"/>
  <c r="J132" i="12"/>
  <c r="I132" i="12"/>
  <c r="H132" i="12"/>
  <c r="G132" i="12"/>
  <c r="F132" i="12"/>
  <c r="E132" i="12"/>
  <c r="D132" i="12"/>
  <c r="K131" i="12"/>
  <c r="J131" i="12"/>
  <c r="I131" i="12"/>
  <c r="H131" i="12"/>
  <c r="G131" i="12"/>
  <c r="F131" i="12"/>
  <c r="E131" i="12"/>
  <c r="D131" i="12"/>
  <c r="K128" i="12"/>
  <c r="J128" i="12"/>
  <c r="I128" i="12"/>
  <c r="H128" i="12"/>
  <c r="G128" i="12"/>
  <c r="F128" i="12"/>
  <c r="E128" i="12"/>
  <c r="D128" i="12"/>
  <c r="K127" i="12"/>
  <c r="J127" i="12"/>
  <c r="I127" i="12"/>
  <c r="H127" i="12"/>
  <c r="G127" i="12"/>
  <c r="F127" i="12"/>
  <c r="E127" i="12"/>
  <c r="D127" i="12"/>
  <c r="K126" i="12"/>
  <c r="J126" i="12"/>
  <c r="I126" i="12"/>
  <c r="H126" i="12"/>
  <c r="G126" i="12"/>
  <c r="F126" i="12"/>
  <c r="E126" i="12"/>
  <c r="D126" i="12"/>
  <c r="K140" i="12"/>
  <c r="J140" i="12"/>
  <c r="I140" i="12"/>
  <c r="H140" i="12"/>
  <c r="G140" i="12"/>
  <c r="F140" i="12"/>
  <c r="E140" i="12"/>
  <c r="D140" i="12"/>
  <c r="K135" i="12"/>
  <c r="J135" i="12"/>
  <c r="I135" i="12"/>
  <c r="H135" i="12"/>
  <c r="G135" i="12"/>
  <c r="F135" i="12"/>
  <c r="E135" i="12"/>
  <c r="D135" i="12"/>
  <c r="K130" i="12"/>
  <c r="J130" i="12"/>
  <c r="I130" i="12"/>
  <c r="H130" i="12"/>
  <c r="G130" i="12"/>
  <c r="F130" i="12"/>
  <c r="E130" i="12"/>
  <c r="D130" i="12"/>
  <c r="K125" i="12"/>
  <c r="J125" i="12"/>
  <c r="I125" i="12"/>
  <c r="H125" i="12"/>
  <c r="G125" i="12"/>
  <c r="F125" i="12"/>
  <c r="E125" i="12"/>
  <c r="D125" i="12"/>
  <c r="K122" i="12"/>
  <c r="J122" i="12"/>
  <c r="I122" i="12"/>
  <c r="H122" i="12"/>
  <c r="G122" i="12"/>
  <c r="F122" i="12"/>
  <c r="E122" i="12"/>
  <c r="D122" i="12"/>
  <c r="K121" i="12"/>
  <c r="J121" i="12"/>
  <c r="I121" i="12"/>
  <c r="H121" i="12"/>
  <c r="G121" i="12"/>
  <c r="F121" i="12"/>
  <c r="E121" i="12"/>
  <c r="D121" i="12"/>
  <c r="K116" i="12"/>
  <c r="J116" i="12"/>
  <c r="I116" i="12"/>
  <c r="H116" i="12"/>
  <c r="G116" i="12"/>
  <c r="F116" i="12"/>
  <c r="E116" i="12"/>
  <c r="D116" i="12"/>
  <c r="K115" i="12"/>
  <c r="J115" i="12"/>
  <c r="I115" i="12"/>
  <c r="H115" i="12"/>
  <c r="G115" i="12"/>
  <c r="F115" i="12"/>
  <c r="E115" i="12"/>
  <c r="D115" i="12"/>
  <c r="K114" i="12"/>
  <c r="J114" i="12"/>
  <c r="I114" i="12"/>
  <c r="H114" i="12"/>
  <c r="G114" i="12"/>
  <c r="F114" i="12"/>
  <c r="E114" i="12"/>
  <c r="D114" i="12"/>
  <c r="K113" i="12"/>
  <c r="J113" i="12"/>
  <c r="I113" i="12"/>
  <c r="H113" i="12"/>
  <c r="G113" i="12"/>
  <c r="F113" i="12"/>
  <c r="E113" i="12"/>
  <c r="D113" i="12"/>
  <c r="D117" i="12" s="1"/>
  <c r="K110" i="12"/>
  <c r="J110" i="12"/>
  <c r="I110" i="12"/>
  <c r="H110" i="12"/>
  <c r="G110" i="12"/>
  <c r="F110" i="12"/>
  <c r="E110" i="12"/>
  <c r="D110" i="12"/>
  <c r="K109" i="12"/>
  <c r="J109" i="12"/>
  <c r="I109" i="12"/>
  <c r="H109" i="12"/>
  <c r="G109" i="12"/>
  <c r="F109" i="12"/>
  <c r="E109" i="12"/>
  <c r="D109" i="12"/>
  <c r="K108" i="12"/>
  <c r="J108" i="12"/>
  <c r="I108" i="12"/>
  <c r="H108" i="12"/>
  <c r="G108" i="12"/>
  <c r="F108" i="12"/>
  <c r="E108" i="12"/>
  <c r="D108" i="12"/>
  <c r="K107" i="12"/>
  <c r="J107" i="12"/>
  <c r="I107" i="12"/>
  <c r="H107" i="12"/>
  <c r="G107" i="12"/>
  <c r="F107" i="12"/>
  <c r="E107" i="12"/>
  <c r="D107" i="12"/>
  <c r="K104" i="12"/>
  <c r="J104" i="12"/>
  <c r="I104" i="12"/>
  <c r="H104" i="12"/>
  <c r="G104" i="12"/>
  <c r="F104" i="12"/>
  <c r="E104" i="12"/>
  <c r="D104" i="12"/>
  <c r="K103" i="12"/>
  <c r="J103" i="12"/>
  <c r="I103" i="12"/>
  <c r="H103" i="12"/>
  <c r="G103" i="12"/>
  <c r="F103" i="12"/>
  <c r="E103" i="12"/>
  <c r="D103" i="12"/>
  <c r="K102" i="12"/>
  <c r="J102" i="12"/>
  <c r="I102" i="12"/>
  <c r="H102" i="12"/>
  <c r="G102" i="12"/>
  <c r="F102" i="12"/>
  <c r="E102" i="12"/>
  <c r="D102" i="12"/>
  <c r="K101" i="12"/>
  <c r="J101" i="12"/>
  <c r="I101" i="12"/>
  <c r="H101" i="12"/>
  <c r="G101" i="12"/>
  <c r="F101" i="12"/>
  <c r="E101" i="12"/>
  <c r="D101" i="12"/>
  <c r="D105" i="12" s="1"/>
  <c r="K84" i="12"/>
  <c r="J84" i="12"/>
  <c r="I84" i="12"/>
  <c r="H84" i="12"/>
  <c r="G84" i="12"/>
  <c r="F84" i="12"/>
  <c r="E84" i="12"/>
  <c r="D84" i="12"/>
  <c r="K78" i="12"/>
  <c r="J78" i="12"/>
  <c r="I78" i="12"/>
  <c r="H78" i="12"/>
  <c r="G78" i="12"/>
  <c r="F78" i="12"/>
  <c r="E78" i="12"/>
  <c r="D78" i="12"/>
  <c r="K72" i="12"/>
  <c r="J72" i="12"/>
  <c r="I72" i="12"/>
  <c r="H72" i="12"/>
  <c r="G72" i="12"/>
  <c r="F72" i="12"/>
  <c r="E72" i="12"/>
  <c r="D72" i="12"/>
  <c r="K66" i="12"/>
  <c r="J66" i="12"/>
  <c r="I66" i="12"/>
  <c r="H66" i="12"/>
  <c r="G66" i="12"/>
  <c r="F66" i="12"/>
  <c r="E66" i="12"/>
  <c r="D66" i="12"/>
  <c r="K63" i="12"/>
  <c r="J63" i="12"/>
  <c r="I63" i="12"/>
  <c r="H63" i="12"/>
  <c r="G63" i="12"/>
  <c r="F63" i="12"/>
  <c r="E63" i="12"/>
  <c r="D63" i="12"/>
  <c r="K61" i="12"/>
  <c r="J61" i="12"/>
  <c r="I61" i="12"/>
  <c r="H61" i="12"/>
  <c r="G61" i="12"/>
  <c r="F61" i="12"/>
  <c r="E61" i="12"/>
  <c r="D61" i="12"/>
  <c r="K98" i="12"/>
  <c r="J98" i="12"/>
  <c r="I98" i="12"/>
  <c r="H98" i="12"/>
  <c r="G98" i="12"/>
  <c r="F98" i="12"/>
  <c r="E98" i="12"/>
  <c r="D98" i="12"/>
  <c r="K87" i="12"/>
  <c r="J87" i="12"/>
  <c r="I87" i="12"/>
  <c r="H87" i="12"/>
  <c r="G87" i="12"/>
  <c r="F87" i="12"/>
  <c r="E87" i="12"/>
  <c r="D87" i="12"/>
  <c r="K86" i="12"/>
  <c r="J86" i="12"/>
  <c r="I86" i="12"/>
  <c r="H86" i="12"/>
  <c r="G86" i="12"/>
  <c r="F86" i="12"/>
  <c r="E86" i="12"/>
  <c r="D86" i="12"/>
  <c r="K85" i="12"/>
  <c r="J85" i="12"/>
  <c r="I85" i="12"/>
  <c r="H85" i="12"/>
  <c r="G85" i="12"/>
  <c r="F85" i="12"/>
  <c r="E85" i="12"/>
  <c r="D85" i="12"/>
  <c r="K81" i="12"/>
  <c r="J81" i="12"/>
  <c r="I81" i="12"/>
  <c r="H81" i="12"/>
  <c r="G81" i="12"/>
  <c r="F81" i="12"/>
  <c r="E81" i="12"/>
  <c r="D81" i="12"/>
  <c r="K80" i="12"/>
  <c r="J80" i="12"/>
  <c r="I80" i="12"/>
  <c r="H80" i="12"/>
  <c r="G80" i="12"/>
  <c r="F80" i="12"/>
  <c r="E80" i="12"/>
  <c r="D80" i="12"/>
  <c r="K79" i="12"/>
  <c r="J79" i="12"/>
  <c r="I79" i="12"/>
  <c r="H79" i="12"/>
  <c r="G79" i="12"/>
  <c r="F79" i="12"/>
  <c r="E79" i="12"/>
  <c r="D79" i="12"/>
  <c r="K75" i="12"/>
  <c r="J75" i="12"/>
  <c r="I75" i="12"/>
  <c r="H75" i="12"/>
  <c r="G75" i="12"/>
  <c r="F75" i="12"/>
  <c r="E75" i="12"/>
  <c r="D75" i="12"/>
  <c r="K74" i="12"/>
  <c r="J74" i="12"/>
  <c r="I74" i="12"/>
  <c r="H74" i="12"/>
  <c r="G74" i="12"/>
  <c r="F74" i="12"/>
  <c r="E74" i="12"/>
  <c r="D74" i="12"/>
  <c r="K73" i="12"/>
  <c r="J73" i="12"/>
  <c r="I73" i="12"/>
  <c r="H73" i="12"/>
  <c r="G73" i="12"/>
  <c r="F73" i="12"/>
  <c r="E73" i="12"/>
  <c r="D73" i="12"/>
  <c r="K69" i="12"/>
  <c r="J69" i="12"/>
  <c r="I69" i="12"/>
  <c r="H69" i="12"/>
  <c r="G69" i="12"/>
  <c r="F69" i="12"/>
  <c r="E69" i="12"/>
  <c r="D69" i="12"/>
  <c r="K68" i="12"/>
  <c r="J68" i="12"/>
  <c r="I68" i="12"/>
  <c r="H68" i="12"/>
  <c r="G68" i="12"/>
  <c r="F68" i="12"/>
  <c r="E68" i="12"/>
  <c r="D68" i="12"/>
  <c r="K67" i="12"/>
  <c r="J67" i="12"/>
  <c r="I67" i="12"/>
  <c r="H67" i="12"/>
  <c r="G67" i="12"/>
  <c r="F67" i="12"/>
  <c r="E67" i="12"/>
  <c r="D67" i="12"/>
  <c r="K56" i="12"/>
  <c r="J56" i="12"/>
  <c r="I56" i="12"/>
  <c r="H56" i="12"/>
  <c r="G56" i="12"/>
  <c r="F56" i="12"/>
  <c r="E56" i="12"/>
  <c r="D56" i="12"/>
  <c r="K55" i="12"/>
  <c r="J55" i="12"/>
  <c r="I55" i="12"/>
  <c r="H55" i="12"/>
  <c r="G55" i="12"/>
  <c r="F55" i="12"/>
  <c r="E55" i="12"/>
  <c r="D55" i="12"/>
  <c r="K54" i="12"/>
  <c r="J54" i="12"/>
  <c r="I54" i="12"/>
  <c r="H54" i="12"/>
  <c r="G54" i="12"/>
  <c r="F54" i="12"/>
  <c r="E54" i="12"/>
  <c r="D54" i="12"/>
  <c r="K49" i="12"/>
  <c r="J49" i="12"/>
  <c r="I49" i="12"/>
  <c r="H49" i="12"/>
  <c r="G49" i="12"/>
  <c r="F49" i="12"/>
  <c r="E49" i="12"/>
  <c r="D49" i="12"/>
  <c r="K46" i="12"/>
  <c r="J46" i="12"/>
  <c r="H46" i="12"/>
  <c r="G46" i="12"/>
  <c r="F46" i="12"/>
  <c r="E46" i="12"/>
  <c r="D46" i="12"/>
  <c r="K44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K35" i="12"/>
  <c r="J35" i="12"/>
  <c r="I35" i="12"/>
  <c r="H35" i="12"/>
  <c r="G35" i="12"/>
  <c r="F35" i="12"/>
  <c r="E35" i="12"/>
  <c r="D35" i="12"/>
  <c r="K33" i="12"/>
  <c r="J33" i="12"/>
  <c r="I33" i="12"/>
  <c r="H33" i="12"/>
  <c r="G33" i="12"/>
  <c r="F33" i="12"/>
  <c r="E33" i="12"/>
  <c r="D33" i="12"/>
  <c r="K31" i="12"/>
  <c r="J31" i="12"/>
  <c r="I31" i="12"/>
  <c r="H31" i="12"/>
  <c r="G31" i="12"/>
  <c r="F31" i="12"/>
  <c r="E31" i="12"/>
  <c r="D31" i="12"/>
  <c r="K29" i="12"/>
  <c r="J29" i="12"/>
  <c r="I29" i="12"/>
  <c r="H29" i="12"/>
  <c r="G29" i="12"/>
  <c r="F29" i="12"/>
  <c r="E29" i="12"/>
  <c r="D29" i="12"/>
  <c r="P262" i="11"/>
  <c r="P261" i="11"/>
  <c r="M261" i="17" l="1"/>
  <c r="M262" i="17"/>
  <c r="D111" i="12"/>
  <c r="D118" i="12" s="1"/>
  <c r="M80" i="17"/>
  <c r="M86" i="17"/>
  <c r="M245" i="17"/>
  <c r="M246" i="17"/>
  <c r="L61" i="12"/>
  <c r="L63" i="12"/>
  <c r="L29" i="12"/>
  <c r="D41" i="12"/>
  <c r="L12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L126" i="12"/>
  <c r="G236" i="12"/>
  <c r="G145" i="12"/>
  <c r="L84" i="12"/>
  <c r="L66" i="12"/>
  <c r="F236" i="12"/>
  <c r="F145" i="12"/>
  <c r="F93" i="12"/>
  <c r="E145" i="12"/>
  <c r="L114" i="12"/>
  <c r="L108" i="12"/>
  <c r="L102" i="12"/>
  <c r="D236" i="12"/>
  <c r="L196" i="12"/>
  <c r="D145" i="12"/>
  <c r="L125" i="12"/>
  <c r="L115" i="12"/>
  <c r="L116" i="12"/>
  <c r="L109" i="12"/>
  <c r="L110" i="12"/>
  <c r="L104" i="12"/>
  <c r="L103" i="12"/>
  <c r="L78" i="12"/>
  <c r="L72" i="12"/>
  <c r="D263" i="17"/>
  <c r="G263" i="17"/>
  <c r="H263" i="17"/>
  <c r="L113" i="12"/>
  <c r="L101" i="12"/>
  <c r="L107" i="12"/>
  <c r="K145" i="12"/>
  <c r="D148" i="11"/>
  <c r="K263" i="12"/>
  <c r="D263" i="11"/>
  <c r="D146" i="11"/>
  <c r="L35" i="12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D129" i="11"/>
  <c r="I145" i="12"/>
  <c r="I146" i="12"/>
  <c r="D147" i="11"/>
  <c r="D134" i="11"/>
  <c r="D144" i="11"/>
  <c r="D236" i="11"/>
  <c r="D145" i="11"/>
  <c r="I134" i="12"/>
  <c r="I88" i="12"/>
  <c r="I89" i="12" s="1"/>
  <c r="D139" i="11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L80" i="12"/>
  <c r="J92" i="12"/>
  <c r="J91" i="12"/>
  <c r="J256" i="12" s="1"/>
  <c r="I129" i="12"/>
  <c r="I92" i="12"/>
  <c r="I91" i="12"/>
  <c r="I256" i="12" s="1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L86" i="12"/>
  <c r="G92" i="12"/>
  <c r="D90" i="11"/>
  <c r="L75" i="12"/>
  <c r="G91" i="12"/>
  <c r="G256" i="12" s="1"/>
  <c r="F139" i="12"/>
  <c r="F148" i="12"/>
  <c r="F129" i="12"/>
  <c r="F147" i="12"/>
  <c r="F146" i="12"/>
  <c r="F144" i="12"/>
  <c r="L261" i="12"/>
  <c r="L262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L85" i="12"/>
  <c r="D92" i="12"/>
  <c r="D91" i="12"/>
  <c r="D256" i="12" s="1"/>
  <c r="E90" i="12"/>
  <c r="J90" i="12"/>
  <c r="F90" i="12"/>
  <c r="G90" i="12"/>
  <c r="K90" i="12"/>
  <c r="D90" i="12"/>
  <c r="F94" i="12" l="1"/>
  <c r="D94" i="12"/>
  <c r="D95" i="12" s="1"/>
  <c r="D255" i="12" s="1"/>
  <c r="I149" i="12"/>
  <c r="L90" i="12"/>
  <c r="M263" i="17"/>
  <c r="K149" i="12"/>
  <c r="L122" i="12"/>
  <c r="D94" i="11"/>
  <c r="D149" i="11"/>
  <c r="J149" i="12"/>
  <c r="H149" i="12"/>
  <c r="H94" i="12"/>
  <c r="H95" i="12" s="1"/>
  <c r="H255" i="12" s="1"/>
  <c r="G94" i="12"/>
  <c r="G95" i="12" s="1"/>
  <c r="G255" i="12" s="1"/>
  <c r="F95" i="12"/>
  <c r="F255" i="12" s="1"/>
  <c r="K94" i="12"/>
  <c r="K95" i="12" s="1"/>
  <c r="K255" i="12" s="1"/>
  <c r="J94" i="12"/>
  <c r="J95" i="12" s="1"/>
  <c r="J255" i="12" s="1"/>
  <c r="L93" i="12"/>
  <c r="I94" i="12"/>
  <c r="I95" i="12" s="1"/>
  <c r="I255" i="12" s="1"/>
  <c r="L263" i="12"/>
  <c r="G149" i="12"/>
  <c r="F149" i="12"/>
  <c r="E149" i="12"/>
  <c r="E94" i="12"/>
  <c r="E95" i="12" s="1"/>
  <c r="E255" i="12" s="1"/>
  <c r="L92" i="12"/>
  <c r="L88" i="12"/>
  <c r="D263" i="8"/>
  <c r="D236" i="8"/>
  <c r="D148" i="8"/>
  <c r="D147" i="8"/>
  <c r="D146" i="8"/>
  <c r="D145" i="8"/>
  <c r="D263" i="7"/>
  <c r="D236" i="7"/>
  <c r="D148" i="7"/>
  <c r="D147" i="7"/>
  <c r="D146" i="7"/>
  <c r="D145" i="7"/>
  <c r="D236" i="6"/>
  <c r="D148" i="6"/>
  <c r="D147" i="6"/>
  <c r="D146" i="6"/>
  <c r="D145" i="6"/>
  <c r="D149" i="7" l="1"/>
  <c r="I46" i="12"/>
  <c r="D149" i="8"/>
  <c r="D149" i="6"/>
  <c r="D93" i="4"/>
  <c r="D92" i="4"/>
  <c r="D91" i="4"/>
  <c r="D90" i="4"/>
  <c r="D94" i="4" l="1"/>
  <c r="D95" i="4" s="1"/>
  <c r="P93" i="4"/>
  <c r="D263" i="5"/>
  <c r="D242" i="5"/>
  <c r="D236" i="5"/>
  <c r="D148" i="5"/>
  <c r="D147" i="5"/>
  <c r="D146" i="5"/>
  <c r="D145" i="5"/>
  <c r="D149" i="5" l="1"/>
  <c r="D236" i="4" l="1"/>
  <c r="D148" i="4" l="1"/>
  <c r="D147" i="4"/>
  <c r="D146" i="4"/>
  <c r="D145" i="4"/>
  <c r="D149" i="4" l="1"/>
  <c r="D236" i="3" l="1"/>
  <c r="D148" i="3"/>
  <c r="D147" i="3"/>
  <c r="D146" i="3"/>
  <c r="D145" i="3"/>
  <c r="D236" i="2"/>
  <c r="D148" i="2"/>
  <c r="D147" i="2"/>
  <c r="D146" i="2"/>
  <c r="D145" i="2"/>
  <c r="D149" i="3" l="1"/>
  <c r="D149" i="2"/>
  <c r="D93" i="1" l="1"/>
  <c r="P93" i="1" s="1"/>
  <c r="D92" i="1"/>
  <c r="D91" i="1"/>
  <c r="D93" i="8"/>
  <c r="P93" i="8" s="1"/>
  <c r="D92" i="8"/>
  <c r="D91" i="8"/>
  <c r="D90" i="8"/>
  <c r="P93" i="7"/>
  <c r="D93" i="6"/>
  <c r="P93" i="6" s="1"/>
  <c r="D92" i="6"/>
  <c r="D91" i="6"/>
  <c r="D90" i="6"/>
  <c r="D93" i="5"/>
  <c r="P93" i="5" s="1"/>
  <c r="D92" i="5"/>
  <c r="D91" i="5"/>
  <c r="D90" i="5"/>
  <c r="D93" i="3"/>
  <c r="P93" i="3" s="1"/>
  <c r="D92" i="3"/>
  <c r="D259" i="3" s="1"/>
  <c r="D91" i="3"/>
  <c r="D90" i="3"/>
  <c r="D93" i="2"/>
  <c r="P93" i="2" s="1"/>
  <c r="D92" i="2"/>
  <c r="D259" i="2" s="1"/>
  <c r="D91" i="2"/>
  <c r="D90" i="2"/>
  <c r="E147" i="11" l="1"/>
  <c r="E149" i="11" s="1"/>
  <c r="D142" i="12"/>
  <c r="D144" i="12" l="1"/>
  <c r="D147" i="12"/>
  <c r="D149" i="12" s="1"/>
  <c r="D236" i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D20" i="13" l="1"/>
  <c r="D19" i="13"/>
  <c r="D18" i="13"/>
  <c r="D17" i="13"/>
  <c r="D12" i="13"/>
  <c r="D13" i="13"/>
  <c r="D14" i="13"/>
  <c r="D11" i="13"/>
  <c r="D9" i="13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M247" i="17" l="1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K118" i="16" s="1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D259" i="15"/>
  <c r="K258" i="15"/>
  <c r="J258" i="15"/>
  <c r="I258" i="15"/>
  <c r="H258" i="15"/>
  <c r="G258" i="15"/>
  <c r="F258" i="15"/>
  <c r="E258" i="15"/>
  <c r="D258" i="15"/>
  <c r="K242" i="15"/>
  <c r="J242" i="15"/>
  <c r="I242" i="15"/>
  <c r="H242" i="15"/>
  <c r="G242" i="15"/>
  <c r="F242" i="15"/>
  <c r="E242" i="15"/>
  <c r="D242" i="15"/>
  <c r="K229" i="15"/>
  <c r="J229" i="15"/>
  <c r="I229" i="15"/>
  <c r="H229" i="15"/>
  <c r="G229" i="15"/>
  <c r="F229" i="15"/>
  <c r="E229" i="15"/>
  <c r="D229" i="15"/>
  <c r="K223" i="15"/>
  <c r="J223" i="15"/>
  <c r="I223" i="15"/>
  <c r="H223" i="15"/>
  <c r="G223" i="15"/>
  <c r="F223" i="15"/>
  <c r="E223" i="15"/>
  <c r="D223" i="15"/>
  <c r="K216" i="15"/>
  <c r="J216" i="15"/>
  <c r="I216" i="15"/>
  <c r="H216" i="15"/>
  <c r="G216" i="15"/>
  <c r="F216" i="15"/>
  <c r="E216" i="15"/>
  <c r="D216" i="15"/>
  <c r="K210" i="15"/>
  <c r="J210" i="15"/>
  <c r="I210" i="15"/>
  <c r="H210" i="15"/>
  <c r="G210" i="15"/>
  <c r="F210" i="15"/>
  <c r="E210" i="15"/>
  <c r="D210" i="15"/>
  <c r="K204" i="15"/>
  <c r="J204" i="15"/>
  <c r="I204" i="15"/>
  <c r="H204" i="15"/>
  <c r="G204" i="15"/>
  <c r="F204" i="15"/>
  <c r="E204" i="15"/>
  <c r="D204" i="15"/>
  <c r="K193" i="15"/>
  <c r="J193" i="15"/>
  <c r="I193" i="15"/>
  <c r="H193" i="15"/>
  <c r="G193" i="15"/>
  <c r="F193" i="15"/>
  <c r="E193" i="15"/>
  <c r="D193" i="15"/>
  <c r="K123" i="15"/>
  <c r="J123" i="15"/>
  <c r="I123" i="15"/>
  <c r="H123" i="15"/>
  <c r="G123" i="15"/>
  <c r="F123" i="15"/>
  <c r="E123" i="15"/>
  <c r="D123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K62" i="15"/>
  <c r="J62" i="15"/>
  <c r="I62" i="15"/>
  <c r="H62" i="15"/>
  <c r="G62" i="15"/>
  <c r="F62" i="15"/>
  <c r="E62" i="15"/>
  <c r="K47" i="15"/>
  <c r="J47" i="15"/>
  <c r="I47" i="15"/>
  <c r="H47" i="15"/>
  <c r="G47" i="15"/>
  <c r="F47" i="15"/>
  <c r="E47" i="15"/>
  <c r="K45" i="15"/>
  <c r="J45" i="15"/>
  <c r="I45" i="15"/>
  <c r="H45" i="15"/>
  <c r="G45" i="15"/>
  <c r="F45" i="15"/>
  <c r="E45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K32" i="15"/>
  <c r="J32" i="15"/>
  <c r="I32" i="15"/>
  <c r="H32" i="15"/>
  <c r="G32" i="15"/>
  <c r="F32" i="15"/>
  <c r="E32" i="15"/>
  <c r="K30" i="15"/>
  <c r="J30" i="15"/>
  <c r="I30" i="15"/>
  <c r="H30" i="15"/>
  <c r="G30" i="15"/>
  <c r="F30" i="15"/>
  <c r="E30" i="15"/>
  <c r="K21" i="15"/>
  <c r="J21" i="15"/>
  <c r="I21" i="15"/>
  <c r="H21" i="15"/>
  <c r="G21" i="15"/>
  <c r="F21" i="15"/>
  <c r="K15" i="15"/>
  <c r="J15" i="15"/>
  <c r="I15" i="15"/>
  <c r="H15" i="15"/>
  <c r="G15" i="15"/>
  <c r="F15" i="15"/>
  <c r="E15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K229" i="13"/>
  <c r="J229" i="13"/>
  <c r="I229" i="13"/>
  <c r="H229" i="13"/>
  <c r="G229" i="13"/>
  <c r="F229" i="13"/>
  <c r="E229" i="13"/>
  <c r="D229" i="13"/>
  <c r="K223" i="13"/>
  <c r="J223" i="13"/>
  <c r="I223" i="13"/>
  <c r="H223" i="13"/>
  <c r="G223" i="13"/>
  <c r="F223" i="13"/>
  <c r="E223" i="13"/>
  <c r="D223" i="13"/>
  <c r="K216" i="13"/>
  <c r="J216" i="13"/>
  <c r="I216" i="13"/>
  <c r="H216" i="13"/>
  <c r="G216" i="13"/>
  <c r="F216" i="13"/>
  <c r="E216" i="13"/>
  <c r="D216" i="13"/>
  <c r="K210" i="13"/>
  <c r="J210" i="13"/>
  <c r="I210" i="13"/>
  <c r="H210" i="13"/>
  <c r="G210" i="13"/>
  <c r="F210" i="13"/>
  <c r="E210" i="13"/>
  <c r="D210" i="13"/>
  <c r="K204" i="13"/>
  <c r="J204" i="13"/>
  <c r="I204" i="13"/>
  <c r="H204" i="13"/>
  <c r="G204" i="13"/>
  <c r="F204" i="13"/>
  <c r="E204" i="13"/>
  <c r="D204" i="13"/>
  <c r="K193" i="13"/>
  <c r="J193" i="13"/>
  <c r="I193" i="13"/>
  <c r="H193" i="13"/>
  <c r="G193" i="13"/>
  <c r="F193" i="13"/>
  <c r="D193" i="13"/>
  <c r="K123" i="13"/>
  <c r="J123" i="13"/>
  <c r="I123" i="13"/>
  <c r="H123" i="13"/>
  <c r="G123" i="13"/>
  <c r="F123" i="13"/>
  <c r="E123" i="13"/>
  <c r="D123" i="13"/>
  <c r="K118" i="13"/>
  <c r="J118" i="13"/>
  <c r="I118" i="13"/>
  <c r="I119" i="13" s="1"/>
  <c r="H118" i="13"/>
  <c r="G118" i="13"/>
  <c r="F118" i="13"/>
  <c r="F119" i="13" s="1"/>
  <c r="E118" i="13"/>
  <c r="E119" i="13" s="1"/>
  <c r="K105" i="13"/>
  <c r="J105" i="13"/>
  <c r="I105" i="13"/>
  <c r="H105" i="13"/>
  <c r="G105" i="13"/>
  <c r="F105" i="13"/>
  <c r="E10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K62" i="13"/>
  <c r="J62" i="13"/>
  <c r="I62" i="13"/>
  <c r="H62" i="13"/>
  <c r="G62" i="13"/>
  <c r="F62" i="13"/>
  <c r="E62" i="13"/>
  <c r="K47" i="13"/>
  <c r="J47" i="13"/>
  <c r="I47" i="13"/>
  <c r="H47" i="13"/>
  <c r="G47" i="13"/>
  <c r="F47" i="13"/>
  <c r="E47" i="13"/>
  <c r="K45" i="13"/>
  <c r="J45" i="13"/>
  <c r="I45" i="13"/>
  <c r="H45" i="13"/>
  <c r="G45" i="13"/>
  <c r="F45" i="13"/>
  <c r="E45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K32" i="13"/>
  <c r="J32" i="13"/>
  <c r="I32" i="13"/>
  <c r="H32" i="13"/>
  <c r="G32" i="13"/>
  <c r="F32" i="13"/>
  <c r="E32" i="13"/>
  <c r="K30" i="13"/>
  <c r="J30" i="13"/>
  <c r="I30" i="13"/>
  <c r="H30" i="13"/>
  <c r="G30" i="13"/>
  <c r="F30" i="13"/>
  <c r="E30" i="13"/>
  <c r="K21" i="13"/>
  <c r="J21" i="13"/>
  <c r="I21" i="13"/>
  <c r="H21" i="13"/>
  <c r="G21" i="13"/>
  <c r="F21" i="13"/>
  <c r="E21" i="13"/>
  <c r="K15" i="13"/>
  <c r="J15" i="13"/>
  <c r="H15" i="13"/>
  <c r="G15" i="13"/>
  <c r="F15" i="13"/>
  <c r="E15" i="13"/>
  <c r="D47" i="13"/>
  <c r="D20" i="12"/>
  <c r="L20" i="12" s="1"/>
  <c r="D19" i="12"/>
  <c r="D18" i="12"/>
  <c r="L18" i="12" s="1"/>
  <c r="D17" i="12"/>
  <c r="L17" i="12" s="1"/>
  <c r="D14" i="12"/>
  <c r="L14" i="12" s="1"/>
  <c r="D13" i="12"/>
  <c r="D38" i="12" s="1"/>
  <c r="D12" i="12"/>
  <c r="L12" i="12" s="1"/>
  <c r="D11" i="12"/>
  <c r="D36" i="12" s="1"/>
  <c r="D9" i="12"/>
  <c r="L87" i="12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L257" i="12"/>
  <c r="L256" i="12"/>
  <c r="L255" i="12"/>
  <c r="L254" i="12"/>
  <c r="L253" i="12"/>
  <c r="L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L241" i="12"/>
  <c r="L240" i="12"/>
  <c r="L239" i="12"/>
  <c r="L238" i="12"/>
  <c r="L235" i="12"/>
  <c r="L234" i="12"/>
  <c r="L233" i="12"/>
  <c r="L232" i="12"/>
  <c r="K229" i="12"/>
  <c r="J229" i="12"/>
  <c r="I229" i="12"/>
  <c r="H229" i="12"/>
  <c r="G229" i="12"/>
  <c r="F229" i="12"/>
  <c r="E229" i="12"/>
  <c r="D229" i="12"/>
  <c r="L228" i="12"/>
  <c r="L227" i="12"/>
  <c r="L226" i="12"/>
  <c r="L225" i="12"/>
  <c r="K223" i="12"/>
  <c r="J223" i="12"/>
  <c r="I223" i="12"/>
  <c r="H223" i="12"/>
  <c r="G223" i="12"/>
  <c r="F223" i="12"/>
  <c r="E223" i="12"/>
  <c r="D223" i="12"/>
  <c r="L222" i="12"/>
  <c r="L221" i="12"/>
  <c r="L220" i="12"/>
  <c r="L219" i="12"/>
  <c r="K216" i="12"/>
  <c r="J216" i="12"/>
  <c r="I216" i="12"/>
  <c r="H216" i="12"/>
  <c r="G216" i="12"/>
  <c r="F216" i="12"/>
  <c r="E216" i="12"/>
  <c r="D216" i="12"/>
  <c r="L215" i="12"/>
  <c r="L214" i="12"/>
  <c r="L213" i="12"/>
  <c r="L212" i="12"/>
  <c r="K210" i="12"/>
  <c r="J210" i="12"/>
  <c r="I210" i="12"/>
  <c r="H210" i="12"/>
  <c r="G210" i="12"/>
  <c r="F210" i="12"/>
  <c r="E210" i="12"/>
  <c r="D210" i="12"/>
  <c r="L209" i="12"/>
  <c r="L208" i="12"/>
  <c r="L207" i="12"/>
  <c r="L206" i="12"/>
  <c r="K204" i="12"/>
  <c r="J204" i="12"/>
  <c r="I204" i="12"/>
  <c r="H204" i="12"/>
  <c r="G204" i="12"/>
  <c r="F204" i="12"/>
  <c r="E204" i="12"/>
  <c r="D204" i="12"/>
  <c r="L203" i="12"/>
  <c r="L202" i="12"/>
  <c r="L201" i="12"/>
  <c r="L200" i="12"/>
  <c r="L199" i="12"/>
  <c r="L197" i="12"/>
  <c r="L195" i="12"/>
  <c r="L194" i="12"/>
  <c r="K193" i="12"/>
  <c r="J193" i="12"/>
  <c r="I193" i="12"/>
  <c r="H193" i="12"/>
  <c r="G193" i="12"/>
  <c r="F193" i="12"/>
  <c r="E193" i="12"/>
  <c r="D193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43" i="12"/>
  <c r="L142" i="12"/>
  <c r="L141" i="12"/>
  <c r="L140" i="12"/>
  <c r="L138" i="12"/>
  <c r="L137" i="12"/>
  <c r="L136" i="12"/>
  <c r="L135" i="12"/>
  <c r="L133" i="12"/>
  <c r="L132" i="12"/>
  <c r="L131" i="12"/>
  <c r="L130" i="12"/>
  <c r="L128" i="12"/>
  <c r="L127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L98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L79" i="12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L69" i="12"/>
  <c r="L68" i="12"/>
  <c r="L67" i="12"/>
  <c r="K62" i="12"/>
  <c r="J62" i="12"/>
  <c r="I62" i="12"/>
  <c r="H62" i="12"/>
  <c r="G62" i="12"/>
  <c r="F62" i="12"/>
  <c r="E62" i="12"/>
  <c r="L56" i="12"/>
  <c r="L55" i="12"/>
  <c r="L54" i="12"/>
  <c r="L51" i="12"/>
  <c r="L50" i="12"/>
  <c r="L49" i="12"/>
  <c r="K47" i="12"/>
  <c r="J47" i="12"/>
  <c r="I47" i="12"/>
  <c r="H47" i="12"/>
  <c r="G47" i="12"/>
  <c r="F47" i="12"/>
  <c r="E47" i="12"/>
  <c r="L46" i="12"/>
  <c r="K45" i="12"/>
  <c r="J45" i="12"/>
  <c r="I45" i="12"/>
  <c r="H45" i="12"/>
  <c r="G45" i="12"/>
  <c r="F45" i="12"/>
  <c r="E45" i="12"/>
  <c r="L44" i="12"/>
  <c r="K34" i="12"/>
  <c r="J34" i="12"/>
  <c r="I34" i="12"/>
  <c r="H34" i="12"/>
  <c r="G34" i="12"/>
  <c r="F34" i="12"/>
  <c r="E34" i="12"/>
  <c r="L33" i="12"/>
  <c r="K32" i="12"/>
  <c r="J32" i="12"/>
  <c r="I32" i="12"/>
  <c r="H32" i="12"/>
  <c r="G32" i="12"/>
  <c r="F32" i="12"/>
  <c r="E32" i="12"/>
  <c r="L31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M259" i="11"/>
  <c r="L259" i="11"/>
  <c r="J259" i="11"/>
  <c r="I259" i="11"/>
  <c r="H259" i="11"/>
  <c r="G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J243" i="11" s="1"/>
  <c r="I223" i="11"/>
  <c r="I230" i="11" s="1"/>
  <c r="I243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M259" i="8"/>
  <c r="L259" i="8"/>
  <c r="K259" i="8"/>
  <c r="J259" i="8"/>
  <c r="I259" i="8"/>
  <c r="H259" i="8"/>
  <c r="G259" i="8"/>
  <c r="N258" i="8"/>
  <c r="M258" i="8"/>
  <c r="L258" i="8"/>
  <c r="K258" i="8"/>
  <c r="J258" i="8"/>
  <c r="I258" i="8"/>
  <c r="H258" i="8"/>
  <c r="G258" i="8"/>
  <c r="F258" i="8"/>
  <c r="E258" i="8"/>
  <c r="D258" i="8"/>
  <c r="P257" i="8"/>
  <c r="K257" i="17" s="1"/>
  <c r="P256" i="8"/>
  <c r="P254" i="8"/>
  <c r="K254" i="17" s="1"/>
  <c r="P253" i="8"/>
  <c r="K253" i="17" s="1"/>
  <c r="P247" i="8"/>
  <c r="N247" i="8"/>
  <c r="M247" i="8"/>
  <c r="L247" i="8"/>
  <c r="K247" i="8"/>
  <c r="J247" i="8"/>
  <c r="I247" i="8"/>
  <c r="H247" i="8"/>
  <c r="G247" i="8"/>
  <c r="F247" i="8"/>
  <c r="D247" i="8"/>
  <c r="N242" i="8"/>
  <c r="M242" i="8"/>
  <c r="L242" i="8"/>
  <c r="K242" i="8"/>
  <c r="J242" i="8"/>
  <c r="I242" i="8"/>
  <c r="H242" i="8"/>
  <c r="H250" i="8" s="1"/>
  <c r="G242" i="8"/>
  <c r="P241" i="8"/>
  <c r="K241" i="17" s="1"/>
  <c r="P240" i="8"/>
  <c r="K240" i="17" s="1"/>
  <c r="P239" i="8"/>
  <c r="K239" i="17" s="1"/>
  <c r="P238" i="8"/>
  <c r="K238" i="17" s="1"/>
  <c r="P235" i="8"/>
  <c r="K235" i="17" s="1"/>
  <c r="P234" i="8"/>
  <c r="K234" i="17" s="1"/>
  <c r="P233" i="8"/>
  <c r="K233" i="17" s="1"/>
  <c r="P232" i="8"/>
  <c r="P228" i="8"/>
  <c r="K228" i="17" s="1"/>
  <c r="P227" i="8"/>
  <c r="K227" i="17" s="1"/>
  <c r="P226" i="8"/>
  <c r="K226" i="17" s="1"/>
  <c r="P225" i="8"/>
  <c r="K225" i="17" s="1"/>
  <c r="N223" i="8"/>
  <c r="N230" i="8" s="1"/>
  <c r="M223" i="8"/>
  <c r="L223" i="8"/>
  <c r="K223" i="8"/>
  <c r="K230" i="8" s="1"/>
  <c r="J223" i="8"/>
  <c r="I223" i="8"/>
  <c r="I250" i="8" s="1"/>
  <c r="H223" i="8"/>
  <c r="H230" i="8" s="1"/>
  <c r="G230" i="8"/>
  <c r="F223" i="8"/>
  <c r="E223" i="8"/>
  <c r="E230" i="8" s="1"/>
  <c r="P222" i="8"/>
  <c r="K222" i="17" s="1"/>
  <c r="P221" i="8"/>
  <c r="K221" i="17" s="1"/>
  <c r="P220" i="8"/>
  <c r="K220" i="17" s="1"/>
  <c r="P219" i="8"/>
  <c r="K219" i="17" s="1"/>
  <c r="L216" i="8"/>
  <c r="K216" i="8"/>
  <c r="H216" i="8"/>
  <c r="F216" i="8"/>
  <c r="E216" i="8"/>
  <c r="D216" i="8"/>
  <c r="P215" i="8"/>
  <c r="K215" i="17" s="1"/>
  <c r="P214" i="8"/>
  <c r="K214" i="17" s="1"/>
  <c r="P213" i="8"/>
  <c r="K213" i="17" s="1"/>
  <c r="P212" i="8"/>
  <c r="K212" i="17" s="1"/>
  <c r="N210" i="8"/>
  <c r="M210" i="8"/>
  <c r="L210" i="8"/>
  <c r="K210" i="8"/>
  <c r="J210" i="8"/>
  <c r="J217" i="8" s="1"/>
  <c r="I210" i="8"/>
  <c r="H210" i="8"/>
  <c r="G210" i="8"/>
  <c r="F210" i="8"/>
  <c r="E210" i="8"/>
  <c r="D210" i="8"/>
  <c r="D250" i="8" s="1"/>
  <c r="P209" i="8"/>
  <c r="K209" i="17" s="1"/>
  <c r="P208" i="8"/>
  <c r="K208" i="17" s="1"/>
  <c r="P207" i="8"/>
  <c r="K207" i="17" s="1"/>
  <c r="P206" i="8"/>
  <c r="K206" i="17" s="1"/>
  <c r="N204" i="8"/>
  <c r="M204" i="8"/>
  <c r="L204" i="8"/>
  <c r="K204" i="8"/>
  <c r="J204" i="8"/>
  <c r="I204" i="8"/>
  <c r="H204" i="8"/>
  <c r="G204" i="8"/>
  <c r="F204" i="8"/>
  <c r="E204" i="8"/>
  <c r="D204" i="8"/>
  <c r="P203" i="8"/>
  <c r="K203" i="17" s="1"/>
  <c r="P202" i="8"/>
  <c r="K202" i="17" s="1"/>
  <c r="P201" i="8"/>
  <c r="K201" i="17" s="1"/>
  <c r="P200" i="8"/>
  <c r="K200" i="17" s="1"/>
  <c r="P199" i="8"/>
  <c r="K199" i="17" s="1"/>
  <c r="P197" i="8"/>
  <c r="K197" i="17" s="1"/>
  <c r="P195" i="8"/>
  <c r="K195" i="17" s="1"/>
  <c r="P194" i="8"/>
  <c r="K194" i="17" s="1"/>
  <c r="N193" i="8"/>
  <c r="M193" i="8"/>
  <c r="L193" i="8"/>
  <c r="K193" i="8"/>
  <c r="J193" i="8"/>
  <c r="I193" i="8"/>
  <c r="H193" i="8"/>
  <c r="G193" i="8"/>
  <c r="F193" i="8"/>
  <c r="E193" i="8"/>
  <c r="D193" i="8"/>
  <c r="P192" i="8"/>
  <c r="K192" i="17" s="1"/>
  <c r="P191" i="8"/>
  <c r="K191" i="17" s="1"/>
  <c r="P190" i="8"/>
  <c r="K190" i="17" s="1"/>
  <c r="P189" i="8"/>
  <c r="K189" i="17" s="1"/>
  <c r="P187" i="8"/>
  <c r="K187" i="17" s="1"/>
  <c r="P186" i="8"/>
  <c r="K186" i="17" s="1"/>
  <c r="P185" i="8"/>
  <c r="K185" i="17" s="1"/>
  <c r="P184" i="8"/>
  <c r="K184" i="17" s="1"/>
  <c r="P182" i="8"/>
  <c r="K182" i="17" s="1"/>
  <c r="P181" i="8"/>
  <c r="K181" i="17" s="1"/>
  <c r="P180" i="8"/>
  <c r="K180" i="17" s="1"/>
  <c r="P179" i="8"/>
  <c r="K179" i="17" s="1"/>
  <c r="P178" i="8"/>
  <c r="K178" i="17" s="1"/>
  <c r="P177" i="8"/>
  <c r="K177" i="17" s="1"/>
  <c r="P175" i="8"/>
  <c r="K175" i="17" s="1"/>
  <c r="P174" i="8"/>
  <c r="K174" i="17" s="1"/>
  <c r="P173" i="8"/>
  <c r="K173" i="17" s="1"/>
  <c r="P172" i="8"/>
  <c r="K172" i="17" s="1"/>
  <c r="P171" i="8"/>
  <c r="K171" i="17" s="1"/>
  <c r="P170" i="8"/>
  <c r="K170" i="17" s="1"/>
  <c r="P169" i="8"/>
  <c r="K169" i="17" s="1"/>
  <c r="P168" i="8"/>
  <c r="K168" i="17" s="1"/>
  <c r="P167" i="8"/>
  <c r="K167" i="17" s="1"/>
  <c r="P165" i="8"/>
  <c r="K165" i="17" s="1"/>
  <c r="P164" i="8"/>
  <c r="K164" i="17" s="1"/>
  <c r="P163" i="8"/>
  <c r="K163" i="17" s="1"/>
  <c r="P162" i="8"/>
  <c r="K162" i="17" s="1"/>
  <c r="P161" i="8"/>
  <c r="K161" i="17" s="1"/>
  <c r="P160" i="8"/>
  <c r="K160" i="17" s="1"/>
  <c r="P159" i="8"/>
  <c r="K159" i="17" s="1"/>
  <c r="P158" i="8"/>
  <c r="K158" i="17" s="1"/>
  <c r="P157" i="8"/>
  <c r="K157" i="17" s="1"/>
  <c r="P156" i="8"/>
  <c r="K156" i="17" s="1"/>
  <c r="P155" i="8"/>
  <c r="K155" i="17" s="1"/>
  <c r="P154" i="8"/>
  <c r="K154" i="17" s="1"/>
  <c r="P153" i="8"/>
  <c r="P143" i="8"/>
  <c r="K143" i="17" s="1"/>
  <c r="P142" i="8"/>
  <c r="K142" i="17" s="1"/>
  <c r="P141" i="8"/>
  <c r="K141" i="17" s="1"/>
  <c r="P140" i="8"/>
  <c r="K140" i="17" s="1"/>
  <c r="P138" i="8"/>
  <c r="K138" i="17" s="1"/>
  <c r="P137" i="8"/>
  <c r="K137" i="17" s="1"/>
  <c r="P136" i="8"/>
  <c r="K136" i="17" s="1"/>
  <c r="P135" i="8"/>
  <c r="K135" i="17" s="1"/>
  <c r="P133" i="8"/>
  <c r="K133" i="17" s="1"/>
  <c r="P132" i="8"/>
  <c r="K132" i="17" s="1"/>
  <c r="P131" i="8"/>
  <c r="K131" i="17" s="1"/>
  <c r="P130" i="8"/>
  <c r="K130" i="17" s="1"/>
  <c r="P128" i="8"/>
  <c r="K128" i="17" s="1"/>
  <c r="P127" i="8"/>
  <c r="K127" i="17" s="1"/>
  <c r="P126" i="8"/>
  <c r="K126" i="17" s="1"/>
  <c r="P125" i="8"/>
  <c r="K125" i="17" s="1"/>
  <c r="M123" i="8"/>
  <c r="L123" i="8"/>
  <c r="K123" i="8"/>
  <c r="J123" i="8"/>
  <c r="I123" i="8"/>
  <c r="H123" i="8"/>
  <c r="G123" i="8"/>
  <c r="P122" i="8"/>
  <c r="N123" i="8"/>
  <c r="P121" i="8"/>
  <c r="F117" i="8"/>
  <c r="E117" i="8"/>
  <c r="D117" i="8"/>
  <c r="N111" i="8"/>
  <c r="N118" i="8" s="1"/>
  <c r="K111" i="8"/>
  <c r="K118" i="8" s="1"/>
  <c r="J111" i="8"/>
  <c r="J118" i="8" s="1"/>
  <c r="H111" i="8"/>
  <c r="H118" i="8" s="1"/>
  <c r="G111" i="8"/>
  <c r="G118" i="8" s="1"/>
  <c r="F111" i="8"/>
  <c r="F118" i="8" s="1"/>
  <c r="E111" i="8"/>
  <c r="D111" i="8"/>
  <c r="P110" i="8"/>
  <c r="K110" i="17" s="1"/>
  <c r="P109" i="8"/>
  <c r="K109" i="17" s="1"/>
  <c r="P108" i="8"/>
  <c r="K108" i="17" s="1"/>
  <c r="P107" i="8"/>
  <c r="K107" i="17" s="1"/>
  <c r="N105" i="8"/>
  <c r="M105" i="8"/>
  <c r="M119" i="8" s="1"/>
  <c r="L119" i="8"/>
  <c r="K105" i="8"/>
  <c r="J105" i="8"/>
  <c r="I105" i="8"/>
  <c r="I119" i="8" s="1"/>
  <c r="H105" i="8"/>
  <c r="G105" i="8"/>
  <c r="F105" i="8"/>
  <c r="E105" i="8"/>
  <c r="D105" i="8"/>
  <c r="P104" i="8"/>
  <c r="K104" i="17" s="1"/>
  <c r="P103" i="8"/>
  <c r="K103" i="17" s="1"/>
  <c r="P102" i="8"/>
  <c r="K102" i="17" s="1"/>
  <c r="P101" i="8"/>
  <c r="K101" i="17" s="1"/>
  <c r="P98" i="8"/>
  <c r="K98" i="17" s="1"/>
  <c r="F94" i="8"/>
  <c r="F95" i="8" s="1"/>
  <c r="F259" i="8" s="1"/>
  <c r="E94" i="8"/>
  <c r="E95" i="8" s="1"/>
  <c r="E259" i="8" s="1"/>
  <c r="D94" i="8"/>
  <c r="D95" i="8" s="1"/>
  <c r="P90" i="8"/>
  <c r="P85" i="8"/>
  <c r="K85" i="17" s="1"/>
  <c r="P84" i="8"/>
  <c r="P81" i="8"/>
  <c r="P79" i="8"/>
  <c r="K79" i="17" s="1"/>
  <c r="P78" i="8"/>
  <c r="P72" i="8"/>
  <c r="H70" i="8"/>
  <c r="H71" i="8" s="1"/>
  <c r="P69" i="8"/>
  <c r="K69" i="17" s="1"/>
  <c r="P68" i="8"/>
  <c r="K68" i="17" s="1"/>
  <c r="P67" i="8"/>
  <c r="K67" i="17" s="1"/>
  <c r="P66" i="8"/>
  <c r="P63" i="8"/>
  <c r="K63" i="17" s="1"/>
  <c r="N62" i="8"/>
  <c r="M62" i="8"/>
  <c r="L62" i="8"/>
  <c r="J62" i="8"/>
  <c r="I62" i="8"/>
  <c r="G62" i="8"/>
  <c r="P61" i="8"/>
  <c r="K61" i="17" s="1"/>
  <c r="P56" i="8"/>
  <c r="K56" i="17" s="1"/>
  <c r="P55" i="8"/>
  <c r="K55" i="17" s="1"/>
  <c r="P54" i="8"/>
  <c r="K54" i="17" s="1"/>
  <c r="K52" i="15"/>
  <c r="K52" i="13"/>
  <c r="P51" i="8"/>
  <c r="K51" i="17" s="1"/>
  <c r="P50" i="8"/>
  <c r="K50" i="17" s="1"/>
  <c r="P49" i="8"/>
  <c r="K49" i="17" s="1"/>
  <c r="N47" i="8"/>
  <c r="M47" i="8"/>
  <c r="L47" i="8"/>
  <c r="K47" i="8"/>
  <c r="J47" i="8"/>
  <c r="G47" i="8"/>
  <c r="F47" i="8"/>
  <c r="E47" i="8"/>
  <c r="D47" i="8"/>
  <c r="P46" i="8"/>
  <c r="K46" i="17" s="1"/>
  <c r="N45" i="8"/>
  <c r="M45" i="8"/>
  <c r="L45" i="8"/>
  <c r="K45" i="8"/>
  <c r="J45" i="8"/>
  <c r="P44" i="8"/>
  <c r="K44" i="17" s="1"/>
  <c r="M38" i="8"/>
  <c r="L38" i="8"/>
  <c r="K38" i="8"/>
  <c r="I38" i="8"/>
  <c r="N34" i="8"/>
  <c r="M34" i="8"/>
  <c r="L34" i="8"/>
  <c r="K34" i="8"/>
  <c r="J34" i="8"/>
  <c r="I34" i="8"/>
  <c r="G34" i="8"/>
  <c r="P33" i="8"/>
  <c r="K33" i="17" s="1"/>
  <c r="N32" i="8"/>
  <c r="M32" i="8"/>
  <c r="L32" i="8"/>
  <c r="K32" i="8"/>
  <c r="J32" i="8"/>
  <c r="I32" i="8"/>
  <c r="G32" i="8"/>
  <c r="P31" i="8"/>
  <c r="K31" i="17" s="1"/>
  <c r="N30" i="8"/>
  <c r="M30" i="8"/>
  <c r="G30" i="8"/>
  <c r="P29" i="8"/>
  <c r="K29" i="17" s="1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N15" i="8"/>
  <c r="M15" i="8"/>
  <c r="L15" i="8"/>
  <c r="K15" i="8"/>
  <c r="J15" i="8"/>
  <c r="H15" i="8"/>
  <c r="G15" i="8"/>
  <c r="P14" i="8"/>
  <c r="K14" i="17" s="1"/>
  <c r="P13" i="8"/>
  <c r="K13" i="17" s="1"/>
  <c r="P12" i="8"/>
  <c r="K12" i="17" s="1"/>
  <c r="P11" i="8"/>
  <c r="K11" i="17" s="1"/>
  <c r="P9" i="8"/>
  <c r="M259" i="7"/>
  <c r="L259" i="7"/>
  <c r="K259" i="7"/>
  <c r="J259" i="7"/>
  <c r="I259" i="7"/>
  <c r="H259" i="7"/>
  <c r="G259" i="7"/>
  <c r="N258" i="7"/>
  <c r="M258" i="7"/>
  <c r="L258" i="7"/>
  <c r="K258" i="7"/>
  <c r="J258" i="7"/>
  <c r="I258" i="7"/>
  <c r="H258" i="7"/>
  <c r="G258" i="7"/>
  <c r="F258" i="7"/>
  <c r="E258" i="7"/>
  <c r="D258" i="7"/>
  <c r="P257" i="7"/>
  <c r="J257" i="17" s="1"/>
  <c r="P256" i="7"/>
  <c r="P254" i="7"/>
  <c r="J254" i="17" s="1"/>
  <c r="P253" i="7"/>
  <c r="J253" i="17" s="1"/>
  <c r="P247" i="7"/>
  <c r="N247" i="7"/>
  <c r="M247" i="7"/>
  <c r="L247" i="7"/>
  <c r="K247" i="7"/>
  <c r="J247" i="7"/>
  <c r="I247" i="7"/>
  <c r="H247" i="7"/>
  <c r="G247" i="7"/>
  <c r="F247" i="7"/>
  <c r="D247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J241" i="17" s="1"/>
  <c r="P240" i="7"/>
  <c r="J240" i="17" s="1"/>
  <c r="P239" i="7"/>
  <c r="J239" i="17" s="1"/>
  <c r="P238" i="7"/>
  <c r="J238" i="17" s="1"/>
  <c r="P235" i="7"/>
  <c r="J235" i="17" s="1"/>
  <c r="P234" i="7"/>
  <c r="J234" i="17" s="1"/>
  <c r="P233" i="7"/>
  <c r="J233" i="17" s="1"/>
  <c r="P232" i="7"/>
  <c r="J232" i="17" s="1"/>
  <c r="P228" i="7"/>
  <c r="J228" i="17" s="1"/>
  <c r="P227" i="7"/>
  <c r="J227" i="17" s="1"/>
  <c r="P226" i="7"/>
  <c r="J226" i="17" s="1"/>
  <c r="P225" i="7"/>
  <c r="J225" i="17" s="1"/>
  <c r="N223" i="7"/>
  <c r="M223" i="7"/>
  <c r="L223" i="7"/>
  <c r="L230" i="7" s="1"/>
  <c r="K223" i="7"/>
  <c r="K230" i="7" s="1"/>
  <c r="J223" i="7"/>
  <c r="I223" i="7"/>
  <c r="I230" i="7" s="1"/>
  <c r="H223" i="7"/>
  <c r="H230" i="7" s="1"/>
  <c r="G223" i="7"/>
  <c r="F223" i="7"/>
  <c r="E223" i="7"/>
  <c r="D223" i="7"/>
  <c r="D230" i="7" s="1"/>
  <c r="P222" i="7"/>
  <c r="J222" i="17" s="1"/>
  <c r="P221" i="7"/>
  <c r="J221" i="17" s="1"/>
  <c r="P220" i="7"/>
  <c r="J220" i="17" s="1"/>
  <c r="P219" i="7"/>
  <c r="J219" i="17" s="1"/>
  <c r="N216" i="7"/>
  <c r="M216" i="7"/>
  <c r="L216" i="7"/>
  <c r="K216" i="7"/>
  <c r="J216" i="7"/>
  <c r="I216" i="7"/>
  <c r="H216" i="7"/>
  <c r="G216" i="7"/>
  <c r="F216" i="7"/>
  <c r="E216" i="7"/>
  <c r="D216" i="7"/>
  <c r="P215" i="7"/>
  <c r="J215" i="17" s="1"/>
  <c r="P214" i="7"/>
  <c r="J214" i="17" s="1"/>
  <c r="P213" i="7"/>
  <c r="J213" i="17" s="1"/>
  <c r="P212" i="7"/>
  <c r="J212" i="17" s="1"/>
  <c r="N210" i="7"/>
  <c r="M210" i="7"/>
  <c r="L210" i="7"/>
  <c r="K210" i="7"/>
  <c r="J210" i="7"/>
  <c r="I210" i="7"/>
  <c r="H210" i="7"/>
  <c r="G210" i="7"/>
  <c r="F210" i="7"/>
  <c r="E210" i="7"/>
  <c r="D210" i="7"/>
  <c r="P209" i="7"/>
  <c r="J209" i="17" s="1"/>
  <c r="P208" i="7"/>
  <c r="J208" i="17" s="1"/>
  <c r="P207" i="7"/>
  <c r="J207" i="17" s="1"/>
  <c r="P206" i="7"/>
  <c r="J206" i="17" s="1"/>
  <c r="N204" i="7"/>
  <c r="M204" i="7"/>
  <c r="L204" i="7"/>
  <c r="K204" i="7"/>
  <c r="J204" i="7"/>
  <c r="I204" i="7"/>
  <c r="H204" i="7"/>
  <c r="G204" i="7"/>
  <c r="F204" i="7"/>
  <c r="E204" i="7"/>
  <c r="D204" i="7"/>
  <c r="P203" i="7"/>
  <c r="J203" i="17" s="1"/>
  <c r="P202" i="7"/>
  <c r="J202" i="17" s="1"/>
  <c r="P201" i="7"/>
  <c r="J201" i="17" s="1"/>
  <c r="P200" i="7"/>
  <c r="J200" i="17" s="1"/>
  <c r="P199" i="7"/>
  <c r="J199" i="17" s="1"/>
  <c r="P197" i="7"/>
  <c r="J197" i="17" s="1"/>
  <c r="P195" i="7"/>
  <c r="J195" i="17" s="1"/>
  <c r="P194" i="7"/>
  <c r="J194" i="17" s="1"/>
  <c r="N193" i="7"/>
  <c r="M193" i="7"/>
  <c r="L193" i="7"/>
  <c r="K193" i="7"/>
  <c r="J193" i="7"/>
  <c r="I193" i="7"/>
  <c r="H193" i="7"/>
  <c r="G193" i="7"/>
  <c r="F193" i="7"/>
  <c r="E193" i="7"/>
  <c r="D193" i="7"/>
  <c r="P192" i="7"/>
  <c r="J192" i="17" s="1"/>
  <c r="P191" i="7"/>
  <c r="J191" i="17" s="1"/>
  <c r="P190" i="7"/>
  <c r="J190" i="17" s="1"/>
  <c r="P189" i="7"/>
  <c r="J189" i="17" s="1"/>
  <c r="P187" i="7"/>
  <c r="J187" i="17" s="1"/>
  <c r="P186" i="7"/>
  <c r="J186" i="17" s="1"/>
  <c r="P185" i="7"/>
  <c r="J185" i="17" s="1"/>
  <c r="P184" i="7"/>
  <c r="J184" i="17" s="1"/>
  <c r="P182" i="7"/>
  <c r="J182" i="17" s="1"/>
  <c r="P181" i="7"/>
  <c r="J181" i="17" s="1"/>
  <c r="P180" i="7"/>
  <c r="J180" i="17" s="1"/>
  <c r="P179" i="7"/>
  <c r="J179" i="17" s="1"/>
  <c r="P178" i="7"/>
  <c r="J178" i="17" s="1"/>
  <c r="P177" i="7"/>
  <c r="J177" i="17" s="1"/>
  <c r="P175" i="7"/>
  <c r="J175" i="17" s="1"/>
  <c r="P174" i="7"/>
  <c r="J174" i="17" s="1"/>
  <c r="P173" i="7"/>
  <c r="J173" i="17" s="1"/>
  <c r="P172" i="7"/>
  <c r="J172" i="17" s="1"/>
  <c r="P171" i="7"/>
  <c r="J171" i="17" s="1"/>
  <c r="P170" i="7"/>
  <c r="J170" i="17" s="1"/>
  <c r="P169" i="7"/>
  <c r="J169" i="17" s="1"/>
  <c r="P168" i="7"/>
  <c r="J168" i="17" s="1"/>
  <c r="P167" i="7"/>
  <c r="J167" i="17" s="1"/>
  <c r="P165" i="7"/>
  <c r="J165" i="17" s="1"/>
  <c r="P164" i="7"/>
  <c r="J164" i="17" s="1"/>
  <c r="P163" i="7"/>
  <c r="J163" i="17" s="1"/>
  <c r="P162" i="7"/>
  <c r="J162" i="17" s="1"/>
  <c r="P161" i="7"/>
  <c r="J161" i="17" s="1"/>
  <c r="P160" i="7"/>
  <c r="J160" i="17" s="1"/>
  <c r="P159" i="7"/>
  <c r="J159" i="17" s="1"/>
  <c r="P158" i="7"/>
  <c r="J158" i="17" s="1"/>
  <c r="P157" i="7"/>
  <c r="J157" i="17" s="1"/>
  <c r="P156" i="7"/>
  <c r="J156" i="17" s="1"/>
  <c r="P155" i="7"/>
  <c r="J155" i="17" s="1"/>
  <c r="P154" i="7"/>
  <c r="J154" i="17" s="1"/>
  <c r="P153" i="7"/>
  <c r="J153" i="17" s="1"/>
  <c r="P143" i="7"/>
  <c r="J143" i="17" s="1"/>
  <c r="P142" i="7"/>
  <c r="J142" i="17" s="1"/>
  <c r="P141" i="7"/>
  <c r="J141" i="17" s="1"/>
  <c r="P140" i="7"/>
  <c r="J140" i="17" s="1"/>
  <c r="P138" i="7"/>
  <c r="J138" i="17" s="1"/>
  <c r="P137" i="7"/>
  <c r="J137" i="17" s="1"/>
  <c r="P136" i="7"/>
  <c r="J136" i="17" s="1"/>
  <c r="P135" i="7"/>
  <c r="J135" i="17" s="1"/>
  <c r="P133" i="7"/>
  <c r="J133" i="17" s="1"/>
  <c r="P132" i="7"/>
  <c r="J132" i="17" s="1"/>
  <c r="P131" i="7"/>
  <c r="J131" i="17" s="1"/>
  <c r="P130" i="7"/>
  <c r="J130" i="17" s="1"/>
  <c r="P128" i="7"/>
  <c r="J128" i="17" s="1"/>
  <c r="P127" i="7"/>
  <c r="J127" i="17" s="1"/>
  <c r="P126" i="7"/>
  <c r="J126" i="17" s="1"/>
  <c r="P125" i="7"/>
  <c r="J125" i="17" s="1"/>
  <c r="M123" i="7"/>
  <c r="L123" i="7"/>
  <c r="K123" i="7"/>
  <c r="J123" i="7"/>
  <c r="I123" i="7"/>
  <c r="H123" i="7"/>
  <c r="G123" i="7"/>
  <c r="P122" i="7"/>
  <c r="N123" i="7"/>
  <c r="P121" i="7"/>
  <c r="J121" i="17" s="1"/>
  <c r="P117" i="7"/>
  <c r="G117" i="7"/>
  <c r="F117" i="7"/>
  <c r="E117" i="7"/>
  <c r="D117" i="7"/>
  <c r="N111" i="7"/>
  <c r="N118" i="7" s="1"/>
  <c r="M111" i="7"/>
  <c r="M118" i="7" s="1"/>
  <c r="L111" i="7"/>
  <c r="L118" i="7" s="1"/>
  <c r="K111" i="7"/>
  <c r="K118" i="7" s="1"/>
  <c r="J111" i="7"/>
  <c r="J118" i="7" s="1"/>
  <c r="I111" i="7"/>
  <c r="I118" i="7" s="1"/>
  <c r="H111" i="7"/>
  <c r="H118" i="7" s="1"/>
  <c r="G111" i="7"/>
  <c r="F111" i="7"/>
  <c r="E111" i="7"/>
  <c r="D111" i="7"/>
  <c r="P110" i="7"/>
  <c r="J110" i="17" s="1"/>
  <c r="P109" i="7"/>
  <c r="J109" i="17" s="1"/>
  <c r="P108" i="7"/>
  <c r="J108" i="17" s="1"/>
  <c r="P107" i="7"/>
  <c r="J107" i="17" s="1"/>
  <c r="N105" i="7"/>
  <c r="M105" i="7"/>
  <c r="M119" i="7" s="1"/>
  <c r="L105" i="7"/>
  <c r="K105" i="7"/>
  <c r="J105" i="7"/>
  <c r="I105" i="7"/>
  <c r="I119" i="7" s="1"/>
  <c r="H105" i="7"/>
  <c r="G105" i="7"/>
  <c r="F105" i="7"/>
  <c r="E105" i="7"/>
  <c r="D105" i="7"/>
  <c r="P104" i="7"/>
  <c r="J104" i="17" s="1"/>
  <c r="P103" i="7"/>
  <c r="J103" i="17" s="1"/>
  <c r="P102" i="7"/>
  <c r="J102" i="17" s="1"/>
  <c r="P101" i="7"/>
  <c r="J101" i="17" s="1"/>
  <c r="P98" i="7"/>
  <c r="J98" i="17" s="1"/>
  <c r="F259" i="7"/>
  <c r="E259" i="7"/>
  <c r="D259" i="7"/>
  <c r="P90" i="7"/>
  <c r="P87" i="7"/>
  <c r="J87" i="17" s="1"/>
  <c r="J88" i="17" s="1"/>
  <c r="P84" i="7"/>
  <c r="I82" i="7"/>
  <c r="I83" i="7" s="1"/>
  <c r="P78" i="7"/>
  <c r="I76" i="7"/>
  <c r="I77" i="7" s="1"/>
  <c r="P72" i="7"/>
  <c r="I71" i="7"/>
  <c r="P69" i="7"/>
  <c r="J69" i="17" s="1"/>
  <c r="P68" i="7"/>
  <c r="J68" i="17" s="1"/>
  <c r="P67" i="7"/>
  <c r="J67" i="17" s="1"/>
  <c r="P66" i="7"/>
  <c r="P63" i="7"/>
  <c r="J63" i="17" s="1"/>
  <c r="N62" i="7"/>
  <c r="M62" i="7"/>
  <c r="L62" i="7"/>
  <c r="K62" i="7"/>
  <c r="J62" i="7"/>
  <c r="I62" i="7"/>
  <c r="H62" i="7"/>
  <c r="G62" i="7"/>
  <c r="P61" i="7"/>
  <c r="J61" i="17" s="1"/>
  <c r="P56" i="7"/>
  <c r="J56" i="17" s="1"/>
  <c r="P55" i="7"/>
  <c r="J55" i="17" s="1"/>
  <c r="P54" i="7"/>
  <c r="J54" i="17" s="1"/>
  <c r="J52" i="13"/>
  <c r="J52" i="12"/>
  <c r="P51" i="7"/>
  <c r="J51" i="17" s="1"/>
  <c r="P50" i="7"/>
  <c r="J50" i="17" s="1"/>
  <c r="P49" i="7"/>
  <c r="J49" i="17" s="1"/>
  <c r="N47" i="7"/>
  <c r="M47" i="7"/>
  <c r="L47" i="7"/>
  <c r="K47" i="7"/>
  <c r="J47" i="7"/>
  <c r="I47" i="7"/>
  <c r="H47" i="7"/>
  <c r="G47" i="7"/>
  <c r="F47" i="7"/>
  <c r="E47" i="7"/>
  <c r="D47" i="7"/>
  <c r="P46" i="7"/>
  <c r="J46" i="17" s="1"/>
  <c r="N45" i="7"/>
  <c r="J45" i="7"/>
  <c r="I45" i="7"/>
  <c r="P44" i="7"/>
  <c r="J44" i="17" s="1"/>
  <c r="N40" i="7"/>
  <c r="M40" i="7"/>
  <c r="L40" i="7"/>
  <c r="J40" i="7"/>
  <c r="I40" i="7"/>
  <c r="H40" i="7"/>
  <c r="G40" i="7"/>
  <c r="N38" i="7"/>
  <c r="M38" i="7"/>
  <c r="L38" i="7"/>
  <c r="K38" i="7"/>
  <c r="J38" i="7"/>
  <c r="I38" i="7"/>
  <c r="H38" i="7"/>
  <c r="G38" i="7"/>
  <c r="M41" i="7"/>
  <c r="N34" i="7"/>
  <c r="M34" i="7"/>
  <c r="L34" i="7"/>
  <c r="K34" i="7"/>
  <c r="J34" i="7"/>
  <c r="I34" i="7"/>
  <c r="H34" i="7"/>
  <c r="G34" i="7"/>
  <c r="P33" i="7"/>
  <c r="J33" i="17" s="1"/>
  <c r="N32" i="7"/>
  <c r="M32" i="7"/>
  <c r="L32" i="7"/>
  <c r="K32" i="7"/>
  <c r="J32" i="7"/>
  <c r="I32" i="7"/>
  <c r="H32" i="7"/>
  <c r="G32" i="7"/>
  <c r="P31" i="7"/>
  <c r="J31" i="17" s="1"/>
  <c r="N30" i="7"/>
  <c r="M30" i="7"/>
  <c r="G30" i="7"/>
  <c r="P29" i="7"/>
  <c r="J29" i="17" s="1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N15" i="7"/>
  <c r="M15" i="7"/>
  <c r="L15" i="7"/>
  <c r="K15" i="7"/>
  <c r="J15" i="7"/>
  <c r="I15" i="7"/>
  <c r="H15" i="7"/>
  <c r="G15" i="7"/>
  <c r="F15" i="7"/>
  <c r="E15" i="7"/>
  <c r="D15" i="7"/>
  <c r="P14" i="7"/>
  <c r="J14" i="17" s="1"/>
  <c r="P13" i="7"/>
  <c r="J13" i="17" s="1"/>
  <c r="P12" i="7"/>
  <c r="J12" i="17" s="1"/>
  <c r="P11" i="7"/>
  <c r="J11" i="17" s="1"/>
  <c r="P9" i="7"/>
  <c r="J9" i="17" s="1"/>
  <c r="M259" i="6"/>
  <c r="L259" i="6"/>
  <c r="K259" i="6"/>
  <c r="J259" i="6"/>
  <c r="H259" i="6"/>
  <c r="G259" i="6"/>
  <c r="E259" i="6"/>
  <c r="N258" i="6"/>
  <c r="M258" i="6"/>
  <c r="L258" i="6"/>
  <c r="K258" i="6"/>
  <c r="J258" i="6"/>
  <c r="I258" i="6"/>
  <c r="H258" i="6"/>
  <c r="G258" i="6"/>
  <c r="F258" i="6"/>
  <c r="E258" i="6"/>
  <c r="D258" i="6"/>
  <c r="P257" i="6"/>
  <c r="I257" i="17" s="1"/>
  <c r="P256" i="6"/>
  <c r="P254" i="6"/>
  <c r="I254" i="17" s="1"/>
  <c r="P253" i="6"/>
  <c r="I253" i="17" s="1"/>
  <c r="P247" i="6"/>
  <c r="N247" i="6"/>
  <c r="M247" i="6"/>
  <c r="L247" i="6"/>
  <c r="K247" i="6"/>
  <c r="J247" i="6"/>
  <c r="I247" i="6"/>
  <c r="H247" i="6"/>
  <c r="G247" i="6"/>
  <c r="F247" i="6"/>
  <c r="E247" i="6"/>
  <c r="D247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I241" i="17" s="1"/>
  <c r="P240" i="6"/>
  <c r="I240" i="17" s="1"/>
  <c r="P239" i="6"/>
  <c r="I239" i="17" s="1"/>
  <c r="P238" i="6"/>
  <c r="I238" i="17" s="1"/>
  <c r="P235" i="6"/>
  <c r="I235" i="17" s="1"/>
  <c r="P234" i="6"/>
  <c r="I234" i="17" s="1"/>
  <c r="P233" i="6"/>
  <c r="I233" i="17" s="1"/>
  <c r="P232" i="6"/>
  <c r="I232" i="17" s="1"/>
  <c r="P228" i="6"/>
  <c r="I228" i="17" s="1"/>
  <c r="P227" i="6"/>
  <c r="I227" i="17" s="1"/>
  <c r="P226" i="6"/>
  <c r="I226" i="17" s="1"/>
  <c r="P225" i="6"/>
  <c r="I225" i="17" s="1"/>
  <c r="N223" i="6"/>
  <c r="N230" i="6" s="1"/>
  <c r="M223" i="6"/>
  <c r="L223" i="6"/>
  <c r="K223" i="6"/>
  <c r="K230" i="6" s="1"/>
  <c r="J223" i="6"/>
  <c r="J230" i="6" s="1"/>
  <c r="I223" i="6"/>
  <c r="I230" i="6" s="1"/>
  <c r="H223" i="6"/>
  <c r="H230" i="6" s="1"/>
  <c r="G223" i="6"/>
  <c r="F223" i="6"/>
  <c r="F230" i="6" s="1"/>
  <c r="E223" i="6"/>
  <c r="E230" i="6" s="1"/>
  <c r="D223" i="6"/>
  <c r="P222" i="6"/>
  <c r="I222" i="17" s="1"/>
  <c r="P221" i="6"/>
  <c r="I221" i="17" s="1"/>
  <c r="P220" i="6"/>
  <c r="I220" i="17" s="1"/>
  <c r="P219" i="6"/>
  <c r="I219" i="17" s="1"/>
  <c r="N216" i="6"/>
  <c r="M216" i="6"/>
  <c r="L216" i="6"/>
  <c r="K216" i="6"/>
  <c r="J216" i="6"/>
  <c r="I216" i="6"/>
  <c r="H216" i="6"/>
  <c r="G216" i="6"/>
  <c r="F216" i="6"/>
  <c r="E216" i="6"/>
  <c r="D216" i="6"/>
  <c r="P215" i="6"/>
  <c r="I215" i="17" s="1"/>
  <c r="P214" i="6"/>
  <c r="I214" i="17" s="1"/>
  <c r="P213" i="6"/>
  <c r="I213" i="17" s="1"/>
  <c r="P212" i="6"/>
  <c r="I212" i="17" s="1"/>
  <c r="N210" i="6"/>
  <c r="M210" i="6"/>
  <c r="L210" i="6"/>
  <c r="K210" i="6"/>
  <c r="J210" i="6"/>
  <c r="I210" i="6"/>
  <c r="H210" i="6"/>
  <c r="G210" i="6"/>
  <c r="F210" i="6"/>
  <c r="E210" i="6"/>
  <c r="D210" i="6"/>
  <c r="P209" i="6"/>
  <c r="I209" i="17" s="1"/>
  <c r="P208" i="6"/>
  <c r="I208" i="17" s="1"/>
  <c r="P207" i="6"/>
  <c r="I207" i="17" s="1"/>
  <c r="P206" i="6"/>
  <c r="I206" i="17" s="1"/>
  <c r="N204" i="6"/>
  <c r="M204" i="6"/>
  <c r="L204" i="6"/>
  <c r="K204" i="6"/>
  <c r="J204" i="6"/>
  <c r="I204" i="6"/>
  <c r="H204" i="6"/>
  <c r="F204" i="6"/>
  <c r="E204" i="6"/>
  <c r="D204" i="6"/>
  <c r="P203" i="6"/>
  <c r="I203" i="17" s="1"/>
  <c r="P202" i="6"/>
  <c r="I202" i="17" s="1"/>
  <c r="P201" i="6"/>
  <c r="I201" i="17" s="1"/>
  <c r="P200" i="6"/>
  <c r="I200" i="17" s="1"/>
  <c r="P199" i="6"/>
  <c r="I199" i="17" s="1"/>
  <c r="P197" i="6"/>
  <c r="I197" i="17" s="1"/>
  <c r="P195" i="6"/>
  <c r="I195" i="17" s="1"/>
  <c r="P194" i="6"/>
  <c r="I194" i="17" s="1"/>
  <c r="N193" i="6"/>
  <c r="M193" i="6"/>
  <c r="L193" i="6"/>
  <c r="K193" i="6"/>
  <c r="J193" i="6"/>
  <c r="I193" i="6"/>
  <c r="H193" i="6"/>
  <c r="G193" i="6"/>
  <c r="F193" i="6"/>
  <c r="E193" i="6"/>
  <c r="D193" i="6"/>
  <c r="P192" i="6"/>
  <c r="I192" i="17" s="1"/>
  <c r="P191" i="6"/>
  <c r="I191" i="17" s="1"/>
  <c r="P190" i="6"/>
  <c r="I190" i="17" s="1"/>
  <c r="P189" i="6"/>
  <c r="I189" i="17" s="1"/>
  <c r="P187" i="6"/>
  <c r="I187" i="17" s="1"/>
  <c r="P186" i="6"/>
  <c r="I186" i="17" s="1"/>
  <c r="P185" i="6"/>
  <c r="I185" i="17" s="1"/>
  <c r="P184" i="6"/>
  <c r="I184" i="17" s="1"/>
  <c r="P182" i="6"/>
  <c r="I182" i="17" s="1"/>
  <c r="P181" i="6"/>
  <c r="I181" i="17" s="1"/>
  <c r="P180" i="6"/>
  <c r="I180" i="17" s="1"/>
  <c r="P179" i="6"/>
  <c r="I179" i="17" s="1"/>
  <c r="P178" i="6"/>
  <c r="I178" i="17" s="1"/>
  <c r="P177" i="6"/>
  <c r="I177" i="17" s="1"/>
  <c r="P175" i="6"/>
  <c r="I175" i="17" s="1"/>
  <c r="P174" i="6"/>
  <c r="I174" i="17" s="1"/>
  <c r="P173" i="6"/>
  <c r="I173" i="17" s="1"/>
  <c r="P172" i="6"/>
  <c r="I172" i="17" s="1"/>
  <c r="P171" i="6"/>
  <c r="I171" i="17" s="1"/>
  <c r="P170" i="6"/>
  <c r="I170" i="17" s="1"/>
  <c r="P169" i="6"/>
  <c r="I169" i="17" s="1"/>
  <c r="P168" i="6"/>
  <c r="I168" i="17" s="1"/>
  <c r="P167" i="6"/>
  <c r="I167" i="17" s="1"/>
  <c r="P165" i="6"/>
  <c r="I165" i="17" s="1"/>
  <c r="P164" i="6"/>
  <c r="I164" i="17" s="1"/>
  <c r="P163" i="6"/>
  <c r="I163" i="17" s="1"/>
  <c r="P162" i="6"/>
  <c r="I162" i="17" s="1"/>
  <c r="P161" i="6"/>
  <c r="I161" i="17" s="1"/>
  <c r="P160" i="6"/>
  <c r="I160" i="17" s="1"/>
  <c r="P159" i="6"/>
  <c r="I159" i="17" s="1"/>
  <c r="P158" i="6"/>
  <c r="I158" i="17" s="1"/>
  <c r="P157" i="6"/>
  <c r="I157" i="17" s="1"/>
  <c r="P156" i="6"/>
  <c r="I156" i="17" s="1"/>
  <c r="P155" i="6"/>
  <c r="I155" i="17" s="1"/>
  <c r="P154" i="6"/>
  <c r="I154" i="17" s="1"/>
  <c r="P153" i="6"/>
  <c r="I153" i="17" s="1"/>
  <c r="P143" i="6"/>
  <c r="I143" i="17" s="1"/>
  <c r="P142" i="6"/>
  <c r="I142" i="17" s="1"/>
  <c r="P141" i="6"/>
  <c r="I141" i="17" s="1"/>
  <c r="P140" i="6"/>
  <c r="I140" i="17" s="1"/>
  <c r="P138" i="6"/>
  <c r="I138" i="17" s="1"/>
  <c r="P137" i="6"/>
  <c r="I137" i="17" s="1"/>
  <c r="P136" i="6"/>
  <c r="I136" i="17" s="1"/>
  <c r="P135" i="6"/>
  <c r="I135" i="17" s="1"/>
  <c r="P133" i="6"/>
  <c r="I133" i="17" s="1"/>
  <c r="P132" i="6"/>
  <c r="I132" i="17" s="1"/>
  <c r="P131" i="6"/>
  <c r="I131" i="17" s="1"/>
  <c r="P130" i="6"/>
  <c r="I130" i="17" s="1"/>
  <c r="P128" i="6"/>
  <c r="I128" i="17" s="1"/>
  <c r="P127" i="6"/>
  <c r="I127" i="17" s="1"/>
  <c r="P126" i="6"/>
  <c r="I126" i="17" s="1"/>
  <c r="P125" i="6"/>
  <c r="I125" i="17" s="1"/>
  <c r="M123" i="6"/>
  <c r="L123" i="6"/>
  <c r="K123" i="6"/>
  <c r="J123" i="6"/>
  <c r="I123" i="6"/>
  <c r="H123" i="6"/>
  <c r="G123" i="6"/>
  <c r="P122" i="6"/>
  <c r="N123" i="6"/>
  <c r="P121" i="6"/>
  <c r="I121" i="17" s="1"/>
  <c r="P117" i="6"/>
  <c r="L117" i="6"/>
  <c r="I117" i="6"/>
  <c r="G117" i="6"/>
  <c r="F117" i="6"/>
  <c r="E117" i="6"/>
  <c r="D117" i="6"/>
  <c r="N111" i="6"/>
  <c r="N118" i="6" s="1"/>
  <c r="M111" i="6"/>
  <c r="M118" i="6" s="1"/>
  <c r="L111" i="6"/>
  <c r="K111" i="6"/>
  <c r="K118" i="6" s="1"/>
  <c r="J111" i="6"/>
  <c r="J118" i="6" s="1"/>
  <c r="I111" i="6"/>
  <c r="H111" i="6"/>
  <c r="H118" i="6" s="1"/>
  <c r="G111" i="6"/>
  <c r="F111" i="6"/>
  <c r="E111" i="6"/>
  <c r="D111" i="6"/>
  <c r="P110" i="6"/>
  <c r="I110" i="17" s="1"/>
  <c r="P109" i="6"/>
  <c r="I109" i="17" s="1"/>
  <c r="P108" i="6"/>
  <c r="I108" i="17" s="1"/>
  <c r="P107" i="6"/>
  <c r="I107" i="17" s="1"/>
  <c r="N105" i="6"/>
  <c r="M105" i="6"/>
  <c r="L105" i="6"/>
  <c r="K105" i="6"/>
  <c r="J105" i="6"/>
  <c r="J119" i="6" s="1"/>
  <c r="I105" i="6"/>
  <c r="H105" i="6"/>
  <c r="G105" i="6"/>
  <c r="F105" i="6"/>
  <c r="E105" i="6"/>
  <c r="D105" i="6"/>
  <c r="P104" i="6"/>
  <c r="I104" i="17" s="1"/>
  <c r="P103" i="6"/>
  <c r="I103" i="17" s="1"/>
  <c r="P102" i="6"/>
  <c r="I102" i="17" s="1"/>
  <c r="P101" i="6"/>
  <c r="I101" i="17" s="1"/>
  <c r="P98" i="6"/>
  <c r="I98" i="17" s="1"/>
  <c r="F94" i="6"/>
  <c r="F95" i="6" s="1"/>
  <c r="D94" i="6"/>
  <c r="D95" i="6" s="1"/>
  <c r="P90" i="6"/>
  <c r="P87" i="6"/>
  <c r="I87" i="17" s="1"/>
  <c r="I88" i="17" s="1"/>
  <c r="P84" i="6"/>
  <c r="P81" i="6"/>
  <c r="P78" i="6"/>
  <c r="I78" i="17" s="1"/>
  <c r="P72" i="6"/>
  <c r="P69" i="6"/>
  <c r="I69" i="17" s="1"/>
  <c r="P68" i="6"/>
  <c r="P67" i="6"/>
  <c r="I67" i="17" s="1"/>
  <c r="P66" i="6"/>
  <c r="I66" i="17" s="1"/>
  <c r="P63" i="6"/>
  <c r="I63" i="17" s="1"/>
  <c r="N62" i="6"/>
  <c r="M62" i="6"/>
  <c r="L62" i="6"/>
  <c r="J62" i="6"/>
  <c r="G62" i="6"/>
  <c r="P61" i="6"/>
  <c r="I61" i="17" s="1"/>
  <c r="I56" i="17"/>
  <c r="I55" i="17"/>
  <c r="I54" i="17"/>
  <c r="I52" i="13"/>
  <c r="I52" i="12"/>
  <c r="P51" i="6"/>
  <c r="I51" i="17" s="1"/>
  <c r="P50" i="6"/>
  <c r="I50" i="17" s="1"/>
  <c r="P49" i="6"/>
  <c r="I49" i="17" s="1"/>
  <c r="N47" i="6"/>
  <c r="M47" i="6"/>
  <c r="L47" i="6"/>
  <c r="K47" i="6"/>
  <c r="J47" i="6"/>
  <c r="I47" i="6"/>
  <c r="H47" i="6"/>
  <c r="F47" i="6"/>
  <c r="E47" i="6"/>
  <c r="D47" i="6"/>
  <c r="P46" i="6"/>
  <c r="I46" i="17" s="1"/>
  <c r="N45" i="6"/>
  <c r="M45" i="6"/>
  <c r="L45" i="6"/>
  <c r="K45" i="6"/>
  <c r="J45" i="6"/>
  <c r="I45" i="6"/>
  <c r="H45" i="6"/>
  <c r="F45" i="6"/>
  <c r="E45" i="6"/>
  <c r="D45" i="6"/>
  <c r="P44" i="6"/>
  <c r="I44" i="17" s="1"/>
  <c r="N40" i="6"/>
  <c r="M40" i="6"/>
  <c r="L40" i="6"/>
  <c r="K40" i="6"/>
  <c r="J40" i="6"/>
  <c r="I40" i="6"/>
  <c r="H40" i="6"/>
  <c r="G40" i="6"/>
  <c r="N38" i="6"/>
  <c r="M38" i="6"/>
  <c r="L38" i="6"/>
  <c r="K38" i="6"/>
  <c r="J38" i="6"/>
  <c r="I38" i="6"/>
  <c r="H38" i="6"/>
  <c r="G38" i="6"/>
  <c r="N34" i="6"/>
  <c r="M34" i="6"/>
  <c r="L34" i="6"/>
  <c r="K34" i="6"/>
  <c r="J34" i="6"/>
  <c r="I34" i="6"/>
  <c r="H34" i="6"/>
  <c r="G34" i="6"/>
  <c r="P33" i="6"/>
  <c r="I33" i="17" s="1"/>
  <c r="N32" i="6"/>
  <c r="M32" i="6"/>
  <c r="L32" i="6"/>
  <c r="K32" i="6"/>
  <c r="J32" i="6"/>
  <c r="I32" i="6"/>
  <c r="H32" i="6"/>
  <c r="G32" i="6"/>
  <c r="P31" i="6"/>
  <c r="I31" i="17" s="1"/>
  <c r="N30" i="6"/>
  <c r="M30" i="6"/>
  <c r="I30" i="6"/>
  <c r="H30" i="6"/>
  <c r="G30" i="6"/>
  <c r="P29" i="6"/>
  <c r="I29" i="17" s="1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N15" i="6"/>
  <c r="N22" i="6" s="1"/>
  <c r="N24" i="6" s="1"/>
  <c r="N25" i="6" s="1"/>
  <c r="M15" i="6"/>
  <c r="L15" i="6"/>
  <c r="K15" i="6"/>
  <c r="J15" i="6"/>
  <c r="I15" i="6"/>
  <c r="H15" i="6"/>
  <c r="G15" i="6"/>
  <c r="F15" i="6"/>
  <c r="E15" i="6"/>
  <c r="D15" i="6"/>
  <c r="P14" i="6"/>
  <c r="I14" i="17" s="1"/>
  <c r="P13" i="6"/>
  <c r="I13" i="17" s="1"/>
  <c r="P12" i="6"/>
  <c r="I12" i="17" s="1"/>
  <c r="P11" i="6"/>
  <c r="I11" i="17" s="1"/>
  <c r="P9" i="6"/>
  <c r="I9" i="17" s="1"/>
  <c r="M259" i="5"/>
  <c r="L259" i="5"/>
  <c r="K259" i="5"/>
  <c r="J259" i="5"/>
  <c r="I259" i="5"/>
  <c r="G259" i="5"/>
  <c r="F259" i="5"/>
  <c r="N258" i="5"/>
  <c r="M258" i="5"/>
  <c r="L258" i="5"/>
  <c r="K258" i="5"/>
  <c r="J258" i="5"/>
  <c r="I258" i="5"/>
  <c r="H258" i="5"/>
  <c r="G258" i="5"/>
  <c r="F258" i="5"/>
  <c r="E258" i="5"/>
  <c r="D258" i="5"/>
  <c r="P257" i="5"/>
  <c r="H257" i="17" s="1"/>
  <c r="P256" i="5"/>
  <c r="P254" i="5"/>
  <c r="H254" i="17" s="1"/>
  <c r="P253" i="5"/>
  <c r="H253" i="17" s="1"/>
  <c r="P247" i="5"/>
  <c r="N247" i="5"/>
  <c r="M247" i="5"/>
  <c r="L247" i="5"/>
  <c r="K247" i="5"/>
  <c r="J247" i="5"/>
  <c r="I247" i="5"/>
  <c r="H247" i="5"/>
  <c r="G247" i="5"/>
  <c r="F247" i="5"/>
  <c r="D247" i="5"/>
  <c r="N242" i="5"/>
  <c r="M242" i="5"/>
  <c r="L242" i="5"/>
  <c r="K242" i="5"/>
  <c r="J242" i="5"/>
  <c r="I242" i="5"/>
  <c r="H242" i="5"/>
  <c r="G242" i="5"/>
  <c r="F242" i="5"/>
  <c r="E242" i="5"/>
  <c r="P241" i="5"/>
  <c r="H241" i="17" s="1"/>
  <c r="P240" i="5"/>
  <c r="H240" i="17" s="1"/>
  <c r="P239" i="5"/>
  <c r="H239" i="17" s="1"/>
  <c r="P238" i="5"/>
  <c r="H238" i="17" s="1"/>
  <c r="P235" i="5"/>
  <c r="H235" i="17" s="1"/>
  <c r="P234" i="5"/>
  <c r="H234" i="17" s="1"/>
  <c r="P233" i="5"/>
  <c r="H233" i="17" s="1"/>
  <c r="P232" i="5"/>
  <c r="H232" i="17" s="1"/>
  <c r="P228" i="5"/>
  <c r="H228" i="17" s="1"/>
  <c r="P227" i="5"/>
  <c r="H227" i="17" s="1"/>
  <c r="P226" i="5"/>
  <c r="H226" i="17" s="1"/>
  <c r="P225" i="5"/>
  <c r="H225" i="17" s="1"/>
  <c r="N223" i="5"/>
  <c r="M223" i="5"/>
  <c r="L223" i="5"/>
  <c r="L230" i="5" s="1"/>
  <c r="K230" i="5"/>
  <c r="J223" i="5"/>
  <c r="I223" i="5"/>
  <c r="I230" i="5" s="1"/>
  <c r="H223" i="5"/>
  <c r="G223" i="5"/>
  <c r="F223" i="5"/>
  <c r="F230" i="5" s="1"/>
  <c r="F243" i="5" s="1"/>
  <c r="E223" i="5"/>
  <c r="D223" i="5"/>
  <c r="P222" i="5"/>
  <c r="H222" i="17" s="1"/>
  <c r="P221" i="5"/>
  <c r="H221" i="17" s="1"/>
  <c r="P220" i="5"/>
  <c r="H220" i="17" s="1"/>
  <c r="P219" i="5"/>
  <c r="H219" i="17" s="1"/>
  <c r="N216" i="5"/>
  <c r="M216" i="5"/>
  <c r="K216" i="5"/>
  <c r="J216" i="5"/>
  <c r="I216" i="5"/>
  <c r="H216" i="5"/>
  <c r="G216" i="5"/>
  <c r="F216" i="5"/>
  <c r="E216" i="5"/>
  <c r="D216" i="5"/>
  <c r="P215" i="5"/>
  <c r="H215" i="17" s="1"/>
  <c r="P214" i="5"/>
  <c r="H214" i="17" s="1"/>
  <c r="P213" i="5"/>
  <c r="H213" i="17" s="1"/>
  <c r="P212" i="5"/>
  <c r="H212" i="17" s="1"/>
  <c r="N210" i="5"/>
  <c r="M210" i="5"/>
  <c r="L210" i="5"/>
  <c r="K210" i="5"/>
  <c r="J210" i="5"/>
  <c r="J217" i="5" s="1"/>
  <c r="I210" i="5"/>
  <c r="H210" i="5"/>
  <c r="G210" i="5"/>
  <c r="F210" i="5"/>
  <c r="E210" i="5"/>
  <c r="D210" i="5"/>
  <c r="P209" i="5"/>
  <c r="H209" i="17" s="1"/>
  <c r="P208" i="5"/>
  <c r="H208" i="17" s="1"/>
  <c r="P207" i="5"/>
  <c r="H207" i="17" s="1"/>
  <c r="P206" i="5"/>
  <c r="H206" i="17" s="1"/>
  <c r="N204" i="5"/>
  <c r="M204" i="5"/>
  <c r="L204" i="5"/>
  <c r="K204" i="5"/>
  <c r="J204" i="5"/>
  <c r="I204" i="5"/>
  <c r="H204" i="5"/>
  <c r="G204" i="5"/>
  <c r="F204" i="5"/>
  <c r="E204" i="5"/>
  <c r="D204" i="5"/>
  <c r="P203" i="5"/>
  <c r="H203" i="17" s="1"/>
  <c r="P202" i="5"/>
  <c r="H202" i="17" s="1"/>
  <c r="P201" i="5"/>
  <c r="H201" i="17" s="1"/>
  <c r="P200" i="5"/>
  <c r="H200" i="17" s="1"/>
  <c r="P199" i="5"/>
  <c r="H199" i="17" s="1"/>
  <c r="P197" i="5"/>
  <c r="H197" i="17" s="1"/>
  <c r="P195" i="5"/>
  <c r="H195" i="17" s="1"/>
  <c r="P194" i="5"/>
  <c r="H194" i="17" s="1"/>
  <c r="N193" i="5"/>
  <c r="M193" i="5"/>
  <c r="L193" i="5"/>
  <c r="K193" i="5"/>
  <c r="J193" i="5"/>
  <c r="I193" i="5"/>
  <c r="H193" i="5"/>
  <c r="G193" i="5"/>
  <c r="F193" i="5"/>
  <c r="E193" i="5"/>
  <c r="D193" i="5"/>
  <c r="P192" i="5"/>
  <c r="H192" i="17" s="1"/>
  <c r="P191" i="5"/>
  <c r="H191" i="17" s="1"/>
  <c r="P190" i="5"/>
  <c r="H190" i="17" s="1"/>
  <c r="P189" i="5"/>
  <c r="H189" i="17" s="1"/>
  <c r="P187" i="5"/>
  <c r="H187" i="17" s="1"/>
  <c r="P186" i="5"/>
  <c r="H186" i="17" s="1"/>
  <c r="P185" i="5"/>
  <c r="H185" i="17" s="1"/>
  <c r="P184" i="5"/>
  <c r="H184" i="17" s="1"/>
  <c r="P182" i="5"/>
  <c r="H182" i="17" s="1"/>
  <c r="P181" i="5"/>
  <c r="H181" i="17" s="1"/>
  <c r="P180" i="5"/>
  <c r="H180" i="17" s="1"/>
  <c r="P179" i="5"/>
  <c r="H179" i="17" s="1"/>
  <c r="P178" i="5"/>
  <c r="H178" i="17" s="1"/>
  <c r="P177" i="5"/>
  <c r="H177" i="17" s="1"/>
  <c r="P175" i="5"/>
  <c r="H175" i="17" s="1"/>
  <c r="P174" i="5"/>
  <c r="H174" i="17" s="1"/>
  <c r="P173" i="5"/>
  <c r="H173" i="17" s="1"/>
  <c r="P172" i="5"/>
  <c r="H172" i="17" s="1"/>
  <c r="P171" i="5"/>
  <c r="H171" i="17" s="1"/>
  <c r="P170" i="5"/>
  <c r="H170" i="17" s="1"/>
  <c r="P169" i="5"/>
  <c r="H169" i="17" s="1"/>
  <c r="P168" i="5"/>
  <c r="H168" i="17" s="1"/>
  <c r="P167" i="5"/>
  <c r="H167" i="17" s="1"/>
  <c r="P165" i="5"/>
  <c r="H165" i="17" s="1"/>
  <c r="P164" i="5"/>
  <c r="H164" i="17" s="1"/>
  <c r="P163" i="5"/>
  <c r="H163" i="17" s="1"/>
  <c r="P162" i="5"/>
  <c r="H162" i="17" s="1"/>
  <c r="P161" i="5"/>
  <c r="H161" i="17" s="1"/>
  <c r="P160" i="5"/>
  <c r="H160" i="17" s="1"/>
  <c r="P159" i="5"/>
  <c r="H159" i="17" s="1"/>
  <c r="P158" i="5"/>
  <c r="H158" i="17" s="1"/>
  <c r="P157" i="5"/>
  <c r="H157" i="17" s="1"/>
  <c r="P156" i="5"/>
  <c r="H156" i="17" s="1"/>
  <c r="P155" i="5"/>
  <c r="H155" i="17" s="1"/>
  <c r="P154" i="5"/>
  <c r="H154" i="17" s="1"/>
  <c r="P153" i="5"/>
  <c r="H153" i="17" s="1"/>
  <c r="P143" i="5"/>
  <c r="H143" i="17" s="1"/>
  <c r="P142" i="5"/>
  <c r="H142" i="17" s="1"/>
  <c r="P141" i="5"/>
  <c r="H141" i="17" s="1"/>
  <c r="P140" i="5"/>
  <c r="H140" i="17" s="1"/>
  <c r="P138" i="5"/>
  <c r="H138" i="17" s="1"/>
  <c r="P137" i="5"/>
  <c r="H137" i="17" s="1"/>
  <c r="P136" i="5"/>
  <c r="H136" i="17" s="1"/>
  <c r="P135" i="5"/>
  <c r="H135" i="17" s="1"/>
  <c r="P133" i="5"/>
  <c r="H133" i="17" s="1"/>
  <c r="P132" i="5"/>
  <c r="H132" i="17" s="1"/>
  <c r="P131" i="5"/>
  <c r="H131" i="17" s="1"/>
  <c r="P130" i="5"/>
  <c r="H130" i="17" s="1"/>
  <c r="P128" i="5"/>
  <c r="H128" i="17" s="1"/>
  <c r="P127" i="5"/>
  <c r="H127" i="17" s="1"/>
  <c r="P126" i="5"/>
  <c r="H126" i="17" s="1"/>
  <c r="P125" i="5"/>
  <c r="H125" i="17" s="1"/>
  <c r="M123" i="5"/>
  <c r="L123" i="5"/>
  <c r="K123" i="5"/>
  <c r="J123" i="5"/>
  <c r="I123" i="5"/>
  <c r="H123" i="5"/>
  <c r="P122" i="5"/>
  <c r="N123" i="5"/>
  <c r="P121" i="5"/>
  <c r="H121" i="17" s="1"/>
  <c r="P117" i="5"/>
  <c r="L117" i="5"/>
  <c r="I117" i="5"/>
  <c r="F117" i="5"/>
  <c r="E117" i="5"/>
  <c r="D117" i="5"/>
  <c r="N111" i="5"/>
  <c r="N118" i="5" s="1"/>
  <c r="M111" i="5"/>
  <c r="M118" i="5" s="1"/>
  <c r="L111" i="5"/>
  <c r="K111" i="5"/>
  <c r="K118" i="5" s="1"/>
  <c r="J111" i="5"/>
  <c r="J118" i="5" s="1"/>
  <c r="I111" i="5"/>
  <c r="H111" i="5"/>
  <c r="H118" i="5" s="1"/>
  <c r="G111" i="5"/>
  <c r="G118" i="5" s="1"/>
  <c r="F111" i="5"/>
  <c r="E111" i="5"/>
  <c r="D111" i="5"/>
  <c r="P110" i="5"/>
  <c r="H110" i="17" s="1"/>
  <c r="P109" i="5"/>
  <c r="H109" i="17" s="1"/>
  <c r="P108" i="5"/>
  <c r="H108" i="17" s="1"/>
  <c r="P107" i="5"/>
  <c r="H107" i="17" s="1"/>
  <c r="N105" i="5"/>
  <c r="M105" i="5"/>
  <c r="L105" i="5"/>
  <c r="K105" i="5"/>
  <c r="J105" i="5"/>
  <c r="J119" i="5" s="1"/>
  <c r="I105" i="5"/>
  <c r="H105" i="5"/>
  <c r="G105" i="5"/>
  <c r="F105" i="5"/>
  <c r="E105" i="5"/>
  <c r="D105" i="5"/>
  <c r="P104" i="5"/>
  <c r="H104" i="17" s="1"/>
  <c r="P103" i="5"/>
  <c r="H103" i="17" s="1"/>
  <c r="P102" i="5"/>
  <c r="H102" i="17" s="1"/>
  <c r="P101" i="5"/>
  <c r="H101" i="17" s="1"/>
  <c r="P98" i="5"/>
  <c r="H98" i="17" s="1"/>
  <c r="E94" i="5"/>
  <c r="E95" i="5" s="1"/>
  <c r="D94" i="5"/>
  <c r="D95" i="5" s="1"/>
  <c r="P90" i="5"/>
  <c r="P84" i="5"/>
  <c r="P78" i="5"/>
  <c r="P72" i="5"/>
  <c r="P69" i="5"/>
  <c r="H69" i="17" s="1"/>
  <c r="P68" i="5"/>
  <c r="H68" i="17" s="1"/>
  <c r="P67" i="5"/>
  <c r="H67" i="17" s="1"/>
  <c r="P66" i="5"/>
  <c r="H66" i="17" s="1"/>
  <c r="P63" i="5"/>
  <c r="H63" i="17" s="1"/>
  <c r="N62" i="5"/>
  <c r="M62" i="5"/>
  <c r="L62" i="5"/>
  <c r="J62" i="5"/>
  <c r="G62" i="5"/>
  <c r="P61" i="5"/>
  <c r="H61" i="17" s="1"/>
  <c r="P56" i="5"/>
  <c r="H56" i="17" s="1"/>
  <c r="P55" i="5"/>
  <c r="H55" i="17" s="1"/>
  <c r="P54" i="5"/>
  <c r="H54" i="17" s="1"/>
  <c r="H52" i="13"/>
  <c r="H52" i="12"/>
  <c r="P51" i="5"/>
  <c r="H51" i="17" s="1"/>
  <c r="P50" i="5"/>
  <c r="H50" i="17" s="1"/>
  <c r="P49" i="5"/>
  <c r="H49" i="17" s="1"/>
  <c r="N47" i="5"/>
  <c r="M47" i="5"/>
  <c r="L47" i="5"/>
  <c r="K47" i="5"/>
  <c r="J47" i="5"/>
  <c r="I47" i="5"/>
  <c r="H47" i="5"/>
  <c r="G47" i="5"/>
  <c r="F47" i="5"/>
  <c r="E47" i="5"/>
  <c r="D47" i="5"/>
  <c r="P46" i="5"/>
  <c r="H46" i="17" s="1"/>
  <c r="N45" i="5"/>
  <c r="P44" i="5"/>
  <c r="H44" i="17" s="1"/>
  <c r="H40" i="5"/>
  <c r="N40" i="5"/>
  <c r="M40" i="5"/>
  <c r="L40" i="5"/>
  <c r="K40" i="5"/>
  <c r="J40" i="5"/>
  <c r="I40" i="5"/>
  <c r="G40" i="5"/>
  <c r="N38" i="5"/>
  <c r="M38" i="5"/>
  <c r="L38" i="5"/>
  <c r="J38" i="5"/>
  <c r="I38" i="5"/>
  <c r="H38" i="5"/>
  <c r="G38" i="5"/>
  <c r="L41" i="5"/>
  <c r="N34" i="5"/>
  <c r="M34" i="5"/>
  <c r="L34" i="5"/>
  <c r="K34" i="5"/>
  <c r="J34" i="5"/>
  <c r="I34" i="5"/>
  <c r="H34" i="5"/>
  <c r="G34" i="5"/>
  <c r="P33" i="5"/>
  <c r="H33" i="17" s="1"/>
  <c r="N32" i="5"/>
  <c r="M32" i="5"/>
  <c r="L32" i="5"/>
  <c r="K32" i="5"/>
  <c r="J32" i="5"/>
  <c r="I32" i="5"/>
  <c r="H32" i="5"/>
  <c r="G32" i="5"/>
  <c r="P31" i="5"/>
  <c r="H31" i="17" s="1"/>
  <c r="N30" i="5"/>
  <c r="M30" i="5"/>
  <c r="H30" i="5"/>
  <c r="G30" i="5"/>
  <c r="P29" i="5"/>
  <c r="H29" i="17" s="1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N15" i="5"/>
  <c r="N22" i="5" s="1"/>
  <c r="N24" i="5" s="1"/>
  <c r="N25" i="5" s="1"/>
  <c r="M15" i="5"/>
  <c r="L15" i="5"/>
  <c r="K15" i="5"/>
  <c r="J15" i="5"/>
  <c r="I15" i="5"/>
  <c r="H15" i="5"/>
  <c r="G15" i="5"/>
  <c r="F15" i="5"/>
  <c r="E15" i="5"/>
  <c r="D15" i="5"/>
  <c r="P14" i="5"/>
  <c r="H14" i="17" s="1"/>
  <c r="P13" i="5"/>
  <c r="H13" i="17" s="1"/>
  <c r="P12" i="5"/>
  <c r="H12" i="17" s="1"/>
  <c r="P11" i="5"/>
  <c r="H11" i="17" s="1"/>
  <c r="P9" i="5"/>
  <c r="M259" i="4"/>
  <c r="K259" i="4"/>
  <c r="J259" i="4"/>
  <c r="H259" i="4"/>
  <c r="M258" i="4"/>
  <c r="L258" i="4"/>
  <c r="K258" i="4"/>
  <c r="J258" i="4"/>
  <c r="I258" i="4"/>
  <c r="H258" i="4"/>
  <c r="G258" i="4"/>
  <c r="F258" i="4"/>
  <c r="E258" i="4"/>
  <c r="D258" i="4"/>
  <c r="P257" i="4"/>
  <c r="G257" i="17" s="1"/>
  <c r="P254" i="4"/>
  <c r="G254" i="17" s="1"/>
  <c r="P253" i="4"/>
  <c r="G253" i="17" s="1"/>
  <c r="P247" i="4"/>
  <c r="N247" i="4"/>
  <c r="M247" i="4"/>
  <c r="L247" i="4"/>
  <c r="K247" i="4"/>
  <c r="J247" i="4"/>
  <c r="I247" i="4"/>
  <c r="H247" i="4"/>
  <c r="D247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G241" i="17" s="1"/>
  <c r="P240" i="4"/>
  <c r="G240" i="17" s="1"/>
  <c r="P239" i="4"/>
  <c r="G239" i="17" s="1"/>
  <c r="P238" i="4"/>
  <c r="G238" i="17" s="1"/>
  <c r="P235" i="4"/>
  <c r="G235" i="17" s="1"/>
  <c r="P234" i="4"/>
  <c r="G234" i="17" s="1"/>
  <c r="P233" i="4"/>
  <c r="G233" i="17" s="1"/>
  <c r="P232" i="4"/>
  <c r="G232" i="17" s="1"/>
  <c r="P228" i="4"/>
  <c r="G228" i="17" s="1"/>
  <c r="P227" i="4"/>
  <c r="G227" i="17" s="1"/>
  <c r="P226" i="4"/>
  <c r="G226" i="17" s="1"/>
  <c r="P225" i="4"/>
  <c r="G225" i="17" s="1"/>
  <c r="M223" i="4"/>
  <c r="L223" i="4"/>
  <c r="K223" i="4"/>
  <c r="K230" i="4" s="1"/>
  <c r="J223" i="4"/>
  <c r="H223" i="4"/>
  <c r="G223" i="4"/>
  <c r="F223" i="4"/>
  <c r="F230" i="4" s="1"/>
  <c r="E223" i="4"/>
  <c r="D223" i="4"/>
  <c r="P222" i="4"/>
  <c r="G222" i="17" s="1"/>
  <c r="P221" i="4"/>
  <c r="G221" i="17" s="1"/>
  <c r="P220" i="4"/>
  <c r="G220" i="17" s="1"/>
  <c r="P219" i="4"/>
  <c r="G219" i="17" s="1"/>
  <c r="N216" i="4"/>
  <c r="M216" i="4"/>
  <c r="L216" i="4"/>
  <c r="K216" i="4"/>
  <c r="J216" i="4"/>
  <c r="I216" i="4"/>
  <c r="H216" i="4"/>
  <c r="G216" i="4"/>
  <c r="F216" i="4"/>
  <c r="E216" i="4"/>
  <c r="D216" i="4"/>
  <c r="P215" i="4"/>
  <c r="G215" i="17" s="1"/>
  <c r="P214" i="4"/>
  <c r="G214" i="17" s="1"/>
  <c r="P213" i="4"/>
  <c r="G213" i="17" s="1"/>
  <c r="P212" i="4"/>
  <c r="G212" i="17" s="1"/>
  <c r="N210" i="4"/>
  <c r="M210" i="4"/>
  <c r="L210" i="4"/>
  <c r="K210" i="4"/>
  <c r="J210" i="4"/>
  <c r="I210" i="4"/>
  <c r="H210" i="4"/>
  <c r="G210" i="4"/>
  <c r="F210" i="4"/>
  <c r="E210" i="4"/>
  <c r="D210" i="4"/>
  <c r="P209" i="4"/>
  <c r="G209" i="17" s="1"/>
  <c r="P208" i="4"/>
  <c r="G208" i="17" s="1"/>
  <c r="P207" i="4"/>
  <c r="G207" i="17" s="1"/>
  <c r="P206" i="4"/>
  <c r="G206" i="17" s="1"/>
  <c r="N204" i="4"/>
  <c r="M204" i="4"/>
  <c r="L204" i="4"/>
  <c r="K204" i="4"/>
  <c r="J204" i="4"/>
  <c r="I204" i="4"/>
  <c r="H204" i="4"/>
  <c r="F204" i="4"/>
  <c r="E204" i="4"/>
  <c r="D204" i="4"/>
  <c r="P203" i="4"/>
  <c r="G203" i="17" s="1"/>
  <c r="P202" i="4"/>
  <c r="G202" i="17" s="1"/>
  <c r="P201" i="4"/>
  <c r="G201" i="17" s="1"/>
  <c r="P200" i="4"/>
  <c r="G200" i="17" s="1"/>
  <c r="P199" i="4"/>
  <c r="G199" i="17" s="1"/>
  <c r="P197" i="4"/>
  <c r="G197" i="17" s="1"/>
  <c r="P195" i="4"/>
  <c r="G195" i="17" s="1"/>
  <c r="P194" i="4"/>
  <c r="G194" i="17" s="1"/>
  <c r="N193" i="4"/>
  <c r="M193" i="4"/>
  <c r="L193" i="4"/>
  <c r="K193" i="4"/>
  <c r="J193" i="4"/>
  <c r="I193" i="4"/>
  <c r="I196" i="4" s="1"/>
  <c r="G196" i="18" s="1"/>
  <c r="H193" i="4"/>
  <c r="G193" i="4"/>
  <c r="F193" i="4"/>
  <c r="E193" i="4"/>
  <c r="D193" i="4"/>
  <c r="D196" i="4" s="1"/>
  <c r="P192" i="4"/>
  <c r="G192" i="17" s="1"/>
  <c r="P191" i="4"/>
  <c r="G191" i="17" s="1"/>
  <c r="P190" i="4"/>
  <c r="G190" i="17" s="1"/>
  <c r="P189" i="4"/>
  <c r="G189" i="17" s="1"/>
  <c r="P187" i="4"/>
  <c r="G187" i="17" s="1"/>
  <c r="P186" i="4"/>
  <c r="G186" i="17" s="1"/>
  <c r="P185" i="4"/>
  <c r="G185" i="17" s="1"/>
  <c r="P184" i="4"/>
  <c r="G184" i="17" s="1"/>
  <c r="P182" i="4"/>
  <c r="G182" i="17" s="1"/>
  <c r="P181" i="4"/>
  <c r="G181" i="17" s="1"/>
  <c r="P180" i="4"/>
  <c r="G180" i="17" s="1"/>
  <c r="P179" i="4"/>
  <c r="G179" i="17" s="1"/>
  <c r="P178" i="4"/>
  <c r="G178" i="17" s="1"/>
  <c r="P177" i="4"/>
  <c r="G177" i="17" s="1"/>
  <c r="P175" i="4"/>
  <c r="G175" i="17" s="1"/>
  <c r="P174" i="4"/>
  <c r="G174" i="17" s="1"/>
  <c r="P173" i="4"/>
  <c r="G173" i="17" s="1"/>
  <c r="P172" i="4"/>
  <c r="G172" i="17" s="1"/>
  <c r="P171" i="4"/>
  <c r="G171" i="17" s="1"/>
  <c r="P170" i="4"/>
  <c r="G170" i="17" s="1"/>
  <c r="P169" i="4"/>
  <c r="G169" i="17" s="1"/>
  <c r="P168" i="4"/>
  <c r="G168" i="17" s="1"/>
  <c r="P167" i="4"/>
  <c r="G167" i="17" s="1"/>
  <c r="P165" i="4"/>
  <c r="G165" i="17" s="1"/>
  <c r="P164" i="4"/>
  <c r="G164" i="17" s="1"/>
  <c r="P163" i="4"/>
  <c r="G163" i="17" s="1"/>
  <c r="P162" i="4"/>
  <c r="G162" i="17" s="1"/>
  <c r="P161" i="4"/>
  <c r="G161" i="17" s="1"/>
  <c r="P160" i="4"/>
  <c r="G160" i="17" s="1"/>
  <c r="P159" i="4"/>
  <c r="G159" i="17" s="1"/>
  <c r="P158" i="4"/>
  <c r="G158" i="17" s="1"/>
  <c r="P157" i="4"/>
  <c r="G157" i="17" s="1"/>
  <c r="P156" i="4"/>
  <c r="G156" i="17" s="1"/>
  <c r="P155" i="4"/>
  <c r="G155" i="17" s="1"/>
  <c r="P154" i="4"/>
  <c r="G154" i="17" s="1"/>
  <c r="P153" i="4"/>
  <c r="G153" i="17" s="1"/>
  <c r="P143" i="4"/>
  <c r="G143" i="17" s="1"/>
  <c r="P142" i="4"/>
  <c r="G142" i="17" s="1"/>
  <c r="P141" i="4"/>
  <c r="G141" i="17" s="1"/>
  <c r="P140" i="4"/>
  <c r="G140" i="17" s="1"/>
  <c r="P138" i="4"/>
  <c r="G138" i="17" s="1"/>
  <c r="P137" i="4"/>
  <c r="G137" i="17" s="1"/>
  <c r="P136" i="4"/>
  <c r="G136" i="17" s="1"/>
  <c r="P135" i="4"/>
  <c r="G135" i="17" s="1"/>
  <c r="P133" i="4"/>
  <c r="G133" i="17" s="1"/>
  <c r="P132" i="4"/>
  <c r="G132" i="17" s="1"/>
  <c r="P131" i="4"/>
  <c r="G131" i="17" s="1"/>
  <c r="P130" i="4"/>
  <c r="G130" i="17" s="1"/>
  <c r="P128" i="4"/>
  <c r="G128" i="17" s="1"/>
  <c r="P127" i="4"/>
  <c r="G127" i="17" s="1"/>
  <c r="P126" i="4"/>
  <c r="G126" i="17" s="1"/>
  <c r="P125" i="4"/>
  <c r="G125" i="17" s="1"/>
  <c r="M123" i="4"/>
  <c r="L123" i="4"/>
  <c r="K123" i="4"/>
  <c r="J123" i="4"/>
  <c r="I123" i="4"/>
  <c r="N123" i="4"/>
  <c r="P121" i="4"/>
  <c r="G121" i="17" s="1"/>
  <c r="P117" i="4"/>
  <c r="N117" i="4"/>
  <c r="L117" i="4"/>
  <c r="F117" i="4"/>
  <c r="E117" i="4"/>
  <c r="D117" i="4"/>
  <c r="N111" i="4"/>
  <c r="M111" i="4"/>
  <c r="M118" i="4" s="1"/>
  <c r="L111" i="4"/>
  <c r="K111" i="4"/>
  <c r="K118" i="4" s="1"/>
  <c r="J111" i="4"/>
  <c r="J118" i="4" s="1"/>
  <c r="I111" i="4"/>
  <c r="I118" i="4" s="1"/>
  <c r="H111" i="4"/>
  <c r="H118" i="4" s="1"/>
  <c r="G111" i="4"/>
  <c r="G118" i="4" s="1"/>
  <c r="F111" i="4"/>
  <c r="E111" i="4"/>
  <c r="D111" i="4"/>
  <c r="P110" i="4"/>
  <c r="G110" i="17" s="1"/>
  <c r="P109" i="4"/>
  <c r="G109" i="17" s="1"/>
  <c r="P108" i="4"/>
  <c r="G108" i="17" s="1"/>
  <c r="P107" i="4"/>
  <c r="G107" i="17" s="1"/>
  <c r="N105" i="4"/>
  <c r="M105" i="4"/>
  <c r="L105" i="4"/>
  <c r="K105" i="4"/>
  <c r="K119" i="4" s="1"/>
  <c r="J105" i="4"/>
  <c r="I105" i="4"/>
  <c r="H105" i="4"/>
  <c r="H119" i="4" s="1"/>
  <c r="G105" i="4"/>
  <c r="F105" i="4"/>
  <c r="E105" i="4"/>
  <c r="D105" i="4"/>
  <c r="P104" i="4"/>
  <c r="G104" i="17" s="1"/>
  <c r="P103" i="4"/>
  <c r="G103" i="17" s="1"/>
  <c r="P102" i="4"/>
  <c r="G102" i="17" s="1"/>
  <c r="P101" i="4"/>
  <c r="G101" i="17" s="1"/>
  <c r="P98" i="4"/>
  <c r="G98" i="17" s="1"/>
  <c r="G94" i="4"/>
  <c r="G95" i="4" s="1"/>
  <c r="G255" i="4" s="1"/>
  <c r="G255" i="13" s="1"/>
  <c r="G259" i="13" s="1"/>
  <c r="F94" i="4"/>
  <c r="F95" i="4" s="1"/>
  <c r="E94" i="4"/>
  <c r="E95" i="4" s="1"/>
  <c r="D259" i="4"/>
  <c r="P90" i="4"/>
  <c r="P87" i="4"/>
  <c r="G87" i="17" s="1"/>
  <c r="G88" i="17" s="1"/>
  <c r="P85" i="4"/>
  <c r="G85" i="17" s="1"/>
  <c r="P84" i="4"/>
  <c r="P78" i="4"/>
  <c r="G90" i="17" s="1"/>
  <c r="N76" i="4"/>
  <c r="N91" i="4"/>
  <c r="N256" i="4" s="1"/>
  <c r="P72" i="4"/>
  <c r="P69" i="4"/>
  <c r="G69" i="17" s="1"/>
  <c r="P68" i="4"/>
  <c r="G68" i="17" s="1"/>
  <c r="P67" i="4"/>
  <c r="G67" i="17" s="1"/>
  <c r="P66" i="4"/>
  <c r="P63" i="4"/>
  <c r="G63" i="17" s="1"/>
  <c r="N62" i="4"/>
  <c r="M62" i="4"/>
  <c r="L62" i="4"/>
  <c r="J62" i="4"/>
  <c r="I62" i="4"/>
  <c r="G62" i="4"/>
  <c r="P61" i="4"/>
  <c r="G61" i="17" s="1"/>
  <c r="P56" i="4"/>
  <c r="G56" i="17" s="1"/>
  <c r="P55" i="4"/>
  <c r="G55" i="17" s="1"/>
  <c r="P54" i="4"/>
  <c r="G54" i="17" s="1"/>
  <c r="G52" i="15"/>
  <c r="G52" i="13"/>
  <c r="P51" i="4"/>
  <c r="G51" i="17" s="1"/>
  <c r="P50" i="4"/>
  <c r="G50" i="17" s="1"/>
  <c r="P49" i="4"/>
  <c r="G49" i="17" s="1"/>
  <c r="N47" i="4"/>
  <c r="M47" i="4"/>
  <c r="L47" i="4"/>
  <c r="K47" i="4"/>
  <c r="J47" i="4"/>
  <c r="H47" i="4"/>
  <c r="G47" i="4"/>
  <c r="F47" i="4"/>
  <c r="E47" i="4"/>
  <c r="D47" i="4"/>
  <c r="P46" i="4"/>
  <c r="G46" i="17" s="1"/>
  <c r="N45" i="4"/>
  <c r="M45" i="4"/>
  <c r="L45" i="4"/>
  <c r="J45" i="4"/>
  <c r="P44" i="4"/>
  <c r="G44" i="17" s="1"/>
  <c r="G40" i="4"/>
  <c r="N40" i="4"/>
  <c r="M40" i="4"/>
  <c r="L40" i="4"/>
  <c r="K40" i="4"/>
  <c r="J40" i="4"/>
  <c r="I40" i="4"/>
  <c r="H40" i="4"/>
  <c r="N38" i="4"/>
  <c r="M38" i="4"/>
  <c r="L38" i="4"/>
  <c r="K38" i="4"/>
  <c r="J38" i="4"/>
  <c r="I38" i="4"/>
  <c r="H38" i="4"/>
  <c r="G38" i="4"/>
  <c r="N34" i="4"/>
  <c r="M34" i="4"/>
  <c r="L34" i="4"/>
  <c r="K34" i="4"/>
  <c r="J34" i="4"/>
  <c r="I34" i="4"/>
  <c r="H34" i="4"/>
  <c r="G34" i="4"/>
  <c r="P33" i="4"/>
  <c r="G33" i="17" s="1"/>
  <c r="N32" i="4"/>
  <c r="M32" i="4"/>
  <c r="L32" i="4"/>
  <c r="K32" i="4"/>
  <c r="J32" i="4"/>
  <c r="I32" i="4"/>
  <c r="H32" i="4"/>
  <c r="G32" i="4"/>
  <c r="P31" i="4"/>
  <c r="G31" i="17" s="1"/>
  <c r="N30" i="4"/>
  <c r="M30" i="4"/>
  <c r="P29" i="4"/>
  <c r="G29" i="17" s="1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N15" i="4"/>
  <c r="M15" i="4"/>
  <c r="L15" i="4"/>
  <c r="L22" i="4" s="1"/>
  <c r="L24" i="4" s="1"/>
  <c r="L25" i="4" s="1"/>
  <c r="K15" i="4"/>
  <c r="J15" i="4"/>
  <c r="I15" i="4"/>
  <c r="H15" i="4"/>
  <c r="G15" i="4"/>
  <c r="F15" i="4"/>
  <c r="E15" i="4"/>
  <c r="D15" i="4"/>
  <c r="P14" i="4"/>
  <c r="G14" i="17" s="1"/>
  <c r="P13" i="4"/>
  <c r="G13" i="17" s="1"/>
  <c r="P12" i="4"/>
  <c r="G12" i="17" s="1"/>
  <c r="P11" i="4"/>
  <c r="G11" i="17" s="1"/>
  <c r="M259" i="3"/>
  <c r="K259" i="3"/>
  <c r="J259" i="3"/>
  <c r="I259" i="3"/>
  <c r="H259" i="3"/>
  <c r="G259" i="3"/>
  <c r="N258" i="3"/>
  <c r="M258" i="3"/>
  <c r="L258" i="3"/>
  <c r="K258" i="3"/>
  <c r="J258" i="3"/>
  <c r="I258" i="3"/>
  <c r="H258" i="3"/>
  <c r="G258" i="3"/>
  <c r="F258" i="3"/>
  <c r="E258" i="3"/>
  <c r="P257" i="3"/>
  <c r="F257" i="17" s="1"/>
  <c r="P256" i="3"/>
  <c r="P254" i="3"/>
  <c r="F254" i="17" s="1"/>
  <c r="P253" i="3"/>
  <c r="F253" i="17" s="1"/>
  <c r="P247" i="3"/>
  <c r="N247" i="3"/>
  <c r="M247" i="3"/>
  <c r="L247" i="3"/>
  <c r="K247" i="3"/>
  <c r="J247" i="3"/>
  <c r="I247" i="3"/>
  <c r="H247" i="3"/>
  <c r="G247" i="3"/>
  <c r="F247" i="3"/>
  <c r="D247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F241" i="17" s="1"/>
  <c r="P240" i="3"/>
  <c r="F240" i="17" s="1"/>
  <c r="P239" i="3"/>
  <c r="F239" i="17" s="1"/>
  <c r="P238" i="3"/>
  <c r="F238" i="17" s="1"/>
  <c r="P235" i="3"/>
  <c r="F235" i="17" s="1"/>
  <c r="P234" i="3"/>
  <c r="F234" i="17" s="1"/>
  <c r="P233" i="3"/>
  <c r="F233" i="17" s="1"/>
  <c r="P232" i="3"/>
  <c r="N230" i="3"/>
  <c r="P228" i="3"/>
  <c r="F228" i="17" s="1"/>
  <c r="P227" i="3"/>
  <c r="F227" i="17" s="1"/>
  <c r="P226" i="3"/>
  <c r="F226" i="17" s="1"/>
  <c r="P225" i="3"/>
  <c r="F225" i="17" s="1"/>
  <c r="M223" i="3"/>
  <c r="L223" i="3"/>
  <c r="K223" i="3"/>
  <c r="K230" i="3" s="1"/>
  <c r="J223" i="3"/>
  <c r="I223" i="3"/>
  <c r="H223" i="3"/>
  <c r="H230" i="3" s="1"/>
  <c r="G223" i="3"/>
  <c r="G230" i="3" s="1"/>
  <c r="F230" i="3"/>
  <c r="E230" i="3"/>
  <c r="P222" i="3"/>
  <c r="F222" i="17" s="1"/>
  <c r="P221" i="3"/>
  <c r="F221" i="17" s="1"/>
  <c r="P220" i="3"/>
  <c r="F220" i="17" s="1"/>
  <c r="P219" i="3"/>
  <c r="F219" i="17" s="1"/>
  <c r="N216" i="3"/>
  <c r="M216" i="3"/>
  <c r="L216" i="3"/>
  <c r="K216" i="3"/>
  <c r="J216" i="3"/>
  <c r="I216" i="3"/>
  <c r="H216" i="3"/>
  <c r="G216" i="3"/>
  <c r="F216" i="3"/>
  <c r="E216" i="3"/>
  <c r="D216" i="3"/>
  <c r="P215" i="3"/>
  <c r="F215" i="17" s="1"/>
  <c r="P214" i="3"/>
  <c r="F214" i="17" s="1"/>
  <c r="P213" i="3"/>
  <c r="F213" i="17" s="1"/>
  <c r="P212" i="3"/>
  <c r="F212" i="17" s="1"/>
  <c r="N210" i="3"/>
  <c r="M210" i="3"/>
  <c r="M217" i="3" s="1"/>
  <c r="L210" i="3"/>
  <c r="K210" i="3"/>
  <c r="J210" i="3"/>
  <c r="I210" i="3"/>
  <c r="H210" i="3"/>
  <c r="G210" i="3"/>
  <c r="F210" i="3"/>
  <c r="E210" i="3"/>
  <c r="D210" i="3"/>
  <c r="P209" i="3"/>
  <c r="F209" i="17" s="1"/>
  <c r="P208" i="3"/>
  <c r="F208" i="17" s="1"/>
  <c r="P207" i="3"/>
  <c r="F207" i="17" s="1"/>
  <c r="P206" i="3"/>
  <c r="F206" i="17" s="1"/>
  <c r="N204" i="3"/>
  <c r="M204" i="3"/>
  <c r="K204" i="3"/>
  <c r="J204" i="3"/>
  <c r="I204" i="3"/>
  <c r="H204" i="3"/>
  <c r="F204" i="3"/>
  <c r="E204" i="3"/>
  <c r="D204" i="3"/>
  <c r="P203" i="3"/>
  <c r="F203" i="17" s="1"/>
  <c r="P202" i="3"/>
  <c r="F202" i="17" s="1"/>
  <c r="P201" i="3"/>
  <c r="F201" i="17" s="1"/>
  <c r="P200" i="3"/>
  <c r="F200" i="17" s="1"/>
  <c r="P199" i="3"/>
  <c r="F199" i="17" s="1"/>
  <c r="P197" i="3"/>
  <c r="F197" i="17" s="1"/>
  <c r="P195" i="3"/>
  <c r="F195" i="17" s="1"/>
  <c r="P194" i="3"/>
  <c r="F194" i="17" s="1"/>
  <c r="N193" i="3"/>
  <c r="M193" i="3"/>
  <c r="L193" i="3"/>
  <c r="K193" i="3"/>
  <c r="J193" i="3"/>
  <c r="I193" i="3"/>
  <c r="H193" i="3"/>
  <c r="G193" i="3"/>
  <c r="F193" i="3"/>
  <c r="E193" i="3"/>
  <c r="D193" i="3"/>
  <c r="P192" i="3"/>
  <c r="F192" i="17" s="1"/>
  <c r="P191" i="3"/>
  <c r="F191" i="17" s="1"/>
  <c r="P190" i="3"/>
  <c r="F190" i="17" s="1"/>
  <c r="P189" i="3"/>
  <c r="F189" i="17" s="1"/>
  <c r="P187" i="3"/>
  <c r="F187" i="17" s="1"/>
  <c r="P186" i="3"/>
  <c r="F186" i="17" s="1"/>
  <c r="P185" i="3"/>
  <c r="F185" i="17" s="1"/>
  <c r="P184" i="3"/>
  <c r="F184" i="17" s="1"/>
  <c r="P182" i="3"/>
  <c r="F182" i="17" s="1"/>
  <c r="P181" i="3"/>
  <c r="F181" i="17" s="1"/>
  <c r="P180" i="3"/>
  <c r="F180" i="17" s="1"/>
  <c r="P179" i="3"/>
  <c r="F179" i="17" s="1"/>
  <c r="P178" i="3"/>
  <c r="F178" i="17" s="1"/>
  <c r="P177" i="3"/>
  <c r="F177" i="17" s="1"/>
  <c r="P175" i="3"/>
  <c r="F175" i="17" s="1"/>
  <c r="P174" i="3"/>
  <c r="F174" i="17" s="1"/>
  <c r="P173" i="3"/>
  <c r="F173" i="17" s="1"/>
  <c r="P172" i="3"/>
  <c r="F172" i="17" s="1"/>
  <c r="P171" i="3"/>
  <c r="F171" i="17" s="1"/>
  <c r="P170" i="3"/>
  <c r="F170" i="17" s="1"/>
  <c r="P169" i="3"/>
  <c r="F169" i="17" s="1"/>
  <c r="P168" i="3"/>
  <c r="F168" i="17" s="1"/>
  <c r="P167" i="3"/>
  <c r="F167" i="17" s="1"/>
  <c r="P165" i="3"/>
  <c r="F165" i="17" s="1"/>
  <c r="P164" i="3"/>
  <c r="F164" i="17" s="1"/>
  <c r="P163" i="3"/>
  <c r="F163" i="17" s="1"/>
  <c r="P162" i="3"/>
  <c r="F162" i="17" s="1"/>
  <c r="P161" i="3"/>
  <c r="F161" i="17" s="1"/>
  <c r="P160" i="3"/>
  <c r="F160" i="17" s="1"/>
  <c r="P159" i="3"/>
  <c r="F159" i="17" s="1"/>
  <c r="P158" i="3"/>
  <c r="F158" i="17" s="1"/>
  <c r="P157" i="3"/>
  <c r="F157" i="17" s="1"/>
  <c r="P156" i="3"/>
  <c r="F156" i="17" s="1"/>
  <c r="P155" i="3"/>
  <c r="F155" i="17" s="1"/>
  <c r="P154" i="3"/>
  <c r="F154" i="17" s="1"/>
  <c r="P153" i="3"/>
  <c r="F153" i="17" s="1"/>
  <c r="P143" i="3"/>
  <c r="F143" i="17" s="1"/>
  <c r="P142" i="3"/>
  <c r="F142" i="17" s="1"/>
  <c r="P141" i="3"/>
  <c r="F141" i="17" s="1"/>
  <c r="P140" i="3"/>
  <c r="F140" i="17" s="1"/>
  <c r="P138" i="3"/>
  <c r="F138" i="17" s="1"/>
  <c r="P137" i="3"/>
  <c r="F137" i="17" s="1"/>
  <c r="P136" i="3"/>
  <c r="F136" i="17" s="1"/>
  <c r="P135" i="3"/>
  <c r="F135" i="17" s="1"/>
  <c r="P133" i="3"/>
  <c r="F133" i="17" s="1"/>
  <c r="P132" i="3"/>
  <c r="F132" i="17" s="1"/>
  <c r="P131" i="3"/>
  <c r="F131" i="17" s="1"/>
  <c r="P130" i="3"/>
  <c r="F130" i="17" s="1"/>
  <c r="P128" i="3"/>
  <c r="F128" i="17" s="1"/>
  <c r="P127" i="3"/>
  <c r="F127" i="17" s="1"/>
  <c r="P126" i="3"/>
  <c r="F126" i="17" s="1"/>
  <c r="P125" i="3"/>
  <c r="F125" i="17" s="1"/>
  <c r="M123" i="3"/>
  <c r="L123" i="3"/>
  <c r="K123" i="3"/>
  <c r="J123" i="3"/>
  <c r="I123" i="3"/>
  <c r="H123" i="3"/>
  <c r="G123" i="3"/>
  <c r="P122" i="3"/>
  <c r="N123" i="3"/>
  <c r="P121" i="3"/>
  <c r="F121" i="17" s="1"/>
  <c r="P117" i="3"/>
  <c r="F117" i="3"/>
  <c r="E117" i="3"/>
  <c r="D117" i="3"/>
  <c r="N111" i="3"/>
  <c r="N118" i="3" s="1"/>
  <c r="M111" i="3"/>
  <c r="M118" i="3" s="1"/>
  <c r="L111" i="3"/>
  <c r="L118" i="3" s="1"/>
  <c r="K111" i="3"/>
  <c r="K118" i="3" s="1"/>
  <c r="J111" i="3"/>
  <c r="J118" i="3" s="1"/>
  <c r="I111" i="3"/>
  <c r="I118" i="3" s="1"/>
  <c r="H111" i="3"/>
  <c r="H118" i="3" s="1"/>
  <c r="G111" i="3"/>
  <c r="G118" i="3" s="1"/>
  <c r="F111" i="3"/>
  <c r="E111" i="3"/>
  <c r="D111" i="3"/>
  <c r="P110" i="3"/>
  <c r="F110" i="17" s="1"/>
  <c r="P109" i="3"/>
  <c r="F109" i="17" s="1"/>
  <c r="P108" i="3"/>
  <c r="F108" i="17" s="1"/>
  <c r="P107" i="3"/>
  <c r="F107" i="17" s="1"/>
  <c r="P105" i="3"/>
  <c r="N105" i="3"/>
  <c r="N119" i="3" s="1"/>
  <c r="M105" i="3"/>
  <c r="M119" i="3" s="1"/>
  <c r="L105" i="3"/>
  <c r="K105" i="3"/>
  <c r="J105" i="3"/>
  <c r="I105" i="3"/>
  <c r="H105" i="3"/>
  <c r="G105" i="3"/>
  <c r="G119" i="3" s="1"/>
  <c r="F105" i="3"/>
  <c r="E105" i="3"/>
  <c r="D105" i="3"/>
  <c r="P104" i="3"/>
  <c r="F104" i="17" s="1"/>
  <c r="P103" i="3"/>
  <c r="F103" i="17" s="1"/>
  <c r="P102" i="3"/>
  <c r="F102" i="17" s="1"/>
  <c r="P101" i="3"/>
  <c r="F101" i="17" s="1"/>
  <c r="P98" i="3"/>
  <c r="F98" i="17" s="1"/>
  <c r="F94" i="3"/>
  <c r="F95" i="3" s="1"/>
  <c r="F259" i="3" s="1"/>
  <c r="E94" i="3"/>
  <c r="E95" i="3" s="1"/>
  <c r="E259" i="3" s="1"/>
  <c r="D94" i="3"/>
  <c r="D95" i="3" s="1"/>
  <c r="P90" i="3"/>
  <c r="P85" i="3"/>
  <c r="F85" i="17" s="1"/>
  <c r="P84" i="3"/>
  <c r="P81" i="3"/>
  <c r="P79" i="3"/>
  <c r="F79" i="17" s="1"/>
  <c r="P78" i="3"/>
  <c r="P91" i="3"/>
  <c r="P72" i="3"/>
  <c r="P69" i="3"/>
  <c r="F69" i="17" s="1"/>
  <c r="P68" i="3"/>
  <c r="F68" i="17" s="1"/>
  <c r="P67" i="3"/>
  <c r="F67" i="17" s="1"/>
  <c r="P66" i="3"/>
  <c r="P63" i="3"/>
  <c r="F63" i="17" s="1"/>
  <c r="N62" i="3"/>
  <c r="M62" i="3"/>
  <c r="K62" i="3"/>
  <c r="J62" i="3"/>
  <c r="P61" i="3"/>
  <c r="F61" i="17" s="1"/>
  <c r="P56" i="3"/>
  <c r="F56" i="17" s="1"/>
  <c r="P55" i="3"/>
  <c r="F55" i="17" s="1"/>
  <c r="P54" i="3"/>
  <c r="F54" i="17" s="1"/>
  <c r="F52" i="15"/>
  <c r="F52" i="12"/>
  <c r="P51" i="3"/>
  <c r="F51" i="17" s="1"/>
  <c r="P50" i="3"/>
  <c r="F50" i="17" s="1"/>
  <c r="P49" i="3"/>
  <c r="F49" i="17" s="1"/>
  <c r="N47" i="3"/>
  <c r="M47" i="3"/>
  <c r="L47" i="3"/>
  <c r="K47" i="3"/>
  <c r="J47" i="3"/>
  <c r="I47" i="3"/>
  <c r="H47" i="3"/>
  <c r="G47" i="3"/>
  <c r="F47" i="3"/>
  <c r="E47" i="3"/>
  <c r="P46" i="3"/>
  <c r="F46" i="17" s="1"/>
  <c r="N45" i="3"/>
  <c r="M45" i="3"/>
  <c r="J45" i="3"/>
  <c r="I45" i="3"/>
  <c r="G45" i="3"/>
  <c r="P44" i="3"/>
  <c r="F44" i="17" s="1"/>
  <c r="N40" i="3"/>
  <c r="M40" i="3"/>
  <c r="L40" i="3"/>
  <c r="K40" i="3"/>
  <c r="J40" i="3"/>
  <c r="I40" i="3"/>
  <c r="G40" i="3"/>
  <c r="N38" i="3"/>
  <c r="M38" i="3"/>
  <c r="L38" i="3"/>
  <c r="K38" i="3"/>
  <c r="J38" i="3"/>
  <c r="I38" i="3"/>
  <c r="G38" i="3"/>
  <c r="N34" i="3"/>
  <c r="M34" i="3"/>
  <c r="L34" i="3"/>
  <c r="K34" i="3"/>
  <c r="J34" i="3"/>
  <c r="I34" i="3"/>
  <c r="G34" i="3"/>
  <c r="P33" i="3"/>
  <c r="F33" i="17" s="1"/>
  <c r="N32" i="3"/>
  <c r="M32" i="3"/>
  <c r="L32" i="3"/>
  <c r="K32" i="3"/>
  <c r="J32" i="3"/>
  <c r="I32" i="3"/>
  <c r="G32" i="3"/>
  <c r="P31" i="3"/>
  <c r="F31" i="17" s="1"/>
  <c r="N30" i="3"/>
  <c r="M30" i="3"/>
  <c r="G30" i="3"/>
  <c r="P29" i="3"/>
  <c r="F29" i="17" s="1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N15" i="3"/>
  <c r="M15" i="3"/>
  <c r="L15" i="3"/>
  <c r="K15" i="3"/>
  <c r="J15" i="3"/>
  <c r="I15" i="3"/>
  <c r="H15" i="3"/>
  <c r="G15" i="3"/>
  <c r="F15" i="3"/>
  <c r="E15" i="3"/>
  <c r="D15" i="3"/>
  <c r="P14" i="3"/>
  <c r="F14" i="17" s="1"/>
  <c r="P13" i="3"/>
  <c r="F13" i="17" s="1"/>
  <c r="P12" i="3"/>
  <c r="F12" i="17" s="1"/>
  <c r="P11" i="3"/>
  <c r="F11" i="17" s="1"/>
  <c r="P9" i="3"/>
  <c r="L259" i="2"/>
  <c r="K259" i="2"/>
  <c r="J259" i="2"/>
  <c r="I259" i="2"/>
  <c r="H259" i="2"/>
  <c r="N258" i="2"/>
  <c r="M258" i="2"/>
  <c r="L258" i="2"/>
  <c r="K258" i="2"/>
  <c r="J258" i="2"/>
  <c r="I258" i="2"/>
  <c r="H258" i="2"/>
  <c r="F258" i="2"/>
  <c r="E258" i="2"/>
  <c r="P257" i="2"/>
  <c r="E257" i="17" s="1"/>
  <c r="P256" i="2"/>
  <c r="P254" i="2"/>
  <c r="E254" i="17" s="1"/>
  <c r="P253" i="2"/>
  <c r="E253" i="17" s="1"/>
  <c r="P247" i="2"/>
  <c r="N247" i="2"/>
  <c r="M247" i="2"/>
  <c r="L247" i="2"/>
  <c r="K247" i="2"/>
  <c r="J247" i="2"/>
  <c r="I247" i="2"/>
  <c r="H247" i="2"/>
  <c r="D247" i="2"/>
  <c r="N242" i="2"/>
  <c r="M242" i="2"/>
  <c r="L242" i="2"/>
  <c r="K242" i="2"/>
  <c r="K243" i="2" s="1"/>
  <c r="J242" i="2"/>
  <c r="I242" i="2"/>
  <c r="H242" i="2"/>
  <c r="G242" i="2"/>
  <c r="F242" i="2"/>
  <c r="E242" i="2"/>
  <c r="D242" i="2"/>
  <c r="P241" i="2"/>
  <c r="E241" i="17" s="1"/>
  <c r="P240" i="2"/>
  <c r="E240" i="17" s="1"/>
  <c r="P239" i="2"/>
  <c r="E239" i="17" s="1"/>
  <c r="P238" i="2"/>
  <c r="E238" i="17" s="1"/>
  <c r="P235" i="2"/>
  <c r="E235" i="17" s="1"/>
  <c r="P234" i="2"/>
  <c r="E234" i="17" s="1"/>
  <c r="P233" i="2"/>
  <c r="E233" i="17" s="1"/>
  <c r="P232" i="2"/>
  <c r="E232" i="17" s="1"/>
  <c r="P228" i="2"/>
  <c r="E228" i="17" s="1"/>
  <c r="P227" i="2"/>
  <c r="E227" i="17" s="1"/>
  <c r="P226" i="2"/>
  <c r="E226" i="17" s="1"/>
  <c r="P225" i="2"/>
  <c r="E225" i="17" s="1"/>
  <c r="N223" i="2"/>
  <c r="N230" i="2" s="1"/>
  <c r="M223" i="2"/>
  <c r="L223" i="2"/>
  <c r="J223" i="2"/>
  <c r="H223" i="2"/>
  <c r="H230" i="2" s="1"/>
  <c r="G223" i="2"/>
  <c r="G230" i="2" s="1"/>
  <c r="F230" i="2"/>
  <c r="E230" i="2"/>
  <c r="P222" i="2"/>
  <c r="E222" i="17" s="1"/>
  <c r="P221" i="2"/>
  <c r="E221" i="17" s="1"/>
  <c r="P220" i="2"/>
  <c r="E220" i="17" s="1"/>
  <c r="P219" i="2"/>
  <c r="E219" i="17" s="1"/>
  <c r="N216" i="2"/>
  <c r="M216" i="2"/>
  <c r="L216" i="2"/>
  <c r="K216" i="2"/>
  <c r="J216" i="2"/>
  <c r="I216" i="2"/>
  <c r="H216" i="2"/>
  <c r="F216" i="2"/>
  <c r="E216" i="2"/>
  <c r="D216" i="2"/>
  <c r="P215" i="2"/>
  <c r="E215" i="17" s="1"/>
  <c r="P214" i="2"/>
  <c r="E214" i="17" s="1"/>
  <c r="P213" i="2"/>
  <c r="E213" i="17" s="1"/>
  <c r="P212" i="2"/>
  <c r="E212" i="17" s="1"/>
  <c r="N210" i="2"/>
  <c r="M210" i="2"/>
  <c r="L210" i="2"/>
  <c r="K210" i="2"/>
  <c r="J210" i="2"/>
  <c r="I210" i="2"/>
  <c r="H210" i="2"/>
  <c r="G210" i="2"/>
  <c r="F210" i="2"/>
  <c r="E210" i="2"/>
  <c r="D210" i="2"/>
  <c r="P209" i="2"/>
  <c r="E209" i="17" s="1"/>
  <c r="P208" i="2"/>
  <c r="E208" i="17" s="1"/>
  <c r="P207" i="2"/>
  <c r="E207" i="17" s="1"/>
  <c r="P206" i="2"/>
  <c r="E206" i="17" s="1"/>
  <c r="N204" i="2"/>
  <c r="M204" i="2"/>
  <c r="L204" i="2"/>
  <c r="K204" i="2"/>
  <c r="J204" i="2"/>
  <c r="I204" i="2"/>
  <c r="F204" i="2"/>
  <c r="E204" i="2"/>
  <c r="D204" i="2"/>
  <c r="P203" i="2"/>
  <c r="E203" i="17" s="1"/>
  <c r="P202" i="2"/>
  <c r="E202" i="17" s="1"/>
  <c r="P201" i="2"/>
  <c r="E201" i="17" s="1"/>
  <c r="P200" i="2"/>
  <c r="E200" i="17" s="1"/>
  <c r="P199" i="2"/>
  <c r="E199" i="17" s="1"/>
  <c r="P197" i="2"/>
  <c r="E197" i="17" s="1"/>
  <c r="P195" i="2"/>
  <c r="E195" i="17" s="1"/>
  <c r="P194" i="2"/>
  <c r="E194" i="17" s="1"/>
  <c r="P191" i="2"/>
  <c r="E191" i="17" s="1"/>
  <c r="P190" i="2"/>
  <c r="E190" i="17" s="1"/>
  <c r="P189" i="2"/>
  <c r="E189" i="17" s="1"/>
  <c r="P187" i="2"/>
  <c r="E187" i="17" s="1"/>
  <c r="P186" i="2"/>
  <c r="E186" i="17" s="1"/>
  <c r="P185" i="2"/>
  <c r="E185" i="17" s="1"/>
  <c r="P184" i="2"/>
  <c r="E184" i="17" s="1"/>
  <c r="P182" i="2"/>
  <c r="E182" i="17" s="1"/>
  <c r="P181" i="2"/>
  <c r="E181" i="17" s="1"/>
  <c r="P180" i="2"/>
  <c r="E180" i="17" s="1"/>
  <c r="P179" i="2"/>
  <c r="E179" i="17" s="1"/>
  <c r="P178" i="2"/>
  <c r="E178" i="17" s="1"/>
  <c r="P177" i="2"/>
  <c r="E177" i="17" s="1"/>
  <c r="P175" i="2"/>
  <c r="E175" i="17" s="1"/>
  <c r="P174" i="2"/>
  <c r="E174" i="17" s="1"/>
  <c r="P173" i="2"/>
  <c r="E173" i="17" s="1"/>
  <c r="P172" i="2"/>
  <c r="E172" i="17" s="1"/>
  <c r="P171" i="2"/>
  <c r="E171" i="17" s="1"/>
  <c r="P170" i="2"/>
  <c r="E170" i="17" s="1"/>
  <c r="P169" i="2"/>
  <c r="E169" i="17" s="1"/>
  <c r="P168" i="2"/>
  <c r="E168" i="17" s="1"/>
  <c r="P167" i="2"/>
  <c r="E167" i="17" s="1"/>
  <c r="P165" i="2"/>
  <c r="E165" i="17" s="1"/>
  <c r="P164" i="2"/>
  <c r="E164" i="17" s="1"/>
  <c r="P163" i="2"/>
  <c r="E163" i="17" s="1"/>
  <c r="P162" i="2"/>
  <c r="E162" i="17" s="1"/>
  <c r="P161" i="2"/>
  <c r="E161" i="17" s="1"/>
  <c r="P160" i="2"/>
  <c r="E160" i="17" s="1"/>
  <c r="P159" i="2"/>
  <c r="E159" i="17" s="1"/>
  <c r="P158" i="2"/>
  <c r="E158" i="17" s="1"/>
  <c r="P157" i="2"/>
  <c r="E157" i="17" s="1"/>
  <c r="P156" i="2"/>
  <c r="E156" i="17" s="1"/>
  <c r="P155" i="2"/>
  <c r="E155" i="17" s="1"/>
  <c r="P154" i="2"/>
  <c r="E154" i="17" s="1"/>
  <c r="P153" i="2"/>
  <c r="P143" i="2"/>
  <c r="E143" i="17" s="1"/>
  <c r="P142" i="2"/>
  <c r="E142" i="17" s="1"/>
  <c r="P141" i="2"/>
  <c r="E141" i="17" s="1"/>
  <c r="P140" i="2"/>
  <c r="E140" i="17" s="1"/>
  <c r="P138" i="2"/>
  <c r="E138" i="17" s="1"/>
  <c r="P137" i="2"/>
  <c r="E137" i="17" s="1"/>
  <c r="P136" i="2"/>
  <c r="E136" i="17" s="1"/>
  <c r="P135" i="2"/>
  <c r="E135" i="17" s="1"/>
  <c r="P133" i="2"/>
  <c r="E133" i="17" s="1"/>
  <c r="P132" i="2"/>
  <c r="E132" i="17" s="1"/>
  <c r="P131" i="2"/>
  <c r="E131" i="17" s="1"/>
  <c r="P130" i="2"/>
  <c r="E130" i="17" s="1"/>
  <c r="P128" i="2"/>
  <c r="E128" i="17" s="1"/>
  <c r="P127" i="2"/>
  <c r="E127" i="17" s="1"/>
  <c r="P126" i="2"/>
  <c r="E126" i="17" s="1"/>
  <c r="P125" i="2"/>
  <c r="E125" i="17" s="1"/>
  <c r="M123" i="2"/>
  <c r="L123" i="2"/>
  <c r="K123" i="2"/>
  <c r="J123" i="2"/>
  <c r="I123" i="2"/>
  <c r="H123" i="2"/>
  <c r="G123" i="2"/>
  <c r="N123" i="2"/>
  <c r="P121" i="2"/>
  <c r="E121" i="17" s="1"/>
  <c r="P117" i="2"/>
  <c r="N117" i="2"/>
  <c r="L117" i="2"/>
  <c r="G117" i="2"/>
  <c r="F117" i="2"/>
  <c r="E117" i="2"/>
  <c r="D117" i="2"/>
  <c r="N111" i="2"/>
  <c r="M111" i="2"/>
  <c r="M118" i="2" s="1"/>
  <c r="L111" i="2"/>
  <c r="K111" i="2"/>
  <c r="K118" i="2" s="1"/>
  <c r="J111" i="2"/>
  <c r="J118" i="2" s="1"/>
  <c r="H111" i="2"/>
  <c r="H118" i="2" s="1"/>
  <c r="G111" i="2"/>
  <c r="F111" i="2"/>
  <c r="E111" i="2"/>
  <c r="D111" i="2"/>
  <c r="P110" i="2"/>
  <c r="E110" i="17" s="1"/>
  <c r="P109" i="2"/>
  <c r="E109" i="17" s="1"/>
  <c r="P108" i="2"/>
  <c r="E108" i="17" s="1"/>
  <c r="P107" i="2"/>
  <c r="E107" i="17" s="1"/>
  <c r="N105" i="2"/>
  <c r="M105" i="2"/>
  <c r="L105" i="2"/>
  <c r="K105" i="2"/>
  <c r="J105" i="2"/>
  <c r="I105" i="2"/>
  <c r="I119" i="2" s="1"/>
  <c r="H105" i="2"/>
  <c r="G105" i="2"/>
  <c r="F105" i="2"/>
  <c r="E105" i="2"/>
  <c r="D105" i="2"/>
  <c r="P104" i="2"/>
  <c r="E104" i="17" s="1"/>
  <c r="P103" i="2"/>
  <c r="E103" i="17" s="1"/>
  <c r="P102" i="2"/>
  <c r="E102" i="17" s="1"/>
  <c r="P101" i="2"/>
  <c r="E101" i="17" s="1"/>
  <c r="P98" i="2"/>
  <c r="E98" i="17" s="1"/>
  <c r="F94" i="2"/>
  <c r="F95" i="2" s="1"/>
  <c r="E94" i="2"/>
  <c r="E95" i="2" s="1"/>
  <c r="D94" i="2"/>
  <c r="D95" i="2" s="1"/>
  <c r="P90" i="2"/>
  <c r="P87" i="2"/>
  <c r="E87" i="17" s="1"/>
  <c r="E88" i="17" s="1"/>
  <c r="P84" i="2"/>
  <c r="P81" i="2"/>
  <c r="P78" i="2"/>
  <c r="P73" i="2"/>
  <c r="E73" i="17" s="1"/>
  <c r="P72" i="2"/>
  <c r="P69" i="2"/>
  <c r="E69" i="17" s="1"/>
  <c r="P68" i="2"/>
  <c r="E68" i="17" s="1"/>
  <c r="P67" i="2"/>
  <c r="E67" i="17" s="1"/>
  <c r="P66" i="2"/>
  <c r="P63" i="2"/>
  <c r="E63" i="17" s="1"/>
  <c r="N62" i="2"/>
  <c r="M62" i="2"/>
  <c r="K62" i="2"/>
  <c r="J62" i="2"/>
  <c r="H62" i="2"/>
  <c r="G62" i="2"/>
  <c r="P61" i="2"/>
  <c r="E61" i="17" s="1"/>
  <c r="P56" i="2"/>
  <c r="E56" i="17" s="1"/>
  <c r="P55" i="2"/>
  <c r="E55" i="17" s="1"/>
  <c r="P54" i="2"/>
  <c r="E54" i="17" s="1"/>
  <c r="E52" i="13"/>
  <c r="E52" i="12"/>
  <c r="P51" i="2"/>
  <c r="E51" i="17" s="1"/>
  <c r="P50" i="2"/>
  <c r="E50" i="17" s="1"/>
  <c r="P49" i="2"/>
  <c r="E49" i="17" s="1"/>
  <c r="N47" i="2"/>
  <c r="M47" i="2"/>
  <c r="L47" i="2"/>
  <c r="K47" i="2"/>
  <c r="H47" i="2"/>
  <c r="G47" i="2"/>
  <c r="P46" i="2"/>
  <c r="E46" i="17" s="1"/>
  <c r="N45" i="2"/>
  <c r="M45" i="2"/>
  <c r="K45" i="2"/>
  <c r="H45" i="2"/>
  <c r="P44" i="2"/>
  <c r="E44" i="17" s="1"/>
  <c r="G40" i="2"/>
  <c r="N40" i="2"/>
  <c r="M40" i="2"/>
  <c r="L40" i="2"/>
  <c r="K40" i="2"/>
  <c r="J40" i="2"/>
  <c r="I40" i="2"/>
  <c r="H40" i="2"/>
  <c r="G38" i="2"/>
  <c r="N38" i="2"/>
  <c r="M38" i="2"/>
  <c r="L38" i="2"/>
  <c r="K38" i="2"/>
  <c r="J38" i="2"/>
  <c r="I38" i="2"/>
  <c r="H38" i="2"/>
  <c r="N34" i="2"/>
  <c r="M34" i="2"/>
  <c r="L34" i="2"/>
  <c r="K34" i="2"/>
  <c r="J34" i="2"/>
  <c r="I34" i="2"/>
  <c r="H34" i="2"/>
  <c r="G34" i="2"/>
  <c r="P33" i="2"/>
  <c r="E33" i="17" s="1"/>
  <c r="N32" i="2"/>
  <c r="M32" i="2"/>
  <c r="L32" i="2"/>
  <c r="K32" i="2"/>
  <c r="J32" i="2"/>
  <c r="I32" i="2"/>
  <c r="H32" i="2"/>
  <c r="G32" i="2"/>
  <c r="P31" i="2"/>
  <c r="E31" i="17" s="1"/>
  <c r="N30" i="2"/>
  <c r="H30" i="2"/>
  <c r="G30" i="2"/>
  <c r="P29" i="2"/>
  <c r="E29" i="17" s="1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N15" i="2"/>
  <c r="M15" i="2"/>
  <c r="L15" i="2"/>
  <c r="K15" i="2"/>
  <c r="J15" i="2"/>
  <c r="I15" i="2"/>
  <c r="H15" i="2"/>
  <c r="H22" i="2" s="1"/>
  <c r="H24" i="2" s="1"/>
  <c r="H25" i="2" s="1"/>
  <c r="G15" i="2"/>
  <c r="F15" i="2"/>
  <c r="E15" i="2"/>
  <c r="D15" i="2"/>
  <c r="P14" i="2"/>
  <c r="E14" i="17" s="1"/>
  <c r="P13" i="2"/>
  <c r="E13" i="17" s="1"/>
  <c r="P12" i="2"/>
  <c r="E12" i="17" s="1"/>
  <c r="P11" i="2"/>
  <c r="E11" i="17" s="1"/>
  <c r="P9" i="2"/>
  <c r="F22" i="3" l="1"/>
  <c r="F24" i="3" s="1"/>
  <c r="F25" i="3" s="1"/>
  <c r="G119" i="5"/>
  <c r="L22" i="6"/>
  <c r="L24" i="6" s="1"/>
  <c r="L25" i="6" s="1"/>
  <c r="M22" i="5"/>
  <c r="M24" i="5" s="1"/>
  <c r="M25" i="5" s="1"/>
  <c r="F22" i="7"/>
  <c r="F24" i="7" s="1"/>
  <c r="F25" i="7" s="1"/>
  <c r="N22" i="7"/>
  <c r="N24" i="7" s="1"/>
  <c r="N25" i="7" s="1"/>
  <c r="H119" i="7"/>
  <c r="J119" i="13"/>
  <c r="J217" i="3"/>
  <c r="H22" i="4"/>
  <c r="H24" i="4" s="1"/>
  <c r="H25" i="4" s="1"/>
  <c r="F243" i="3"/>
  <c r="H119" i="2"/>
  <c r="G251" i="3"/>
  <c r="G250" i="3"/>
  <c r="H22" i="5"/>
  <c r="H24" i="5" s="1"/>
  <c r="H25" i="5" s="1"/>
  <c r="J22" i="8"/>
  <c r="J24" i="8" s="1"/>
  <c r="J25" i="8" s="1"/>
  <c r="N22" i="3"/>
  <c r="N24" i="3" s="1"/>
  <c r="N25" i="3" s="1"/>
  <c r="K119" i="6"/>
  <c r="H250" i="3"/>
  <c r="H251" i="3"/>
  <c r="J119" i="4"/>
  <c r="L119" i="7"/>
  <c r="G119" i="13"/>
  <c r="N119" i="6"/>
  <c r="E153" i="17"/>
  <c r="D22" i="11"/>
  <c r="D24" i="11" s="1"/>
  <c r="D25" i="11" s="1"/>
  <c r="N118" i="2"/>
  <c r="N119" i="2" s="1"/>
  <c r="K121" i="17"/>
  <c r="M217" i="8"/>
  <c r="K119" i="13"/>
  <c r="M119" i="6"/>
  <c r="M217" i="5"/>
  <c r="M217" i="4"/>
  <c r="M217" i="2"/>
  <c r="P15" i="11"/>
  <c r="J204" i="17"/>
  <c r="L243" i="7"/>
  <c r="L118" i="6"/>
  <c r="L119" i="6" s="1"/>
  <c r="L22" i="11"/>
  <c r="L24" i="11" s="1"/>
  <c r="L25" i="11" s="1"/>
  <c r="L243" i="11"/>
  <c r="L119" i="3"/>
  <c r="L22" i="3"/>
  <c r="L24" i="3" s="1"/>
  <c r="L25" i="3" s="1"/>
  <c r="L118" i="2"/>
  <c r="K243" i="7"/>
  <c r="K119" i="7"/>
  <c r="K119" i="3"/>
  <c r="G217" i="8"/>
  <c r="G250" i="8"/>
  <c r="J22" i="6"/>
  <c r="J24" i="6" s="1"/>
  <c r="J25" i="6" s="1"/>
  <c r="H119" i="13"/>
  <c r="L193" i="12"/>
  <c r="E230" i="11"/>
  <c r="E243" i="11" s="1"/>
  <c r="I196" i="11"/>
  <c r="G196" i="13"/>
  <c r="G118" i="16"/>
  <c r="G119" i="16" s="1"/>
  <c r="L118" i="4"/>
  <c r="L119" i="4" s="1"/>
  <c r="N230" i="4"/>
  <c r="N243" i="4" s="1"/>
  <c r="I119" i="4"/>
  <c r="I119" i="3"/>
  <c r="L119" i="2"/>
  <c r="F243" i="2"/>
  <c r="E243" i="2"/>
  <c r="H119" i="3"/>
  <c r="M230" i="6"/>
  <c r="M243" i="6" s="1"/>
  <c r="M243" i="11"/>
  <c r="D251" i="8"/>
  <c r="E251" i="8"/>
  <c r="E250" i="8"/>
  <c r="I230" i="8"/>
  <c r="F251" i="8"/>
  <c r="F250" i="8"/>
  <c r="D250" i="7"/>
  <c r="D251" i="7"/>
  <c r="E251" i="7"/>
  <c r="E250" i="7"/>
  <c r="F251" i="7"/>
  <c r="F250" i="7"/>
  <c r="D251" i="6"/>
  <c r="D250" i="6"/>
  <c r="E250" i="6"/>
  <c r="E251" i="6"/>
  <c r="F251" i="6"/>
  <c r="F250" i="6"/>
  <c r="D250" i="5"/>
  <c r="D251" i="5"/>
  <c r="E250" i="5"/>
  <c r="E251" i="5"/>
  <c r="F250" i="5"/>
  <c r="F251" i="5"/>
  <c r="D251" i="4"/>
  <c r="D250" i="4"/>
  <c r="E250" i="4"/>
  <c r="E251" i="4"/>
  <c r="F251" i="4"/>
  <c r="F250" i="4"/>
  <c r="D196" i="11"/>
  <c r="P196" i="4"/>
  <c r="G196" i="17" s="1"/>
  <c r="M196" i="17" s="1"/>
  <c r="I230" i="3"/>
  <c r="I243" i="3" s="1"/>
  <c r="D22" i="3"/>
  <c r="D24" i="3" s="1"/>
  <c r="D25" i="3" s="1"/>
  <c r="D36" i="3"/>
  <c r="D250" i="3"/>
  <c r="D251" i="3"/>
  <c r="E251" i="3"/>
  <c r="E250" i="3"/>
  <c r="F251" i="3"/>
  <c r="F250" i="3"/>
  <c r="D251" i="2"/>
  <c r="D250" i="2"/>
  <c r="E251" i="2"/>
  <c r="E250" i="2"/>
  <c r="F251" i="2"/>
  <c r="F250" i="2"/>
  <c r="E204" i="17"/>
  <c r="F204" i="17"/>
  <c r="E230" i="7"/>
  <c r="K22" i="12"/>
  <c r="K217" i="7"/>
  <c r="H204" i="17"/>
  <c r="G204" i="17"/>
  <c r="F119" i="16"/>
  <c r="E118" i="16"/>
  <c r="E119" i="16" s="1"/>
  <c r="D62" i="12"/>
  <c r="L9" i="12"/>
  <c r="L34" i="12" s="1"/>
  <c r="N243" i="2"/>
  <c r="E119" i="11"/>
  <c r="I22" i="2"/>
  <c r="I24" i="2" s="1"/>
  <c r="I25" i="2" s="1"/>
  <c r="K119" i="2"/>
  <c r="G243" i="2"/>
  <c r="P204" i="6"/>
  <c r="H230" i="13"/>
  <c r="H243" i="13" s="1"/>
  <c r="H118" i="16"/>
  <c r="H119" i="16" s="1"/>
  <c r="M119" i="4"/>
  <c r="H230" i="15"/>
  <c r="H243" i="15" s="1"/>
  <c r="N230" i="5"/>
  <c r="N243" i="5" s="1"/>
  <c r="N119" i="8"/>
  <c r="K243" i="3"/>
  <c r="I243" i="5"/>
  <c r="I118" i="6"/>
  <c r="I119" i="6" s="1"/>
  <c r="K119" i="5"/>
  <c r="J119" i="2"/>
  <c r="D118" i="7"/>
  <c r="D119" i="7" s="1"/>
  <c r="I243" i="6"/>
  <c r="H243" i="8"/>
  <c r="J118" i="16"/>
  <c r="J119" i="16" s="1"/>
  <c r="J118" i="12"/>
  <c r="J119" i="12" s="1"/>
  <c r="P255" i="6"/>
  <c r="F118" i="5"/>
  <c r="F119" i="5" s="1"/>
  <c r="F118" i="4"/>
  <c r="F119" i="4" s="1"/>
  <c r="P204" i="3"/>
  <c r="F118" i="12"/>
  <c r="F119" i="12" s="1"/>
  <c r="F118" i="2"/>
  <c r="F119" i="2" s="1"/>
  <c r="G118" i="2"/>
  <c r="G119" i="2" s="1"/>
  <c r="F243" i="4"/>
  <c r="F230" i="8"/>
  <c r="F243" i="8" s="1"/>
  <c r="F22" i="6"/>
  <c r="F24" i="6" s="1"/>
  <c r="F25" i="6" s="1"/>
  <c r="F22" i="5"/>
  <c r="F24" i="5" s="1"/>
  <c r="F25" i="5" s="1"/>
  <c r="P255" i="8"/>
  <c r="P255" i="2"/>
  <c r="E22" i="5"/>
  <c r="E24" i="5" s="1"/>
  <c r="E25" i="5" s="1"/>
  <c r="E243" i="3"/>
  <c r="L11" i="12"/>
  <c r="L36" i="12" s="1"/>
  <c r="D118" i="4"/>
  <c r="D119" i="4" s="1"/>
  <c r="E145" i="17"/>
  <c r="D118" i="3"/>
  <c r="P32" i="11"/>
  <c r="D32" i="12"/>
  <c r="H52" i="15"/>
  <c r="J52" i="15"/>
  <c r="E52" i="15"/>
  <c r="F52" i="13"/>
  <c r="G52" i="12"/>
  <c r="I52" i="15"/>
  <c r="K243" i="8"/>
  <c r="E243" i="8"/>
  <c r="N243" i="8"/>
  <c r="K230" i="16"/>
  <c r="K243" i="16" s="1"/>
  <c r="K153" i="17"/>
  <c r="K193" i="17" s="1"/>
  <c r="P193" i="8"/>
  <c r="K119" i="8"/>
  <c r="H119" i="8"/>
  <c r="G119" i="8"/>
  <c r="K119" i="16"/>
  <c r="K118" i="12"/>
  <c r="K119" i="12" s="1"/>
  <c r="J145" i="17"/>
  <c r="F118" i="7"/>
  <c r="F119" i="7" s="1"/>
  <c r="J119" i="7"/>
  <c r="G118" i="7"/>
  <c r="G119" i="7" s="1"/>
  <c r="P111" i="7"/>
  <c r="P118" i="7" s="1"/>
  <c r="N119" i="7"/>
  <c r="M22" i="7"/>
  <c r="M24" i="7" s="1"/>
  <c r="M25" i="7" s="1"/>
  <c r="H243" i="6"/>
  <c r="I230" i="15"/>
  <c r="I243" i="15" s="1"/>
  <c r="I118" i="12"/>
  <c r="I119" i="12" s="1"/>
  <c r="I118" i="16"/>
  <c r="I119" i="16" s="1"/>
  <c r="F118" i="6"/>
  <c r="F119" i="6" s="1"/>
  <c r="G118" i="6"/>
  <c r="G119" i="6" s="1"/>
  <c r="I111" i="17"/>
  <c r="I118" i="17" s="1"/>
  <c r="P111" i="6"/>
  <c r="P118" i="6" s="1"/>
  <c r="I84" i="17"/>
  <c r="I72" i="17"/>
  <c r="H22" i="11"/>
  <c r="H24" i="11" s="1"/>
  <c r="H25" i="11" s="1"/>
  <c r="K243" i="5"/>
  <c r="L243" i="5"/>
  <c r="H145" i="17"/>
  <c r="L118" i="5"/>
  <c r="L119" i="5" s="1"/>
  <c r="H118" i="12"/>
  <c r="H119" i="12" s="1"/>
  <c r="D118" i="5"/>
  <c r="D119" i="5" s="1"/>
  <c r="M119" i="5"/>
  <c r="N119" i="5"/>
  <c r="P111" i="5"/>
  <c r="P118" i="5" s="1"/>
  <c r="I118" i="5"/>
  <c r="H84" i="17"/>
  <c r="P255" i="5"/>
  <c r="H78" i="17"/>
  <c r="P76" i="5"/>
  <c r="D259" i="5"/>
  <c r="H72" i="17"/>
  <c r="L22" i="5"/>
  <c r="L24" i="5" s="1"/>
  <c r="L25" i="5" s="1"/>
  <c r="G230" i="15"/>
  <c r="G243" i="15" s="1"/>
  <c r="G230" i="13"/>
  <c r="G243" i="13" s="1"/>
  <c r="G145" i="17"/>
  <c r="G119" i="4"/>
  <c r="N118" i="4"/>
  <c r="N119" i="4" s="1"/>
  <c r="G118" i="12"/>
  <c r="G119" i="12" s="1"/>
  <c r="P111" i="4"/>
  <c r="P118" i="4" s="1"/>
  <c r="G259" i="4"/>
  <c r="P256" i="4"/>
  <c r="P258" i="4" s="1"/>
  <c r="G256" i="16"/>
  <c r="G258" i="16" s="1"/>
  <c r="G243" i="3"/>
  <c r="F230" i="13"/>
  <c r="F243" i="13" s="1"/>
  <c r="F230" i="15"/>
  <c r="F243" i="15" s="1"/>
  <c r="F145" i="17"/>
  <c r="F118" i="3"/>
  <c r="F119" i="3" s="1"/>
  <c r="P89" i="3"/>
  <c r="F84" i="17"/>
  <c r="F78" i="17"/>
  <c r="F72" i="17"/>
  <c r="F66" i="17"/>
  <c r="H243" i="2"/>
  <c r="E118" i="12"/>
  <c r="E119" i="12" s="1"/>
  <c r="M119" i="2"/>
  <c r="P111" i="2"/>
  <c r="P118" i="2" s="1"/>
  <c r="D118" i="2"/>
  <c r="D119" i="2" s="1"/>
  <c r="D230" i="16"/>
  <c r="L111" i="12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P105" i="2"/>
  <c r="P123" i="3"/>
  <c r="F122" i="17"/>
  <c r="F123" i="17" s="1"/>
  <c r="F105" i="17"/>
  <c r="P105" i="4"/>
  <c r="N258" i="4"/>
  <c r="P123" i="5"/>
  <c r="H122" i="17"/>
  <c r="H123" i="17" s="1"/>
  <c r="H105" i="17"/>
  <c r="P105" i="5"/>
  <c r="I144" i="17"/>
  <c r="I105" i="17"/>
  <c r="P105" i="6"/>
  <c r="P123" i="7"/>
  <c r="J122" i="17"/>
  <c r="J123" i="17" s="1"/>
  <c r="J105" i="17"/>
  <c r="P105" i="7"/>
  <c r="J38" i="8"/>
  <c r="K37" i="15"/>
  <c r="K38" i="15" s="1"/>
  <c r="F40" i="11"/>
  <c r="N40" i="8"/>
  <c r="N40" i="11"/>
  <c r="G40" i="11"/>
  <c r="K39" i="13"/>
  <c r="K40" i="13" s="1"/>
  <c r="O40" i="11"/>
  <c r="D259" i="8"/>
  <c r="I38" i="11"/>
  <c r="K37" i="12"/>
  <c r="K38" i="12" s="1"/>
  <c r="H40" i="11"/>
  <c r="G40" i="8"/>
  <c r="P111" i="8"/>
  <c r="P118" i="8" s="1"/>
  <c r="P119" i="8" s="1"/>
  <c r="I40" i="8"/>
  <c r="I40" i="11"/>
  <c r="K38" i="11"/>
  <c r="J40" i="8"/>
  <c r="K39" i="15"/>
  <c r="K40" i="15" s="1"/>
  <c r="J40" i="11"/>
  <c r="F119" i="8"/>
  <c r="L38" i="11"/>
  <c r="E95" i="11"/>
  <c r="E255" i="11" s="1"/>
  <c r="E259" i="11" s="1"/>
  <c r="G38" i="8"/>
  <c r="K37" i="13"/>
  <c r="K38" i="13" s="1"/>
  <c r="K40" i="8"/>
  <c r="K40" i="11"/>
  <c r="M38" i="11"/>
  <c r="F95" i="11"/>
  <c r="F255" i="11" s="1"/>
  <c r="K39" i="12"/>
  <c r="K40" i="12" s="1"/>
  <c r="L40" i="8"/>
  <c r="L40" i="11"/>
  <c r="N38" i="11"/>
  <c r="H119" i="11"/>
  <c r="K230" i="13"/>
  <c r="K243" i="13" s="1"/>
  <c r="E40" i="11"/>
  <c r="M40" i="8"/>
  <c r="M40" i="11"/>
  <c r="K90" i="17"/>
  <c r="J119" i="8"/>
  <c r="O38" i="11"/>
  <c r="P123" i="8"/>
  <c r="K122" i="17"/>
  <c r="K105" i="17"/>
  <c r="P105" i="8"/>
  <c r="P111" i="3"/>
  <c r="P118" i="3" s="1"/>
  <c r="P119" i="3" s="1"/>
  <c r="P111" i="11"/>
  <c r="P118" i="11" s="1"/>
  <c r="P119" i="11" s="1"/>
  <c r="O118" i="11"/>
  <c r="O119" i="11" s="1"/>
  <c r="H139" i="17"/>
  <c r="N251" i="8"/>
  <c r="N250" i="8"/>
  <c r="N217" i="7"/>
  <c r="N251" i="7"/>
  <c r="N250" i="7"/>
  <c r="N251" i="5"/>
  <c r="N250" i="5"/>
  <c r="N217" i="4"/>
  <c r="N250" i="4"/>
  <c r="N251" i="4"/>
  <c r="N243" i="3"/>
  <c r="N217" i="3"/>
  <c r="N251" i="3"/>
  <c r="N250" i="3"/>
  <c r="N119" i="11"/>
  <c r="N250" i="2"/>
  <c r="N251" i="2"/>
  <c r="N22" i="2"/>
  <c r="N24" i="2" s="1"/>
  <c r="N25" i="2" s="1"/>
  <c r="M119" i="11"/>
  <c r="M230" i="8"/>
  <c r="M243" i="8" s="1"/>
  <c r="M250" i="8"/>
  <c r="M251" i="8"/>
  <c r="M230" i="7"/>
  <c r="M243" i="7" s="1"/>
  <c r="M251" i="7"/>
  <c r="M250" i="7"/>
  <c r="M230" i="5"/>
  <c r="M243" i="5" s="1"/>
  <c r="M250" i="5"/>
  <c r="M251" i="5"/>
  <c r="M250" i="4"/>
  <c r="M251" i="4"/>
  <c r="M230" i="3"/>
  <c r="M243" i="3" s="1"/>
  <c r="M250" i="3"/>
  <c r="M251" i="3"/>
  <c r="M230" i="2"/>
  <c r="M243" i="2" s="1"/>
  <c r="M251" i="2"/>
  <c r="M250" i="2"/>
  <c r="L250" i="8"/>
  <c r="L251" i="8"/>
  <c r="L22" i="8"/>
  <c r="L24" i="8" s="1"/>
  <c r="L25" i="8" s="1"/>
  <c r="L217" i="7"/>
  <c r="L250" i="7"/>
  <c r="L251" i="7"/>
  <c r="L22" i="7"/>
  <c r="L24" i="7" s="1"/>
  <c r="L25" i="7" s="1"/>
  <c r="L217" i="5"/>
  <c r="L251" i="5"/>
  <c r="L250" i="5"/>
  <c r="L250" i="4"/>
  <c r="L251" i="4"/>
  <c r="L217" i="3"/>
  <c r="L250" i="3"/>
  <c r="L251" i="3"/>
  <c r="E230" i="15"/>
  <c r="E243" i="15" s="1"/>
  <c r="L230" i="2"/>
  <c r="L243" i="2" s="1"/>
  <c r="L217" i="2"/>
  <c r="L250" i="2"/>
  <c r="L251" i="2"/>
  <c r="L22" i="2"/>
  <c r="L24" i="2" s="1"/>
  <c r="L25" i="2" s="1"/>
  <c r="L119" i="11"/>
  <c r="K217" i="3"/>
  <c r="K250" i="3"/>
  <c r="K251" i="3"/>
  <c r="K250" i="5"/>
  <c r="K251" i="5"/>
  <c r="K243" i="6"/>
  <c r="K22" i="6"/>
  <c r="K24" i="6" s="1"/>
  <c r="K25" i="6" s="1"/>
  <c r="K230" i="15"/>
  <c r="K243" i="15" s="1"/>
  <c r="K251" i="8"/>
  <c r="K250" i="8"/>
  <c r="K250" i="7"/>
  <c r="K251" i="7"/>
  <c r="K243" i="4"/>
  <c r="G223" i="17"/>
  <c r="K251" i="4"/>
  <c r="K250" i="4"/>
  <c r="K250" i="2"/>
  <c r="K251" i="2"/>
  <c r="D230" i="15"/>
  <c r="D243" i="15" s="1"/>
  <c r="K119" i="11"/>
  <c r="D83" i="15"/>
  <c r="D77" i="15"/>
  <c r="D71" i="15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K22" i="15"/>
  <c r="K24" i="15" s="1"/>
  <c r="K25" i="15" s="1"/>
  <c r="H22" i="15"/>
  <c r="H24" i="15" s="1"/>
  <c r="H25" i="15" s="1"/>
  <c r="G22" i="15"/>
  <c r="G24" i="15" s="1"/>
  <c r="G25" i="15" s="1"/>
  <c r="J119" i="3"/>
  <c r="H216" i="17"/>
  <c r="G229" i="17"/>
  <c r="E229" i="17"/>
  <c r="J217" i="4"/>
  <c r="E210" i="17"/>
  <c r="E265" i="17" s="1"/>
  <c r="J119" i="11"/>
  <c r="J230" i="8"/>
  <c r="J243" i="8" s="1"/>
  <c r="J250" i="8"/>
  <c r="J251" i="8"/>
  <c r="K17" i="17"/>
  <c r="K18" i="17"/>
  <c r="K19" i="17"/>
  <c r="K20" i="17"/>
  <c r="J230" i="7"/>
  <c r="J243" i="7" s="1"/>
  <c r="J250" i="7"/>
  <c r="J251" i="7"/>
  <c r="J17" i="17"/>
  <c r="J18" i="17"/>
  <c r="J19" i="17"/>
  <c r="J20" i="17"/>
  <c r="I20" i="17"/>
  <c r="Q20" i="6"/>
  <c r="I17" i="17"/>
  <c r="Q17" i="6"/>
  <c r="I18" i="17"/>
  <c r="Q18" i="6"/>
  <c r="I19" i="17"/>
  <c r="Q19" i="6"/>
  <c r="J230" i="5"/>
  <c r="J243" i="5" s="1"/>
  <c r="J251" i="5"/>
  <c r="J250" i="5"/>
  <c r="H17" i="17"/>
  <c r="H18" i="17"/>
  <c r="H19" i="17"/>
  <c r="H20" i="17"/>
  <c r="J230" i="4"/>
  <c r="J243" i="4" s="1"/>
  <c r="J251" i="4"/>
  <c r="J250" i="4"/>
  <c r="G20" i="17"/>
  <c r="G18" i="17"/>
  <c r="G19" i="17"/>
  <c r="J22" i="4"/>
  <c r="J24" i="4" s="1"/>
  <c r="J25" i="4" s="1"/>
  <c r="J250" i="3"/>
  <c r="J251" i="3"/>
  <c r="F20" i="17"/>
  <c r="F17" i="17"/>
  <c r="F18" i="17"/>
  <c r="F19" i="17"/>
  <c r="J230" i="2"/>
  <c r="J243" i="2" s="1"/>
  <c r="J251" i="2"/>
  <c r="J250" i="2"/>
  <c r="E18" i="17"/>
  <c r="E20" i="17"/>
  <c r="J22" i="2"/>
  <c r="J24" i="2" s="1"/>
  <c r="J25" i="2" s="1"/>
  <c r="E19" i="17"/>
  <c r="E17" i="17"/>
  <c r="K139" i="17"/>
  <c r="H134" i="17"/>
  <c r="I119" i="5"/>
  <c r="I119" i="11"/>
  <c r="J193" i="17"/>
  <c r="J139" i="17"/>
  <c r="I217" i="8"/>
  <c r="I251" i="8"/>
  <c r="I22" i="8"/>
  <c r="I24" i="8" s="1"/>
  <c r="I25" i="8" s="1"/>
  <c r="H243" i="7"/>
  <c r="I243" i="7"/>
  <c r="I217" i="7"/>
  <c r="I250" i="7"/>
  <c r="I251" i="7"/>
  <c r="I217" i="5"/>
  <c r="I251" i="5"/>
  <c r="I250" i="5"/>
  <c r="I217" i="4"/>
  <c r="I250" i="4"/>
  <c r="I251" i="4"/>
  <c r="G22" i="13"/>
  <c r="G24" i="13" s="1"/>
  <c r="G25" i="13" s="1"/>
  <c r="I22" i="4"/>
  <c r="I24" i="4" s="1"/>
  <c r="I25" i="4" s="1"/>
  <c r="F223" i="17"/>
  <c r="I251" i="3"/>
  <c r="I250" i="3"/>
  <c r="I22" i="3"/>
  <c r="I24" i="3" s="1"/>
  <c r="I25" i="3" s="1"/>
  <c r="E242" i="17"/>
  <c r="E230" i="13"/>
  <c r="E243" i="13" s="1"/>
  <c r="E223" i="17"/>
  <c r="I217" i="2"/>
  <c r="I230" i="13"/>
  <c r="I243" i="13" s="1"/>
  <c r="J230" i="13"/>
  <c r="J243" i="13" s="1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51" i="7"/>
  <c r="H250" i="7"/>
  <c r="H22" i="7"/>
  <c r="H24" i="7" s="1"/>
  <c r="H25" i="7" s="1"/>
  <c r="H119" i="6"/>
  <c r="H223" i="17"/>
  <c r="H210" i="17"/>
  <c r="H265" i="17" s="1"/>
  <c r="H250" i="5"/>
  <c r="H251" i="5"/>
  <c r="H119" i="5"/>
  <c r="H250" i="4"/>
  <c r="H251" i="4"/>
  <c r="H243" i="3"/>
  <c r="H217" i="3"/>
  <c r="H217" i="2"/>
  <c r="H250" i="2"/>
  <c r="H251" i="2"/>
  <c r="K210" i="17"/>
  <c r="H217" i="8"/>
  <c r="H251" i="8"/>
  <c r="H22" i="3"/>
  <c r="H24" i="3" s="1"/>
  <c r="H25" i="3" s="1"/>
  <c r="H22" i="8"/>
  <c r="H24" i="8" s="1"/>
  <c r="H25" i="8" s="1"/>
  <c r="L236" i="12"/>
  <c r="D119" i="12"/>
  <c r="L117" i="12"/>
  <c r="K242" i="17"/>
  <c r="G243" i="8"/>
  <c r="G242" i="17"/>
  <c r="F242" i="17"/>
  <c r="E236" i="17"/>
  <c r="G251" i="8"/>
  <c r="G217" i="7"/>
  <c r="G250" i="7"/>
  <c r="G251" i="7"/>
  <c r="G251" i="5"/>
  <c r="G250" i="5"/>
  <c r="G251" i="4"/>
  <c r="G250" i="4"/>
  <c r="G251" i="2"/>
  <c r="G250" i="2"/>
  <c r="G217" i="2"/>
  <c r="K15" i="17"/>
  <c r="G15" i="17"/>
  <c r="G22" i="3"/>
  <c r="G24" i="3" s="1"/>
  <c r="G25" i="3" s="1"/>
  <c r="F15" i="17"/>
  <c r="E15" i="17"/>
  <c r="L105" i="12"/>
  <c r="L19" i="12"/>
  <c r="L21" i="12" s="1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P255" i="7"/>
  <c r="J62" i="17"/>
  <c r="J45" i="17"/>
  <c r="I251" i="6"/>
  <c r="I250" i="6"/>
  <c r="J250" i="6"/>
  <c r="J251" i="6"/>
  <c r="P123" i="6"/>
  <c r="I122" i="17"/>
  <c r="I123" i="17" s="1"/>
  <c r="P74" i="6"/>
  <c r="P76" i="6" s="1"/>
  <c r="K217" i="6"/>
  <c r="K251" i="6"/>
  <c r="K250" i="6"/>
  <c r="J243" i="6"/>
  <c r="D259" i="6"/>
  <c r="G251" i="6"/>
  <c r="G250" i="6"/>
  <c r="D38" i="11"/>
  <c r="I37" i="12"/>
  <c r="I38" i="12" s="1"/>
  <c r="L217" i="6"/>
  <c r="L251" i="6"/>
  <c r="L250" i="6"/>
  <c r="I139" i="17"/>
  <c r="M217" i="6"/>
  <c r="M251" i="6"/>
  <c r="M250" i="6"/>
  <c r="L230" i="6"/>
  <c r="L243" i="6" s="1"/>
  <c r="I147" i="17"/>
  <c r="N251" i="6"/>
  <c r="N250" i="6"/>
  <c r="D40" i="11"/>
  <c r="I39" i="12"/>
  <c r="I40" i="12" s="1"/>
  <c r="I210" i="17"/>
  <c r="H217" i="6"/>
  <c r="H251" i="6"/>
  <c r="H250" i="6"/>
  <c r="I217" i="6"/>
  <c r="I193" i="17"/>
  <c r="I216" i="17"/>
  <c r="D118" i="11"/>
  <c r="D119" i="11" s="1"/>
  <c r="G129" i="17"/>
  <c r="G139" i="17"/>
  <c r="P82" i="3"/>
  <c r="P83" i="3" s="1"/>
  <c r="F81" i="17"/>
  <c r="P255" i="3"/>
  <c r="K147" i="17"/>
  <c r="K148" i="17"/>
  <c r="F230" i="7"/>
  <c r="F243" i="7" s="1"/>
  <c r="F217" i="6"/>
  <c r="G236" i="17"/>
  <c r="G216" i="17"/>
  <c r="F217" i="4"/>
  <c r="G210" i="17"/>
  <c r="F217" i="3"/>
  <c r="E216" i="17"/>
  <c r="H15" i="17"/>
  <c r="K144" i="17"/>
  <c r="K129" i="17"/>
  <c r="K146" i="17"/>
  <c r="P82" i="8"/>
  <c r="P83" i="8" s="1"/>
  <c r="K81" i="17"/>
  <c r="P70" i="8"/>
  <c r="P71" i="8" s="1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P82" i="6"/>
  <c r="I81" i="17"/>
  <c r="I82" i="17" s="1"/>
  <c r="P70" i="6"/>
  <c r="P71" i="6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D119" i="3"/>
  <c r="F70" i="17"/>
  <c r="E134" i="17"/>
  <c r="E129" i="17"/>
  <c r="E148" i="17"/>
  <c r="E146" i="17"/>
  <c r="E139" i="17"/>
  <c r="E144" i="17"/>
  <c r="E147" i="17"/>
  <c r="E70" i="17"/>
  <c r="E71" i="17" s="1"/>
  <c r="E90" i="17"/>
  <c r="P82" i="2"/>
  <c r="E81" i="17"/>
  <c r="E82" i="17" s="1"/>
  <c r="D259" i="11"/>
  <c r="D40" i="12"/>
  <c r="D45" i="12"/>
  <c r="D30" i="12"/>
  <c r="D47" i="12"/>
  <c r="D34" i="12"/>
  <c r="P32" i="8"/>
  <c r="K9" i="17"/>
  <c r="J32" i="17"/>
  <c r="J47" i="17"/>
  <c r="P32" i="7"/>
  <c r="J30" i="17"/>
  <c r="J34" i="17"/>
  <c r="I45" i="17"/>
  <c r="I34" i="17"/>
  <c r="I47" i="17"/>
  <c r="I32" i="17"/>
  <c r="I30" i="17"/>
  <c r="H193" i="17"/>
  <c r="P62" i="5"/>
  <c r="P45" i="5"/>
  <c r="G193" i="17"/>
  <c r="P32" i="4"/>
  <c r="G9" i="17"/>
  <c r="F193" i="17"/>
  <c r="P32" i="3"/>
  <c r="F9" i="17"/>
  <c r="P70" i="11"/>
  <c r="P71" i="11" s="1"/>
  <c r="P204" i="11"/>
  <c r="E217" i="11"/>
  <c r="E251" i="11"/>
  <c r="E250" i="11"/>
  <c r="P236" i="8"/>
  <c r="K232" i="17"/>
  <c r="K236" i="17" s="1"/>
  <c r="K229" i="17"/>
  <c r="K223" i="17"/>
  <c r="K216" i="17"/>
  <c r="E217" i="8"/>
  <c r="J242" i="17"/>
  <c r="J236" i="17"/>
  <c r="J229" i="17"/>
  <c r="J230" i="12"/>
  <c r="J243" i="12" s="1"/>
  <c r="J223" i="17"/>
  <c r="J216" i="17"/>
  <c r="J210" i="17"/>
  <c r="E243" i="6"/>
  <c r="I242" i="17"/>
  <c r="I236" i="17"/>
  <c r="I229" i="17"/>
  <c r="I223" i="17"/>
  <c r="E217" i="6"/>
  <c r="H242" i="17"/>
  <c r="H236" i="17"/>
  <c r="H229" i="17"/>
  <c r="P223" i="5"/>
  <c r="E217" i="5"/>
  <c r="E217" i="4"/>
  <c r="P236" i="3"/>
  <c r="F232" i="17"/>
  <c r="F236" i="17" s="1"/>
  <c r="E217" i="3"/>
  <c r="E217" i="2"/>
  <c r="J15" i="17"/>
  <c r="E22" i="7"/>
  <c r="E24" i="7" s="1"/>
  <c r="E25" i="7" s="1"/>
  <c r="P21" i="4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L147" i="12"/>
  <c r="D217" i="11"/>
  <c r="D250" i="11"/>
  <c r="D251" i="11"/>
  <c r="P144" i="11"/>
  <c r="P147" i="11"/>
  <c r="P148" i="11"/>
  <c r="P134" i="11"/>
  <c r="P144" i="8"/>
  <c r="P147" i="8"/>
  <c r="P134" i="8"/>
  <c r="P145" i="8"/>
  <c r="E118" i="8"/>
  <c r="E119" i="8" s="1"/>
  <c r="D118" i="8"/>
  <c r="D119" i="8" s="1"/>
  <c r="P258" i="7"/>
  <c r="D217" i="7"/>
  <c r="P148" i="7"/>
  <c r="P146" i="7"/>
  <c r="P145" i="7"/>
  <c r="E118" i="7"/>
  <c r="E119" i="7" s="1"/>
  <c r="P70" i="7"/>
  <c r="P71" i="7" s="1"/>
  <c r="P258" i="6"/>
  <c r="D217" i="6"/>
  <c r="P139" i="6"/>
  <c r="P148" i="6"/>
  <c r="P147" i="6"/>
  <c r="P144" i="6"/>
  <c r="E118" i="6"/>
  <c r="E119" i="6" s="1"/>
  <c r="D118" i="6"/>
  <c r="D119" i="6" s="1"/>
  <c r="I15" i="17"/>
  <c r="P258" i="5"/>
  <c r="D217" i="5"/>
  <c r="P147" i="5"/>
  <c r="P134" i="5"/>
  <c r="P145" i="5"/>
  <c r="E118" i="5"/>
  <c r="E119" i="5" s="1"/>
  <c r="P70" i="5"/>
  <c r="P71" i="5" s="1"/>
  <c r="P139" i="4"/>
  <c r="P144" i="4"/>
  <c r="P145" i="4"/>
  <c r="E118" i="4"/>
  <c r="E119" i="4" s="1"/>
  <c r="P258" i="3"/>
  <c r="D217" i="3"/>
  <c r="P144" i="3"/>
  <c r="P145" i="3"/>
  <c r="E118" i="3"/>
  <c r="E119" i="3" s="1"/>
  <c r="P242" i="2"/>
  <c r="D217" i="2"/>
  <c r="P148" i="2"/>
  <c r="P139" i="2"/>
  <c r="P129" i="2"/>
  <c r="P147" i="2"/>
  <c r="E118" i="2"/>
  <c r="E119" i="2" s="1"/>
  <c r="P70" i="2"/>
  <c r="P71" i="2" s="1"/>
  <c r="P30" i="2"/>
  <c r="P32" i="5"/>
  <c r="H9" i="17"/>
  <c r="P45" i="2"/>
  <c r="P32" i="2"/>
  <c r="E9" i="17"/>
  <c r="P45" i="7"/>
  <c r="P34" i="7"/>
  <c r="P34" i="5"/>
  <c r="P34" i="6"/>
  <c r="P62" i="6"/>
  <c r="P47" i="6"/>
  <c r="P30" i="8"/>
  <c r="P45" i="11"/>
  <c r="E22" i="11"/>
  <c r="E24" i="11" s="1"/>
  <c r="E25" i="11" s="1"/>
  <c r="M22" i="11"/>
  <c r="M24" i="11" s="1"/>
  <c r="M25" i="11" s="1"/>
  <c r="D22" i="4"/>
  <c r="D24" i="4" s="1"/>
  <c r="D25" i="4" s="1"/>
  <c r="D22" i="2"/>
  <c r="D24" i="2" s="1"/>
  <c r="D25" i="2" s="1"/>
  <c r="D22" i="8"/>
  <c r="D24" i="8" s="1"/>
  <c r="D25" i="8" s="1"/>
  <c r="D22" i="7"/>
  <c r="D24" i="7" s="1"/>
  <c r="D25" i="7" s="1"/>
  <c r="D22" i="6"/>
  <c r="D24" i="6" s="1"/>
  <c r="D25" i="6" s="1"/>
  <c r="D22" i="5"/>
  <c r="D24" i="5" s="1"/>
  <c r="D25" i="5" s="1"/>
  <c r="P15" i="4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D15" i="16"/>
  <c r="K22" i="16"/>
  <c r="K24" i="16" s="1"/>
  <c r="E22" i="16"/>
  <c r="E24" i="16" s="1"/>
  <c r="E25" i="16" s="1"/>
  <c r="I22" i="15"/>
  <c r="I24" i="15" s="1"/>
  <c r="I25" i="15" s="1"/>
  <c r="J22" i="15"/>
  <c r="J24" i="15" s="1"/>
  <c r="J25" i="15" s="1"/>
  <c r="J230" i="15"/>
  <c r="J243" i="15" s="1"/>
  <c r="E22" i="15"/>
  <c r="E24" i="15" s="1"/>
  <c r="E25" i="15" s="1"/>
  <c r="F22" i="15"/>
  <c r="F24" i="15" s="1"/>
  <c r="F25" i="15" s="1"/>
  <c r="K217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J22" i="13"/>
  <c r="J24" i="13" s="1"/>
  <c r="J25" i="13" s="1"/>
  <c r="D15" i="13"/>
  <c r="F217" i="13"/>
  <c r="E22" i="13"/>
  <c r="E24" i="13" s="1"/>
  <c r="E25" i="13" s="1"/>
  <c r="G230" i="12"/>
  <c r="G243" i="12" s="1"/>
  <c r="L145" i="12"/>
  <c r="J217" i="12"/>
  <c r="L81" i="12"/>
  <c r="L82" i="12" s="1"/>
  <c r="L83" i="12" s="1"/>
  <c r="D15" i="12"/>
  <c r="L70" i="12"/>
  <c r="L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45" i="11"/>
  <c r="P139" i="11"/>
  <c r="E22" i="8"/>
  <c r="E24" i="8" s="1"/>
  <c r="E25" i="8" s="1"/>
  <c r="M22" i="8"/>
  <c r="M24" i="8" s="1"/>
  <c r="M25" i="8" s="1"/>
  <c r="P73" i="8"/>
  <c r="P258" i="8"/>
  <c r="P34" i="8"/>
  <c r="F217" i="8"/>
  <c r="G22" i="8"/>
  <c r="G24" i="8" s="1"/>
  <c r="G25" i="8" s="1"/>
  <c r="F41" i="8"/>
  <c r="N41" i="8"/>
  <c r="N58" i="8" s="1"/>
  <c r="P223" i="8"/>
  <c r="L230" i="8"/>
  <c r="L243" i="8" s="1"/>
  <c r="P15" i="8"/>
  <c r="P21" i="8"/>
  <c r="P139" i="8"/>
  <c r="N38" i="8"/>
  <c r="P45" i="8"/>
  <c r="P146" i="8"/>
  <c r="K217" i="8"/>
  <c r="N217" i="8"/>
  <c r="P204" i="8"/>
  <c r="P216" i="8"/>
  <c r="K22" i="8"/>
  <c r="K24" i="8" s="1"/>
  <c r="K25" i="8" s="1"/>
  <c r="P242" i="8"/>
  <c r="P62" i="7"/>
  <c r="P139" i="7"/>
  <c r="I41" i="7"/>
  <c r="I58" i="7" s="1"/>
  <c r="P47" i="7"/>
  <c r="P193" i="7"/>
  <c r="P204" i="7"/>
  <c r="P229" i="7"/>
  <c r="G22" i="7"/>
  <c r="G24" i="7" s="1"/>
  <c r="G25" i="7" s="1"/>
  <c r="P30" i="7"/>
  <c r="P147" i="7"/>
  <c r="E217" i="7"/>
  <c r="M217" i="7"/>
  <c r="G230" i="7"/>
  <c r="G243" i="7" s="1"/>
  <c r="P242" i="7"/>
  <c r="P15" i="7"/>
  <c r="P21" i="7"/>
  <c r="I22" i="7"/>
  <c r="I24" i="7" s="1"/>
  <c r="I25" i="7" s="1"/>
  <c r="P79" i="7"/>
  <c r="J79" i="17" s="1"/>
  <c r="P134" i="7"/>
  <c r="P144" i="7"/>
  <c r="P216" i="7"/>
  <c r="N230" i="7"/>
  <c r="N243" i="7" s="1"/>
  <c r="J22" i="7"/>
  <c r="J24" i="7" s="1"/>
  <c r="J25" i="7" s="1"/>
  <c r="K41" i="7"/>
  <c r="K58" i="7" s="1"/>
  <c r="K249" i="7" s="1"/>
  <c r="P81" i="7"/>
  <c r="P210" i="7"/>
  <c r="F217" i="7"/>
  <c r="P223" i="7"/>
  <c r="K22" i="7"/>
  <c r="K24" i="7" s="1"/>
  <c r="K25" i="7" s="1"/>
  <c r="P85" i="7"/>
  <c r="J85" i="17" s="1"/>
  <c r="J217" i="7"/>
  <c r="E243" i="7"/>
  <c r="P236" i="7"/>
  <c r="F243" i="6"/>
  <c r="N243" i="6"/>
  <c r="P242" i="6"/>
  <c r="P32" i="6"/>
  <c r="P79" i="6"/>
  <c r="I79" i="17" s="1"/>
  <c r="P145" i="6"/>
  <c r="J217" i="6"/>
  <c r="G230" i="6"/>
  <c r="G243" i="6" s="1"/>
  <c r="E22" i="6"/>
  <c r="M22" i="6"/>
  <c r="M24" i="6" s="1"/>
  <c r="M25" i="6" s="1"/>
  <c r="P45" i="6"/>
  <c r="N259" i="6"/>
  <c r="P146" i="6"/>
  <c r="P30" i="6"/>
  <c r="P193" i="6"/>
  <c r="N217" i="6"/>
  <c r="G22" i="6"/>
  <c r="G24" i="6" s="1"/>
  <c r="G25" i="6" s="1"/>
  <c r="P216" i="6"/>
  <c r="P236" i="6"/>
  <c r="D230" i="6"/>
  <c r="D243" i="6" s="1"/>
  <c r="P21" i="6"/>
  <c r="Q21" i="6" s="1"/>
  <c r="H22" i="6"/>
  <c r="H24" i="6" s="1"/>
  <c r="H25" i="6" s="1"/>
  <c r="P134" i="6"/>
  <c r="P144" i="5"/>
  <c r="H217" i="5"/>
  <c r="P236" i="5"/>
  <c r="P146" i="5"/>
  <c r="P229" i="5"/>
  <c r="P30" i="5"/>
  <c r="K217" i="5"/>
  <c r="G22" i="5"/>
  <c r="G24" i="5" s="1"/>
  <c r="G25" i="5" s="1"/>
  <c r="P148" i="5"/>
  <c r="H230" i="5"/>
  <c r="H243" i="5" s="1"/>
  <c r="D230" i="5"/>
  <c r="D243" i="5" s="1"/>
  <c r="G217" i="5"/>
  <c r="P139" i="5"/>
  <c r="P193" i="5"/>
  <c r="P204" i="5"/>
  <c r="E230" i="5"/>
  <c r="E243" i="5" s="1"/>
  <c r="P242" i="5"/>
  <c r="K41" i="5"/>
  <c r="K58" i="5" s="1"/>
  <c r="I22" i="5"/>
  <c r="I24" i="5" s="1"/>
  <c r="I25" i="5" s="1"/>
  <c r="P216" i="5"/>
  <c r="P47" i="5"/>
  <c r="P79" i="5"/>
  <c r="H79" i="17" s="1"/>
  <c r="F22" i="4"/>
  <c r="F24" i="4" s="1"/>
  <c r="F25" i="4" s="1"/>
  <c r="N22" i="4"/>
  <c r="N24" i="4" s="1"/>
  <c r="N25" i="4" s="1"/>
  <c r="P79" i="4"/>
  <c r="G79" i="17" s="1"/>
  <c r="P70" i="4"/>
  <c r="P71" i="4" s="1"/>
  <c r="P242" i="4"/>
  <c r="K217" i="4"/>
  <c r="H230" i="4"/>
  <c r="H243" i="4" s="1"/>
  <c r="G230" i="4"/>
  <c r="G243" i="4" s="1"/>
  <c r="P30" i="4"/>
  <c r="P146" i="4"/>
  <c r="I230" i="4"/>
  <c r="I243" i="4" s="1"/>
  <c r="K22" i="4"/>
  <c r="K24" i="4" s="1"/>
  <c r="K25" i="4" s="1"/>
  <c r="N41" i="4"/>
  <c r="N58" i="4" s="1"/>
  <c r="P147" i="4"/>
  <c r="P122" i="4"/>
  <c r="P148" i="4"/>
  <c r="P236" i="4"/>
  <c r="E22" i="4"/>
  <c r="E24" i="4" s="1"/>
  <c r="E25" i="4" s="1"/>
  <c r="M22" i="4"/>
  <c r="M24" i="4" s="1"/>
  <c r="M25" i="4" s="1"/>
  <c r="P73" i="4"/>
  <c r="G73" i="17" s="1"/>
  <c r="P134" i="4"/>
  <c r="G217" i="4"/>
  <c r="P223" i="4"/>
  <c r="L230" i="4"/>
  <c r="L243" i="4" s="1"/>
  <c r="P15" i="3"/>
  <c r="P21" i="3"/>
  <c r="G41" i="3"/>
  <c r="G42" i="3" s="1"/>
  <c r="J230" i="3"/>
  <c r="J243" i="3" s="1"/>
  <c r="P34" i="3"/>
  <c r="P62" i="3"/>
  <c r="P70" i="3"/>
  <c r="P71" i="3" s="1"/>
  <c r="P147" i="3"/>
  <c r="J22" i="3"/>
  <c r="J24" i="3" s="1"/>
  <c r="J25" i="3" s="1"/>
  <c r="P47" i="3"/>
  <c r="D230" i="3"/>
  <c r="D243" i="3" s="1"/>
  <c r="L230" i="3"/>
  <c r="L243" i="3" s="1"/>
  <c r="K22" i="3"/>
  <c r="K24" i="3" s="1"/>
  <c r="K25" i="3" s="1"/>
  <c r="P134" i="3"/>
  <c r="I217" i="3"/>
  <c r="G217" i="3"/>
  <c r="P146" i="3"/>
  <c r="E22" i="3"/>
  <c r="E24" i="3" s="1"/>
  <c r="E25" i="3" s="1"/>
  <c r="M22" i="3"/>
  <c r="M24" i="3" s="1"/>
  <c r="M25" i="3" s="1"/>
  <c r="P45" i="3"/>
  <c r="P139" i="3"/>
  <c r="P148" i="3"/>
  <c r="P193" i="3"/>
  <c r="P216" i="3"/>
  <c r="P242" i="3"/>
  <c r="J217" i="2"/>
  <c r="P258" i="2"/>
  <c r="K217" i="2"/>
  <c r="N217" i="2"/>
  <c r="D230" i="2"/>
  <c r="D243" i="2" s="1"/>
  <c r="E22" i="2"/>
  <c r="E24" i="2" s="1"/>
  <c r="E25" i="2" s="1"/>
  <c r="M22" i="2"/>
  <c r="M24" i="2" s="1"/>
  <c r="M25" i="2" s="1"/>
  <c r="P34" i="2"/>
  <c r="P204" i="2"/>
  <c r="P216" i="2"/>
  <c r="F22" i="2"/>
  <c r="F24" i="2" s="1"/>
  <c r="F25" i="2" s="1"/>
  <c r="F41" i="2"/>
  <c r="F58" i="2" s="1"/>
  <c r="P62" i="2"/>
  <c r="P146" i="2"/>
  <c r="P47" i="2"/>
  <c r="P15" i="2"/>
  <c r="P21" i="2"/>
  <c r="P79" i="2"/>
  <c r="E79" i="17" s="1"/>
  <c r="P144" i="2"/>
  <c r="F217" i="2"/>
  <c r="D38" i="13"/>
  <c r="D40" i="15"/>
  <c r="D62" i="16"/>
  <c r="D30" i="15"/>
  <c r="D30" i="16"/>
  <c r="D40" i="13"/>
  <c r="D38" i="15"/>
  <c r="D38" i="16"/>
  <c r="D30" i="13"/>
  <c r="P39" i="7"/>
  <c r="J41" i="2"/>
  <c r="J42" i="2" s="1"/>
  <c r="F41" i="4"/>
  <c r="P52" i="4"/>
  <c r="G52" i="17" s="1"/>
  <c r="P91" i="4"/>
  <c r="P91" i="8"/>
  <c r="P79" i="11"/>
  <c r="P83" i="11" s="1"/>
  <c r="I41" i="16"/>
  <c r="I58" i="16" s="1"/>
  <c r="M41" i="3"/>
  <c r="M42" i="3" s="1"/>
  <c r="P52" i="3"/>
  <c r="F52" i="17" s="1"/>
  <c r="P73" i="3"/>
  <c r="F73" i="17" s="1"/>
  <c r="F91" i="17" s="1"/>
  <c r="P81" i="4"/>
  <c r="P87" i="5"/>
  <c r="H87" i="17" s="1"/>
  <c r="H88" i="17" s="1"/>
  <c r="P73" i="6"/>
  <c r="I73" i="17" s="1"/>
  <c r="P85" i="6"/>
  <c r="P89" i="6" s="1"/>
  <c r="J41" i="7"/>
  <c r="J58" i="7" s="1"/>
  <c r="P52" i="7"/>
  <c r="J52" i="17" s="1"/>
  <c r="P87" i="11"/>
  <c r="K38" i="5"/>
  <c r="K40" i="7"/>
  <c r="P39" i="2"/>
  <c r="J41" i="5"/>
  <c r="J42" i="5" s="1"/>
  <c r="N41" i="7"/>
  <c r="N58" i="7" s="1"/>
  <c r="P52" i="8"/>
  <c r="K52" i="17" s="1"/>
  <c r="J38" i="11"/>
  <c r="P37" i="3"/>
  <c r="P52" i="2"/>
  <c r="E52" i="17" s="1"/>
  <c r="P92" i="3"/>
  <c r="M41" i="5"/>
  <c r="P52" i="5"/>
  <c r="H52" i="17" s="1"/>
  <c r="I41" i="13"/>
  <c r="I58" i="13" s="1"/>
  <c r="D40" i="16"/>
  <c r="N82" i="2"/>
  <c r="N83" i="2" s="1"/>
  <c r="L41" i="3"/>
  <c r="L58" i="3" s="1"/>
  <c r="P39" i="3"/>
  <c r="P37" i="7"/>
  <c r="P73" i="7"/>
  <c r="J73" i="17" s="1"/>
  <c r="I41" i="15"/>
  <c r="I52" i="17"/>
  <c r="J41" i="8"/>
  <c r="J58" i="8" s="1"/>
  <c r="J41" i="16"/>
  <c r="D21" i="16"/>
  <c r="D34" i="16"/>
  <c r="K41" i="16"/>
  <c r="D45" i="16"/>
  <c r="H217" i="16"/>
  <c r="D41" i="16"/>
  <c r="I217" i="16"/>
  <c r="E41" i="16"/>
  <c r="D32" i="16"/>
  <c r="F41" i="16"/>
  <c r="G41" i="16"/>
  <c r="J41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G41" i="15"/>
  <c r="J41" i="13"/>
  <c r="G217" i="13"/>
  <c r="D21" i="13"/>
  <c r="D34" i="13"/>
  <c r="D45" i="13"/>
  <c r="H217" i="13"/>
  <c r="D41" i="13"/>
  <c r="I217" i="13"/>
  <c r="E41" i="13"/>
  <c r="D62" i="13"/>
  <c r="D32" i="13"/>
  <c r="F41" i="13"/>
  <c r="G41" i="13"/>
  <c r="L13" i="12"/>
  <c r="L89" i="12"/>
  <c r="F217" i="12"/>
  <c r="L242" i="12"/>
  <c r="K24" i="12"/>
  <c r="K25" i="12" s="1"/>
  <c r="L144" i="12"/>
  <c r="I217" i="12"/>
  <c r="K230" i="12"/>
  <c r="K243" i="12" s="1"/>
  <c r="L91" i="12"/>
  <c r="L223" i="12"/>
  <c r="F22" i="12"/>
  <c r="F24" i="12" s="1"/>
  <c r="F25" i="12" s="1"/>
  <c r="H22" i="12"/>
  <c r="H24" i="12" s="1"/>
  <c r="H25" i="12" s="1"/>
  <c r="L139" i="12"/>
  <c r="H230" i="12"/>
  <c r="H243" i="12" s="1"/>
  <c r="I230" i="12"/>
  <c r="I243" i="12" s="1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L258" i="12"/>
  <c r="L204" i="12"/>
  <c r="G41" i="12"/>
  <c r="G42" i="12" s="1"/>
  <c r="G217" i="12"/>
  <c r="E22" i="12"/>
  <c r="E24" i="12" s="1"/>
  <c r="E25" i="12" s="1"/>
  <c r="L148" i="12"/>
  <c r="L73" i="12"/>
  <c r="L134" i="12"/>
  <c r="G22" i="12"/>
  <c r="G24" i="12" s="1"/>
  <c r="G25" i="12" s="1"/>
  <c r="L216" i="12"/>
  <c r="H41" i="12"/>
  <c r="L146" i="12"/>
  <c r="L129" i="12"/>
  <c r="L74" i="12"/>
  <c r="L76" i="12" s="1"/>
  <c r="J41" i="12"/>
  <c r="L210" i="12"/>
  <c r="L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D230" i="8"/>
  <c r="P229" i="8"/>
  <c r="F22" i="8"/>
  <c r="F24" i="8" s="1"/>
  <c r="F25" i="8" s="1"/>
  <c r="N22" i="8"/>
  <c r="N24" i="8" s="1"/>
  <c r="N25" i="8" s="1"/>
  <c r="D217" i="8"/>
  <c r="P210" i="8"/>
  <c r="P148" i="8"/>
  <c r="P129" i="8"/>
  <c r="K41" i="8"/>
  <c r="P39" i="8"/>
  <c r="L217" i="8"/>
  <c r="M41" i="8"/>
  <c r="P87" i="8"/>
  <c r="K87" i="17" s="1"/>
  <c r="G41" i="8"/>
  <c r="H41" i="8"/>
  <c r="H42" i="8" s="1"/>
  <c r="I41" i="8"/>
  <c r="P47" i="8"/>
  <c r="P62" i="8"/>
  <c r="P74" i="8"/>
  <c r="P37" i="8"/>
  <c r="D41" i="8"/>
  <c r="D58" i="8" s="1"/>
  <c r="L41" i="8"/>
  <c r="E41" i="8"/>
  <c r="E58" i="8" s="1"/>
  <c r="M58" i="7"/>
  <c r="M42" i="7"/>
  <c r="P92" i="7"/>
  <c r="N259" i="7"/>
  <c r="P91" i="7"/>
  <c r="D243" i="7"/>
  <c r="G41" i="7"/>
  <c r="P129" i="7"/>
  <c r="F41" i="7"/>
  <c r="F58" i="7" s="1"/>
  <c r="H41" i="7"/>
  <c r="H217" i="7"/>
  <c r="P74" i="7"/>
  <c r="J74" i="17" s="1"/>
  <c r="J76" i="17" s="1"/>
  <c r="D41" i="7"/>
  <c r="D58" i="7" s="1"/>
  <c r="L41" i="7"/>
  <c r="L58" i="7" s="1"/>
  <c r="E41" i="7"/>
  <c r="E58" i="7" s="1"/>
  <c r="M41" i="6"/>
  <c r="E41" i="6"/>
  <c r="E58" i="6" s="1"/>
  <c r="L41" i="6"/>
  <c r="D41" i="6"/>
  <c r="D58" i="6" s="1"/>
  <c r="K41" i="6"/>
  <c r="J41" i="6"/>
  <c r="H41" i="6"/>
  <c r="G41" i="6"/>
  <c r="N41" i="6"/>
  <c r="F41" i="6"/>
  <c r="F58" i="6" s="1"/>
  <c r="P15" i="6"/>
  <c r="I41" i="6"/>
  <c r="I58" i="6" s="1"/>
  <c r="I22" i="6"/>
  <c r="I24" i="6" s="1"/>
  <c r="I25" i="6" s="1"/>
  <c r="P223" i="6"/>
  <c r="P39" i="6"/>
  <c r="P91" i="6"/>
  <c r="P129" i="6"/>
  <c r="G217" i="6"/>
  <c r="P210" i="6"/>
  <c r="P229" i="6"/>
  <c r="P92" i="6"/>
  <c r="P37" i="6"/>
  <c r="J22" i="5"/>
  <c r="J24" i="5" s="1"/>
  <c r="J25" i="5" s="1"/>
  <c r="K22" i="5"/>
  <c r="K24" i="5" s="1"/>
  <c r="K25" i="5" s="1"/>
  <c r="P85" i="5"/>
  <c r="P89" i="5" s="1"/>
  <c r="P39" i="5"/>
  <c r="L58" i="5"/>
  <c r="L42" i="5"/>
  <c r="P81" i="5"/>
  <c r="P15" i="5"/>
  <c r="P21" i="5"/>
  <c r="F41" i="5"/>
  <c r="F58" i="5" s="1"/>
  <c r="N41" i="5"/>
  <c r="P73" i="5"/>
  <c r="H73" i="17" s="1"/>
  <c r="P91" i="5"/>
  <c r="F217" i="5"/>
  <c r="N217" i="5"/>
  <c r="G230" i="5"/>
  <c r="G243" i="5" s="1"/>
  <c r="G41" i="5"/>
  <c r="P129" i="5"/>
  <c r="H41" i="5"/>
  <c r="I41" i="5"/>
  <c r="P74" i="5"/>
  <c r="P210" i="5"/>
  <c r="P37" i="5"/>
  <c r="D41" i="5"/>
  <c r="D58" i="5" s="1"/>
  <c r="E41" i="5"/>
  <c r="E58" i="5" s="1"/>
  <c r="G22" i="4"/>
  <c r="G24" i="4" s="1"/>
  <c r="G25" i="4" s="1"/>
  <c r="P39" i="4"/>
  <c r="J41" i="4"/>
  <c r="P62" i="4"/>
  <c r="G42" i="4"/>
  <c r="G58" i="4"/>
  <c r="P193" i="4"/>
  <c r="P204" i="4"/>
  <c r="D217" i="4"/>
  <c r="P210" i="4"/>
  <c r="L217" i="4"/>
  <c r="D230" i="4"/>
  <c r="P229" i="4"/>
  <c r="P45" i="4"/>
  <c r="M41" i="4"/>
  <c r="P34" i="4"/>
  <c r="I41" i="4"/>
  <c r="P47" i="4"/>
  <c r="N77" i="4"/>
  <c r="P89" i="4"/>
  <c r="P216" i="4"/>
  <c r="E230" i="4"/>
  <c r="E243" i="4" s="1"/>
  <c r="M230" i="4"/>
  <c r="M243" i="4" s="1"/>
  <c r="P129" i="4"/>
  <c r="H41" i="4"/>
  <c r="H217" i="4"/>
  <c r="P74" i="4"/>
  <c r="K41" i="4"/>
  <c r="P37" i="4"/>
  <c r="D58" i="4"/>
  <c r="L41" i="4"/>
  <c r="E41" i="4"/>
  <c r="E58" i="4" s="1"/>
  <c r="N259" i="3"/>
  <c r="F41" i="3"/>
  <c r="F58" i="3" s="1"/>
  <c r="H41" i="3"/>
  <c r="N41" i="3"/>
  <c r="P30" i="3"/>
  <c r="P87" i="3"/>
  <c r="F87" i="17" s="1"/>
  <c r="F88" i="17" s="1"/>
  <c r="I41" i="3"/>
  <c r="I58" i="3" s="1"/>
  <c r="P74" i="3"/>
  <c r="P223" i="3"/>
  <c r="P129" i="3"/>
  <c r="J41" i="3"/>
  <c r="P210" i="3"/>
  <c r="P229" i="3"/>
  <c r="K41" i="3"/>
  <c r="D41" i="3"/>
  <c r="D58" i="3" s="1"/>
  <c r="E41" i="3"/>
  <c r="E58" i="3" s="1"/>
  <c r="P122" i="2"/>
  <c r="P210" i="2"/>
  <c r="P229" i="2"/>
  <c r="P236" i="2"/>
  <c r="P145" i="2"/>
  <c r="K22" i="2"/>
  <c r="K24" i="2" s="1"/>
  <c r="K25" i="2" s="1"/>
  <c r="P74" i="2"/>
  <c r="P85" i="2"/>
  <c r="P91" i="2"/>
  <c r="G41" i="2"/>
  <c r="P37" i="2"/>
  <c r="L41" i="2"/>
  <c r="D41" i="2"/>
  <c r="D58" i="2" s="1"/>
  <c r="H41" i="2"/>
  <c r="P134" i="2"/>
  <c r="M41" i="2"/>
  <c r="K41" i="2"/>
  <c r="G22" i="2"/>
  <c r="G24" i="2" s="1"/>
  <c r="G25" i="2" s="1"/>
  <c r="N41" i="2"/>
  <c r="I41" i="2"/>
  <c r="I58" i="2" s="1"/>
  <c r="E41" i="2"/>
  <c r="E58" i="2" s="1"/>
  <c r="I59" i="3" l="1"/>
  <c r="I60" i="3"/>
  <c r="K42" i="7"/>
  <c r="N249" i="4"/>
  <c r="P119" i="6"/>
  <c r="I60" i="6"/>
  <c r="I59" i="6"/>
  <c r="I58" i="15"/>
  <c r="K123" i="17"/>
  <c r="L59" i="7"/>
  <c r="L60" i="7"/>
  <c r="I249" i="7"/>
  <c r="K88" i="17"/>
  <c r="M87" i="17"/>
  <c r="D243" i="16"/>
  <c r="I249" i="15"/>
  <c r="K42" i="5"/>
  <c r="G230" i="17"/>
  <c r="G243" i="17" s="1"/>
  <c r="P119" i="4"/>
  <c r="F230" i="17"/>
  <c r="F243" i="17" s="1"/>
  <c r="I42" i="7"/>
  <c r="P223" i="2"/>
  <c r="P251" i="2" s="1"/>
  <c r="I250" i="2"/>
  <c r="I251" i="2"/>
  <c r="I230" i="2"/>
  <c r="I243" i="2" s="1"/>
  <c r="I249" i="2" s="1"/>
  <c r="I60" i="2"/>
  <c r="I59" i="2"/>
  <c r="D60" i="8"/>
  <c r="D59" i="8"/>
  <c r="F42" i="8"/>
  <c r="F58" i="8"/>
  <c r="E60" i="8"/>
  <c r="E249" i="8"/>
  <c r="E59" i="8"/>
  <c r="F60" i="7"/>
  <c r="F249" i="7"/>
  <c r="F59" i="7"/>
  <c r="E60" i="7"/>
  <c r="E249" i="7"/>
  <c r="E59" i="7"/>
  <c r="D59" i="7"/>
  <c r="D249" i="7"/>
  <c r="D60" i="7"/>
  <c r="D59" i="6"/>
  <c r="D60" i="6"/>
  <c r="D249" i="6"/>
  <c r="F59" i="6"/>
  <c r="F249" i="6"/>
  <c r="F60" i="6"/>
  <c r="E249" i="6"/>
  <c r="E60" i="6"/>
  <c r="E59" i="6"/>
  <c r="E60" i="5"/>
  <c r="E249" i="5"/>
  <c r="E59" i="5"/>
  <c r="D59" i="5"/>
  <c r="D60" i="5"/>
  <c r="D249" i="5"/>
  <c r="F60" i="5"/>
  <c r="F249" i="5"/>
  <c r="F59" i="5"/>
  <c r="F42" i="4"/>
  <c r="F58" i="4"/>
  <c r="E59" i="4"/>
  <c r="E249" i="4"/>
  <c r="E60" i="4"/>
  <c r="D59" i="4"/>
  <c r="D60" i="4"/>
  <c r="F60" i="3"/>
  <c r="F249" i="3"/>
  <c r="F59" i="3"/>
  <c r="D59" i="3"/>
  <c r="D60" i="3"/>
  <c r="D249" i="3"/>
  <c r="E60" i="3"/>
  <c r="E249" i="3"/>
  <c r="E59" i="3"/>
  <c r="E249" i="2"/>
  <c r="E59" i="2"/>
  <c r="E60" i="2"/>
  <c r="D59" i="2"/>
  <c r="D249" i="2"/>
  <c r="D60" i="2"/>
  <c r="F60" i="2"/>
  <c r="F249" i="2"/>
  <c r="F59" i="2"/>
  <c r="G58" i="3"/>
  <c r="G249" i="3" s="1"/>
  <c r="I41" i="12"/>
  <c r="I249" i="16"/>
  <c r="L249" i="5"/>
  <c r="F90" i="17"/>
  <c r="I90" i="17"/>
  <c r="M90" i="17" s="1"/>
  <c r="J60" i="7"/>
  <c r="L37" i="12"/>
  <c r="L38" i="12" s="1"/>
  <c r="K41" i="13"/>
  <c r="K58" i="13" s="1"/>
  <c r="K249" i="13" s="1"/>
  <c r="D22" i="16"/>
  <c r="D24" i="16" s="1"/>
  <c r="D25" i="16" s="1"/>
  <c r="K249" i="5"/>
  <c r="N249" i="8"/>
  <c r="P119" i="7"/>
  <c r="L15" i="12"/>
  <c r="L22" i="12" s="1"/>
  <c r="L24" i="12" s="1"/>
  <c r="L25" i="12" s="1"/>
  <c r="N42" i="4"/>
  <c r="P83" i="6"/>
  <c r="H21" i="17"/>
  <c r="H22" i="17" s="1"/>
  <c r="H24" i="17" s="1"/>
  <c r="H25" i="17" s="1"/>
  <c r="D22" i="12"/>
  <c r="D24" i="12" s="1"/>
  <c r="D25" i="12" s="1"/>
  <c r="P77" i="5"/>
  <c r="F71" i="17"/>
  <c r="E230" i="17"/>
  <c r="E243" i="17" s="1"/>
  <c r="K73" i="17"/>
  <c r="N42" i="7"/>
  <c r="I249" i="13"/>
  <c r="P77" i="6"/>
  <c r="P119" i="5"/>
  <c r="H90" i="17"/>
  <c r="J58" i="5"/>
  <c r="J249" i="5" s="1"/>
  <c r="K59" i="5"/>
  <c r="P22" i="4"/>
  <c r="P24" i="4" s="1"/>
  <c r="P25" i="4" s="1"/>
  <c r="P119" i="2"/>
  <c r="P37" i="11"/>
  <c r="P38" i="11" s="1"/>
  <c r="N42" i="8"/>
  <c r="K41" i="12"/>
  <c r="L39" i="12"/>
  <c r="L40" i="12" s="1"/>
  <c r="J59" i="7"/>
  <c r="H41" i="11"/>
  <c r="H42" i="11" s="1"/>
  <c r="P40" i="7"/>
  <c r="J39" i="17"/>
  <c r="J40" i="17" s="1"/>
  <c r="K59" i="7"/>
  <c r="J42" i="7"/>
  <c r="P38" i="7"/>
  <c r="J37" i="17"/>
  <c r="I42" i="13"/>
  <c r="H58" i="13"/>
  <c r="H249" i="13" s="1"/>
  <c r="P40" i="5"/>
  <c r="H39" i="17"/>
  <c r="H40" i="17" s="1"/>
  <c r="P38" i="5"/>
  <c r="H37" i="17"/>
  <c r="H38" i="17" s="1"/>
  <c r="P40" i="4"/>
  <c r="G39" i="17"/>
  <c r="P38" i="4"/>
  <c r="G37" i="17"/>
  <c r="P40" i="3"/>
  <c r="F39" i="17"/>
  <c r="F40" i="17" s="1"/>
  <c r="P38" i="3"/>
  <c r="F37" i="17"/>
  <c r="F38" i="17" s="1"/>
  <c r="D41" i="11"/>
  <c r="D42" i="11" s="1"/>
  <c r="G41" i="11"/>
  <c r="E41" i="11"/>
  <c r="E42" i="11" s="1"/>
  <c r="P40" i="2"/>
  <c r="E39" i="17"/>
  <c r="E40" i="17" s="1"/>
  <c r="P38" i="2"/>
  <c r="E37" i="17"/>
  <c r="E38" i="17" s="1"/>
  <c r="K21" i="17"/>
  <c r="K22" i="17" s="1"/>
  <c r="K24" i="17" s="1"/>
  <c r="K25" i="17" s="1"/>
  <c r="P230" i="3"/>
  <c r="F41" i="11"/>
  <c r="F42" i="11" s="1"/>
  <c r="K250" i="17"/>
  <c r="I21" i="17"/>
  <c r="I22" i="17" s="1"/>
  <c r="I24" i="17" s="1"/>
  <c r="I25" i="17" s="1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F82" i="17"/>
  <c r="F83" i="17" s="1"/>
  <c r="M123" i="17"/>
  <c r="E250" i="17"/>
  <c r="H251" i="17"/>
  <c r="H217" i="17"/>
  <c r="E217" i="17"/>
  <c r="H58" i="15"/>
  <c r="H249" i="15" s="1"/>
  <c r="K41" i="15"/>
  <c r="K58" i="15" s="1"/>
  <c r="K249" i="15" s="1"/>
  <c r="H42" i="16"/>
  <c r="H249" i="16"/>
  <c r="I42" i="16"/>
  <c r="P39" i="11"/>
  <c r="P40" i="11" s="1"/>
  <c r="O41" i="11"/>
  <c r="N41" i="11"/>
  <c r="P123" i="2"/>
  <c r="E122" i="17"/>
  <c r="E123" i="17" s="1"/>
  <c r="P123" i="4"/>
  <c r="G122" i="17"/>
  <c r="G123" i="17" s="1"/>
  <c r="I74" i="17"/>
  <c r="I76" i="17" s="1"/>
  <c r="F259" i="11"/>
  <c r="J41" i="11"/>
  <c r="P38" i="8"/>
  <c r="K37" i="17"/>
  <c r="I41" i="11"/>
  <c r="J42" i="8"/>
  <c r="K41" i="11"/>
  <c r="P40" i="8"/>
  <c r="K39" i="17"/>
  <c r="L41" i="11"/>
  <c r="J249" i="8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N249" i="7"/>
  <c r="M249" i="7"/>
  <c r="L42" i="3"/>
  <c r="M58" i="3"/>
  <c r="M249" i="3" s="1"/>
  <c r="L249" i="3"/>
  <c r="F42" i="2"/>
  <c r="I250" i="17"/>
  <c r="K60" i="5"/>
  <c r="K60" i="7"/>
  <c r="J249" i="7"/>
  <c r="J58" i="2"/>
  <c r="J249" i="2" s="1"/>
  <c r="P243" i="5"/>
  <c r="K93" i="17"/>
  <c r="I149" i="17"/>
  <c r="K251" i="17"/>
  <c r="K217" i="17"/>
  <c r="J230" i="17"/>
  <c r="J243" i="17" s="1"/>
  <c r="D22" i="13"/>
  <c r="D24" i="13" s="1"/>
  <c r="D25" i="13" s="1"/>
  <c r="F250" i="17"/>
  <c r="F93" i="17"/>
  <c r="P89" i="11"/>
  <c r="H149" i="17"/>
  <c r="G249" i="4"/>
  <c r="L118" i="12"/>
  <c r="P230" i="7"/>
  <c r="G217" i="17"/>
  <c r="G250" i="17"/>
  <c r="P22" i="2"/>
  <c r="P24" i="2" s="1"/>
  <c r="P25" i="2" s="1"/>
  <c r="L45" i="12"/>
  <c r="L62" i="12"/>
  <c r="P40" i="6"/>
  <c r="I39" i="17"/>
  <c r="P38" i="6"/>
  <c r="I37" i="17"/>
  <c r="I251" i="17"/>
  <c r="I83" i="17"/>
  <c r="F256" i="17"/>
  <c r="F258" i="17" s="1"/>
  <c r="P76" i="3"/>
  <c r="P77" i="3" s="1"/>
  <c r="F74" i="17"/>
  <c r="F76" i="17" s="1"/>
  <c r="E149" i="17"/>
  <c r="J217" i="17"/>
  <c r="P217" i="7"/>
  <c r="J251" i="17"/>
  <c r="J250" i="17"/>
  <c r="I230" i="17"/>
  <c r="I243" i="17" s="1"/>
  <c r="P22" i="3"/>
  <c r="P24" i="3" s="1"/>
  <c r="P25" i="3" s="1"/>
  <c r="P76" i="8"/>
  <c r="P77" i="8" s="1"/>
  <c r="K74" i="17"/>
  <c r="K76" i="17" s="1"/>
  <c r="J149" i="17"/>
  <c r="P89" i="7"/>
  <c r="J91" i="17"/>
  <c r="J256" i="17" s="1"/>
  <c r="J258" i="17" s="1"/>
  <c r="P82" i="7"/>
  <c r="P83" i="7" s="1"/>
  <c r="J81" i="17"/>
  <c r="J82" i="17" s="1"/>
  <c r="J77" i="17"/>
  <c r="J92" i="17"/>
  <c r="I85" i="17"/>
  <c r="I70" i="17"/>
  <c r="I71" i="17" s="1"/>
  <c r="H85" i="17"/>
  <c r="H74" i="17"/>
  <c r="H76" i="17" s="1"/>
  <c r="P82" i="5"/>
  <c r="P83" i="5" s="1"/>
  <c r="H81" i="17"/>
  <c r="H82" i="17" s="1"/>
  <c r="G149" i="17"/>
  <c r="P82" i="4"/>
  <c r="P83" i="4" s="1"/>
  <c r="G81" i="17"/>
  <c r="G91" i="17"/>
  <c r="G256" i="17" s="1"/>
  <c r="G258" i="17" s="1"/>
  <c r="P76" i="4"/>
  <c r="P77" i="4" s="1"/>
  <c r="G74" i="17"/>
  <c r="G76" i="17" s="1"/>
  <c r="F217" i="17"/>
  <c r="F149" i="17"/>
  <c r="P76" i="2"/>
  <c r="P77" i="2" s="1"/>
  <c r="E74" i="17"/>
  <c r="P89" i="2"/>
  <c r="E85" i="17"/>
  <c r="E93" i="17" s="1"/>
  <c r="E83" i="17"/>
  <c r="P83" i="2"/>
  <c r="L30" i="12"/>
  <c r="L47" i="12"/>
  <c r="L32" i="12"/>
  <c r="K47" i="17"/>
  <c r="K30" i="17"/>
  <c r="K45" i="17"/>
  <c r="K34" i="17"/>
  <c r="K62" i="17"/>
  <c r="K32" i="17"/>
  <c r="G47" i="17"/>
  <c r="G62" i="17"/>
  <c r="G40" i="17"/>
  <c r="G30" i="17"/>
  <c r="G32" i="17"/>
  <c r="G45" i="17"/>
  <c r="G34" i="17"/>
  <c r="F45" i="17"/>
  <c r="F47" i="17"/>
  <c r="F30" i="17"/>
  <c r="F62" i="17"/>
  <c r="F32" i="17"/>
  <c r="F34" i="17"/>
  <c r="P243" i="7"/>
  <c r="P243" i="11"/>
  <c r="P243" i="6"/>
  <c r="P243" i="4"/>
  <c r="P243" i="3"/>
  <c r="P22" i="7"/>
  <c r="P24" i="7" s="1"/>
  <c r="P25" i="7" s="1"/>
  <c r="E24" i="6"/>
  <c r="E25" i="6" s="1"/>
  <c r="P230" i="6"/>
  <c r="P22" i="6"/>
  <c r="P24" i="6" s="1"/>
  <c r="P25" i="6" s="1"/>
  <c r="P217" i="11"/>
  <c r="L250" i="12"/>
  <c r="L251" i="12"/>
  <c r="P251" i="11"/>
  <c r="P250" i="11"/>
  <c r="P149" i="11"/>
  <c r="P250" i="8"/>
  <c r="P251" i="8"/>
  <c r="P149" i="8"/>
  <c r="P250" i="7"/>
  <c r="P251" i="7"/>
  <c r="P149" i="7"/>
  <c r="P250" i="6"/>
  <c r="P251" i="6"/>
  <c r="P149" i="6"/>
  <c r="P22" i="11"/>
  <c r="P24" i="11" s="1"/>
  <c r="P25" i="11" s="1"/>
  <c r="P250" i="5"/>
  <c r="P251" i="5"/>
  <c r="P149" i="5"/>
  <c r="P250" i="4"/>
  <c r="P251" i="4"/>
  <c r="P149" i="4"/>
  <c r="P251" i="3"/>
  <c r="P250" i="3"/>
  <c r="P149" i="3"/>
  <c r="P149" i="2"/>
  <c r="H34" i="17"/>
  <c r="H32" i="17"/>
  <c r="H62" i="17"/>
  <c r="H47" i="17"/>
  <c r="H45" i="17"/>
  <c r="H30" i="17"/>
  <c r="E47" i="17"/>
  <c r="E34" i="17"/>
  <c r="E45" i="17"/>
  <c r="E32" i="17"/>
  <c r="E30" i="17"/>
  <c r="E62" i="17"/>
  <c r="P22" i="8"/>
  <c r="P24" i="8" s="1"/>
  <c r="P25" i="8" s="1"/>
  <c r="P243" i="8"/>
  <c r="P22" i="5"/>
  <c r="P24" i="5" s="1"/>
  <c r="P25" i="5" s="1"/>
  <c r="P230" i="5"/>
  <c r="I42" i="15"/>
  <c r="M58" i="5"/>
  <c r="M249" i="5" s="1"/>
  <c r="M42" i="5"/>
  <c r="F58" i="16"/>
  <c r="F249" i="16" s="1"/>
  <c r="F42" i="16"/>
  <c r="K42" i="16"/>
  <c r="K58" i="16"/>
  <c r="K249" i="16" s="1"/>
  <c r="J42" i="16"/>
  <c r="J58" i="16"/>
  <c r="J249" i="16" s="1"/>
  <c r="H60" i="16"/>
  <c r="H59" i="16"/>
  <c r="E42" i="16"/>
  <c r="E58" i="16"/>
  <c r="E249" i="16" s="1"/>
  <c r="D42" i="16"/>
  <c r="D58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F58" i="15"/>
  <c r="F249" i="15" s="1"/>
  <c r="F42" i="15"/>
  <c r="J42" i="15"/>
  <c r="J58" i="15"/>
  <c r="J249" i="15" s="1"/>
  <c r="I60" i="15"/>
  <c r="I59" i="15"/>
  <c r="D42" i="15"/>
  <c r="K42" i="13"/>
  <c r="J42" i="13"/>
  <c r="J58" i="13"/>
  <c r="J249" i="13" s="1"/>
  <c r="I60" i="13"/>
  <c r="I59" i="13"/>
  <c r="D42" i="13"/>
  <c r="G58" i="13"/>
  <c r="G249" i="13" s="1"/>
  <c r="G42" i="13"/>
  <c r="E42" i="13"/>
  <c r="E58" i="13"/>
  <c r="E249" i="13" s="1"/>
  <c r="F42" i="13"/>
  <c r="F58" i="13"/>
  <c r="F249" i="13" s="1"/>
  <c r="L243" i="12"/>
  <c r="L230" i="12"/>
  <c r="L149" i="12"/>
  <c r="G58" i="12"/>
  <c r="K58" i="12"/>
  <c r="K249" i="12" s="1"/>
  <c r="K42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F249" i="12" s="1"/>
  <c r="L217" i="12"/>
  <c r="L77" i="12"/>
  <c r="D42" i="12"/>
  <c r="I42" i="12"/>
  <c r="I58" i="12"/>
  <c r="I249" i="12" s="1"/>
  <c r="P230" i="11"/>
  <c r="P76" i="11"/>
  <c r="P77" i="11" s="1"/>
  <c r="P92" i="8"/>
  <c r="N259" i="8"/>
  <c r="H58" i="8"/>
  <c r="J60" i="8"/>
  <c r="J59" i="8"/>
  <c r="E42" i="8"/>
  <c r="G42" i="8"/>
  <c r="G58" i="8"/>
  <c r="G249" i="8" s="1"/>
  <c r="L58" i="8"/>
  <c r="L249" i="8" s="1"/>
  <c r="L42" i="8"/>
  <c r="K58" i="8"/>
  <c r="K249" i="8" s="1"/>
  <c r="K42" i="8"/>
  <c r="I58" i="8"/>
  <c r="I249" i="8" s="1"/>
  <c r="I42" i="8"/>
  <c r="D42" i="8"/>
  <c r="P41" i="8"/>
  <c r="P42" i="8" s="1"/>
  <c r="M42" i="8"/>
  <c r="M58" i="8"/>
  <c r="M249" i="8" s="1"/>
  <c r="N59" i="8"/>
  <c r="N60" i="8"/>
  <c r="P217" i="8"/>
  <c r="P230" i="8"/>
  <c r="D243" i="8"/>
  <c r="D249" i="8" s="1"/>
  <c r="E42" i="7"/>
  <c r="M59" i="7"/>
  <c r="M60" i="7"/>
  <c r="L249" i="7"/>
  <c r="L42" i="7"/>
  <c r="D42" i="7"/>
  <c r="P41" i="7"/>
  <c r="P42" i="7" s="1"/>
  <c r="H42" i="7"/>
  <c r="H58" i="7"/>
  <c r="H249" i="7" s="1"/>
  <c r="P259" i="7"/>
  <c r="P94" i="7"/>
  <c r="P95" i="7" s="1"/>
  <c r="F42" i="7"/>
  <c r="G42" i="7"/>
  <c r="G58" i="7"/>
  <c r="G249" i="7" s="1"/>
  <c r="I60" i="7"/>
  <c r="I59" i="7"/>
  <c r="N59" i="7"/>
  <c r="N60" i="7"/>
  <c r="P76" i="7"/>
  <c r="P77" i="7" s="1"/>
  <c r="I249" i="6"/>
  <c r="I42" i="6"/>
  <c r="K58" i="6"/>
  <c r="K249" i="6" s="1"/>
  <c r="K42" i="6"/>
  <c r="J58" i="6"/>
  <c r="J249" i="6" s="1"/>
  <c r="J42" i="6"/>
  <c r="P259" i="6"/>
  <c r="P94" i="6"/>
  <c r="P95" i="6" s="1"/>
  <c r="P41" i="6"/>
  <c r="P42" i="6" s="1"/>
  <c r="D42" i="6"/>
  <c r="F42" i="6"/>
  <c r="L58" i="6"/>
  <c r="L249" i="6" s="1"/>
  <c r="L42" i="6"/>
  <c r="G42" i="6"/>
  <c r="G58" i="6"/>
  <c r="G249" i="6" s="1"/>
  <c r="M42" i="6"/>
  <c r="M58" i="6"/>
  <c r="M249" i="6" s="1"/>
  <c r="N42" i="6"/>
  <c r="N58" i="6"/>
  <c r="N249" i="6" s="1"/>
  <c r="E42" i="6"/>
  <c r="P217" i="6"/>
  <c r="H42" i="6"/>
  <c r="H58" i="6"/>
  <c r="H249" i="6" s="1"/>
  <c r="P217" i="5"/>
  <c r="L60" i="5"/>
  <c r="L59" i="5"/>
  <c r="E42" i="5"/>
  <c r="I42" i="5"/>
  <c r="I58" i="5"/>
  <c r="I249" i="5" s="1"/>
  <c r="G42" i="5"/>
  <c r="G58" i="5"/>
  <c r="G249" i="5" s="1"/>
  <c r="N58" i="5"/>
  <c r="N249" i="5" s="1"/>
  <c r="N42" i="5"/>
  <c r="P92" i="5"/>
  <c r="N259" i="5"/>
  <c r="D42" i="5"/>
  <c r="P41" i="5"/>
  <c r="P42" i="5" s="1"/>
  <c r="H42" i="5"/>
  <c r="H58" i="5"/>
  <c r="H249" i="5" s="1"/>
  <c r="F42" i="5"/>
  <c r="P217" i="4"/>
  <c r="G59" i="4"/>
  <c r="G60" i="4"/>
  <c r="D42" i="4"/>
  <c r="P41" i="4"/>
  <c r="P42" i="4" s="1"/>
  <c r="E42" i="4"/>
  <c r="L58" i="4"/>
  <c r="L249" i="4" s="1"/>
  <c r="L42" i="4"/>
  <c r="H42" i="4"/>
  <c r="H58" i="4"/>
  <c r="H249" i="4" s="1"/>
  <c r="I58" i="4"/>
  <c r="I249" i="4" s="1"/>
  <c r="I42" i="4"/>
  <c r="N59" i="4"/>
  <c r="N60" i="4"/>
  <c r="K58" i="4"/>
  <c r="K249" i="4" s="1"/>
  <c r="K42" i="4"/>
  <c r="M42" i="4"/>
  <c r="M58" i="4"/>
  <c r="M249" i="4" s="1"/>
  <c r="J58" i="4"/>
  <c r="J249" i="4" s="1"/>
  <c r="J42" i="4"/>
  <c r="P92" i="4"/>
  <c r="N94" i="4"/>
  <c r="N95" i="4" s="1"/>
  <c r="N255" i="4" s="1"/>
  <c r="P230" i="4"/>
  <c r="D243" i="4"/>
  <c r="D249" i="4" s="1"/>
  <c r="K58" i="3"/>
  <c r="K249" i="3" s="1"/>
  <c r="K42" i="3"/>
  <c r="N42" i="3"/>
  <c r="N58" i="3"/>
  <c r="N249" i="3" s="1"/>
  <c r="L60" i="3"/>
  <c r="L59" i="3"/>
  <c r="I249" i="3"/>
  <c r="I42" i="3"/>
  <c r="F42" i="3"/>
  <c r="H42" i="3"/>
  <c r="H58" i="3"/>
  <c r="H249" i="3" s="1"/>
  <c r="P217" i="3"/>
  <c r="D42" i="3"/>
  <c r="P41" i="3"/>
  <c r="P42" i="3" s="1"/>
  <c r="J58" i="3"/>
  <c r="J249" i="3" s="1"/>
  <c r="J42" i="3"/>
  <c r="P259" i="3"/>
  <c r="P94" i="3"/>
  <c r="P95" i="3" s="1"/>
  <c r="E42" i="3"/>
  <c r="E42" i="2"/>
  <c r="I42" i="2"/>
  <c r="H42" i="2"/>
  <c r="H58" i="2"/>
  <c r="H249" i="2" s="1"/>
  <c r="K58" i="2"/>
  <c r="K249" i="2" s="1"/>
  <c r="K42" i="2"/>
  <c r="D42" i="2"/>
  <c r="P41" i="2"/>
  <c r="P42" i="2" s="1"/>
  <c r="N259" i="2"/>
  <c r="P92" i="2"/>
  <c r="M42" i="2"/>
  <c r="M58" i="2"/>
  <c r="M249" i="2" s="1"/>
  <c r="L58" i="2"/>
  <c r="L249" i="2" s="1"/>
  <c r="L42" i="2"/>
  <c r="N42" i="2"/>
  <c r="N58" i="2"/>
  <c r="N249" i="2" s="1"/>
  <c r="P217" i="2"/>
  <c r="G42" i="2"/>
  <c r="G58" i="2"/>
  <c r="G249" i="2" s="1"/>
  <c r="G60" i="3" l="1"/>
  <c r="G59" i="3"/>
  <c r="P243" i="2"/>
  <c r="K40" i="17"/>
  <c r="K38" i="17"/>
  <c r="K91" i="17"/>
  <c r="K256" i="17" s="1"/>
  <c r="K258" i="17" s="1"/>
  <c r="G82" i="17"/>
  <c r="G83" i="17" s="1"/>
  <c r="E76" i="17"/>
  <c r="E77" i="17" s="1"/>
  <c r="H249" i="8"/>
  <c r="H59" i="8"/>
  <c r="D249" i="16"/>
  <c r="K42" i="15"/>
  <c r="P250" i="2"/>
  <c r="J59" i="5"/>
  <c r="J60" i="5"/>
  <c r="P230" i="2"/>
  <c r="F60" i="8"/>
  <c r="F249" i="8"/>
  <c r="F59" i="8"/>
  <c r="F60" i="4"/>
  <c r="F249" i="4"/>
  <c r="F59" i="4"/>
  <c r="G41" i="17"/>
  <c r="G58" i="17" s="1"/>
  <c r="G59" i="17" s="1"/>
  <c r="L41" i="12"/>
  <c r="L42" i="12" s="1"/>
  <c r="G38" i="17"/>
  <c r="E41" i="17"/>
  <c r="E42" i="17" s="1"/>
  <c r="F41" i="17"/>
  <c r="F42" i="17" s="1"/>
  <c r="I92" i="17"/>
  <c r="I77" i="17"/>
  <c r="H59" i="13"/>
  <c r="H60" i="15"/>
  <c r="H60" i="13"/>
  <c r="P255" i="4"/>
  <c r="P259" i="4" s="1"/>
  <c r="G255" i="16"/>
  <c r="G259" i="16" s="1"/>
  <c r="J41" i="17"/>
  <c r="J38" i="17"/>
  <c r="H41" i="17"/>
  <c r="H59" i="15"/>
  <c r="G42" i="11"/>
  <c r="J60" i="2"/>
  <c r="J59" i="2"/>
  <c r="N42" i="11"/>
  <c r="O42" i="11"/>
  <c r="P41" i="11"/>
  <c r="P42" i="11" s="1"/>
  <c r="I42" i="11"/>
  <c r="K41" i="17"/>
  <c r="K42" i="11"/>
  <c r="J42" i="11"/>
  <c r="M42" i="11"/>
  <c r="L42" i="11"/>
  <c r="N259" i="4"/>
  <c r="M60" i="3"/>
  <c r="M59" i="3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M60" i="5"/>
  <c r="M59" i="5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K60" i="12"/>
  <c r="K59" i="12"/>
  <c r="H59" i="12"/>
  <c r="H60" i="12"/>
  <c r="J60" i="12"/>
  <c r="J59" i="12"/>
  <c r="E59" i="12"/>
  <c r="E60" i="12"/>
  <c r="I59" i="12"/>
  <c r="I60" i="12"/>
  <c r="F59" i="12"/>
  <c r="F60" i="12"/>
  <c r="L259" i="12"/>
  <c r="L94" i="12"/>
  <c r="L95" i="12" s="1"/>
  <c r="P94" i="11"/>
  <c r="P95" i="11" s="1"/>
  <c r="L59" i="8"/>
  <c r="L60" i="8"/>
  <c r="G59" i="8"/>
  <c r="G60" i="8"/>
  <c r="H60" i="8"/>
  <c r="M59" i="8"/>
  <c r="M60" i="8"/>
  <c r="K59" i="8"/>
  <c r="K60" i="8"/>
  <c r="I60" i="8"/>
  <c r="I59" i="8"/>
  <c r="P58" i="8"/>
  <c r="P249" i="8" s="1"/>
  <c r="P259" i="8"/>
  <c r="P94" i="8"/>
  <c r="P95" i="8" s="1"/>
  <c r="G59" i="7"/>
  <c r="G60" i="7"/>
  <c r="H60" i="7"/>
  <c r="H59" i="7"/>
  <c r="P58" i="7"/>
  <c r="P249" i="7" s="1"/>
  <c r="L59" i="6"/>
  <c r="L60" i="6"/>
  <c r="H60" i="6"/>
  <c r="H59" i="6"/>
  <c r="N59" i="6"/>
  <c r="N60" i="6"/>
  <c r="J60" i="6"/>
  <c r="J59" i="6"/>
  <c r="M59" i="6"/>
  <c r="M60" i="6"/>
  <c r="K59" i="6"/>
  <c r="K60" i="6"/>
  <c r="G59" i="6"/>
  <c r="G60" i="6"/>
  <c r="P58" i="6"/>
  <c r="P249" i="6" s="1"/>
  <c r="N59" i="5"/>
  <c r="N60" i="5"/>
  <c r="G59" i="5"/>
  <c r="G60" i="5"/>
  <c r="P58" i="5"/>
  <c r="P249" i="5" s="1"/>
  <c r="I60" i="5"/>
  <c r="I59" i="5"/>
  <c r="H60" i="5"/>
  <c r="H59" i="5"/>
  <c r="P259" i="5"/>
  <c r="P94" i="5"/>
  <c r="P95" i="5" s="1"/>
  <c r="H60" i="4"/>
  <c r="H59" i="4"/>
  <c r="J60" i="4"/>
  <c r="J59" i="4"/>
  <c r="L59" i="4"/>
  <c r="L60" i="4"/>
  <c r="P58" i="4"/>
  <c r="P249" i="4" s="1"/>
  <c r="M59" i="4"/>
  <c r="M60" i="4"/>
  <c r="P94" i="4"/>
  <c r="P95" i="4" s="1"/>
  <c r="K59" i="4"/>
  <c r="K60" i="4"/>
  <c r="I60" i="4"/>
  <c r="I59" i="4"/>
  <c r="H60" i="3"/>
  <c r="H59" i="3"/>
  <c r="N59" i="3"/>
  <c r="N60" i="3"/>
  <c r="P58" i="3"/>
  <c r="P249" i="3" s="1"/>
  <c r="K59" i="3"/>
  <c r="K60" i="3"/>
  <c r="J60" i="3"/>
  <c r="J59" i="3"/>
  <c r="L59" i="2"/>
  <c r="L60" i="2"/>
  <c r="P58" i="2"/>
  <c r="M60" i="2"/>
  <c r="M59" i="2"/>
  <c r="N59" i="2"/>
  <c r="N60" i="2"/>
  <c r="P259" i="2"/>
  <c r="P94" i="2"/>
  <c r="P95" i="2" s="1"/>
  <c r="K59" i="2"/>
  <c r="K60" i="2"/>
  <c r="G59" i="2"/>
  <c r="G60" i="2"/>
  <c r="H59" i="2"/>
  <c r="H60" i="2"/>
  <c r="P249" i="2" l="1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P60" i="8"/>
  <c r="P59" i="8"/>
  <c r="P60" i="7"/>
  <c r="P59" i="7"/>
  <c r="P60" i="6"/>
  <c r="P59" i="6"/>
  <c r="P60" i="5"/>
  <c r="P59" i="5"/>
  <c r="P60" i="4"/>
  <c r="P59" i="4"/>
  <c r="P60" i="3"/>
  <c r="P59" i="3"/>
  <c r="P60" i="2"/>
  <c r="P59" i="2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L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E259" i="1" s="1"/>
  <c r="F105" i="1"/>
  <c r="F259" i="1" s="1"/>
  <c r="G105" i="1"/>
  <c r="H105" i="1"/>
  <c r="I105" i="1"/>
  <c r="J105" i="1"/>
  <c r="K105" i="1"/>
  <c r="L105" i="1"/>
  <c r="M105" i="1"/>
  <c r="N105" i="1"/>
  <c r="D105" i="1"/>
  <c r="D259" i="1" s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E193" i="1"/>
  <c r="F193" i="1"/>
  <c r="G193" i="1"/>
  <c r="H193" i="1"/>
  <c r="I193" i="1"/>
  <c r="J193" i="1"/>
  <c r="K193" i="1"/>
  <c r="L193" i="1"/>
  <c r="M193" i="1"/>
  <c r="D193" i="1"/>
  <c r="E247" i="1" l="1"/>
  <c r="F247" i="1"/>
  <c r="G247" i="1"/>
  <c r="H247" i="1"/>
  <c r="I247" i="1"/>
  <c r="J247" i="1"/>
  <c r="K247" i="1"/>
  <c r="L247" i="1"/>
  <c r="M247" i="1"/>
  <c r="N247" i="1"/>
  <c r="P247" i="1"/>
  <c r="D247" i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E94" i="1"/>
  <c r="E95" i="1" s="1"/>
  <c r="F94" i="1"/>
  <c r="F95" i="1" s="1"/>
  <c r="G95" i="1"/>
  <c r="H94" i="1"/>
  <c r="H95" i="1" s="1"/>
  <c r="D94" i="1"/>
  <c r="D95" i="1" s="1"/>
  <c r="J83" i="1"/>
  <c r="M82" i="1"/>
  <c r="M83" i="1" s="1"/>
  <c r="J71" i="1"/>
  <c r="K66" i="1" s="1"/>
  <c r="M70" i="1"/>
  <c r="M71" i="1" s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K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K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N82" i="1"/>
  <c r="N83" i="1" s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D125" i="17" s="1"/>
  <c r="M125" i="17" s="1"/>
  <c r="P130" i="1"/>
  <c r="D130" i="17" s="1"/>
  <c r="M130" i="17" s="1"/>
  <c r="P140" i="1"/>
  <c r="D140" i="17" s="1"/>
  <c r="M140" i="17" s="1"/>
  <c r="K204" i="1"/>
  <c r="F210" i="1"/>
  <c r="H210" i="1"/>
  <c r="J210" i="1"/>
  <c r="G216" i="1"/>
  <c r="L216" i="1"/>
  <c r="M216" i="1"/>
  <c r="H230" i="1"/>
  <c r="H243" i="1" s="1"/>
  <c r="I223" i="1"/>
  <c r="I230" i="1" s="1"/>
  <c r="K223" i="1"/>
  <c r="K230" i="1" s="1"/>
  <c r="L223" i="1"/>
  <c r="L230" i="1" s="1"/>
  <c r="N242" i="1"/>
  <c r="G258" i="1"/>
  <c r="I258" i="1"/>
  <c r="J258" i="1"/>
  <c r="K258" i="1"/>
  <c r="M258" i="1"/>
  <c r="H251" i="1" l="1"/>
  <c r="H250" i="1"/>
  <c r="K71" i="1"/>
  <c r="K66" i="11"/>
  <c r="K90" i="1"/>
  <c r="K95" i="1" s="1"/>
  <c r="D255" i="13"/>
  <c r="D259" i="13" s="1"/>
  <c r="J250" i="1"/>
  <c r="J251" i="1"/>
  <c r="F251" i="1"/>
  <c r="F250" i="1"/>
  <c r="G22" i="1"/>
  <c r="G24" i="1" s="1"/>
  <c r="G25" i="1" s="1"/>
  <c r="D123" i="17"/>
  <c r="I249" i="11"/>
  <c r="I60" i="11"/>
  <c r="I59" i="11"/>
  <c r="H249" i="11"/>
  <c r="H60" i="11"/>
  <c r="H59" i="11"/>
  <c r="D52" i="12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H258" i="1"/>
  <c r="D216" i="1"/>
  <c r="E22" i="1"/>
  <c r="E24" i="1" s="1"/>
  <c r="E25" i="1" s="1"/>
  <c r="N91" i="1"/>
  <c r="N256" i="1" s="1"/>
  <c r="N256" i="11" s="1"/>
  <c r="E216" i="1"/>
  <c r="N216" i="1"/>
  <c r="K242" i="1"/>
  <c r="K243" i="1" s="1"/>
  <c r="N204" i="1"/>
  <c r="F216" i="1"/>
  <c r="M22" i="1"/>
  <c r="M24" i="1" s="1"/>
  <c r="F242" i="1"/>
  <c r="L22" i="1"/>
  <c r="L24" i="1" s="1"/>
  <c r="L25" i="1" s="1"/>
  <c r="J22" i="1"/>
  <c r="J24" i="1" s="1"/>
  <c r="J25" i="1" s="1"/>
  <c r="M259" i="1"/>
  <c r="D242" i="1"/>
  <c r="E41" i="1"/>
  <c r="E58" i="1" s="1"/>
  <c r="D41" i="1"/>
  <c r="D58" i="1" s="1"/>
  <c r="N41" i="1"/>
  <c r="N42" i="1" s="1"/>
  <c r="M41" i="1"/>
  <c r="M58" i="1" s="1"/>
  <c r="K216" i="1"/>
  <c r="J41" i="1"/>
  <c r="J42" i="1" s="1"/>
  <c r="M210" i="1"/>
  <c r="L210" i="1"/>
  <c r="J259" i="1"/>
  <c r="L41" i="1"/>
  <c r="H22" i="1"/>
  <c r="H24" i="1" s="1"/>
  <c r="H25" i="1" s="1"/>
  <c r="K41" i="1"/>
  <c r="L242" i="1"/>
  <c r="L243" i="1" s="1"/>
  <c r="M204" i="1"/>
  <c r="I41" i="1"/>
  <c r="G210" i="1"/>
  <c r="H41" i="1"/>
  <c r="G41" i="1"/>
  <c r="G58" i="1" s="1"/>
  <c r="F41" i="1"/>
  <c r="F58" i="1" s="1"/>
  <c r="L259" i="1"/>
  <c r="N22" i="1"/>
  <c r="N24" i="1" s="1"/>
  <c r="N25" i="1" s="1"/>
  <c r="K259" i="1"/>
  <c r="M242" i="1"/>
  <c r="I216" i="1"/>
  <c r="N90" i="1"/>
  <c r="M223" i="1"/>
  <c r="J123" i="1"/>
  <c r="L258" i="1"/>
  <c r="K210" i="1"/>
  <c r="H123" i="1"/>
  <c r="G259" i="1"/>
  <c r="I259" i="1"/>
  <c r="K22" i="1"/>
  <c r="K24" i="1" s="1"/>
  <c r="K25" i="1" s="1"/>
  <c r="I210" i="1"/>
  <c r="P90" i="1"/>
  <c r="P135" i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N89" i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D46" i="17" s="1"/>
  <c r="M46" i="17" s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J216" i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H216" i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D153" i="17" s="1"/>
  <c r="M153" i="17" s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D143" i="17" s="1"/>
  <c r="M143" i="17" s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D142" i="17" s="1"/>
  <c r="M142" i="17" s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D141" i="17" s="1"/>
  <c r="M141" i="17" s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H259" i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O256" i="11" l="1"/>
  <c r="O258" i="11" s="1"/>
  <c r="K90" i="11"/>
  <c r="K95" i="11" s="1"/>
  <c r="K255" i="11" s="1"/>
  <c r="K259" i="11" s="1"/>
  <c r="K71" i="11"/>
  <c r="N258" i="11"/>
  <c r="D30" i="17"/>
  <c r="M29" i="17"/>
  <c r="D251" i="1"/>
  <c r="D250" i="1"/>
  <c r="E59" i="1"/>
  <c r="E60" i="1"/>
  <c r="D59" i="1"/>
  <c r="E251" i="1"/>
  <c r="E250" i="1"/>
  <c r="K251" i="1"/>
  <c r="K250" i="1"/>
  <c r="L251" i="1"/>
  <c r="L250" i="1"/>
  <c r="N251" i="1"/>
  <c r="N250" i="1"/>
  <c r="M217" i="1"/>
  <c r="M251" i="1"/>
  <c r="M250" i="1"/>
  <c r="F59" i="1"/>
  <c r="F60" i="1"/>
  <c r="I250" i="1"/>
  <c r="I251" i="1"/>
  <c r="G250" i="1"/>
  <c r="G251" i="1"/>
  <c r="D38" i="17"/>
  <c r="D58" i="13"/>
  <c r="P52" i="11"/>
  <c r="D58" i="11"/>
  <c r="G249" i="11"/>
  <c r="G59" i="11"/>
  <c r="G60" i="11"/>
  <c r="D58" i="15"/>
  <c r="L52" i="12"/>
  <c r="D58" i="12"/>
  <c r="J59" i="11"/>
  <c r="J60" i="11"/>
  <c r="J249" i="11"/>
  <c r="J243" i="1"/>
  <c r="P145" i="1"/>
  <c r="D135" i="17"/>
  <c r="M148" i="17"/>
  <c r="P256" i="1"/>
  <c r="P258" i="1" s="1"/>
  <c r="D256" i="16"/>
  <c r="N258" i="1"/>
  <c r="D40" i="17"/>
  <c r="M144" i="17"/>
  <c r="M134" i="17"/>
  <c r="M147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D144" i="17"/>
  <c r="D148" i="17"/>
  <c r="D147" i="17"/>
  <c r="D146" i="17"/>
  <c r="P82" i="1"/>
  <c r="P83" i="1" s="1"/>
  <c r="D81" i="17"/>
  <c r="D74" i="17"/>
  <c r="D91" i="17"/>
  <c r="M91" i="17" s="1"/>
  <c r="D71" i="17"/>
  <c r="D193" i="17"/>
  <c r="D47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47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N94" i="1"/>
  <c r="N95" i="1" s="1"/>
  <c r="N255" i="11" s="1"/>
  <c r="J58" i="1"/>
  <c r="J249" i="1" s="1"/>
  <c r="E42" i="1"/>
  <c r="P147" i="1"/>
  <c r="G42" i="1"/>
  <c r="M42" i="1"/>
  <c r="N58" i="1"/>
  <c r="N249" i="1" s="1"/>
  <c r="K217" i="1"/>
  <c r="P21" i="1"/>
  <c r="P139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K58" i="1"/>
  <c r="K249" i="1" s="1"/>
  <c r="I217" i="1"/>
  <c r="G59" i="1"/>
  <c r="L42" i="1"/>
  <c r="L58" i="1"/>
  <c r="L249" i="1" s="1"/>
  <c r="P91" i="1"/>
  <c r="P242" i="1"/>
  <c r="P15" i="1"/>
  <c r="P204" i="1"/>
  <c r="P193" i="1"/>
  <c r="P129" i="1"/>
  <c r="P14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134" i="1"/>
  <c r="P148" i="1"/>
  <c r="P40" i="1"/>
  <c r="P92" i="1"/>
  <c r="P210" i="1"/>
  <c r="P223" i="1"/>
  <c r="P146" i="1"/>
  <c r="M25" i="1"/>
  <c r="M30" i="17" l="1"/>
  <c r="P256" i="11"/>
  <c r="P258" i="11" s="1"/>
  <c r="O255" i="11"/>
  <c r="O259" i="11" s="1"/>
  <c r="D139" i="17"/>
  <c r="M135" i="17"/>
  <c r="D76" i="17"/>
  <c r="D77" i="17" s="1"/>
  <c r="M74" i="17"/>
  <c r="D82" i="17"/>
  <c r="D83" i="17" s="1"/>
  <c r="M81" i="17"/>
  <c r="D265" i="17"/>
  <c r="M210" i="17"/>
  <c r="N259" i="11"/>
  <c r="D60" i="1"/>
  <c r="D249" i="11"/>
  <c r="D60" i="11"/>
  <c r="P58" i="11"/>
  <c r="D59" i="11"/>
  <c r="D249" i="12"/>
  <c r="L58" i="12"/>
  <c r="D60" i="12"/>
  <c r="D59" i="12"/>
  <c r="D249" i="13"/>
  <c r="D59" i="13"/>
  <c r="D60" i="13"/>
  <c r="D249" i="15"/>
  <c r="D60" i="15"/>
  <c r="D59" i="15"/>
  <c r="D145" i="17"/>
  <c r="D149" i="17" s="1"/>
  <c r="D258" i="16"/>
  <c r="M129" i="17"/>
  <c r="M146" i="17"/>
  <c r="M89" i="17"/>
  <c r="D88" i="17"/>
  <c r="P255" i="1"/>
  <c r="P259" i="1" s="1"/>
  <c r="D255" i="16"/>
  <c r="N259" i="1"/>
  <c r="M21" i="17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P149" i="1"/>
  <c r="K59" i="1"/>
  <c r="K60" i="1"/>
  <c r="P58" i="1"/>
  <c r="I59" i="1"/>
  <c r="I60" i="1"/>
  <c r="M76" i="17" l="1"/>
  <c r="M22" i="17"/>
  <c r="P255" i="11"/>
  <c r="P259" i="11" s="1"/>
  <c r="D89" i="17"/>
  <c r="M88" i="17"/>
  <c r="L249" i="12"/>
  <c r="L59" i="12"/>
  <c r="L60" i="12"/>
  <c r="P249" i="11"/>
  <c r="P59" i="11"/>
  <c r="P60" i="11"/>
  <c r="M145" i="17"/>
  <c r="M139" i="17"/>
  <c r="D259" i="16"/>
  <c r="D60" i="17"/>
  <c r="M82" i="17"/>
  <c r="D94" i="17"/>
  <c r="M77" i="17"/>
  <c r="D258" i="17"/>
  <c r="M258" i="17"/>
  <c r="M59" i="17"/>
  <c r="D59" i="17"/>
  <c r="D243" i="17"/>
  <c r="D249" i="17" s="1"/>
  <c r="M251" i="17"/>
  <c r="M250" i="17"/>
  <c r="M24" i="17"/>
  <c r="M243" i="17"/>
  <c r="M217" i="17"/>
  <c r="P249" i="1"/>
  <c r="P60" i="1"/>
  <c r="P59" i="1"/>
  <c r="M149" i="17" l="1"/>
  <c r="M25" i="17"/>
  <c r="M83" i="17"/>
  <c r="D95" i="17"/>
  <c r="D255" i="17" s="1"/>
  <c r="D99" i="17"/>
  <c r="M94" i="17"/>
  <c r="M249" i="17"/>
  <c r="M60" i="17"/>
  <c r="M95" i="17" l="1"/>
  <c r="D259" i="17"/>
  <c r="M255" i="17"/>
  <c r="M259" i="17" l="1"/>
  <c r="P192" i="2"/>
  <c r="E192" i="13"/>
  <c r="E193" i="13" s="1"/>
  <c r="G192" i="11"/>
  <c r="P192" i="11" s="1"/>
  <c r="P193" i="11" s="1"/>
  <c r="E192" i="17" l="1"/>
  <c r="M192" i="17" s="1"/>
  <c r="P193" i="2"/>
  <c r="G193" i="11"/>
  <c r="M193" i="17" l="1"/>
  <c r="E193" i="17"/>
</calcChain>
</file>

<file path=xl/sharedStrings.xml><?xml version="1.0" encoding="utf-8"?>
<sst xmlns="http://schemas.openxmlformats.org/spreadsheetml/2006/main" count="7887" uniqueCount="232">
  <si>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</si>
  <si>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</si>
  <si>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</si>
  <si>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</si>
  <si>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</si>
  <si>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</si>
  <si>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</si>
  <si>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</si>
  <si>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</si>
  <si>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</si>
  <si>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</si>
  <si>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</si>
  <si>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</si>
  <si>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</si>
  <si>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</si>
  <si>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</si>
  <si>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</si>
  <si>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</si>
  <si>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</si>
  <si>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</si>
  <si>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</si>
  <si>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</si>
  <si>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</si>
  <si>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</si>
  <si>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</si>
  <si>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</si>
  <si>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</si>
  <si>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</si>
  <si>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</si>
  <si>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</si>
  <si>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</si>
  <si>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</si>
  <si>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</si>
  <si>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</si>
  <si>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</si>
  <si>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</si>
  <si>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</si>
  <si>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</si>
  <si>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</si>
  <si>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</si>
  <si>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</si>
  <si>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</si>
  <si>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</si>
  <si>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</si>
  <si>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</si>
  <si>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</si>
  <si>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</si>
  <si>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</si>
  <si>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</si>
  <si>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</si>
  <si>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</si>
  <si>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</si>
  <si>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</si>
  <si>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</si>
  <si>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</si>
  <si>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</si>
  <si>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</si>
  <si>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</si>
  <si>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</si>
  <si>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</si>
  <si>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</si>
  <si>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</si>
  <si>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</si>
  <si>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</si>
  <si>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</si>
  <si>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</si>
  <si>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</si>
  <si>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</si>
  <si>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</si>
  <si>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</si>
  <si>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</si>
  <si>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</si>
  <si>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</si>
  <si>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</si>
  <si>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</si>
  <si>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</si>
  <si>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</si>
  <si>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</si>
  <si>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</si>
  <si>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</si>
  <si>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</si>
  <si>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</si>
  <si>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</si>
  <si>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</si>
  <si>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</si>
  <si>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</si>
  <si>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</si>
  <si>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</si>
  <si>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</si>
  <si>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</si>
  <si>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</si>
  <si>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</si>
  <si>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</si>
  <si>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</si>
  <si>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</si>
  <si>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</si>
  <si>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</si>
  <si>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</si>
  <si>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</si>
  <si>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</si>
  <si>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</si>
  <si>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</si>
  <si>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</si>
  <si>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</si>
  <si>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</si>
  <si>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</si>
  <si>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</si>
  <si>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</si>
  <si>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</si>
  <si>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</si>
  <si>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</si>
  <si>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</si>
  <si>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</si>
  <si>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</si>
  <si>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</si>
  <si>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</si>
  <si>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</si>
  <si>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</si>
  <si>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</si>
  <si>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</si>
  <si>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</si>
  <si>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</si>
  <si>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</si>
  <si>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</si>
  <si>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</si>
  <si>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</si>
  <si>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</si>
  <si>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</si>
  <si>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</si>
  <si>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</si>
  <si>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</si>
  <si>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</si>
  <si>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</si>
  <si>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</si>
  <si>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</si>
  <si>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</si>
  <si>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</si>
  <si>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</si>
  <si>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</si>
  <si>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</si>
  <si>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</si>
  <si>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</si>
  <si>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</si>
  <si>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</si>
  <si>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</si>
  <si>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</si>
  <si>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</si>
  <si>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</si>
  <si>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</si>
  <si>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</si>
  <si>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</si>
  <si>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</si>
  <si>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</si>
  <si>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</si>
  <si>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</si>
  <si>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</si>
  <si>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</si>
  <si>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</si>
  <si>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</si>
  <si>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</si>
  <si>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</si>
  <si>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</si>
  <si>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</si>
  <si>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</si>
  <si>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</si>
  <si>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</si>
  <si>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</si>
  <si>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</si>
  <si>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</si>
  <si>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</si>
  <si>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</si>
  <si>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</si>
  <si>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</si>
  <si>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</si>
  <si>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</si>
  <si>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</si>
  <si>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</si>
  <si>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</si>
  <si>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</si>
  <si>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</si>
  <si>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</si>
  <si>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</si>
  <si>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</si>
  <si>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</si>
  <si>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</si>
  <si>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</si>
  <si>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</si>
  <si>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</si>
  <si>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</si>
  <si>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</si>
  <si>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</si>
  <si>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</si>
  <si>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</si>
  <si>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</si>
  <si>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</si>
  <si>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</si>
  <si>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</si>
  <si>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</si>
  <si>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</si>
  <si>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</si>
  <si>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</si>
  <si>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</si>
  <si>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</si>
  <si>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</si>
  <si>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</si>
  <si>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</si>
  <si>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</si>
  <si>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</si>
  <si>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</si>
  <si>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</si>
  <si>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</si>
  <si>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</si>
  <si>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</si>
  <si>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</si>
  <si>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</si>
  <si>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</si>
  <si>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</si>
  <si>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 xml:space="preserve"> MONTHLY REPORTS - 2023/2024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</si>
  <si>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</si>
  <si>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</si>
  <si>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</si>
  <si>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</si>
  <si>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</si>
  <si>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</si>
  <si>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</si>
  <si>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</si>
  <si>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</si>
  <si>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</si>
  <si>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.</t>
  </si>
  <si>
    <t>Nkando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</si>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</sst>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  <numFmt numFmtId="169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44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1" fontId="4" fillId="0" borderId="38" xfId="0" applyNumberFormat="1" applyFont="1" applyFill="1" applyBorder="1"/>
    <xf numFmtId="1" fontId="4" fillId="0" borderId="40" xfId="0" applyNumberFormat="1" applyFont="1" applyFill="1" applyBorder="1"/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Fill="1" applyBorder="1"/>
    <xf numFmtId="1" fontId="4" fillId="0" borderId="44" xfId="0" applyNumberFormat="1" applyFont="1" applyFill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" fontId="4" fillId="0" borderId="11" xfId="1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Fill="1" applyBorder="1"/>
    <xf numFmtId="1" fontId="8" fillId="0" borderId="43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NumberFormat="1" applyFont="1" applyFill="1" applyBorder="1"/>
    <xf numFmtId="0" fontId="8" fillId="0" borderId="43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" fontId="4" fillId="0" borderId="7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" fontId="8" fillId="0" borderId="1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Fill="1" applyBorder="1"/>
    <xf numFmtId="164" fontId="0" fillId="0" borderId="0" xfId="0" applyNumberFormat="1" applyFill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4" fillId="0" borderId="39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164" fontId="0" fillId="0" borderId="0" xfId="0" applyNumberFormat="1"/>
    <xf numFmtId="2" fontId="4" fillId="0" borderId="10" xfId="3" applyNumberFormat="1" applyFont="1" applyFill="1" applyBorder="1"/>
    <xf numFmtId="168" fontId="4" fillId="0" borderId="1" xfId="3" applyNumberFormat="1" applyFont="1" applyFill="1" applyBorder="1"/>
    <xf numFmtId="168" fontId="4" fillId="0" borderId="10" xfId="3" applyNumberFormat="1" applyFont="1" applyFill="1" applyBorder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3" xfId="0" applyNumberFormat="1" applyFont="1" applyBorder="1"/>
    <xf numFmtId="165" fontId="8" fillId="0" borderId="10" xfId="0" applyNumberFormat="1" applyFont="1" applyBorder="1"/>
    <xf numFmtId="3" fontId="5" fillId="0" borderId="10" xfId="0" applyNumberFormat="1" applyFont="1" applyFill="1" applyBorder="1"/>
    <xf numFmtId="164" fontId="12" fillId="0" borderId="22" xfId="1" applyFont="1" applyFill="1" applyBorder="1" applyAlignment="1">
      <alignment wrapText="1"/>
    </xf>
    <xf numFmtId="164" fontId="12" fillId="0" borderId="39" xfId="1" applyFont="1" applyFill="1" applyBorder="1" applyAlignment="1">
      <alignment wrapText="1"/>
    </xf>
    <xf numFmtId="1" fontId="8" fillId="0" borderId="41" xfId="1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164" fontId="0" fillId="0" borderId="0" xfId="0" applyNumberFormat="1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2" fontId="4" fillId="0" borderId="10" xfId="0" applyNumberFormat="1" applyFont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4" fontId="4" fillId="0" borderId="10" xfId="0" applyNumberFormat="1" applyFont="1" applyFill="1" applyBorder="1" applyAlignment="1"/>
    <xf numFmtId="0" fontId="4" fillId="0" borderId="10" xfId="1" applyNumberFormat="1" applyFont="1" applyFill="1" applyBorder="1" applyAlignment="1"/>
    <xf numFmtId="4" fontId="5" fillId="0" borderId="10" xfId="0" applyNumberFormat="1" applyFont="1" applyFill="1" applyBorder="1" applyAlignment="1"/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4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2" xfId="0" applyNumberFormat="1" applyFont="1" applyFill="1" applyBorder="1" applyAlignment="1"/>
    <xf numFmtId="1" fontId="8" fillId="0" borderId="7" xfId="0" applyNumberFormat="1" applyFont="1" applyFill="1" applyBorder="1" applyAlignment="1"/>
    <xf numFmtId="1" fontId="4" fillId="0" borderId="7" xfId="0" applyNumberFormat="1" applyFont="1" applyFill="1" applyBorder="1" applyAlignment="1"/>
    <xf numFmtId="1" fontId="8" fillId="0" borderId="43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1" fontId="4" fillId="0" borderId="39" xfId="0" applyNumberFormat="1" applyFont="1" applyFill="1" applyBorder="1" applyAlignment="1"/>
    <xf numFmtId="1" fontId="4" fillId="0" borderId="42" xfId="0" applyNumberFormat="1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" fontId="4" fillId="0" borderId="38" xfId="0" applyNumberFormat="1" applyFont="1" applyFill="1" applyBorder="1" applyAlignment="1"/>
    <xf numFmtId="1" fontId="4" fillId="0" borderId="40" xfId="0" applyNumberFormat="1" applyFont="1" applyFill="1" applyBorder="1" applyAlignment="1"/>
    <xf numFmtId="1" fontId="4" fillId="0" borderId="44" xfId="0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0" fillId="0" borderId="0" xfId="0" applyNumberFormat="1" applyFill="1" applyAlignment="1"/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1" fontId="5" fillId="0" borderId="10" xfId="0" applyNumberFormat="1" applyFont="1" applyBorder="1" applyAlignment="1"/>
    <xf numFmtId="1" fontId="5" fillId="0" borderId="10" xfId="0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0" fillId="0" borderId="0" xfId="0" applyNumberFormat="1" applyAlignment="1"/>
    <xf numFmtId="1" fontId="8" fillId="0" borderId="10" xfId="3" applyNumberFormat="1" applyFont="1" applyFill="1" applyBorder="1" applyAlignmen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Fill="1" applyBorder="1" applyAlignment="1">
      <alignment horizontal="left"/>
    </xf>
    <xf numFmtId="164" fontId="0" fillId="0" borderId="0" xfId="0" applyNumberFormat="1" applyAlignment="1"/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left"/>
    </xf>
    <xf numFmtId="166" fontId="4" fillId="0" borderId="1" xfId="2" applyNumberFormat="1" applyFont="1" applyFill="1" applyBorder="1" applyAlignment="1"/>
    <xf numFmtId="166" fontId="4" fillId="0" borderId="10" xfId="2" applyNumberFormat="1" applyFont="1" applyFill="1" applyBorder="1" applyAlignment="1"/>
    <xf numFmtId="166" fontId="4" fillId="0" borderId="7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165" fontId="4" fillId="0" borderId="1" xfId="3" applyNumberFormat="1" applyFont="1" applyFill="1" applyBorder="1" applyAlignment="1"/>
    <xf numFmtId="1" fontId="4" fillId="0" borderId="1" xfId="3" applyNumberFormat="1" applyFont="1" applyFill="1" applyBorder="1" applyAlignment="1"/>
    <xf numFmtId="2" fontId="4" fillId="0" borderId="1" xfId="3" applyNumberFormat="1" applyFont="1" applyFill="1" applyBorder="1" applyAlignment="1"/>
    <xf numFmtId="2" fontId="4" fillId="0" borderId="10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2" fontId="20" fillId="0" borderId="43" xfId="0" applyNumberFormat="1" applyFont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11" fillId="9" borderId="5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7" fillId="9" borderId="5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5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7" fillId="9" borderId="20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0" fontId="10" fillId="9" borderId="5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1" fontId="5" fillId="9" borderId="5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11" fillId="2" borderId="5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0" borderId="5" xfId="0" applyFont="1" applyFill="1" applyBorder="1" applyAlignment="1"/>
    <xf numFmtId="0" fontId="7" fillId="9" borderId="26" xfId="0" applyFont="1" applyFill="1" applyBorder="1" applyAlignment="1"/>
    <xf numFmtId="0" fontId="7" fillId="9" borderId="47" xfId="0" applyFont="1" applyFill="1" applyBorder="1" applyAlignment="1"/>
    <xf numFmtId="0" fontId="7" fillId="9" borderId="48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7" fillId="9" borderId="27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9" fontId="6" fillId="0" borderId="1" xfId="2" applyFont="1" applyBorder="1" applyAlignment="1"/>
    <xf numFmtId="166" fontId="8" fillId="0" borderId="1" xfId="2" applyNumberFormat="1" applyFont="1" applyBorder="1" applyAlignment="1"/>
    <xf numFmtId="166" fontId="4" fillId="0" borderId="10" xfId="2" applyNumberFormat="1" applyFont="1" applyBorder="1" applyAlignment="1"/>
    <xf numFmtId="0" fontId="4" fillId="0" borderId="1" xfId="3" applyNumberFormat="1" applyFont="1" applyFill="1" applyBorder="1" applyAlignment="1"/>
    <xf numFmtId="0" fontId="4" fillId="0" borderId="10" xfId="3" applyNumberFormat="1" applyFont="1" applyFill="1" applyBorder="1" applyAlignment="1"/>
    <xf numFmtId="1" fontId="4" fillId="0" borderId="38" xfId="0" applyNumberFormat="1" applyFont="1" applyBorder="1"/>
    <xf numFmtId="165" fontId="13" fillId="3" borderId="11" xfId="3" applyNumberFormat="1" applyFont="1" applyFill="1" applyBorder="1"/>
    <xf numFmtId="164" fontId="4" fillId="3" borderId="4" xfId="1" applyFont="1" applyFill="1" applyBorder="1"/>
    <xf numFmtId="164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169" fontId="4" fillId="3" borderId="1" xfId="3" applyNumberFormat="1" applyFont="1" applyFill="1" applyBorder="1"/>
    <xf numFmtId="165" fontId="4" fillId="3" borderId="1" xfId="3" applyNumberFormat="1" applyFont="1" applyFill="1" applyBorder="1"/>
    <xf numFmtId="0" fontId="4" fillId="3" borderId="4" xfId="1" applyNumberFormat="1" applyFont="1" applyFill="1" applyBorder="1"/>
    <xf numFmtId="167" fontId="4" fillId="3" borderId="1" xfId="3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" fontId="4" fillId="0" borderId="1" xfId="0" applyNumberFormat="1" applyFont="1" applyBorder="1"/>
    <xf numFmtId="1" fontId="4" fillId="0" borderId="22" xfId="0" applyNumberFormat="1" applyFont="1" applyBorder="1"/>
    <xf numFmtId="1" fontId="4" fillId="0" borderId="7" xfId="0" applyNumberFormat="1" applyFont="1" applyBorder="1"/>
    <xf numFmtId="167" fontId="8" fillId="0" borderId="4" xfId="1" applyNumberFormat="1" applyFont="1" applyFill="1" applyBorder="1"/>
    <xf numFmtId="164" fontId="8" fillId="3" borderId="1" xfId="1" applyFont="1" applyFill="1" applyBorder="1" applyAlignment="1">
      <alignment horizontal="center" wrapText="1"/>
    </xf>
    <xf numFmtId="165" fontId="8" fillId="0" borderId="24" xfId="4" applyNumberFormat="1" applyFont="1" applyFill="1" applyBorder="1"/>
    <xf numFmtId="165" fontId="4" fillId="0" borderId="1" xfId="4" applyNumberFormat="1" applyFont="1" applyFill="1" applyBorder="1"/>
    <xf numFmtId="166" fontId="4" fillId="0" borderId="1" xfId="2" applyNumberFormat="1" applyFont="1" applyFill="1" applyBorder="1"/>
    <xf numFmtId="165" fontId="4" fillId="0" borderId="1" xfId="4" applyNumberFormat="1" applyFont="1" applyFill="1" applyBorder="1"/>
    <xf numFmtId="166" fontId="4" fillId="0" borderId="22" xfId="2" applyNumberFormat="1" applyFont="1" applyFill="1" applyBorder="1"/>
    <xf numFmtId="165" fontId="4" fillId="3" borderId="11" xfId="1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wrapText="1"/>
    </xf>
    <xf numFmtId="164" fontId="4" fillId="0" borderId="51" xfId="1" applyFont="1" applyFill="1" applyBorder="1"/>
    <xf numFmtId="164" fontId="21" fillId="10" borderId="1" xfId="1" applyFont="1" applyFill="1" applyBorder="1" applyAlignment="1">
      <alignment horizontal="left" vertical="top" wrapText="1"/>
    </xf>
    <xf numFmtId="164" fontId="4" fillId="3" borderId="51" xfId="1" applyFont="1" applyFill="1" applyBorder="1"/>
    <xf numFmtId="165" fontId="8" fillId="3" borderId="11" xfId="1" applyNumberFormat="1" applyFont="1" applyFill="1" applyBorder="1"/>
    <xf numFmtId="165" fontId="4" fillId="3" borderId="1" xfId="1" applyNumberFormat="1" applyFont="1" applyFill="1" applyBorder="1"/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164" fontId="4" fillId="11" borderId="4" xfId="1" applyFont="1" applyFill="1" applyBorder="1"/>
    <xf numFmtId="164" fontId="22" fillId="0" borderId="1" xfId="1" applyFont="1" applyBorder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4" fillId="0" borderId="27" xfId="0" applyFont="1" applyBorder="1" applyAlignment="1">
      <alignment vertical="center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165" fontId="14" fillId="8" borderId="27" xfId="1" applyNumberFormat="1" applyFont="1" applyFill="1" applyBorder="1" applyAlignment="1"/>
    <xf numFmtId="165" fontId="14" fillId="0" borderId="27" xfId="1" applyNumberFormat="1" applyFont="1" applyBorder="1" applyAlignment="1">
      <alignment vertical="center" wrapText="1"/>
    </xf>
    <xf numFmtId="165" fontId="13" fillId="0" borderId="27" xfId="1" applyNumberFormat="1" applyFont="1" applyBorder="1" applyAlignment="1">
      <alignment vertical="center"/>
    </xf>
    <xf numFmtId="165" fontId="14" fillId="7" borderId="27" xfId="1" applyNumberFormat="1" applyFont="1" applyFill="1" applyBorder="1" applyAlignment="1">
      <alignment vertical="center" wrapText="1"/>
    </xf>
    <xf numFmtId="165" fontId="13" fillId="6" borderId="35" xfId="1" applyNumberFormat="1" applyFont="1" applyFill="1" applyBorder="1" applyAlignment="1">
      <alignment horizontal="center" vertical="center"/>
    </xf>
    <xf numFmtId="165" fontId="13" fillId="6" borderId="33" xfId="1" applyNumberFormat="1" applyFont="1" applyFill="1" applyBorder="1" applyAlignment="1">
      <alignment vertical="center"/>
    </xf>
    <xf numFmtId="165" fontId="8" fillId="5" borderId="27" xfId="1" applyNumberFormat="1" applyFont="1" applyFill="1" applyBorder="1"/>
    <xf numFmtId="165" fontId="4" fillId="0" borderId="10" xfId="1" applyNumberFormat="1" applyFont="1" applyBorder="1"/>
    <xf numFmtId="165" fontId="12" fillId="0" borderId="10" xfId="1" applyNumberFormat="1" applyFont="1" applyFill="1" applyBorder="1" applyAlignment="1">
      <alignment wrapText="1"/>
    </xf>
    <xf numFmtId="165" fontId="8" fillId="0" borderId="42" xfId="1" applyNumberFormat="1" applyFont="1" applyFill="1" applyBorder="1"/>
    <xf numFmtId="165" fontId="8" fillId="0" borderId="43" xfId="1" applyNumberFormat="1" applyFont="1" applyFill="1" applyBorder="1"/>
    <xf numFmtId="165" fontId="8" fillId="0" borderId="44" xfId="1" applyNumberFormat="1" applyFont="1" applyFill="1" applyBorder="1"/>
    <xf numFmtId="165" fontId="4" fillId="0" borderId="42" xfId="1" applyNumberFormat="1" applyFont="1" applyFill="1" applyBorder="1"/>
    <xf numFmtId="165" fontId="5" fillId="0" borderId="10" xfId="1" applyNumberFormat="1" applyFont="1" applyFill="1" applyBorder="1"/>
    <xf numFmtId="165" fontId="4" fillId="0" borderId="7" xfId="1" applyNumberFormat="1" applyFont="1" applyFill="1" applyBorder="1"/>
    <xf numFmtId="165" fontId="0" fillId="0" borderId="0" xfId="1" applyNumberFormat="1" applyFont="1"/>
    <xf numFmtId="165" fontId="8" fillId="5" borderId="27" xfId="0" applyNumberFormat="1" applyFont="1" applyFill="1" applyBorder="1"/>
    <xf numFmtId="165" fontId="12" fillId="0" borderId="10" xfId="0" applyNumberFormat="1" applyFont="1" applyFill="1" applyBorder="1" applyAlignment="1">
      <alignment wrapText="1"/>
    </xf>
    <xf numFmtId="165" fontId="8" fillId="0" borderId="10" xfId="0" applyNumberFormat="1" applyFont="1" applyFill="1" applyBorder="1"/>
    <xf numFmtId="165" fontId="4" fillId="0" borderId="10" xfId="0" applyNumberFormat="1" applyFont="1" applyBorder="1"/>
    <xf numFmtId="165" fontId="4" fillId="0" borderId="10" xfId="0" applyNumberFormat="1" applyFont="1" applyFill="1" applyBorder="1"/>
    <xf numFmtId="165" fontId="4" fillId="0" borderId="42" xfId="0" applyNumberFormat="1" applyFont="1" applyFill="1" applyBorder="1"/>
    <xf numFmtId="165" fontId="8" fillId="0" borderId="43" xfId="0" applyNumberFormat="1" applyFont="1" applyFill="1" applyBorder="1"/>
    <xf numFmtId="165" fontId="4" fillId="0" borderId="44" xfId="0" applyNumberFormat="1" applyFont="1" applyFill="1" applyBorder="1"/>
    <xf numFmtId="165" fontId="4" fillId="0" borderId="42" xfId="2" applyNumberFormat="1" applyFont="1" applyFill="1" applyBorder="1"/>
    <xf numFmtId="165" fontId="8" fillId="0" borderId="10" xfId="3" applyNumberFormat="1" applyFont="1" applyFill="1" applyBorder="1"/>
    <xf numFmtId="165" fontId="8" fillId="0" borderId="10" xfId="1" applyNumberFormat="1" applyFont="1" applyFill="1" applyBorder="1" applyAlignment="1">
      <alignment horizontal="left" wrapText="1"/>
    </xf>
    <xf numFmtId="165" fontId="4" fillId="0" borderId="10" xfId="2" applyNumberFormat="1" applyFont="1" applyFill="1" applyBorder="1"/>
    <xf numFmtId="165" fontId="4" fillId="0" borderId="43" xfId="2" applyNumberFormat="1" applyFont="1" applyFill="1" applyBorder="1"/>
    <xf numFmtId="165" fontId="4" fillId="0" borderId="10" xfId="3" applyNumberFormat="1" applyFont="1" applyFill="1" applyBorder="1"/>
    <xf numFmtId="165" fontId="8" fillId="8" borderId="27" xfId="0" applyNumberFormat="1" applyFont="1" applyFill="1" applyBorder="1" applyAlignment="1"/>
    <xf numFmtId="165" fontId="8" fillId="0" borderId="27" xfId="0" applyNumberFormat="1" applyFont="1" applyBorder="1" applyAlignment="1">
      <alignment vertical="center" wrapText="1"/>
    </xf>
    <xf numFmtId="165" fontId="4" fillId="0" borderId="27" xfId="0" applyNumberFormat="1" applyFont="1" applyBorder="1" applyAlignment="1">
      <alignment vertical="center"/>
    </xf>
    <xf numFmtId="165" fontId="8" fillId="7" borderId="27" xfId="0" applyNumberFormat="1" applyFont="1" applyFill="1" applyBorder="1" applyAlignment="1">
      <alignment vertical="center" wrapText="1"/>
    </xf>
    <xf numFmtId="165" fontId="4" fillId="6" borderId="35" xfId="0" applyNumberFormat="1" applyFont="1" applyFill="1" applyBorder="1" applyAlignment="1">
      <alignment horizontal="center" vertical="center"/>
    </xf>
    <xf numFmtId="165" fontId="4" fillId="6" borderId="33" xfId="0" applyNumberFormat="1" applyFont="1" applyFill="1" applyBorder="1" applyAlignment="1">
      <alignment vertical="center"/>
    </xf>
    <xf numFmtId="164" fontId="9" fillId="4" borderId="1" xfId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6">
    <cellStyle name="Comma" xfId="1" builtinId="3"/>
    <cellStyle name="Comma 2" xfId="3" xr:uid="{00000000-0005-0000-0000-000001000000}"/>
    <cellStyle name="Comma 2 2" xfId="5" xr:uid="{00000000-0005-0000-0000-000002000000}"/>
    <cellStyle name="Comma 3" xfId="4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63"/>
  <sheetViews>
    <sheetView zoomScale="110" zoomScaleNormal="110"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T7" sqref="T7"/>
    </sheetView>
  </sheetViews>
  <sheetFormatPr defaultRowHeight="14.4" x14ac:dyDescent="0.3"/>
  <cols>
    <col min="1" max="1" width="39" style="344" customWidth="1"/>
    <col min="2" max="2" width="23.109375" style="344" customWidth="1"/>
    <col min="3" max="3" width="12.5546875" style="344" customWidth="1"/>
    <col min="4" max="4" width="20.109375" style="344" bestFit="1" customWidth="1"/>
    <col min="5" max="9" width="19.88671875" style="344" bestFit="1" customWidth="1"/>
    <col min="10" max="10" width="19.109375" style="344" customWidth="1"/>
    <col min="11" max="11" width="23.109375" style="344" customWidth="1"/>
    <col min="12" max="12" width="22.6640625" style="344" customWidth="1"/>
    <col min="13" max="13" width="20.109375" style="344" bestFit="1" customWidth="1"/>
    <col min="14" max="15" width="19.109375" style="344" customWidth="1"/>
    <col min="16" max="16" width="20.109375" style="344" bestFit="1" customWidth="1"/>
    <col min="17" max="17" width="14.88671875" style="344" bestFit="1" customWidth="1"/>
    <col min="18" max="18" width="6" style="344" bestFit="1" customWidth="1"/>
    <col min="19" max="16384" width="8.88671875" style="344"/>
  </cols>
  <sheetData>
    <row r="1" spans="1:16" customFormat="1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customFormat="1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customFormat="1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customFormat="1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customFormat="1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customFormat="1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473" t="s">
        <v>174</v>
      </c>
      <c r="B7" s="474"/>
      <c r="C7" s="341" t="s">
        <v>173</v>
      </c>
      <c r="D7" s="342" t="s">
        <v>163</v>
      </c>
      <c r="E7" s="342" t="s">
        <v>162</v>
      </c>
      <c r="F7" s="342" t="s">
        <v>161</v>
      </c>
      <c r="G7" s="342" t="s">
        <v>172</v>
      </c>
      <c r="H7" s="342" t="s">
        <v>171</v>
      </c>
      <c r="I7" s="342" t="s">
        <v>170</v>
      </c>
      <c r="J7" s="342" t="s">
        <v>169</v>
      </c>
      <c r="K7" s="342" t="s">
        <v>168</v>
      </c>
      <c r="L7" s="342" t="s">
        <v>167</v>
      </c>
      <c r="M7" s="342" t="s">
        <v>166</v>
      </c>
      <c r="N7" s="342" t="s">
        <v>165</v>
      </c>
      <c r="O7" s="342" t="s">
        <v>164</v>
      </c>
      <c r="P7" s="343" t="s">
        <v>160</v>
      </c>
    </row>
    <row r="8" spans="1:16" ht="15" thickBot="1" x14ac:dyDescent="0.35">
      <c r="A8" s="543" t="s">
        <v>159</v>
      </c>
      <c r="B8" s="544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5"/>
    </row>
    <row r="9" spans="1:16" ht="15.6" x14ac:dyDescent="0.3">
      <c r="A9" s="546" t="s">
        <v>176</v>
      </c>
      <c r="B9" s="547"/>
      <c r="C9" s="345" t="s">
        <v>152</v>
      </c>
      <c r="D9" s="57">
        <v>43953</v>
      </c>
      <c r="E9" s="57">
        <v>41245</v>
      </c>
      <c r="F9" s="57">
        <v>41892</v>
      </c>
      <c r="G9" s="57">
        <v>39179</v>
      </c>
      <c r="H9" s="569">
        <v>52514</v>
      </c>
      <c r="I9" s="57">
        <v>43543</v>
      </c>
      <c r="J9" s="57">
        <v>44155</v>
      </c>
      <c r="K9" s="57">
        <v>44934</v>
      </c>
      <c r="L9" s="346">
        <v>45410</v>
      </c>
      <c r="M9" s="57">
        <v>45896</v>
      </c>
      <c r="N9" s="346">
        <v>43928</v>
      </c>
      <c r="O9" s="346">
        <v>51845</v>
      </c>
      <c r="P9" s="347">
        <f>SUM(D9:O9)</f>
        <v>538494</v>
      </c>
    </row>
    <row r="10" spans="1:16" x14ac:dyDescent="0.3">
      <c r="A10" s="475" t="s">
        <v>177</v>
      </c>
      <c r="B10" s="476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7"/>
    </row>
    <row r="11" spans="1:16" ht="15.6" x14ac:dyDescent="0.3">
      <c r="A11" s="485" t="s">
        <v>157</v>
      </c>
      <c r="B11" s="486"/>
      <c r="C11" s="348" t="s">
        <v>152</v>
      </c>
      <c r="D11" s="26">
        <f>1286+3748+14504</f>
        <v>19538</v>
      </c>
      <c r="E11" s="26">
        <f>1322+3787+15196</f>
        <v>20305</v>
      </c>
      <c r="F11" s="26">
        <v>20935</v>
      </c>
      <c r="G11" s="26">
        <f>1253+3719+14646</f>
        <v>19618</v>
      </c>
      <c r="H11" s="570">
        <v>20388</v>
      </c>
      <c r="I11" s="26">
        <v>22357</v>
      </c>
      <c r="J11" s="26">
        <v>22373</v>
      </c>
      <c r="K11" s="26">
        <v>22000</v>
      </c>
      <c r="L11" s="349">
        <v>21079</v>
      </c>
      <c r="M11" s="26">
        <f>1274+4377+17891</f>
        <v>23542</v>
      </c>
      <c r="N11" s="349">
        <v>20468</v>
      </c>
      <c r="O11" s="349">
        <v>39141</v>
      </c>
      <c r="P11" s="350">
        <f>SUM(D11:O11)</f>
        <v>271744</v>
      </c>
    </row>
    <row r="12" spans="1:16" ht="15.6" x14ac:dyDescent="0.3">
      <c r="A12" s="485" t="s">
        <v>156</v>
      </c>
      <c r="B12" s="486"/>
      <c r="C12" s="348" t="s">
        <v>152</v>
      </c>
      <c r="D12" s="26">
        <v>1143</v>
      </c>
      <c r="E12" s="26">
        <v>1047</v>
      </c>
      <c r="F12" s="26">
        <v>1140</v>
      </c>
      <c r="G12" s="26">
        <v>1021</v>
      </c>
      <c r="H12" s="570">
        <v>1030</v>
      </c>
      <c r="I12" s="26">
        <v>1108</v>
      </c>
      <c r="J12" s="26">
        <v>1178</v>
      </c>
      <c r="K12" s="26">
        <v>1200</v>
      </c>
      <c r="L12" s="349">
        <v>1175</v>
      </c>
      <c r="M12" s="26">
        <v>958</v>
      </c>
      <c r="N12" s="349">
        <v>946</v>
      </c>
      <c r="O12" s="349">
        <v>870</v>
      </c>
      <c r="P12" s="350">
        <f>SUM(D12:O12)</f>
        <v>12816</v>
      </c>
    </row>
    <row r="13" spans="1:16" ht="15.6" x14ac:dyDescent="0.3">
      <c r="A13" s="485" t="s">
        <v>155</v>
      </c>
      <c r="B13" s="486"/>
      <c r="C13" s="348" t="s">
        <v>152</v>
      </c>
      <c r="D13" s="26">
        <v>4078</v>
      </c>
      <c r="E13" s="26">
        <v>210</v>
      </c>
      <c r="F13" s="26">
        <v>230</v>
      </c>
      <c r="G13" s="26">
        <v>195</v>
      </c>
      <c r="H13" s="570">
        <v>202</v>
      </c>
      <c r="I13" s="26">
        <v>213</v>
      </c>
      <c r="J13" s="26">
        <v>241</v>
      </c>
      <c r="K13" s="26">
        <v>250</v>
      </c>
      <c r="L13" s="349">
        <v>191</v>
      </c>
      <c r="M13" s="26">
        <v>166</v>
      </c>
      <c r="N13" s="349">
        <v>220</v>
      </c>
      <c r="O13" s="349">
        <v>202</v>
      </c>
      <c r="P13" s="350">
        <f>SUM(D13:O13)</f>
        <v>6398</v>
      </c>
    </row>
    <row r="14" spans="1:16" ht="15.6" x14ac:dyDescent="0.3">
      <c r="A14" s="478" t="s">
        <v>154</v>
      </c>
      <c r="B14" s="479"/>
      <c r="C14" s="348" t="s">
        <v>152</v>
      </c>
      <c r="D14" s="26">
        <v>48</v>
      </c>
      <c r="E14" s="26">
        <v>45</v>
      </c>
      <c r="F14" s="26">
        <v>52</v>
      </c>
      <c r="G14" s="26">
        <v>61</v>
      </c>
      <c r="H14" s="570">
        <v>55</v>
      </c>
      <c r="I14" s="26">
        <v>69</v>
      </c>
      <c r="J14" s="26">
        <v>64</v>
      </c>
      <c r="K14" s="26">
        <v>68</v>
      </c>
      <c r="L14" s="349">
        <v>79</v>
      </c>
      <c r="M14" s="26">
        <v>89</v>
      </c>
      <c r="N14" s="349">
        <v>83</v>
      </c>
      <c r="O14" s="349">
        <v>89</v>
      </c>
      <c r="P14" s="350">
        <f>SUM(D14:O14)</f>
        <v>802</v>
      </c>
    </row>
    <row r="15" spans="1:16" s="353" customFormat="1" ht="15.6" x14ac:dyDescent="0.3">
      <c r="A15" s="495" t="s">
        <v>158</v>
      </c>
      <c r="B15" s="496"/>
      <c r="C15" s="351" t="s">
        <v>152</v>
      </c>
      <c r="D15" s="352">
        <f t="shared" ref="D15" si="0">SUM(D11:D14)</f>
        <v>24807</v>
      </c>
      <c r="E15" s="352">
        <f t="shared" ref="E15" si="1">SUM(E11:E14)</f>
        <v>21607</v>
      </c>
      <c r="F15" s="352">
        <f t="shared" ref="F15" si="2">SUM(F11:F14)</f>
        <v>22357</v>
      </c>
      <c r="G15" s="352">
        <f t="shared" ref="G15" si="3">SUM(G11:G14)</f>
        <v>20895</v>
      </c>
      <c r="H15" s="352">
        <f t="shared" ref="H15" si="4">SUM(H11:H14)</f>
        <v>21675</v>
      </c>
      <c r="I15" s="352">
        <f t="shared" ref="I15" si="5">SUM(I11:I14)</f>
        <v>23747</v>
      </c>
      <c r="J15" s="352">
        <f t="shared" ref="J15" si="6">SUM(J11:J14)</f>
        <v>23856</v>
      </c>
      <c r="K15" s="352">
        <f t="shared" ref="K15" si="7">SUM(K11:K14)</f>
        <v>23518</v>
      </c>
      <c r="L15" s="352">
        <f t="shared" ref="L15" si="8">SUM(L11:L14)</f>
        <v>22524</v>
      </c>
      <c r="M15" s="352">
        <f t="shared" ref="M15" si="9">SUM(M11:M14)</f>
        <v>24755</v>
      </c>
      <c r="N15" s="352">
        <f t="shared" ref="N15" si="10">SUM(N11:N14)</f>
        <v>21717</v>
      </c>
      <c r="O15" s="352">
        <v>40302</v>
      </c>
      <c r="P15" s="350">
        <f t="shared" ref="P15" si="11">SUM(P11:P14)</f>
        <v>291760</v>
      </c>
    </row>
    <row r="16" spans="1:16" s="354" customFormat="1" x14ac:dyDescent="0.3">
      <c r="A16" s="475" t="s">
        <v>178</v>
      </c>
      <c r="B16" s="476"/>
      <c r="C16" s="476"/>
      <c r="D16" s="476"/>
      <c r="E16" s="476"/>
      <c r="F16" s="476"/>
      <c r="G16" s="476"/>
      <c r="H16" s="476"/>
      <c r="I16" s="476"/>
      <c r="J16" s="476"/>
      <c r="K16" s="476"/>
      <c r="L16" s="476"/>
      <c r="M16" s="476"/>
      <c r="N16" s="476"/>
      <c r="O16" s="476"/>
      <c r="P16" s="477"/>
    </row>
    <row r="17" spans="1:18" s="354" customFormat="1" ht="15.6" x14ac:dyDescent="0.3">
      <c r="A17" s="485" t="s">
        <v>180</v>
      </c>
      <c r="B17" s="486"/>
      <c r="C17" s="348" t="s">
        <v>152</v>
      </c>
      <c r="D17" s="26">
        <v>1856</v>
      </c>
      <c r="E17" s="26">
        <v>2120</v>
      </c>
      <c r="F17" s="26">
        <v>4154</v>
      </c>
      <c r="G17" s="26">
        <v>1736</v>
      </c>
      <c r="H17" s="572">
        <v>9567.1</v>
      </c>
      <c r="I17" s="26">
        <f>8146-6327</f>
        <v>1819</v>
      </c>
      <c r="J17" s="26">
        <f>8048.9-3607</f>
        <v>4441.8999999999996</v>
      </c>
      <c r="K17" s="26">
        <v>3500</v>
      </c>
      <c r="L17" s="349">
        <v>2896</v>
      </c>
      <c r="M17" s="26">
        <v>2998</v>
      </c>
      <c r="N17" s="349">
        <v>3162</v>
      </c>
      <c r="O17" s="349">
        <v>2822</v>
      </c>
      <c r="P17" s="350">
        <f>SUM(D17:O17)</f>
        <v>41072</v>
      </c>
      <c r="Q17" s="355"/>
    </row>
    <row r="18" spans="1:18" s="354" customFormat="1" ht="15.6" x14ac:dyDescent="0.3">
      <c r="A18" s="485" t="s">
        <v>181</v>
      </c>
      <c r="B18" s="486"/>
      <c r="C18" s="348" t="s">
        <v>152</v>
      </c>
      <c r="D18" s="26">
        <v>65</v>
      </c>
      <c r="E18" s="26">
        <v>72</v>
      </c>
      <c r="F18" s="26">
        <v>110</v>
      </c>
      <c r="G18" s="26">
        <v>73</v>
      </c>
      <c r="H18" s="572">
        <v>162</v>
      </c>
      <c r="I18" s="26">
        <v>98</v>
      </c>
      <c r="J18" s="26">
        <v>127</v>
      </c>
      <c r="K18" s="26">
        <v>133</v>
      </c>
      <c r="L18" s="349">
        <v>141</v>
      </c>
      <c r="M18" s="26">
        <v>461</v>
      </c>
      <c r="N18" s="349">
        <v>427</v>
      </c>
      <c r="O18" s="349">
        <v>231</v>
      </c>
      <c r="P18" s="350">
        <f>SUM(D18:O18)</f>
        <v>2100</v>
      </c>
      <c r="Q18" s="355"/>
    </row>
    <row r="19" spans="1:18" s="354" customFormat="1" ht="15.6" x14ac:dyDescent="0.3">
      <c r="A19" s="485" t="s">
        <v>182</v>
      </c>
      <c r="B19" s="486"/>
      <c r="C19" s="348" t="s">
        <v>152</v>
      </c>
      <c r="D19" s="26">
        <v>5022</v>
      </c>
      <c r="E19" s="26">
        <f>6753-2485</f>
        <v>4268</v>
      </c>
      <c r="F19" s="26">
        <v>5180</v>
      </c>
      <c r="G19" s="26">
        <f>5492-2007</f>
        <v>3485</v>
      </c>
      <c r="H19" s="572">
        <v>5051</v>
      </c>
      <c r="I19" s="26">
        <v>6055</v>
      </c>
      <c r="J19" s="26">
        <f>5+7+72+36+362+362+362+742+145+22+724+36+36+47+200</f>
        <v>3158</v>
      </c>
      <c r="K19" s="26">
        <f>7885-3333</f>
        <v>4552</v>
      </c>
      <c r="L19" s="349">
        <v>4620</v>
      </c>
      <c r="M19" s="26">
        <v>5450</v>
      </c>
      <c r="N19" s="349">
        <v>10505</v>
      </c>
      <c r="O19" s="349">
        <v>1449</v>
      </c>
      <c r="P19" s="350">
        <f>SUM(D19:O19)</f>
        <v>58795</v>
      </c>
      <c r="Q19" s="355"/>
    </row>
    <row r="20" spans="1:18" s="354" customFormat="1" ht="15.6" x14ac:dyDescent="0.3">
      <c r="A20" s="478" t="s">
        <v>183</v>
      </c>
      <c r="B20" s="479"/>
      <c r="C20" s="348" t="s">
        <v>152</v>
      </c>
      <c r="D20" s="26">
        <f>7058-6943</f>
        <v>115</v>
      </c>
      <c r="E20" s="26">
        <v>293</v>
      </c>
      <c r="F20" s="26">
        <f>9685-9444</f>
        <v>241</v>
      </c>
      <c r="G20" s="26">
        <v>198</v>
      </c>
      <c r="H20" s="572">
        <v>2841</v>
      </c>
      <c r="I20" s="26">
        <v>174</v>
      </c>
      <c r="J20" s="26">
        <f>17.7+37+46.5+46.5+17.5+23+116.3+17.7</f>
        <v>322.2</v>
      </c>
      <c r="K20" s="26">
        <v>416</v>
      </c>
      <c r="L20" s="349">
        <v>407</v>
      </c>
      <c r="M20" s="26">
        <f>9732.4-8909</f>
        <v>823.39999999999964</v>
      </c>
      <c r="N20" s="349">
        <v>1185</v>
      </c>
      <c r="O20" s="349">
        <v>486</v>
      </c>
      <c r="P20" s="350">
        <f>SUM(D20:O20)</f>
        <v>7501.5999999999995</v>
      </c>
      <c r="Q20" s="355"/>
    </row>
    <row r="21" spans="1:18" s="356" customFormat="1" ht="15.6" x14ac:dyDescent="0.3">
      <c r="A21" s="495" t="s">
        <v>184</v>
      </c>
      <c r="B21" s="496"/>
      <c r="C21" s="351" t="s">
        <v>152</v>
      </c>
      <c r="D21" s="352">
        <f>SUM(D17:D20)</f>
        <v>7058</v>
      </c>
      <c r="E21" s="352">
        <f t="shared" ref="E21:P21" si="12">SUM(E17:E20)</f>
        <v>6753</v>
      </c>
      <c r="F21" s="352">
        <f t="shared" si="12"/>
        <v>9685</v>
      </c>
      <c r="G21" s="352">
        <f t="shared" si="12"/>
        <v>5492</v>
      </c>
      <c r="H21" s="352">
        <f t="shared" si="12"/>
        <v>17621.099999999999</v>
      </c>
      <c r="I21" s="352">
        <f t="shared" si="12"/>
        <v>8146</v>
      </c>
      <c r="J21" s="352">
        <f t="shared" si="12"/>
        <v>8049.0999999999995</v>
      </c>
      <c r="K21" s="352">
        <f t="shared" si="12"/>
        <v>8601</v>
      </c>
      <c r="L21" s="352">
        <f t="shared" si="12"/>
        <v>8064</v>
      </c>
      <c r="M21" s="352">
        <f t="shared" si="12"/>
        <v>9732.4</v>
      </c>
      <c r="N21" s="352">
        <f t="shared" si="12"/>
        <v>15279</v>
      </c>
      <c r="O21" s="352">
        <v>4988</v>
      </c>
      <c r="P21" s="350">
        <f t="shared" si="12"/>
        <v>109468.6</v>
      </c>
      <c r="Q21" s="355"/>
    </row>
    <row r="22" spans="1:18" s="354" customFormat="1" ht="15.6" x14ac:dyDescent="0.3">
      <c r="A22" s="357" t="s">
        <v>185</v>
      </c>
      <c r="B22" s="358"/>
      <c r="C22" s="348" t="s">
        <v>152</v>
      </c>
      <c r="D22" s="352">
        <f>D21+D15</f>
        <v>31865</v>
      </c>
      <c r="E22" s="352">
        <f t="shared" ref="E22:P22" si="13">E21+E15</f>
        <v>28360</v>
      </c>
      <c r="F22" s="352">
        <f t="shared" si="13"/>
        <v>32042</v>
      </c>
      <c r="G22" s="352">
        <f t="shared" si="13"/>
        <v>26387</v>
      </c>
      <c r="H22" s="352">
        <f t="shared" si="13"/>
        <v>39296.1</v>
      </c>
      <c r="I22" s="352">
        <f t="shared" si="13"/>
        <v>31893</v>
      </c>
      <c r="J22" s="352">
        <f t="shared" si="13"/>
        <v>31905.1</v>
      </c>
      <c r="K22" s="352">
        <f t="shared" si="13"/>
        <v>32119</v>
      </c>
      <c r="L22" s="352">
        <f t="shared" si="13"/>
        <v>30588</v>
      </c>
      <c r="M22" s="352">
        <f t="shared" si="13"/>
        <v>34487.4</v>
      </c>
      <c r="N22" s="352">
        <f t="shared" si="13"/>
        <v>36996</v>
      </c>
      <c r="O22" s="352">
        <v>45290</v>
      </c>
      <c r="P22" s="350">
        <f t="shared" si="13"/>
        <v>401228.6</v>
      </c>
      <c r="R22" s="355"/>
    </row>
    <row r="23" spans="1:18" x14ac:dyDescent="0.3">
      <c r="A23" s="537"/>
      <c r="B23" s="538"/>
      <c r="C23" s="538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538"/>
      <c r="O23" s="538"/>
      <c r="P23" s="539"/>
    </row>
    <row r="24" spans="1:18" ht="15.6" x14ac:dyDescent="0.3">
      <c r="A24" s="470" t="s">
        <v>179</v>
      </c>
      <c r="B24" s="359" t="s">
        <v>153</v>
      </c>
      <c r="C24" s="359" t="s">
        <v>152</v>
      </c>
      <c r="D24" s="360">
        <f>D9-D22</f>
        <v>12088</v>
      </c>
      <c r="E24" s="360">
        <f t="shared" ref="E24:P24" si="14">E9-E22</f>
        <v>12885</v>
      </c>
      <c r="F24" s="360">
        <f t="shared" si="14"/>
        <v>9850</v>
      </c>
      <c r="G24" s="360">
        <f t="shared" si="14"/>
        <v>12792</v>
      </c>
      <c r="H24" s="360">
        <f t="shared" si="14"/>
        <v>13217.900000000001</v>
      </c>
      <c r="I24" s="360">
        <f t="shared" si="14"/>
        <v>11650</v>
      </c>
      <c r="J24" s="360">
        <f t="shared" si="14"/>
        <v>12249.900000000001</v>
      </c>
      <c r="K24" s="360">
        <f t="shared" si="14"/>
        <v>12815</v>
      </c>
      <c r="L24" s="360">
        <f t="shared" si="14"/>
        <v>14822</v>
      </c>
      <c r="M24" s="360">
        <f t="shared" si="14"/>
        <v>11408.599999999999</v>
      </c>
      <c r="N24" s="360">
        <f t="shared" si="14"/>
        <v>6932</v>
      </c>
      <c r="O24" s="360">
        <v>6555</v>
      </c>
      <c r="P24" s="361">
        <f t="shared" si="14"/>
        <v>137265.40000000002</v>
      </c>
    </row>
    <row r="25" spans="1:18" ht="16.2" thickBot="1" x14ac:dyDescent="0.35">
      <c r="A25" s="471"/>
      <c r="B25" s="362" t="s">
        <v>151</v>
      </c>
      <c r="C25" s="363" t="s">
        <v>6</v>
      </c>
      <c r="D25" s="364">
        <f t="shared" ref="D25:P25" si="15">D24/D9</f>
        <v>0.27502104520738063</v>
      </c>
      <c r="E25" s="364">
        <f t="shared" si="15"/>
        <v>0.31240150321251059</v>
      </c>
      <c r="F25" s="364">
        <f t="shared" si="15"/>
        <v>0.23512842547503104</v>
      </c>
      <c r="G25" s="364">
        <f t="shared" si="15"/>
        <v>0.32650144209908372</v>
      </c>
      <c r="H25" s="364">
        <f t="shared" si="15"/>
        <v>0.25170240316867887</v>
      </c>
      <c r="I25" s="364">
        <f t="shared" si="15"/>
        <v>0.26755161564430563</v>
      </c>
      <c r="J25" s="364">
        <f t="shared" si="15"/>
        <v>0.2774295096818028</v>
      </c>
      <c r="K25" s="364">
        <f t="shared" si="15"/>
        <v>0.28519606534027686</v>
      </c>
      <c r="L25" s="364">
        <f t="shared" si="15"/>
        <v>0.32640387579828234</v>
      </c>
      <c r="M25" s="364">
        <f t="shared" si="15"/>
        <v>0.24857503921910404</v>
      </c>
      <c r="N25" s="364">
        <f t="shared" si="15"/>
        <v>0.1578036787470406</v>
      </c>
      <c r="O25" s="364">
        <v>0.12643456456746069</v>
      </c>
      <c r="P25" s="365">
        <f t="shared" si="15"/>
        <v>0.25490608994714892</v>
      </c>
    </row>
    <row r="26" spans="1:18" x14ac:dyDescent="0.3">
      <c r="A26" s="540" t="s">
        <v>150</v>
      </c>
      <c r="B26" s="541"/>
      <c r="C26" s="541"/>
      <c r="D26" s="541"/>
      <c r="E26" s="541"/>
      <c r="F26" s="541"/>
      <c r="G26" s="541"/>
      <c r="H26" s="541"/>
      <c r="I26" s="541"/>
      <c r="J26" s="541"/>
      <c r="K26" s="541"/>
      <c r="L26" s="541"/>
      <c r="M26" s="541"/>
      <c r="N26" s="541"/>
      <c r="O26" s="541"/>
      <c r="P26" s="542"/>
    </row>
    <row r="27" spans="1:18" x14ac:dyDescent="0.3">
      <c r="A27" s="467" t="s">
        <v>149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9"/>
    </row>
    <row r="28" spans="1:18" ht="15.6" x14ac:dyDescent="0.3">
      <c r="A28" s="366" t="s">
        <v>148</v>
      </c>
      <c r="B28" s="367" t="s">
        <v>147</v>
      </c>
      <c r="C28" s="368"/>
      <c r="D28" s="369"/>
      <c r="E28" s="369"/>
      <c r="F28" s="369"/>
      <c r="G28" s="369"/>
      <c r="H28" s="369"/>
      <c r="I28" s="369"/>
      <c r="J28" s="370"/>
      <c r="K28" s="370"/>
      <c r="L28" s="370"/>
      <c r="M28" s="370"/>
      <c r="N28" s="370"/>
      <c r="O28" s="369"/>
      <c r="P28" s="371"/>
    </row>
    <row r="29" spans="1:18" ht="15.6" x14ac:dyDescent="0.3">
      <c r="A29" s="249" t="s">
        <v>146</v>
      </c>
      <c r="B29" s="642">
        <v>5111.67</v>
      </c>
      <c r="C29" s="359" t="s">
        <v>140</v>
      </c>
      <c r="D29" s="43">
        <v>88</v>
      </c>
      <c r="E29" s="43">
        <v>87</v>
      </c>
      <c r="F29" s="43">
        <v>89</v>
      </c>
      <c r="G29" s="43">
        <v>96</v>
      </c>
      <c r="H29" s="43">
        <v>90</v>
      </c>
      <c r="I29" s="43">
        <v>93</v>
      </c>
      <c r="J29" s="43">
        <v>91</v>
      </c>
      <c r="K29" s="43">
        <v>93</v>
      </c>
      <c r="L29" s="372">
        <v>90</v>
      </c>
      <c r="M29" s="372">
        <v>88</v>
      </c>
      <c r="N29" s="372">
        <v>86</v>
      </c>
      <c r="O29" s="372">
        <v>88</v>
      </c>
      <c r="P29" s="373">
        <f>SUM(D29:O29)</f>
        <v>1079</v>
      </c>
    </row>
    <row r="30" spans="1:18" ht="15.6" x14ac:dyDescent="0.3">
      <c r="A30" s="250"/>
      <c r="B30" s="642"/>
      <c r="C30" s="374" t="s">
        <v>139</v>
      </c>
      <c r="D30" s="15">
        <f t="shared" ref="D30:F30" si="16">D29/(D9/1000)</f>
        <v>2.002138648101381</v>
      </c>
      <c r="E30" s="15">
        <f t="shared" si="16"/>
        <v>2.1093465874651476</v>
      </c>
      <c r="F30" s="15">
        <f t="shared" si="16"/>
        <v>2.1245106464241381</v>
      </c>
      <c r="G30" s="375">
        <f t="shared" ref="G30:P30" si="17">G29/(G9/1000)</f>
        <v>2.4502922483983767</v>
      </c>
      <c r="H30" s="375">
        <f t="shared" si="17"/>
        <v>1.713828693300834</v>
      </c>
      <c r="I30" s="15">
        <f t="shared" si="17"/>
        <v>2.1358197643708516</v>
      </c>
      <c r="J30" s="15">
        <f t="shared" si="17"/>
        <v>2.0609217529158643</v>
      </c>
      <c r="K30" s="15">
        <f t="shared" si="17"/>
        <v>2.0697022299372416</v>
      </c>
      <c r="L30" s="375">
        <v>1.9819423034573884</v>
      </c>
      <c r="M30" s="375">
        <f t="shared" si="17"/>
        <v>1.9173784207774098</v>
      </c>
      <c r="N30" s="375">
        <f t="shared" si="17"/>
        <v>1.957749043890002</v>
      </c>
      <c r="O30" s="375">
        <v>1.6973671520879545</v>
      </c>
      <c r="P30" s="376">
        <f t="shared" si="17"/>
        <v>2.0037363461802729</v>
      </c>
    </row>
    <row r="31" spans="1:18" ht="15.6" x14ac:dyDescent="0.3">
      <c r="A31" s="249" t="s">
        <v>145</v>
      </c>
      <c r="B31" s="642">
        <v>1537</v>
      </c>
      <c r="C31" s="359" t="s">
        <v>140</v>
      </c>
      <c r="D31" s="43"/>
      <c r="E31" s="43"/>
      <c r="F31" s="43">
        <v>0</v>
      </c>
      <c r="G31" s="43"/>
      <c r="H31" s="372"/>
      <c r="I31" s="372"/>
      <c r="J31" s="372"/>
      <c r="K31" s="372"/>
      <c r="L31" s="372"/>
      <c r="M31" s="372"/>
      <c r="N31" s="372"/>
      <c r="O31" s="372"/>
      <c r="P31" s="373">
        <f>SUM(D31:O31)</f>
        <v>0</v>
      </c>
    </row>
    <row r="32" spans="1:18" ht="15.6" x14ac:dyDescent="0.3">
      <c r="A32" s="250"/>
      <c r="B32" s="642"/>
      <c r="C32" s="374" t="s">
        <v>139</v>
      </c>
      <c r="D32" s="15">
        <f t="shared" ref="D32:G32" si="18">D31/(D9/1000)</f>
        <v>0</v>
      </c>
      <c r="E32" s="15">
        <f t="shared" si="18"/>
        <v>0</v>
      </c>
      <c r="F32" s="15">
        <f t="shared" si="18"/>
        <v>0</v>
      </c>
      <c r="G32" s="15">
        <f t="shared" si="18"/>
        <v>0</v>
      </c>
      <c r="H32" s="375">
        <f t="shared" ref="H32:P32" si="19">H31/(H9/1000)</f>
        <v>0</v>
      </c>
      <c r="I32" s="375">
        <f t="shared" si="19"/>
        <v>0</v>
      </c>
      <c r="J32" s="375">
        <f t="shared" si="19"/>
        <v>0</v>
      </c>
      <c r="K32" s="375">
        <f t="shared" si="19"/>
        <v>0</v>
      </c>
      <c r="L32" s="375">
        <f t="shared" si="19"/>
        <v>0</v>
      </c>
      <c r="M32" s="375">
        <f t="shared" si="19"/>
        <v>0</v>
      </c>
      <c r="N32" s="375">
        <f t="shared" si="19"/>
        <v>0</v>
      </c>
      <c r="O32" s="375">
        <v>0</v>
      </c>
      <c r="P32" s="376">
        <f t="shared" si="19"/>
        <v>0</v>
      </c>
    </row>
    <row r="33" spans="1:16" ht="15.6" x14ac:dyDescent="0.3">
      <c r="A33" s="249" t="s">
        <v>144</v>
      </c>
      <c r="B33" s="642">
        <v>1781.02</v>
      </c>
      <c r="C33" s="359" t="s">
        <v>140</v>
      </c>
      <c r="D33" s="43"/>
      <c r="E33" s="43"/>
      <c r="F33" s="43">
        <v>0</v>
      </c>
      <c r="G33" s="43"/>
      <c r="H33" s="372"/>
      <c r="I33" s="372"/>
      <c r="J33" s="372"/>
      <c r="K33" s="372"/>
      <c r="L33" s="372"/>
      <c r="M33" s="372"/>
      <c r="N33" s="372"/>
      <c r="O33" s="372"/>
      <c r="P33" s="373">
        <f>SUM(D33:O33)</f>
        <v>0</v>
      </c>
    </row>
    <row r="34" spans="1:16" ht="15.6" x14ac:dyDescent="0.3">
      <c r="A34" s="250"/>
      <c r="B34" s="642"/>
      <c r="C34" s="374" t="s">
        <v>139</v>
      </c>
      <c r="D34" s="15">
        <f t="shared" ref="D34:G34" si="20">D33/(D9/1000)</f>
        <v>0</v>
      </c>
      <c r="E34" s="15">
        <f t="shared" si="20"/>
        <v>0</v>
      </c>
      <c r="F34" s="15">
        <f t="shared" si="20"/>
        <v>0</v>
      </c>
      <c r="G34" s="15">
        <f t="shared" si="20"/>
        <v>0</v>
      </c>
      <c r="H34" s="375">
        <f t="shared" ref="H34:P34" si="21">H33/(H9/1000)</f>
        <v>0</v>
      </c>
      <c r="I34" s="375">
        <f t="shared" si="21"/>
        <v>0</v>
      </c>
      <c r="J34" s="375">
        <f t="shared" si="21"/>
        <v>0</v>
      </c>
      <c r="K34" s="375">
        <f t="shared" si="21"/>
        <v>0</v>
      </c>
      <c r="L34" s="375">
        <f t="shared" si="21"/>
        <v>0</v>
      </c>
      <c r="M34" s="375">
        <f t="shared" si="21"/>
        <v>0</v>
      </c>
      <c r="N34" s="375">
        <f t="shared" si="21"/>
        <v>0</v>
      </c>
      <c r="O34" s="375">
        <v>0</v>
      </c>
      <c r="P34" s="376">
        <f t="shared" si="21"/>
        <v>0</v>
      </c>
    </row>
    <row r="35" spans="1:16" ht="15.6" x14ac:dyDescent="0.3">
      <c r="A35" s="249" t="s">
        <v>143</v>
      </c>
      <c r="B35" s="642">
        <v>5979.95</v>
      </c>
      <c r="C35" s="359" t="s">
        <v>126</v>
      </c>
      <c r="D35" s="13">
        <v>0</v>
      </c>
      <c r="E35" s="13"/>
      <c r="F35" s="13">
        <v>0</v>
      </c>
      <c r="G35" s="377"/>
      <c r="H35" s="377"/>
      <c r="I35" s="377"/>
      <c r="J35" s="377"/>
      <c r="K35" s="377"/>
      <c r="L35" s="377"/>
      <c r="M35" s="377"/>
      <c r="N35" s="377"/>
      <c r="O35" s="377"/>
      <c r="P35" s="376"/>
    </row>
    <row r="36" spans="1:16" ht="15.6" x14ac:dyDescent="0.3">
      <c r="A36" s="250"/>
      <c r="B36" s="642"/>
      <c r="C36" s="359" t="s">
        <v>142</v>
      </c>
      <c r="D36" s="13"/>
      <c r="E36" s="13"/>
      <c r="F36" s="13"/>
      <c r="G36" s="377"/>
      <c r="H36" s="377"/>
      <c r="I36" s="377"/>
      <c r="J36" s="377"/>
      <c r="K36" s="377"/>
      <c r="L36" s="377"/>
      <c r="M36" s="377"/>
      <c r="N36" s="377"/>
      <c r="O36" s="377"/>
      <c r="P36" s="376"/>
    </row>
    <row r="37" spans="1:16" ht="15.6" x14ac:dyDescent="0.3">
      <c r="A37" s="249" t="s">
        <v>186</v>
      </c>
      <c r="B37" s="642">
        <v>5403.75</v>
      </c>
      <c r="C37" s="359" t="s">
        <v>126</v>
      </c>
      <c r="D37" s="43">
        <v>0</v>
      </c>
      <c r="E37" s="43">
        <v>0</v>
      </c>
      <c r="F37" s="43">
        <v>0</v>
      </c>
      <c r="G37" s="372">
        <v>0</v>
      </c>
      <c r="H37" s="372">
        <v>0</v>
      </c>
      <c r="I37" s="372">
        <v>0</v>
      </c>
      <c r="J37" s="372">
        <v>0</v>
      </c>
      <c r="K37" s="372">
        <v>0</v>
      </c>
      <c r="L37" s="372">
        <v>0</v>
      </c>
      <c r="M37" s="372">
        <v>0</v>
      </c>
      <c r="N37" s="372">
        <v>0</v>
      </c>
      <c r="O37" s="372">
        <v>0</v>
      </c>
      <c r="P37" s="373">
        <f>SUM(D37:O37)</f>
        <v>0</v>
      </c>
    </row>
    <row r="38" spans="1:16" ht="15.6" x14ac:dyDescent="0.3">
      <c r="A38" s="250"/>
      <c r="B38" s="642"/>
      <c r="C38" s="359" t="s">
        <v>142</v>
      </c>
      <c r="D38" s="15">
        <f t="shared" ref="D38:F38" si="22">D37/(D9/1000)</f>
        <v>0</v>
      </c>
      <c r="E38" s="15">
        <f t="shared" si="22"/>
        <v>0</v>
      </c>
      <c r="F38" s="15">
        <f t="shared" si="22"/>
        <v>0</v>
      </c>
      <c r="G38" s="375">
        <f t="shared" ref="G38:P38" si="23">G37/(G9/1000)</f>
        <v>0</v>
      </c>
      <c r="H38" s="375">
        <f t="shared" si="23"/>
        <v>0</v>
      </c>
      <c r="I38" s="375">
        <f t="shared" si="23"/>
        <v>0</v>
      </c>
      <c r="J38" s="375">
        <f t="shared" si="23"/>
        <v>0</v>
      </c>
      <c r="K38" s="375">
        <f t="shared" si="23"/>
        <v>0</v>
      </c>
      <c r="L38" s="375">
        <f t="shared" si="23"/>
        <v>0</v>
      </c>
      <c r="M38" s="375">
        <f t="shared" si="23"/>
        <v>0</v>
      </c>
      <c r="N38" s="375">
        <f t="shared" si="23"/>
        <v>0</v>
      </c>
      <c r="O38" s="375">
        <v>0</v>
      </c>
      <c r="P38" s="376">
        <f t="shared" si="23"/>
        <v>0</v>
      </c>
    </row>
    <row r="39" spans="1:16" ht="15.6" x14ac:dyDescent="0.3">
      <c r="A39" s="249" t="s">
        <v>141</v>
      </c>
      <c r="B39" s="642">
        <v>1950</v>
      </c>
      <c r="C39" s="359" t="s">
        <v>140</v>
      </c>
      <c r="D39" s="43">
        <v>0</v>
      </c>
      <c r="E39" s="43">
        <v>0</v>
      </c>
      <c r="F39" s="43">
        <v>0</v>
      </c>
      <c r="G39" s="372">
        <v>0</v>
      </c>
      <c r="H39" s="372">
        <v>0</v>
      </c>
      <c r="I39" s="372">
        <v>0</v>
      </c>
      <c r="J39" s="372">
        <v>0</v>
      </c>
      <c r="K39" s="372">
        <v>0</v>
      </c>
      <c r="L39" s="372">
        <v>0</v>
      </c>
      <c r="M39" s="372">
        <v>0</v>
      </c>
      <c r="N39" s="372">
        <v>0</v>
      </c>
      <c r="O39" s="372">
        <v>0</v>
      </c>
      <c r="P39" s="373">
        <f>SUM(D39:O39)</f>
        <v>0</v>
      </c>
    </row>
    <row r="40" spans="1:16" ht="15.6" x14ac:dyDescent="0.3">
      <c r="A40" s="250"/>
      <c r="B40" s="642"/>
      <c r="C40" s="374" t="s">
        <v>139</v>
      </c>
      <c r="D40" s="15">
        <f t="shared" ref="D40:F40" si="24">D39/(D9/1000)</f>
        <v>0</v>
      </c>
      <c r="E40" s="15">
        <f t="shared" si="24"/>
        <v>0</v>
      </c>
      <c r="F40" s="15">
        <f t="shared" si="24"/>
        <v>0</v>
      </c>
      <c r="G40" s="375">
        <f t="shared" ref="G40:P40" si="25">G39/(G9/1000)</f>
        <v>0</v>
      </c>
      <c r="H40" s="375">
        <f t="shared" si="25"/>
        <v>0</v>
      </c>
      <c r="I40" s="375">
        <f t="shared" si="25"/>
        <v>0</v>
      </c>
      <c r="J40" s="375">
        <f t="shared" si="25"/>
        <v>0</v>
      </c>
      <c r="K40" s="375">
        <f t="shared" si="25"/>
        <v>0</v>
      </c>
      <c r="L40" s="375">
        <f t="shared" si="25"/>
        <v>0</v>
      </c>
      <c r="M40" s="375">
        <f t="shared" si="25"/>
        <v>0</v>
      </c>
      <c r="N40" s="375">
        <f t="shared" si="25"/>
        <v>0</v>
      </c>
      <c r="O40" s="375">
        <v>0</v>
      </c>
      <c r="P40" s="376">
        <f t="shared" si="25"/>
        <v>0</v>
      </c>
    </row>
    <row r="41" spans="1:16" ht="15.6" x14ac:dyDescent="0.3">
      <c r="A41" s="478" t="s">
        <v>138</v>
      </c>
      <c r="B41" s="479"/>
      <c r="C41" s="348" t="s">
        <v>31</v>
      </c>
      <c r="D41" s="378">
        <f>(D29*$B29)+(D31*$B31)+(D33*$B33)+(D35*$B35)+(D37*$B37)+(D39*$B39)</f>
        <v>449826.96</v>
      </c>
      <c r="E41" s="378">
        <f t="shared" ref="E41:N41" si="26">(E29*$B29)+(E31*$B31)+(E33*$B33)+(E35*$B35)+(E37*$B37)+(E39*$B39)</f>
        <v>444715.29</v>
      </c>
      <c r="F41" s="378">
        <f t="shared" si="26"/>
        <v>454938.63</v>
      </c>
      <c r="G41" s="378">
        <f t="shared" si="26"/>
        <v>490720.32</v>
      </c>
      <c r="H41" s="378">
        <f t="shared" si="26"/>
        <v>460050.3</v>
      </c>
      <c r="I41" s="378">
        <f t="shared" si="26"/>
        <v>475385.31</v>
      </c>
      <c r="J41" s="378">
        <f t="shared" si="26"/>
        <v>465161.97000000003</v>
      </c>
      <c r="K41" s="378">
        <f t="shared" si="26"/>
        <v>475385.31</v>
      </c>
      <c r="L41" s="378">
        <f t="shared" si="26"/>
        <v>460050.3</v>
      </c>
      <c r="M41" s="378">
        <f t="shared" si="26"/>
        <v>449826.96</v>
      </c>
      <c r="N41" s="378">
        <f t="shared" si="26"/>
        <v>439603.62</v>
      </c>
      <c r="O41" s="378">
        <v>449826.96</v>
      </c>
      <c r="P41" s="379">
        <f>SUM(D41:O41)</f>
        <v>5515491.9300000006</v>
      </c>
    </row>
    <row r="42" spans="1:16" ht="15.6" x14ac:dyDescent="0.3">
      <c r="A42" s="535" t="s">
        <v>137</v>
      </c>
      <c r="B42" s="536"/>
      <c r="C42" s="374" t="s">
        <v>115</v>
      </c>
      <c r="D42" s="375">
        <f t="shared" ref="D42:P42" si="27">D41/D9</f>
        <v>10.234272063340386</v>
      </c>
      <c r="E42" s="375">
        <f t="shared" si="27"/>
        <v>10.782283670747969</v>
      </c>
      <c r="F42" s="375">
        <f t="shared" si="27"/>
        <v>10.859797336006874</v>
      </c>
      <c r="G42" s="375">
        <f t="shared" si="27"/>
        <v>12.52508537737053</v>
      </c>
      <c r="H42" s="375">
        <f t="shared" si="27"/>
        <v>8.7605267166850744</v>
      </c>
      <c r="I42" s="375">
        <f t="shared" si="27"/>
        <v>10.917605814941552</v>
      </c>
      <c r="J42" s="375">
        <f t="shared" si="27"/>
        <v>10.534751896727439</v>
      </c>
      <c r="K42" s="375">
        <f t="shared" si="27"/>
        <v>10.579634797703298</v>
      </c>
      <c r="L42" s="375">
        <f t="shared" si="27"/>
        <v>10.131035014314028</v>
      </c>
      <c r="M42" s="375">
        <f t="shared" si="27"/>
        <v>9.8010057521352625</v>
      </c>
      <c r="N42" s="375">
        <f t="shared" si="27"/>
        <v>10.007367055181206</v>
      </c>
      <c r="O42" s="375">
        <v>8.6763807503134345</v>
      </c>
      <c r="P42" s="380">
        <f t="shared" si="27"/>
        <v>10.242438968679318</v>
      </c>
    </row>
    <row r="43" spans="1:16" x14ac:dyDescent="0.3">
      <c r="A43" s="524" t="s">
        <v>136</v>
      </c>
      <c r="B43" s="525"/>
      <c r="C43" s="525"/>
      <c r="D43" s="525"/>
      <c r="E43" s="525"/>
      <c r="F43" s="525"/>
      <c r="G43" s="525"/>
      <c r="H43" s="525"/>
      <c r="I43" s="525"/>
      <c r="J43" s="525"/>
      <c r="K43" s="525"/>
      <c r="L43" s="525"/>
      <c r="M43" s="525"/>
      <c r="N43" s="525"/>
      <c r="O43" s="525"/>
      <c r="P43" s="526"/>
    </row>
    <row r="44" spans="1:16" ht="15.6" x14ac:dyDescent="0.3">
      <c r="A44" s="478" t="s">
        <v>135</v>
      </c>
      <c r="B44" s="479"/>
      <c r="C44" s="348" t="s">
        <v>134</v>
      </c>
      <c r="D44" s="4">
        <v>21</v>
      </c>
      <c r="E44" s="43">
        <v>17</v>
      </c>
      <c r="F44" s="43">
        <v>29</v>
      </c>
      <c r="G44" s="43">
        <v>37</v>
      </c>
      <c r="H44" s="43">
        <v>20</v>
      </c>
      <c r="I44" s="43">
        <v>29</v>
      </c>
      <c r="J44" s="43">
        <v>32</v>
      </c>
      <c r="K44" s="43">
        <v>28</v>
      </c>
      <c r="L44" s="372">
        <v>25</v>
      </c>
      <c r="M44" s="372">
        <v>34</v>
      </c>
      <c r="N44" s="372">
        <v>56</v>
      </c>
      <c r="O44" s="372">
        <v>55</v>
      </c>
      <c r="P44" s="379">
        <f>SUM(D44:O44)</f>
        <v>383</v>
      </c>
    </row>
    <row r="45" spans="1:16" ht="15.6" x14ac:dyDescent="0.3">
      <c r="A45" s="535" t="s">
        <v>133</v>
      </c>
      <c r="B45" s="536"/>
      <c r="C45" s="374" t="s">
        <v>132</v>
      </c>
      <c r="D45" s="15">
        <f t="shared" ref="D45:G45" si="28">D44/D9</f>
        <v>4.7778308647873863E-4</v>
      </c>
      <c r="E45" s="15">
        <f t="shared" si="28"/>
        <v>4.1217117226330466E-4</v>
      </c>
      <c r="F45" s="15">
        <f t="shared" si="28"/>
        <v>6.9225627804831477E-4</v>
      </c>
      <c r="G45" s="15">
        <f t="shared" si="28"/>
        <v>9.4438347073687431E-4</v>
      </c>
      <c r="H45" s="375">
        <f t="shared" ref="H45:P45" si="29">H44/H9</f>
        <v>3.8085082073351871E-4</v>
      </c>
      <c r="I45" s="15">
        <f t="shared" si="29"/>
        <v>6.6600831362101831E-4</v>
      </c>
      <c r="J45" s="375">
        <f t="shared" si="29"/>
        <v>7.247197372890952E-4</v>
      </c>
      <c r="K45" s="375">
        <f t="shared" si="29"/>
        <v>6.2313615524992212E-4</v>
      </c>
      <c r="L45" s="375">
        <f t="shared" si="29"/>
        <v>5.5053952873816345E-4</v>
      </c>
      <c r="M45" s="375">
        <f t="shared" si="29"/>
        <v>7.4080529893672648E-4</v>
      </c>
      <c r="N45" s="375">
        <f t="shared" si="29"/>
        <v>1.2748133309051174E-3</v>
      </c>
      <c r="O45" s="375">
        <v>1.0608544700549715E-3</v>
      </c>
      <c r="P45" s="376">
        <f t="shared" si="29"/>
        <v>7.112428365032851E-4</v>
      </c>
    </row>
    <row r="46" spans="1:16" ht="15.6" x14ac:dyDescent="0.3">
      <c r="A46" s="490" t="s">
        <v>131</v>
      </c>
      <c r="B46" s="491"/>
      <c r="C46" s="359" t="s">
        <v>31</v>
      </c>
      <c r="D46" s="41">
        <f>122.92*D44</f>
        <v>2581.3200000000002</v>
      </c>
      <c r="E46" s="41">
        <f t="shared" ref="E46:I46" si="30">122.92*E44</f>
        <v>2089.64</v>
      </c>
      <c r="F46" s="41">
        <f t="shared" si="30"/>
        <v>3564.68</v>
      </c>
      <c r="G46" s="41">
        <f t="shared" si="30"/>
        <v>4548.04</v>
      </c>
      <c r="H46" s="41">
        <f t="shared" si="30"/>
        <v>2458.4</v>
      </c>
      <c r="I46" s="41">
        <f t="shared" si="30"/>
        <v>3564.68</v>
      </c>
      <c r="J46" s="381">
        <f t="shared" ref="J46:N46" si="31">1.165*(14100+(J44*119.1))</f>
        <v>20866.548000000003</v>
      </c>
      <c r="K46" s="381">
        <f t="shared" si="31"/>
        <v>20311.542000000001</v>
      </c>
      <c r="L46" s="381">
        <f t="shared" si="31"/>
        <v>19895.287500000002</v>
      </c>
      <c r="M46" s="381">
        <f t="shared" si="31"/>
        <v>21144.051000000003</v>
      </c>
      <c r="N46" s="381">
        <f t="shared" si="31"/>
        <v>24196.583999999999</v>
      </c>
      <c r="O46" s="381">
        <v>24057.8325</v>
      </c>
      <c r="P46" s="379">
        <f>SUM(D46:O46)</f>
        <v>149278.60500000001</v>
      </c>
    </row>
    <row r="47" spans="1:16" s="354" customFormat="1" ht="15.6" x14ac:dyDescent="0.3">
      <c r="A47" s="478" t="s">
        <v>130</v>
      </c>
      <c r="B47" s="479"/>
      <c r="C47" s="348" t="s">
        <v>115</v>
      </c>
      <c r="D47" s="15">
        <f t="shared" ref="D47:F47" si="32">D46/D9</f>
        <v>5.8729096989966562E-2</v>
      </c>
      <c r="E47" s="15">
        <f t="shared" si="32"/>
        <v>5.0664080494605405E-2</v>
      </c>
      <c r="F47" s="15">
        <f t="shared" si="32"/>
        <v>8.5092141697698839E-2</v>
      </c>
      <c r="G47" s="375">
        <f t="shared" ref="G47:P47" si="33">G46/G9</f>
        <v>0.1160836162229766</v>
      </c>
      <c r="H47" s="375">
        <f t="shared" si="33"/>
        <v>4.6814182884564119E-2</v>
      </c>
      <c r="I47" s="375">
        <f t="shared" si="33"/>
        <v>8.1865741910295567E-2</v>
      </c>
      <c r="J47" s="375">
        <f t="shared" si="33"/>
        <v>0.47257497452157177</v>
      </c>
      <c r="K47" s="375">
        <f t="shared" si="33"/>
        <v>0.45203057818133263</v>
      </c>
      <c r="L47" s="375">
        <f t="shared" si="33"/>
        <v>0.43812568817441094</v>
      </c>
      <c r="M47" s="375">
        <f t="shared" si="33"/>
        <v>0.46069485358201157</v>
      </c>
      <c r="N47" s="375">
        <f t="shared" si="33"/>
        <v>0.55082371152795484</v>
      </c>
      <c r="O47" s="375">
        <v>0.46403380268106859</v>
      </c>
      <c r="P47" s="376">
        <f t="shared" si="33"/>
        <v>0.2772149828967454</v>
      </c>
    </row>
    <row r="48" spans="1:16" x14ac:dyDescent="0.3">
      <c r="A48" s="524" t="s">
        <v>129</v>
      </c>
      <c r="B48" s="525"/>
      <c r="C48" s="525"/>
      <c r="D48" s="525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25"/>
      <c r="P48" s="526"/>
    </row>
    <row r="49" spans="1:16" ht="15.6" x14ac:dyDescent="0.3">
      <c r="A49" s="478" t="s">
        <v>128</v>
      </c>
      <c r="B49" s="479"/>
      <c r="C49" s="359" t="s">
        <v>127</v>
      </c>
      <c r="D49" s="4">
        <v>1684</v>
      </c>
      <c r="E49" s="4">
        <v>2342</v>
      </c>
      <c r="F49" s="4">
        <v>1997</v>
      </c>
      <c r="G49" s="4">
        <v>1142</v>
      </c>
      <c r="H49" s="4">
        <v>2878</v>
      </c>
      <c r="I49" s="4">
        <v>2067</v>
      </c>
      <c r="J49" s="4">
        <v>1645</v>
      </c>
      <c r="K49" s="4">
        <v>3050</v>
      </c>
      <c r="L49" s="382">
        <v>2174</v>
      </c>
      <c r="M49" s="382">
        <v>2581</v>
      </c>
      <c r="N49" s="382">
        <v>2207</v>
      </c>
      <c r="O49" s="382">
        <v>1622</v>
      </c>
      <c r="P49" s="379">
        <f>SUM(D49:O49)</f>
        <v>25389</v>
      </c>
    </row>
    <row r="50" spans="1:16" ht="15.6" x14ac:dyDescent="0.3">
      <c r="A50" s="478" t="s">
        <v>187</v>
      </c>
      <c r="B50" s="479"/>
      <c r="C50" s="359" t="s">
        <v>126</v>
      </c>
      <c r="D50" s="4">
        <v>72</v>
      </c>
      <c r="E50" s="4">
        <v>204</v>
      </c>
      <c r="F50" s="4">
        <v>161</v>
      </c>
      <c r="G50" s="4">
        <v>85</v>
      </c>
      <c r="H50" s="4">
        <v>231</v>
      </c>
      <c r="I50" s="4">
        <v>179</v>
      </c>
      <c r="J50" s="4">
        <v>131</v>
      </c>
      <c r="K50" s="4">
        <v>271</v>
      </c>
      <c r="L50" s="382">
        <v>184</v>
      </c>
      <c r="M50" s="382">
        <v>196</v>
      </c>
      <c r="N50" s="382">
        <v>197</v>
      </c>
      <c r="O50" s="382">
        <v>135</v>
      </c>
      <c r="P50" s="379">
        <f>SUM(D50:O50)</f>
        <v>2046</v>
      </c>
    </row>
    <row r="51" spans="1:16" ht="15.6" x14ac:dyDescent="0.3">
      <c r="A51" s="490" t="s">
        <v>125</v>
      </c>
      <c r="B51" s="491"/>
      <c r="C51" s="359" t="s">
        <v>31</v>
      </c>
      <c r="D51" s="13">
        <v>138240</v>
      </c>
      <c r="E51" s="13">
        <v>391680</v>
      </c>
      <c r="F51" s="13">
        <v>309120</v>
      </c>
      <c r="G51" s="13">
        <v>163200</v>
      </c>
      <c r="H51" s="13">
        <v>442867.20000000001</v>
      </c>
      <c r="I51" s="13">
        <f>179*1920</f>
        <v>343680</v>
      </c>
      <c r="J51" s="13">
        <v>251020.79999999999</v>
      </c>
      <c r="K51" s="13">
        <v>740914</v>
      </c>
      <c r="L51" s="377">
        <v>502372.5</v>
      </c>
      <c r="M51" s="377">
        <v>534551.68000000005</v>
      </c>
      <c r="N51" s="377">
        <v>538598</v>
      </c>
      <c r="O51" s="377">
        <v>370019.56</v>
      </c>
      <c r="P51" s="383">
        <f>SUM(D51:O51)</f>
        <v>4726263.7399999993</v>
      </c>
    </row>
    <row r="52" spans="1:16" ht="15.6" x14ac:dyDescent="0.3">
      <c r="A52" s="478" t="s">
        <v>124</v>
      </c>
      <c r="B52" s="479"/>
      <c r="C52" s="359" t="s">
        <v>31</v>
      </c>
      <c r="D52" s="13">
        <v>0</v>
      </c>
      <c r="E52" s="13">
        <v>0</v>
      </c>
      <c r="F52" s="13">
        <v>0</v>
      </c>
      <c r="G52" s="377">
        <v>0</v>
      </c>
      <c r="H52" s="377">
        <v>0</v>
      </c>
      <c r="I52" s="377">
        <v>0</v>
      </c>
      <c r="J52" s="377">
        <v>0</v>
      </c>
      <c r="K52" s="13">
        <v>80000</v>
      </c>
      <c r="L52" s="377">
        <v>0</v>
      </c>
      <c r="M52" s="377">
        <v>0</v>
      </c>
      <c r="N52" s="377">
        <v>0</v>
      </c>
      <c r="O52" s="377">
        <v>0</v>
      </c>
      <c r="P52" s="383">
        <f>SUM(D52:O52)</f>
        <v>80000</v>
      </c>
    </row>
    <row r="53" spans="1:16" x14ac:dyDescent="0.3">
      <c r="A53" s="524" t="s">
        <v>123</v>
      </c>
      <c r="B53" s="525"/>
      <c r="C53" s="525"/>
      <c r="D53" s="525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25"/>
      <c r="P53" s="526"/>
    </row>
    <row r="54" spans="1:16" ht="15.6" x14ac:dyDescent="0.3">
      <c r="A54" s="478" t="s">
        <v>122</v>
      </c>
      <c r="B54" s="479"/>
      <c r="C54" s="348" t="s">
        <v>18</v>
      </c>
      <c r="D54" s="13">
        <v>4350816.3499999996</v>
      </c>
      <c r="E54" s="13">
        <v>4180816.35</v>
      </c>
      <c r="F54" s="13">
        <v>3984013.26</v>
      </c>
      <c r="G54" s="13">
        <v>4350816.3499999996</v>
      </c>
      <c r="H54" s="555">
        <v>4350816.3499999996</v>
      </c>
      <c r="I54" s="13">
        <v>4350816.3499999996</v>
      </c>
      <c r="J54" s="13">
        <v>4350816.3499999996</v>
      </c>
      <c r="K54" s="13">
        <v>4412963.75</v>
      </c>
      <c r="L54" s="377">
        <v>4854260.125</v>
      </c>
      <c r="M54" s="377">
        <v>8150816.3499999996</v>
      </c>
      <c r="N54" s="377">
        <v>4350816.3499999996</v>
      </c>
      <c r="O54" s="377">
        <v>9861113.5099999998</v>
      </c>
      <c r="P54" s="379">
        <f>SUM(D54:O54)</f>
        <v>61548881.445</v>
      </c>
    </row>
    <row r="55" spans="1:16" ht="15.6" x14ac:dyDescent="0.3">
      <c r="A55" s="384" t="s">
        <v>121</v>
      </c>
      <c r="B55" s="358"/>
      <c r="C55" s="348" t="s">
        <v>18</v>
      </c>
      <c r="D55" s="13">
        <v>1218480.2</v>
      </c>
      <c r="E55" s="13">
        <v>1318480.2</v>
      </c>
      <c r="F55" s="13">
        <v>1237972.44</v>
      </c>
      <c r="G55" s="13">
        <v>1218480.2</v>
      </c>
      <c r="H55" s="555">
        <v>1218480.2</v>
      </c>
      <c r="I55" s="13">
        <v>1218480.2</v>
      </c>
      <c r="J55" s="13">
        <v>1218480.2</v>
      </c>
      <c r="K55" s="13">
        <v>1321486.27</v>
      </c>
      <c r="L55" s="377">
        <v>1581485</v>
      </c>
      <c r="M55" s="377">
        <v>1218480.2</v>
      </c>
      <c r="N55" s="377">
        <v>1218480.2</v>
      </c>
      <c r="O55" s="377">
        <v>1218480.2</v>
      </c>
      <c r="P55" s="379">
        <f>SUM(D55:O55)</f>
        <v>15207265.509999998</v>
      </c>
    </row>
    <row r="56" spans="1:16" ht="15.6" x14ac:dyDescent="0.3">
      <c r="A56" s="478" t="s">
        <v>120</v>
      </c>
      <c r="B56" s="479"/>
      <c r="C56" s="359" t="s">
        <v>18</v>
      </c>
      <c r="D56" s="13">
        <v>569840</v>
      </c>
      <c r="E56" s="13">
        <v>409487.33</v>
      </c>
      <c r="F56" s="13">
        <v>380620</v>
      </c>
      <c r="G56" s="13">
        <v>569840</v>
      </c>
      <c r="H56" s="555">
        <v>569840</v>
      </c>
      <c r="I56" s="13">
        <v>569840</v>
      </c>
      <c r="J56" s="13">
        <v>569840</v>
      </c>
      <c r="K56" s="13">
        <v>489971.54</v>
      </c>
      <c r="L56" s="377">
        <v>434249.26</v>
      </c>
      <c r="M56" s="377">
        <v>515975.2</v>
      </c>
      <c r="N56" s="377">
        <v>569840</v>
      </c>
      <c r="O56" s="377">
        <v>286980</v>
      </c>
      <c r="P56" s="379">
        <f>SUM(D56:O56)</f>
        <v>5936323.3300000001</v>
      </c>
    </row>
    <row r="57" spans="1:16" x14ac:dyDescent="0.3">
      <c r="A57" s="524" t="s">
        <v>119</v>
      </c>
      <c r="B57" s="525"/>
      <c r="C57" s="525"/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525"/>
      <c r="O57" s="525"/>
      <c r="P57" s="526"/>
    </row>
    <row r="58" spans="1:16" ht="15.6" x14ac:dyDescent="0.3">
      <c r="A58" s="490" t="s">
        <v>118</v>
      </c>
      <c r="B58" s="491"/>
      <c r="C58" s="359" t="s">
        <v>18</v>
      </c>
      <c r="D58" s="13">
        <f>D41+D46+D51+D52+D54+D55+D56</f>
        <v>6729784.8300000001</v>
      </c>
      <c r="E58" s="13">
        <f t="shared" ref="E58:F58" si="34">E41+E46+E51+E52+E54+E55+E56</f>
        <v>6747268.8100000005</v>
      </c>
      <c r="F58" s="13">
        <f t="shared" si="34"/>
        <v>6370229.0099999998</v>
      </c>
      <c r="G58" s="377">
        <f t="shared" ref="G58:N58" si="35">G41+G46+G51+G52+G54+G55+G56</f>
        <v>6797604.9100000001</v>
      </c>
      <c r="H58" s="377">
        <f t="shared" si="35"/>
        <v>7044512.4500000002</v>
      </c>
      <c r="I58" s="377">
        <f t="shared" si="35"/>
        <v>6961766.54</v>
      </c>
      <c r="J58" s="377">
        <f t="shared" si="35"/>
        <v>6876185.8679999998</v>
      </c>
      <c r="K58" s="377">
        <f t="shared" si="35"/>
        <v>7541032.4119999995</v>
      </c>
      <c r="L58" s="377">
        <f t="shared" si="35"/>
        <v>7852312.4725000001</v>
      </c>
      <c r="M58" s="377">
        <f t="shared" si="35"/>
        <v>10890794.440999998</v>
      </c>
      <c r="N58" s="377">
        <f t="shared" si="35"/>
        <v>7141534.7539999997</v>
      </c>
      <c r="O58" s="377">
        <v>12210478.0625</v>
      </c>
      <c r="P58" s="385">
        <f>SUM(D58:O58)</f>
        <v>93163504.559999987</v>
      </c>
    </row>
    <row r="59" spans="1:16" ht="15.6" x14ac:dyDescent="0.3">
      <c r="A59" s="490" t="s">
        <v>117</v>
      </c>
      <c r="B59" s="491"/>
      <c r="C59" s="359" t="s">
        <v>115</v>
      </c>
      <c r="D59" s="15">
        <f t="shared" ref="D59:F59" si="36">D58/D9</f>
        <v>153.11320797215208</v>
      </c>
      <c r="E59" s="15">
        <f t="shared" si="36"/>
        <v>163.58998205843133</v>
      </c>
      <c r="F59" s="15">
        <f t="shared" si="36"/>
        <v>152.0631387854483</v>
      </c>
      <c r="G59" s="375">
        <f t="shared" ref="G59:P59" si="37">G58/G9</f>
        <v>173.50123561091402</v>
      </c>
      <c r="H59" s="375">
        <f t="shared" si="37"/>
        <v>134.14541741249954</v>
      </c>
      <c r="I59" s="375">
        <f t="shared" si="37"/>
        <v>159.88256528029763</v>
      </c>
      <c r="J59" s="375">
        <f t="shared" si="37"/>
        <v>155.72836299399842</v>
      </c>
      <c r="K59" s="375">
        <f t="shared" si="37"/>
        <v>167.82464085102595</v>
      </c>
      <c r="L59" s="375">
        <f t="shared" si="37"/>
        <v>172.92033632459811</v>
      </c>
      <c r="M59" s="375">
        <f t="shared" si="37"/>
        <v>237.2928891624542</v>
      </c>
      <c r="N59" s="375">
        <f t="shared" si="37"/>
        <v>162.57363763431067</v>
      </c>
      <c r="O59" s="375">
        <v>235.51891334747805</v>
      </c>
      <c r="P59" s="376">
        <f t="shared" si="37"/>
        <v>173.00750715885411</v>
      </c>
    </row>
    <row r="60" spans="1:16" ht="15.6" x14ac:dyDescent="0.3">
      <c r="A60" s="490" t="s">
        <v>116</v>
      </c>
      <c r="B60" s="491"/>
      <c r="C60" s="359" t="s">
        <v>115</v>
      </c>
      <c r="D60" s="15">
        <f>D58/D22</f>
        <v>211.19676227836183</v>
      </c>
      <c r="E60" s="15">
        <f t="shared" ref="E60:F60" si="38">E58/E22</f>
        <v>237.91497919605081</v>
      </c>
      <c r="F60" s="15">
        <f t="shared" si="38"/>
        <v>198.80872011734598</v>
      </c>
      <c r="G60" s="375">
        <f t="shared" ref="G60:N60" si="39">G58/G22</f>
        <v>257.61188880888318</v>
      </c>
      <c r="H60" s="375">
        <f t="shared" si="39"/>
        <v>179.26747056323657</v>
      </c>
      <c r="I60" s="375">
        <f t="shared" si="39"/>
        <v>218.28509516194777</v>
      </c>
      <c r="J60" s="375">
        <f t="shared" si="39"/>
        <v>215.51995975565035</v>
      </c>
      <c r="K60" s="375">
        <f t="shared" si="39"/>
        <v>234.78415928266756</v>
      </c>
      <c r="L60" s="375">
        <f t="shared" si="39"/>
        <v>256.71219015627042</v>
      </c>
      <c r="M60" s="375">
        <f t="shared" si="39"/>
        <v>315.79053338320654</v>
      </c>
      <c r="N60" s="375">
        <f t="shared" si="39"/>
        <v>193.03532149421559</v>
      </c>
      <c r="O60" s="375">
        <v>269.6064928792228</v>
      </c>
      <c r="P60" s="386">
        <f>P58/P22</f>
        <v>232.19557269845669</v>
      </c>
    </row>
    <row r="61" spans="1:16" ht="15.6" x14ac:dyDescent="0.3">
      <c r="A61" s="478" t="s">
        <v>114</v>
      </c>
      <c r="B61" s="479"/>
      <c r="C61" s="359" t="s">
        <v>3</v>
      </c>
      <c r="D61" s="4">
        <v>12</v>
      </c>
      <c r="E61" s="4">
        <v>12</v>
      </c>
      <c r="F61" s="4">
        <v>12</v>
      </c>
      <c r="G61" s="4">
        <v>12</v>
      </c>
      <c r="H61" s="4">
        <v>12</v>
      </c>
      <c r="I61" s="4">
        <v>12</v>
      </c>
      <c r="J61" s="4">
        <v>12</v>
      </c>
      <c r="K61" s="4">
        <v>12</v>
      </c>
      <c r="L61" s="382">
        <v>12</v>
      </c>
      <c r="M61" s="382">
        <v>10</v>
      </c>
      <c r="N61" s="382">
        <v>10</v>
      </c>
      <c r="O61" s="382">
        <v>10</v>
      </c>
      <c r="P61" s="387">
        <f>O61</f>
        <v>10</v>
      </c>
    </row>
    <row r="62" spans="1:16" ht="15.6" customHeight="1" x14ac:dyDescent="0.3">
      <c r="A62" s="490" t="s">
        <v>113</v>
      </c>
      <c r="B62" s="491"/>
      <c r="C62" s="359" t="s">
        <v>112</v>
      </c>
      <c r="D62" s="15">
        <f t="shared" ref="D62:F62" si="40">(D61*1000*31)/D9</f>
        <v>8.463586103337656</v>
      </c>
      <c r="E62" s="15">
        <f t="shared" si="40"/>
        <v>9.0192750636440788</v>
      </c>
      <c r="F62" s="15">
        <f t="shared" si="40"/>
        <v>8.8799770839301058</v>
      </c>
      <c r="G62" s="375">
        <f t="shared" ref="G62:P62" si="41">(G61*1000*31)/G9</f>
        <v>9.4948824625437105</v>
      </c>
      <c r="H62" s="375">
        <f t="shared" si="41"/>
        <v>7.0838252656434477</v>
      </c>
      <c r="I62" s="15">
        <f t="shared" si="41"/>
        <v>8.5432790574834065</v>
      </c>
      <c r="J62" s="375">
        <f t="shared" si="41"/>
        <v>8.4248669459857322</v>
      </c>
      <c r="K62" s="375">
        <f t="shared" si="41"/>
        <v>8.2788089197489647</v>
      </c>
      <c r="L62" s="375">
        <v>8.1920281876238707</v>
      </c>
      <c r="M62" s="375">
        <f t="shared" si="41"/>
        <v>6.7544012550113299</v>
      </c>
      <c r="N62" s="375">
        <f t="shared" si="41"/>
        <v>7.0570023675104716</v>
      </c>
      <c r="O62" s="375">
        <v>5.9793615584916582</v>
      </c>
      <c r="P62" s="376">
        <f t="shared" si="41"/>
        <v>0.57567958045957801</v>
      </c>
    </row>
    <row r="63" spans="1:16" ht="15.6" x14ac:dyDescent="0.3">
      <c r="A63" s="519" t="s">
        <v>111</v>
      </c>
      <c r="B63" s="520"/>
      <c r="C63" s="388" t="s">
        <v>3</v>
      </c>
      <c r="D63" s="4">
        <v>27</v>
      </c>
      <c r="E63" s="4">
        <v>27</v>
      </c>
      <c r="F63" s="4">
        <v>27</v>
      </c>
      <c r="G63" s="4">
        <v>27</v>
      </c>
      <c r="H63" s="4">
        <v>27</v>
      </c>
      <c r="I63" s="4">
        <v>27</v>
      </c>
      <c r="J63" s="4">
        <v>27</v>
      </c>
      <c r="K63" s="4">
        <v>27</v>
      </c>
      <c r="L63" s="382">
        <v>27</v>
      </c>
      <c r="M63" s="382">
        <v>23</v>
      </c>
      <c r="N63" s="382">
        <v>23</v>
      </c>
      <c r="O63" s="382">
        <v>27</v>
      </c>
      <c r="P63" s="387">
        <f>SUM(D63:O63)</f>
        <v>316</v>
      </c>
    </row>
    <row r="64" spans="1:16" x14ac:dyDescent="0.3">
      <c r="A64" s="521"/>
      <c r="B64" s="522"/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522"/>
      <c r="N64" s="522"/>
      <c r="O64" s="522"/>
      <c r="P64" s="523"/>
    </row>
    <row r="65" spans="1:16" ht="14.4" customHeight="1" x14ac:dyDescent="0.3">
      <c r="A65" s="524" t="s">
        <v>110</v>
      </c>
      <c r="B65" s="525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6"/>
    </row>
    <row r="66" spans="1:16" ht="15.6" x14ac:dyDescent="0.3">
      <c r="A66" s="470" t="s">
        <v>109</v>
      </c>
      <c r="B66" s="359" t="s">
        <v>85</v>
      </c>
      <c r="C66" s="359" t="s">
        <v>3</v>
      </c>
      <c r="D66" s="4">
        <v>589</v>
      </c>
      <c r="E66" s="4">
        <f>D71</f>
        <v>599</v>
      </c>
      <c r="F66" s="4">
        <f t="shared" ref="F66:K66" si="42">E71</f>
        <v>583</v>
      </c>
      <c r="G66" s="4">
        <f t="shared" si="42"/>
        <v>561</v>
      </c>
      <c r="H66" s="4">
        <f t="shared" si="42"/>
        <v>544</v>
      </c>
      <c r="I66" s="4">
        <f t="shared" si="42"/>
        <v>533</v>
      </c>
      <c r="J66" s="4">
        <f t="shared" si="42"/>
        <v>501</v>
      </c>
      <c r="K66" s="4">
        <f t="shared" si="42"/>
        <v>489</v>
      </c>
      <c r="L66" s="389">
        <v>475</v>
      </c>
      <c r="M66" s="389">
        <v>463</v>
      </c>
      <c r="N66" s="389">
        <v>468</v>
      </c>
      <c r="O66" s="389">
        <v>470</v>
      </c>
      <c r="P66" s="390">
        <f>D66</f>
        <v>589</v>
      </c>
    </row>
    <row r="67" spans="1:16" ht="15.6" x14ac:dyDescent="0.3">
      <c r="A67" s="471"/>
      <c r="B67" s="348" t="s">
        <v>104</v>
      </c>
      <c r="C67" s="359" t="s">
        <v>3</v>
      </c>
      <c r="D67" s="4">
        <v>10</v>
      </c>
      <c r="E67" s="4">
        <v>8</v>
      </c>
      <c r="F67" s="4">
        <v>5</v>
      </c>
      <c r="G67" s="4">
        <v>4</v>
      </c>
      <c r="H67" s="4">
        <v>10</v>
      </c>
      <c r="I67" s="4">
        <v>6</v>
      </c>
      <c r="J67" s="4">
        <v>20</v>
      </c>
      <c r="K67" s="4">
        <v>15</v>
      </c>
      <c r="L67" s="391">
        <v>12</v>
      </c>
      <c r="M67" s="391">
        <v>18</v>
      </c>
      <c r="N67" s="391">
        <v>20</v>
      </c>
      <c r="O67" s="391">
        <v>11</v>
      </c>
      <c r="P67" s="390">
        <f>SUM(D67:O67)</f>
        <v>139</v>
      </c>
    </row>
    <row r="68" spans="1:16" ht="15.6" x14ac:dyDescent="0.3">
      <c r="A68" s="471"/>
      <c r="B68" s="348" t="s">
        <v>103</v>
      </c>
      <c r="C68" s="359" t="s">
        <v>3</v>
      </c>
      <c r="D68" s="4">
        <v>0</v>
      </c>
      <c r="E68" s="4">
        <v>24</v>
      </c>
      <c r="F68" s="4">
        <v>27</v>
      </c>
      <c r="G68" s="4">
        <v>21</v>
      </c>
      <c r="H68" s="4">
        <v>21</v>
      </c>
      <c r="I68" s="4">
        <v>38</v>
      </c>
      <c r="J68" s="4">
        <v>32</v>
      </c>
      <c r="K68" s="4">
        <v>29</v>
      </c>
      <c r="L68" s="391">
        <v>24</v>
      </c>
      <c r="M68" s="391">
        <v>12</v>
      </c>
      <c r="N68" s="391">
        <v>18</v>
      </c>
      <c r="O68" s="391">
        <v>22</v>
      </c>
      <c r="P68" s="390">
        <f t="shared" ref="P68:P69" si="43">SUM(D68:O68)</f>
        <v>268</v>
      </c>
    </row>
    <row r="69" spans="1:16" s="354" customFormat="1" ht="15.6" x14ac:dyDescent="0.3">
      <c r="A69" s="471"/>
      <c r="B69" s="348" t="s">
        <v>102</v>
      </c>
      <c r="C69" s="348" t="s">
        <v>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391"/>
      <c r="K69" s="4">
        <v>0</v>
      </c>
      <c r="L69" s="391">
        <v>0</v>
      </c>
      <c r="M69" s="391">
        <v>1</v>
      </c>
      <c r="N69" s="391">
        <v>0</v>
      </c>
      <c r="O69" s="391">
        <v>0</v>
      </c>
      <c r="P69" s="392">
        <f t="shared" si="43"/>
        <v>1</v>
      </c>
    </row>
    <row r="70" spans="1:16" s="354" customFormat="1" ht="15.6" x14ac:dyDescent="0.3">
      <c r="A70" s="471"/>
      <c r="B70" s="348" t="s">
        <v>188</v>
      </c>
      <c r="C70" s="348" t="s">
        <v>3</v>
      </c>
      <c r="D70" s="4">
        <f>D68+D69</f>
        <v>0</v>
      </c>
      <c r="E70" s="4">
        <f t="shared" ref="E70:I70" si="44">E68+E69</f>
        <v>24</v>
      </c>
      <c r="F70" s="4">
        <f t="shared" si="44"/>
        <v>27</v>
      </c>
      <c r="G70" s="4">
        <f t="shared" si="44"/>
        <v>21</v>
      </c>
      <c r="H70" s="4">
        <f t="shared" si="44"/>
        <v>21</v>
      </c>
      <c r="I70" s="4">
        <f t="shared" si="44"/>
        <v>38</v>
      </c>
      <c r="J70" s="391">
        <f t="shared" ref="J70:K70" si="45">J68+J69</f>
        <v>32</v>
      </c>
      <c r="K70" s="4">
        <f t="shared" si="45"/>
        <v>29</v>
      </c>
      <c r="L70" s="391">
        <v>24</v>
      </c>
      <c r="M70" s="391">
        <f t="shared" ref="M70:P70" si="46">M68+M69</f>
        <v>13</v>
      </c>
      <c r="N70" s="391">
        <v>18</v>
      </c>
      <c r="O70" s="391">
        <v>22</v>
      </c>
      <c r="P70" s="393">
        <f t="shared" si="46"/>
        <v>269</v>
      </c>
    </row>
    <row r="71" spans="1:16" ht="15.6" x14ac:dyDescent="0.3">
      <c r="A71" s="472"/>
      <c r="B71" s="359" t="s">
        <v>81</v>
      </c>
      <c r="C71" s="359" t="s">
        <v>3</v>
      </c>
      <c r="D71" s="26">
        <f>D66+D67-D70</f>
        <v>599</v>
      </c>
      <c r="E71" s="26">
        <f t="shared" ref="E71:I71" si="47">E66+E67-E70</f>
        <v>583</v>
      </c>
      <c r="F71" s="26">
        <f t="shared" si="47"/>
        <v>561</v>
      </c>
      <c r="G71" s="26">
        <f t="shared" si="47"/>
        <v>544</v>
      </c>
      <c r="H71" s="26">
        <f t="shared" si="47"/>
        <v>533</v>
      </c>
      <c r="I71" s="26">
        <f t="shared" si="47"/>
        <v>501</v>
      </c>
      <c r="J71" s="394">
        <f t="shared" ref="J71:K71" si="48">J66+J67-J70</f>
        <v>489</v>
      </c>
      <c r="K71" s="26">
        <f t="shared" si="48"/>
        <v>475</v>
      </c>
      <c r="L71" s="394">
        <v>463</v>
      </c>
      <c r="M71" s="394">
        <f t="shared" ref="M71" si="49">M66+M67-M70</f>
        <v>468</v>
      </c>
      <c r="N71" s="394">
        <v>470</v>
      </c>
      <c r="O71" s="394">
        <v>459</v>
      </c>
      <c r="P71" s="395">
        <f>P66+P67-P70</f>
        <v>459</v>
      </c>
    </row>
    <row r="72" spans="1:16" ht="15.6" x14ac:dyDescent="0.3">
      <c r="A72" s="470" t="s">
        <v>108</v>
      </c>
      <c r="B72" s="359" t="s">
        <v>85</v>
      </c>
      <c r="C72" s="359" t="s">
        <v>3</v>
      </c>
      <c r="D72" s="4">
        <v>1</v>
      </c>
      <c r="E72" s="4">
        <f>D77</f>
        <v>1</v>
      </c>
      <c r="F72" s="4">
        <f t="shared" ref="F72:I72" si="50">E77</f>
        <v>1</v>
      </c>
      <c r="G72" s="4">
        <f t="shared" si="50"/>
        <v>1</v>
      </c>
      <c r="H72" s="4">
        <f t="shared" si="50"/>
        <v>1</v>
      </c>
      <c r="I72" s="4">
        <f t="shared" si="50"/>
        <v>1</v>
      </c>
      <c r="J72" s="389">
        <v>1</v>
      </c>
      <c r="K72" s="4">
        <f t="shared" ref="K72" si="51">J77</f>
        <v>1</v>
      </c>
      <c r="L72" s="389">
        <v>1</v>
      </c>
      <c r="M72" s="389"/>
      <c r="N72" s="389"/>
      <c r="O72" s="389"/>
      <c r="P72" s="390">
        <f>D72</f>
        <v>1</v>
      </c>
    </row>
    <row r="73" spans="1:16" ht="15.6" x14ac:dyDescent="0.3">
      <c r="A73" s="471"/>
      <c r="B73" s="348" t="s">
        <v>104</v>
      </c>
      <c r="C73" s="359" t="s">
        <v>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391"/>
      <c r="J73" s="391"/>
      <c r="K73" s="391"/>
      <c r="L73" s="391">
        <v>0</v>
      </c>
      <c r="M73" s="391"/>
      <c r="N73" s="391"/>
      <c r="O73" s="391"/>
      <c r="P73" s="390">
        <f>SUM(D73:O73)</f>
        <v>0</v>
      </c>
    </row>
    <row r="74" spans="1:16" ht="15.6" x14ac:dyDescent="0.3">
      <c r="A74" s="471"/>
      <c r="B74" s="348" t="s">
        <v>103</v>
      </c>
      <c r="C74" s="359" t="s">
        <v>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391"/>
      <c r="J74" s="391"/>
      <c r="K74" s="391"/>
      <c r="L74" s="391">
        <v>1</v>
      </c>
      <c r="M74" s="391"/>
      <c r="N74" s="391"/>
      <c r="O74" s="391"/>
      <c r="P74" s="390">
        <f t="shared" ref="P74:P75" si="52">SUM(D74:O74)</f>
        <v>1</v>
      </c>
    </row>
    <row r="75" spans="1:16" s="354" customFormat="1" ht="15.6" x14ac:dyDescent="0.3">
      <c r="A75" s="471"/>
      <c r="B75" s="348" t="s">
        <v>102</v>
      </c>
      <c r="C75" s="348" t="s">
        <v>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391"/>
      <c r="J75" s="391"/>
      <c r="K75" s="391"/>
      <c r="L75" s="391">
        <v>0</v>
      </c>
      <c r="M75" s="391"/>
      <c r="N75" s="391"/>
      <c r="O75" s="391"/>
      <c r="P75" s="392">
        <f t="shared" si="52"/>
        <v>0</v>
      </c>
    </row>
    <row r="76" spans="1:16" s="354" customFormat="1" ht="15.6" x14ac:dyDescent="0.3">
      <c r="A76" s="471"/>
      <c r="B76" s="348" t="s">
        <v>188</v>
      </c>
      <c r="C76" s="348" t="s">
        <v>3</v>
      </c>
      <c r="D76" s="4">
        <f>D74+D75</f>
        <v>0</v>
      </c>
      <c r="E76" s="4">
        <f t="shared" ref="E76:H76" si="53">E74+E75</f>
        <v>0</v>
      </c>
      <c r="F76" s="4">
        <f t="shared" si="53"/>
        <v>0</v>
      </c>
      <c r="G76" s="4">
        <f t="shared" si="53"/>
        <v>0</v>
      </c>
      <c r="H76" s="4">
        <f t="shared" si="53"/>
        <v>0</v>
      </c>
      <c r="I76" s="391">
        <f t="shared" ref="I76:N76" si="54">I74+I75</f>
        <v>0</v>
      </c>
      <c r="J76" s="391">
        <f t="shared" si="54"/>
        <v>0</v>
      </c>
      <c r="K76" s="391">
        <f t="shared" si="54"/>
        <v>0</v>
      </c>
      <c r="L76" s="391">
        <v>1</v>
      </c>
      <c r="M76" s="391">
        <f t="shared" si="54"/>
        <v>0</v>
      </c>
      <c r="N76" s="391">
        <f t="shared" si="54"/>
        <v>0</v>
      </c>
      <c r="O76" s="391">
        <v>0</v>
      </c>
      <c r="P76" s="393">
        <f t="shared" ref="P76" si="55">P74+P75</f>
        <v>1</v>
      </c>
    </row>
    <row r="77" spans="1:16" ht="15.6" x14ac:dyDescent="0.3">
      <c r="A77" s="472"/>
      <c r="B77" s="359" t="s">
        <v>81</v>
      </c>
      <c r="C77" s="359" t="s">
        <v>3</v>
      </c>
      <c r="D77" s="26">
        <f>D72+D73+D74-D76</f>
        <v>1</v>
      </c>
      <c r="E77" s="26">
        <f>E72+E73+E74-E76</f>
        <v>1</v>
      </c>
      <c r="F77" s="26">
        <f t="shared" ref="F77:H77" si="56">F72+F73+F74-F76</f>
        <v>1</v>
      </c>
      <c r="G77" s="26">
        <f t="shared" si="56"/>
        <v>1</v>
      </c>
      <c r="H77" s="26">
        <f t="shared" si="56"/>
        <v>1</v>
      </c>
      <c r="I77" s="394">
        <f t="shared" ref="I77:N77" si="57">I72+I73-I76</f>
        <v>1</v>
      </c>
      <c r="J77" s="394">
        <v>1</v>
      </c>
      <c r="K77" s="394">
        <f t="shared" si="57"/>
        <v>1</v>
      </c>
      <c r="L77" s="394">
        <v>0</v>
      </c>
      <c r="M77" s="394">
        <f t="shared" si="57"/>
        <v>0</v>
      </c>
      <c r="N77" s="394">
        <f t="shared" si="57"/>
        <v>0</v>
      </c>
      <c r="O77" s="394">
        <v>0</v>
      </c>
      <c r="P77" s="395">
        <f>P72+P73-P76</f>
        <v>0</v>
      </c>
    </row>
    <row r="78" spans="1:16" ht="15.6" customHeight="1" x14ac:dyDescent="0.3">
      <c r="A78" s="470" t="s">
        <v>107</v>
      </c>
      <c r="B78" s="359" t="s">
        <v>85</v>
      </c>
      <c r="C78" s="359" t="s">
        <v>3</v>
      </c>
      <c r="D78" s="4">
        <v>1</v>
      </c>
      <c r="E78" s="4">
        <f>D83</f>
        <v>1</v>
      </c>
      <c r="F78" s="4">
        <f t="shared" ref="F78:J78" si="58">E83</f>
        <v>1</v>
      </c>
      <c r="G78" s="4">
        <f t="shared" si="58"/>
        <v>1</v>
      </c>
      <c r="H78" s="4">
        <f t="shared" si="58"/>
        <v>1</v>
      </c>
      <c r="I78" s="4">
        <f t="shared" si="58"/>
        <v>1</v>
      </c>
      <c r="J78" s="4">
        <f t="shared" si="58"/>
        <v>1</v>
      </c>
      <c r="K78" s="389">
        <v>1</v>
      </c>
      <c r="L78" s="389">
        <v>0</v>
      </c>
      <c r="M78" s="389"/>
      <c r="N78" s="389"/>
      <c r="O78" s="389"/>
      <c r="P78" s="390">
        <f>D78</f>
        <v>1</v>
      </c>
    </row>
    <row r="79" spans="1:16" ht="15.6" x14ac:dyDescent="0.3">
      <c r="A79" s="471"/>
      <c r="B79" s="348" t="s">
        <v>104</v>
      </c>
      <c r="C79" s="359" t="s">
        <v>3</v>
      </c>
      <c r="D79" s="4">
        <v>0</v>
      </c>
      <c r="E79" s="4">
        <v>4</v>
      </c>
      <c r="F79" s="4">
        <v>0</v>
      </c>
      <c r="G79" s="4">
        <v>2</v>
      </c>
      <c r="H79" s="4">
        <v>6</v>
      </c>
      <c r="I79" s="391"/>
      <c r="J79" s="391"/>
      <c r="K79" s="391">
        <v>1</v>
      </c>
      <c r="L79" s="391">
        <v>0</v>
      </c>
      <c r="M79" s="391"/>
      <c r="N79" s="391"/>
      <c r="O79" s="391"/>
      <c r="P79" s="390">
        <f>SUM(D79:O79)</f>
        <v>13</v>
      </c>
    </row>
    <row r="80" spans="1:16" ht="15.6" x14ac:dyDescent="0.3">
      <c r="A80" s="471"/>
      <c r="B80" s="348" t="s">
        <v>103</v>
      </c>
      <c r="C80" s="359" t="s">
        <v>3</v>
      </c>
      <c r="D80" s="4">
        <v>0</v>
      </c>
      <c r="E80" s="4">
        <v>0</v>
      </c>
      <c r="F80" s="4">
        <v>0</v>
      </c>
      <c r="G80" s="4">
        <v>2</v>
      </c>
      <c r="H80" s="4">
        <v>6</v>
      </c>
      <c r="I80" s="391"/>
      <c r="J80" s="391"/>
      <c r="K80" s="391">
        <v>2</v>
      </c>
      <c r="L80" s="391">
        <v>0</v>
      </c>
      <c r="M80" s="391"/>
      <c r="N80" s="391"/>
      <c r="O80" s="391"/>
      <c r="P80" s="390">
        <f>SUM(D80:O80)</f>
        <v>10</v>
      </c>
    </row>
    <row r="81" spans="1:16" s="354" customFormat="1" ht="15.6" x14ac:dyDescent="0.3">
      <c r="A81" s="471"/>
      <c r="B81" s="348" t="s">
        <v>102</v>
      </c>
      <c r="C81" s="348" t="s">
        <v>3</v>
      </c>
      <c r="D81" s="4">
        <v>0</v>
      </c>
      <c r="E81" s="4">
        <v>4</v>
      </c>
      <c r="F81" s="4">
        <v>0</v>
      </c>
      <c r="G81" s="4">
        <v>0</v>
      </c>
      <c r="H81" s="4">
        <v>0</v>
      </c>
      <c r="I81" s="391"/>
      <c r="J81" s="391"/>
      <c r="K81" s="391"/>
      <c r="L81" s="391">
        <v>0</v>
      </c>
      <c r="M81" s="391"/>
      <c r="N81" s="391"/>
      <c r="O81" s="391"/>
      <c r="P81" s="392">
        <f>SUM(D81:O81)</f>
        <v>4</v>
      </c>
    </row>
    <row r="82" spans="1:16" s="354" customFormat="1" ht="15.6" x14ac:dyDescent="0.3">
      <c r="A82" s="471"/>
      <c r="B82" s="348" t="s">
        <v>188</v>
      </c>
      <c r="C82" s="348" t="s">
        <v>3</v>
      </c>
      <c r="D82" s="4">
        <f>D81+D80</f>
        <v>0</v>
      </c>
      <c r="E82" s="4">
        <f t="shared" ref="E82:H82" si="59">E81+E80</f>
        <v>4</v>
      </c>
      <c r="F82" s="4">
        <f t="shared" si="59"/>
        <v>0</v>
      </c>
      <c r="G82" s="4">
        <f t="shared" si="59"/>
        <v>2</v>
      </c>
      <c r="H82" s="4">
        <f t="shared" si="59"/>
        <v>6</v>
      </c>
      <c r="I82" s="391">
        <f t="shared" ref="I82:J82" si="60">I80+I81</f>
        <v>0</v>
      </c>
      <c r="J82" s="391">
        <f t="shared" si="60"/>
        <v>0</v>
      </c>
      <c r="K82" s="391">
        <f t="shared" ref="K82" si="61">K80+K81</f>
        <v>2</v>
      </c>
      <c r="L82" s="391">
        <v>0</v>
      </c>
      <c r="M82" s="391">
        <f t="shared" ref="M82:P82" si="62">M81+M80</f>
        <v>0</v>
      </c>
      <c r="N82" s="391">
        <f t="shared" si="62"/>
        <v>0</v>
      </c>
      <c r="O82" s="391">
        <v>0</v>
      </c>
      <c r="P82" s="396">
        <f t="shared" si="62"/>
        <v>14</v>
      </c>
    </row>
    <row r="83" spans="1:16" ht="15.6" x14ac:dyDescent="0.3">
      <c r="A83" s="472"/>
      <c r="B83" s="359" t="s">
        <v>81</v>
      </c>
      <c r="C83" s="359" t="s">
        <v>3</v>
      </c>
      <c r="D83" s="26">
        <f>D78+D79-D82</f>
        <v>1</v>
      </c>
      <c r="E83" s="26">
        <f t="shared" ref="E83:H83" si="63">E78+E79-E82</f>
        <v>1</v>
      </c>
      <c r="F83" s="26">
        <f t="shared" si="63"/>
        <v>1</v>
      </c>
      <c r="G83" s="26">
        <f t="shared" si="63"/>
        <v>1</v>
      </c>
      <c r="H83" s="26">
        <f t="shared" si="63"/>
        <v>1</v>
      </c>
      <c r="I83" s="394">
        <f t="shared" ref="I83" si="64">I78+I79-I82</f>
        <v>1</v>
      </c>
      <c r="J83" s="394">
        <f t="shared" ref="J83:P83" si="65">J78+J79-J82</f>
        <v>1</v>
      </c>
      <c r="K83" s="394">
        <f t="shared" ref="K83:N83" si="66">K78+K79-K82</f>
        <v>0</v>
      </c>
      <c r="L83" s="394">
        <v>0</v>
      </c>
      <c r="M83" s="394">
        <f t="shared" si="66"/>
        <v>0</v>
      </c>
      <c r="N83" s="394">
        <f t="shared" si="66"/>
        <v>0</v>
      </c>
      <c r="O83" s="394">
        <v>0</v>
      </c>
      <c r="P83" s="397">
        <f t="shared" si="65"/>
        <v>0</v>
      </c>
    </row>
    <row r="84" spans="1:16" ht="15.6" x14ac:dyDescent="0.3">
      <c r="A84" s="527" t="s">
        <v>106</v>
      </c>
      <c r="B84" s="359" t="s">
        <v>85</v>
      </c>
      <c r="C84" s="359" t="s">
        <v>3</v>
      </c>
      <c r="D84" s="4">
        <v>0</v>
      </c>
      <c r="E84" s="4">
        <f>D89</f>
        <v>0</v>
      </c>
      <c r="F84" s="4">
        <f t="shared" ref="F84:H84" si="67">E89</f>
        <v>0</v>
      </c>
      <c r="G84" s="4">
        <f t="shared" si="67"/>
        <v>0</v>
      </c>
      <c r="H84" s="4">
        <f t="shared" si="67"/>
        <v>0</v>
      </c>
      <c r="I84" s="389"/>
      <c r="J84" s="389"/>
      <c r="K84" s="389"/>
      <c r="L84" s="389">
        <v>0</v>
      </c>
      <c r="M84" s="389"/>
      <c r="N84" s="389"/>
      <c r="O84" s="389"/>
      <c r="P84" s="390">
        <f>D84</f>
        <v>0</v>
      </c>
    </row>
    <row r="85" spans="1:16" ht="15.6" x14ac:dyDescent="0.3">
      <c r="A85" s="528"/>
      <c r="B85" s="359" t="s">
        <v>104</v>
      </c>
      <c r="C85" s="359" t="s">
        <v>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391"/>
      <c r="J85" s="391"/>
      <c r="K85" s="391">
        <v>2</v>
      </c>
      <c r="L85" s="391">
        <v>0</v>
      </c>
      <c r="M85" s="391"/>
      <c r="N85" s="391"/>
      <c r="O85" s="391"/>
      <c r="P85" s="390">
        <f>SUM(D85:O85)</f>
        <v>2</v>
      </c>
    </row>
    <row r="86" spans="1:16" ht="15.6" x14ac:dyDescent="0.3">
      <c r="A86" s="528"/>
      <c r="B86" s="359" t="s">
        <v>103</v>
      </c>
      <c r="C86" s="359" t="s">
        <v>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391"/>
      <c r="J86" s="391"/>
      <c r="K86" s="391"/>
      <c r="L86" s="391">
        <v>0</v>
      </c>
      <c r="M86" s="391"/>
      <c r="N86" s="391"/>
      <c r="O86" s="391"/>
      <c r="P86" s="390">
        <f t="shared" ref="P86:P88" si="68">SUM(D86:O86)</f>
        <v>0</v>
      </c>
    </row>
    <row r="87" spans="1:16" s="354" customFormat="1" ht="15.6" x14ac:dyDescent="0.3">
      <c r="A87" s="528"/>
      <c r="B87" s="348" t="s">
        <v>102</v>
      </c>
      <c r="C87" s="348" t="s">
        <v>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391"/>
      <c r="J87" s="391"/>
      <c r="K87" s="391">
        <v>2</v>
      </c>
      <c r="L87" s="391">
        <v>0</v>
      </c>
      <c r="M87" s="391"/>
      <c r="N87" s="391"/>
      <c r="O87" s="391"/>
      <c r="P87" s="390">
        <f t="shared" si="68"/>
        <v>2</v>
      </c>
    </row>
    <row r="88" spans="1:16" s="354" customFormat="1" ht="15.6" x14ac:dyDescent="0.3">
      <c r="A88" s="528"/>
      <c r="B88" s="348" t="s">
        <v>188</v>
      </c>
      <c r="C88" s="348" t="s">
        <v>3</v>
      </c>
      <c r="D88" s="4">
        <f>D86+D87</f>
        <v>0</v>
      </c>
      <c r="E88" s="4">
        <f t="shared" ref="E88:H88" si="69">E86+E87</f>
        <v>0</v>
      </c>
      <c r="F88" s="4">
        <f t="shared" si="69"/>
        <v>0</v>
      </c>
      <c r="G88" s="4">
        <f t="shared" si="69"/>
        <v>0</v>
      </c>
      <c r="H88" s="4">
        <f t="shared" si="69"/>
        <v>0</v>
      </c>
      <c r="I88" s="391">
        <f t="shared" ref="I88:J88" si="70">I86+I87</f>
        <v>0</v>
      </c>
      <c r="J88" s="391">
        <f t="shared" si="70"/>
        <v>0</v>
      </c>
      <c r="K88" s="391">
        <f t="shared" ref="K88" si="71">K86+K87</f>
        <v>2</v>
      </c>
      <c r="L88" s="391">
        <v>0</v>
      </c>
      <c r="M88" s="391">
        <f t="shared" ref="M88" si="72">M86+M87</f>
        <v>0</v>
      </c>
      <c r="N88" s="391">
        <v>0</v>
      </c>
      <c r="O88" s="391">
        <v>0</v>
      </c>
      <c r="P88" s="390">
        <f t="shared" si="68"/>
        <v>2</v>
      </c>
    </row>
    <row r="89" spans="1:16" ht="15.6" x14ac:dyDescent="0.3">
      <c r="A89" s="529"/>
      <c r="B89" s="398" t="s">
        <v>81</v>
      </c>
      <c r="C89" s="359" t="s">
        <v>3</v>
      </c>
      <c r="D89" s="26">
        <f>D84+D85-D88</f>
        <v>0</v>
      </c>
      <c r="E89" s="26">
        <f t="shared" ref="E89:H89" si="73">E84+E85-E88</f>
        <v>0</v>
      </c>
      <c r="F89" s="26">
        <f t="shared" si="73"/>
        <v>0</v>
      </c>
      <c r="G89" s="26">
        <f t="shared" si="73"/>
        <v>0</v>
      </c>
      <c r="H89" s="26">
        <f t="shared" si="73"/>
        <v>0</v>
      </c>
      <c r="I89" s="394">
        <f t="shared" ref="I89:J89" si="74">I84+I85-I88</f>
        <v>0</v>
      </c>
      <c r="J89" s="394">
        <f t="shared" si="74"/>
        <v>0</v>
      </c>
      <c r="K89" s="394">
        <f t="shared" ref="K89" si="75">K84+K85-K88</f>
        <v>0</v>
      </c>
      <c r="L89" s="394">
        <v>0</v>
      </c>
      <c r="M89" s="394">
        <f t="shared" ref="M89" si="76">M84+M85-M88</f>
        <v>0</v>
      </c>
      <c r="N89" s="394">
        <f t="shared" ref="N89:P89" si="77">N84+N85-N86-N87</f>
        <v>0</v>
      </c>
      <c r="O89" s="394">
        <v>0</v>
      </c>
      <c r="P89" s="397">
        <f t="shared" si="77"/>
        <v>0</v>
      </c>
    </row>
    <row r="90" spans="1:16" ht="15.6" x14ac:dyDescent="0.3">
      <c r="A90" s="530" t="s">
        <v>105</v>
      </c>
      <c r="B90" s="348" t="s">
        <v>85</v>
      </c>
      <c r="C90" s="348" t="s">
        <v>3</v>
      </c>
      <c r="D90" s="399">
        <f t="shared" ref="D90:I93" si="78">D66+D72+D78+D84</f>
        <v>591</v>
      </c>
      <c r="E90" s="399">
        <f t="shared" si="78"/>
        <v>601</v>
      </c>
      <c r="F90" s="399">
        <f t="shared" si="78"/>
        <v>585</v>
      </c>
      <c r="G90" s="564">
        <f t="shared" si="78"/>
        <v>563</v>
      </c>
      <c r="H90" s="400">
        <f t="shared" si="78"/>
        <v>546</v>
      </c>
      <c r="I90" s="400">
        <f t="shared" si="78"/>
        <v>535</v>
      </c>
      <c r="J90" s="400">
        <f t="shared" ref="J90:K90" si="79">J66+J72+J78+J84</f>
        <v>503</v>
      </c>
      <c r="K90" s="399">
        <f t="shared" si="79"/>
        <v>491</v>
      </c>
      <c r="L90" s="399">
        <f t="shared" ref="L90:M90" si="80">L66+L72+L78+L84</f>
        <v>476</v>
      </c>
      <c r="M90" s="399">
        <f t="shared" si="80"/>
        <v>463</v>
      </c>
      <c r="N90" s="399">
        <f t="shared" ref="N90" si="81">N66+N72+N78+N84</f>
        <v>468</v>
      </c>
      <c r="O90" s="399">
        <v>470</v>
      </c>
      <c r="P90" s="390">
        <f>D90</f>
        <v>591</v>
      </c>
    </row>
    <row r="91" spans="1:16" ht="15.6" x14ac:dyDescent="0.3">
      <c r="A91" s="531"/>
      <c r="B91" s="348" t="s">
        <v>104</v>
      </c>
      <c r="C91" s="348" t="s">
        <v>3</v>
      </c>
      <c r="D91" s="399">
        <f t="shared" ref="D91:E93" si="82">D67+D73+D79+D85</f>
        <v>10</v>
      </c>
      <c r="E91" s="399">
        <f t="shared" si="82"/>
        <v>12</v>
      </c>
      <c r="F91" s="399">
        <f t="shared" ref="F91" si="83">F67+F73+F79+F85</f>
        <v>5</v>
      </c>
      <c r="G91" s="564">
        <f t="shared" si="78"/>
        <v>6</v>
      </c>
      <c r="H91" s="400">
        <f t="shared" ref="H91:I91" si="84">H67+H73+H79+H85</f>
        <v>16</v>
      </c>
      <c r="I91" s="400">
        <f t="shared" si="84"/>
        <v>6</v>
      </c>
      <c r="J91" s="400">
        <f t="shared" ref="J91:K91" si="85">J67+J73+J79+J85</f>
        <v>20</v>
      </c>
      <c r="K91" s="399">
        <f t="shared" si="85"/>
        <v>18</v>
      </c>
      <c r="L91" s="399">
        <f t="shared" ref="L91:M91" si="86">L67+L73+L79+L85</f>
        <v>12</v>
      </c>
      <c r="M91" s="399">
        <f t="shared" si="86"/>
        <v>18</v>
      </c>
      <c r="N91" s="399">
        <f t="shared" ref="N91" si="87">N67+N73+N79+N85</f>
        <v>20</v>
      </c>
      <c r="O91" s="399">
        <v>11</v>
      </c>
      <c r="P91" s="390">
        <f>SUM(D91:O91)</f>
        <v>154</v>
      </c>
    </row>
    <row r="92" spans="1:16" ht="15.6" x14ac:dyDescent="0.3">
      <c r="A92" s="531"/>
      <c r="B92" s="348" t="s">
        <v>103</v>
      </c>
      <c r="C92" s="348" t="s">
        <v>3</v>
      </c>
      <c r="D92" s="399">
        <f t="shared" si="82"/>
        <v>0</v>
      </c>
      <c r="E92" s="399">
        <f t="shared" si="82"/>
        <v>24</v>
      </c>
      <c r="F92" s="399">
        <f t="shared" ref="F92" si="88">F68+F74+F80+F86</f>
        <v>27</v>
      </c>
      <c r="G92" s="564">
        <f t="shared" si="78"/>
        <v>23</v>
      </c>
      <c r="H92" s="400">
        <f t="shared" ref="H92:I92" si="89">H68+H74+H80+H86</f>
        <v>27</v>
      </c>
      <c r="I92" s="400">
        <f t="shared" si="89"/>
        <v>38</v>
      </c>
      <c r="J92" s="400">
        <f t="shared" ref="J92:K92" si="90">J68+J74+J80+J86</f>
        <v>32</v>
      </c>
      <c r="K92" s="399">
        <f t="shared" si="90"/>
        <v>31</v>
      </c>
      <c r="L92" s="399">
        <f t="shared" ref="L92:N92" si="91">L68+L74+L80+L86</f>
        <v>25</v>
      </c>
      <c r="M92" s="399">
        <f t="shared" si="91"/>
        <v>12</v>
      </c>
      <c r="N92" s="399">
        <f t="shared" si="91"/>
        <v>18</v>
      </c>
      <c r="O92" s="399">
        <v>22</v>
      </c>
      <c r="P92" s="390">
        <f>SUM(D92:O92)</f>
        <v>279</v>
      </c>
    </row>
    <row r="93" spans="1:16" s="354" customFormat="1" ht="15.6" x14ac:dyDescent="0.3">
      <c r="A93" s="531"/>
      <c r="B93" s="348" t="s">
        <v>102</v>
      </c>
      <c r="C93" s="348"/>
      <c r="D93" s="399">
        <f t="shared" si="82"/>
        <v>0</v>
      </c>
      <c r="E93" s="399">
        <f t="shared" si="82"/>
        <v>4</v>
      </c>
      <c r="F93" s="399">
        <f t="shared" ref="F93" si="92">F69+F75+F81+F87</f>
        <v>0</v>
      </c>
      <c r="G93" s="565">
        <f t="shared" si="78"/>
        <v>0</v>
      </c>
      <c r="H93" s="400">
        <f t="shared" ref="H93:I93" si="93">H69+H75+H81+H87</f>
        <v>0</v>
      </c>
      <c r="I93" s="400">
        <f t="shared" si="93"/>
        <v>0</v>
      </c>
      <c r="J93" s="400">
        <f t="shared" ref="J93:K93" si="94">J69+J75+J81+J87</f>
        <v>0</v>
      </c>
      <c r="K93" s="399">
        <f t="shared" si="94"/>
        <v>2</v>
      </c>
      <c r="L93" s="399">
        <f t="shared" ref="L93:N93" si="95">L69+L75+L81+L87</f>
        <v>0</v>
      </c>
      <c r="M93" s="399">
        <f t="shared" si="95"/>
        <v>1</v>
      </c>
      <c r="N93" s="399">
        <f t="shared" si="95"/>
        <v>0</v>
      </c>
      <c r="O93" s="399">
        <v>0</v>
      </c>
      <c r="P93" s="390">
        <f>SUM(D93:O93)</f>
        <v>7</v>
      </c>
    </row>
    <row r="94" spans="1:16" s="354" customFormat="1" ht="15.6" x14ac:dyDescent="0.3">
      <c r="A94" s="531"/>
      <c r="B94" s="348" t="s">
        <v>188</v>
      </c>
      <c r="C94" s="348" t="s">
        <v>3</v>
      </c>
      <c r="D94" s="401">
        <f>D93+D92</f>
        <v>0</v>
      </c>
      <c r="E94" s="401">
        <f t="shared" ref="E94:P94" si="96">E93+E92</f>
        <v>28</v>
      </c>
      <c r="F94" s="401">
        <f t="shared" si="96"/>
        <v>27</v>
      </c>
      <c r="G94" s="565">
        <f t="shared" si="96"/>
        <v>23</v>
      </c>
      <c r="H94" s="402">
        <f t="shared" si="96"/>
        <v>27</v>
      </c>
      <c r="I94" s="402">
        <f t="shared" ref="I94:J94" si="97">I93+I92</f>
        <v>38</v>
      </c>
      <c r="J94" s="402">
        <f t="shared" si="97"/>
        <v>32</v>
      </c>
      <c r="K94" s="401">
        <f t="shared" ref="K94:L94" si="98">K93+K92</f>
        <v>33</v>
      </c>
      <c r="L94" s="401">
        <f t="shared" si="98"/>
        <v>25</v>
      </c>
      <c r="M94" s="401">
        <f t="shared" ref="M94" si="99">M93+M92</f>
        <v>13</v>
      </c>
      <c r="N94" s="401">
        <f t="shared" si="96"/>
        <v>18</v>
      </c>
      <c r="O94" s="401">
        <v>22</v>
      </c>
      <c r="P94" s="403">
        <f t="shared" si="96"/>
        <v>286</v>
      </c>
    </row>
    <row r="95" spans="1:16" ht="16.2" thickBot="1" x14ac:dyDescent="0.35">
      <c r="A95" s="532"/>
      <c r="B95" s="348" t="s">
        <v>81</v>
      </c>
      <c r="C95" s="348" t="s">
        <v>3</v>
      </c>
      <c r="D95" s="404">
        <f>D90+D91-D94</f>
        <v>601</v>
      </c>
      <c r="E95" s="404">
        <f t="shared" ref="E95:P95" si="100">E90+E91-E94</f>
        <v>585</v>
      </c>
      <c r="F95" s="404">
        <f t="shared" si="100"/>
        <v>563</v>
      </c>
      <c r="G95" s="405">
        <f t="shared" si="100"/>
        <v>546</v>
      </c>
      <c r="H95" s="405">
        <f t="shared" si="100"/>
        <v>535</v>
      </c>
      <c r="I95" s="405">
        <f t="shared" ref="I95:J95" si="101">I90+I91-I94</f>
        <v>503</v>
      </c>
      <c r="J95" s="405">
        <f t="shared" si="101"/>
        <v>491</v>
      </c>
      <c r="K95" s="404">
        <f t="shared" ref="K95:L95" si="102">K90+K91-K94</f>
        <v>476</v>
      </c>
      <c r="L95" s="404">
        <f t="shared" si="102"/>
        <v>463</v>
      </c>
      <c r="M95" s="404">
        <f t="shared" ref="M95" si="103">M90+M91-M94</f>
        <v>468</v>
      </c>
      <c r="N95" s="404">
        <f t="shared" si="100"/>
        <v>470</v>
      </c>
      <c r="O95" s="404">
        <v>459</v>
      </c>
      <c r="P95" s="406">
        <f t="shared" si="100"/>
        <v>459</v>
      </c>
    </row>
    <row r="96" spans="1:16" ht="16.2" thickBot="1" x14ac:dyDescent="0.35">
      <c r="A96" s="407"/>
      <c r="B96" s="408"/>
      <c r="C96" s="408"/>
      <c r="D96" s="402"/>
      <c r="E96" s="402"/>
      <c r="F96" s="402"/>
      <c r="G96" s="402"/>
      <c r="H96" s="402"/>
      <c r="I96" s="402"/>
      <c r="J96" s="409"/>
      <c r="K96" s="409"/>
      <c r="L96" s="409"/>
      <c r="M96" s="409"/>
      <c r="N96" s="409"/>
      <c r="O96" s="409"/>
      <c r="P96" s="410"/>
    </row>
    <row r="97" spans="1:21" s="354" customFormat="1" ht="15.75" customHeight="1" thickBot="1" x14ac:dyDescent="0.35">
      <c r="A97" s="492" t="s">
        <v>189</v>
      </c>
      <c r="B97" s="493"/>
      <c r="C97" s="493"/>
      <c r="D97" s="493"/>
      <c r="E97" s="493"/>
      <c r="F97" s="493"/>
      <c r="G97" s="493"/>
      <c r="H97" s="493"/>
      <c r="I97" s="493"/>
      <c r="J97" s="493"/>
      <c r="K97" s="493"/>
      <c r="L97" s="493"/>
      <c r="M97" s="493"/>
      <c r="N97" s="493"/>
      <c r="O97" s="493"/>
      <c r="P97" s="494"/>
    </row>
    <row r="98" spans="1:21" ht="15.6" x14ac:dyDescent="0.3">
      <c r="A98" s="411" t="s">
        <v>190</v>
      </c>
      <c r="B98" s="412"/>
      <c r="C98" s="348" t="s">
        <v>3</v>
      </c>
      <c r="D98" s="553">
        <v>0</v>
      </c>
      <c r="E98" s="553">
        <v>4</v>
      </c>
      <c r="F98" s="553">
        <v>1</v>
      </c>
      <c r="G98" s="553">
        <v>0</v>
      </c>
      <c r="H98" s="553">
        <v>0</v>
      </c>
      <c r="I98" s="553">
        <v>3</v>
      </c>
      <c r="J98" s="553">
        <v>1</v>
      </c>
      <c r="K98" s="553">
        <v>2</v>
      </c>
      <c r="L98" s="414">
        <v>1</v>
      </c>
      <c r="M98" s="414">
        <v>1</v>
      </c>
      <c r="N98" s="414"/>
      <c r="O98" s="414"/>
      <c r="P98" s="415">
        <f>SUM(D98:O98)</f>
        <v>13</v>
      </c>
    </row>
    <row r="99" spans="1:21" ht="15.6" x14ac:dyDescent="0.3">
      <c r="A99" s="411"/>
      <c r="B99" s="348"/>
      <c r="C99" s="348"/>
      <c r="D99" s="402"/>
      <c r="E99" s="402"/>
      <c r="F99" s="402"/>
      <c r="G99" s="402"/>
      <c r="H99" s="402"/>
      <c r="I99" s="402"/>
      <c r="J99" s="409"/>
      <c r="K99" s="409"/>
      <c r="L99" s="409"/>
      <c r="M99" s="409"/>
      <c r="N99" s="409"/>
      <c r="O99" s="409"/>
      <c r="P99" s="410"/>
    </row>
    <row r="100" spans="1:21" s="354" customFormat="1" x14ac:dyDescent="0.3">
      <c r="A100" s="516" t="s">
        <v>101</v>
      </c>
      <c r="B100" s="517"/>
      <c r="C100" s="517"/>
      <c r="D100" s="517"/>
      <c r="E100" s="517"/>
      <c r="F100" s="517"/>
      <c r="G100" s="517"/>
      <c r="H100" s="517"/>
      <c r="I100" s="517"/>
      <c r="J100" s="517"/>
      <c r="K100" s="517"/>
      <c r="L100" s="517"/>
      <c r="M100" s="517"/>
      <c r="N100" s="517"/>
      <c r="O100" s="517"/>
      <c r="P100" s="518"/>
    </row>
    <row r="101" spans="1:21" ht="15.6" x14ac:dyDescent="0.3">
      <c r="A101" s="478" t="s">
        <v>100</v>
      </c>
      <c r="B101" s="479"/>
      <c r="C101" s="348" t="s">
        <v>3</v>
      </c>
      <c r="D101" s="4">
        <v>657</v>
      </c>
      <c r="E101" s="4">
        <v>652</v>
      </c>
      <c r="F101" s="4">
        <v>638</v>
      </c>
      <c r="G101" s="4">
        <v>631</v>
      </c>
      <c r="H101" s="4">
        <v>623</v>
      </c>
      <c r="I101" s="4">
        <v>612</v>
      </c>
      <c r="J101" s="382">
        <v>673</v>
      </c>
      <c r="K101" s="4">
        <v>666</v>
      </c>
      <c r="L101" s="382">
        <v>664</v>
      </c>
      <c r="M101" s="382">
        <v>723</v>
      </c>
      <c r="N101" s="382">
        <v>688</v>
      </c>
      <c r="O101" s="382">
        <v>675</v>
      </c>
      <c r="P101" s="416">
        <f t="shared" ref="P101:P116" si="104">O101</f>
        <v>675</v>
      </c>
    </row>
    <row r="102" spans="1:21" ht="15.6" x14ac:dyDescent="0.3">
      <c r="A102" s="478" t="s">
        <v>99</v>
      </c>
      <c r="B102" s="479"/>
      <c r="C102" s="348" t="s">
        <v>3</v>
      </c>
      <c r="D102" s="4">
        <v>45</v>
      </c>
      <c r="E102" s="4">
        <v>45</v>
      </c>
      <c r="F102" s="4">
        <v>27</v>
      </c>
      <c r="G102" s="4">
        <v>45</v>
      </c>
      <c r="H102" s="4">
        <v>45</v>
      </c>
      <c r="I102" s="4">
        <v>45</v>
      </c>
      <c r="J102" s="382">
        <v>45</v>
      </c>
      <c r="K102" s="4">
        <v>45</v>
      </c>
      <c r="L102" s="382">
        <v>45</v>
      </c>
      <c r="M102" s="382">
        <v>45</v>
      </c>
      <c r="N102" s="382">
        <v>45</v>
      </c>
      <c r="O102" s="382">
        <v>46</v>
      </c>
      <c r="P102" s="416">
        <f t="shared" si="104"/>
        <v>46</v>
      </c>
    </row>
    <row r="103" spans="1:21" ht="15.6" customHeight="1" x14ac:dyDescent="0.3">
      <c r="A103" s="485" t="s">
        <v>98</v>
      </c>
      <c r="B103" s="486"/>
      <c r="C103" s="348" t="s">
        <v>3</v>
      </c>
      <c r="D103" s="4">
        <v>82</v>
      </c>
      <c r="E103" s="4">
        <v>82</v>
      </c>
      <c r="F103" s="4">
        <v>7</v>
      </c>
      <c r="G103" s="4">
        <v>82</v>
      </c>
      <c r="H103" s="4">
        <v>82</v>
      </c>
      <c r="I103" s="4">
        <v>82</v>
      </c>
      <c r="J103" s="382">
        <v>82</v>
      </c>
      <c r="K103" s="4">
        <v>82</v>
      </c>
      <c r="L103" s="382">
        <v>82</v>
      </c>
      <c r="M103" s="382">
        <v>82</v>
      </c>
      <c r="N103" s="382">
        <v>82</v>
      </c>
      <c r="O103" s="382">
        <v>81</v>
      </c>
      <c r="P103" s="416">
        <f t="shared" si="104"/>
        <v>81</v>
      </c>
    </row>
    <row r="104" spans="1:21" ht="15.6" x14ac:dyDescent="0.3">
      <c r="A104" s="485" t="s">
        <v>97</v>
      </c>
      <c r="B104" s="486"/>
      <c r="C104" s="348" t="s">
        <v>3</v>
      </c>
      <c r="D104" s="4">
        <v>15</v>
      </c>
      <c r="E104" s="4">
        <v>15</v>
      </c>
      <c r="F104" s="4">
        <v>15</v>
      </c>
      <c r="G104" s="4">
        <v>15</v>
      </c>
      <c r="H104" s="4">
        <v>15</v>
      </c>
      <c r="I104" s="4">
        <v>15</v>
      </c>
      <c r="J104" s="382">
        <v>15</v>
      </c>
      <c r="K104" s="4">
        <v>15</v>
      </c>
      <c r="L104" s="382">
        <v>15</v>
      </c>
      <c r="M104" s="382">
        <v>15</v>
      </c>
      <c r="N104" s="382">
        <v>15</v>
      </c>
      <c r="O104" s="382">
        <v>15</v>
      </c>
      <c r="P104" s="416">
        <f t="shared" si="104"/>
        <v>15</v>
      </c>
    </row>
    <row r="105" spans="1:21" ht="15.6" x14ac:dyDescent="0.3">
      <c r="A105" s="533" t="s">
        <v>96</v>
      </c>
      <c r="B105" s="534"/>
      <c r="C105" s="348" t="s">
        <v>3</v>
      </c>
      <c r="D105" s="417">
        <f>SUM(D101:D104)</f>
        <v>799</v>
      </c>
      <c r="E105" s="417">
        <f t="shared" ref="E105:N105" si="105">SUM(E101:E104)</f>
        <v>794</v>
      </c>
      <c r="F105" s="417">
        <f t="shared" si="105"/>
        <v>687</v>
      </c>
      <c r="G105" s="417">
        <f t="shared" si="105"/>
        <v>773</v>
      </c>
      <c r="H105" s="417">
        <f t="shared" si="105"/>
        <v>765</v>
      </c>
      <c r="I105" s="417">
        <f t="shared" si="105"/>
        <v>754</v>
      </c>
      <c r="J105" s="417">
        <f t="shared" si="105"/>
        <v>815</v>
      </c>
      <c r="K105" s="417">
        <f t="shared" si="105"/>
        <v>808</v>
      </c>
      <c r="L105" s="417">
        <f t="shared" si="105"/>
        <v>806</v>
      </c>
      <c r="M105" s="417">
        <f t="shared" si="105"/>
        <v>865</v>
      </c>
      <c r="N105" s="417">
        <f t="shared" si="105"/>
        <v>830</v>
      </c>
      <c r="O105" s="417">
        <v>817</v>
      </c>
      <c r="P105" s="416">
        <f t="shared" si="104"/>
        <v>817</v>
      </c>
    </row>
    <row r="106" spans="1:21" s="354" customFormat="1" ht="15.6" customHeight="1" x14ac:dyDescent="0.3">
      <c r="A106" s="513" t="s">
        <v>210</v>
      </c>
      <c r="B106" s="514"/>
      <c r="C106" s="514"/>
      <c r="D106" s="514"/>
      <c r="E106" s="514"/>
      <c r="F106" s="514"/>
      <c r="G106" s="514"/>
      <c r="H106" s="514"/>
      <c r="I106" s="514"/>
      <c r="J106" s="514"/>
      <c r="K106" s="514"/>
      <c r="L106" s="514"/>
      <c r="M106" s="514"/>
      <c r="N106" s="514"/>
      <c r="O106" s="514"/>
      <c r="P106" s="515"/>
    </row>
    <row r="107" spans="1:21" ht="15.6" x14ac:dyDescent="0.3">
      <c r="A107" s="478" t="s">
        <v>193</v>
      </c>
      <c r="B107" s="479"/>
      <c r="C107" s="348" t="s">
        <v>3</v>
      </c>
      <c r="D107" s="4">
        <v>1921</v>
      </c>
      <c r="E107" s="4">
        <v>1952</v>
      </c>
      <c r="F107" s="4">
        <v>1996</v>
      </c>
      <c r="G107" s="4">
        <v>2024</v>
      </c>
      <c r="H107" s="4">
        <v>2052</v>
      </c>
      <c r="I107" s="4">
        <v>2099</v>
      </c>
      <c r="J107" s="382">
        <v>2064</v>
      </c>
      <c r="K107" s="382">
        <v>2099</v>
      </c>
      <c r="L107" s="382">
        <v>2124</v>
      </c>
      <c r="M107" s="382">
        <v>2080</v>
      </c>
      <c r="N107" s="382">
        <v>2122</v>
      </c>
      <c r="O107" s="382">
        <v>2163</v>
      </c>
      <c r="P107" s="416">
        <f t="shared" si="104"/>
        <v>2163</v>
      </c>
    </row>
    <row r="108" spans="1:21" ht="15.6" x14ac:dyDescent="0.3">
      <c r="A108" s="478" t="s">
        <v>194</v>
      </c>
      <c r="B108" s="479"/>
      <c r="C108" s="348" t="s">
        <v>3</v>
      </c>
      <c r="D108" s="4">
        <v>30</v>
      </c>
      <c r="E108" s="4">
        <v>28</v>
      </c>
      <c r="F108" s="4">
        <v>27</v>
      </c>
      <c r="G108" s="4">
        <v>27</v>
      </c>
      <c r="H108" s="4">
        <v>27</v>
      </c>
      <c r="I108" s="4">
        <v>26</v>
      </c>
      <c r="J108" s="382">
        <v>25</v>
      </c>
      <c r="K108" s="382">
        <v>26</v>
      </c>
      <c r="L108" s="382">
        <v>26</v>
      </c>
      <c r="M108" s="382">
        <v>24</v>
      </c>
      <c r="N108" s="382">
        <v>27</v>
      </c>
      <c r="O108" s="382">
        <v>26</v>
      </c>
      <c r="P108" s="416">
        <f t="shared" si="104"/>
        <v>26</v>
      </c>
    </row>
    <row r="109" spans="1:21" ht="15.6" x14ac:dyDescent="0.3">
      <c r="A109" s="478" t="s">
        <v>195</v>
      </c>
      <c r="B109" s="479"/>
      <c r="C109" s="348" t="s">
        <v>3</v>
      </c>
      <c r="D109" s="4">
        <v>8</v>
      </c>
      <c r="E109" s="4">
        <v>8</v>
      </c>
      <c r="F109" s="4">
        <v>95</v>
      </c>
      <c r="G109" s="4">
        <v>9</v>
      </c>
      <c r="H109" s="4">
        <v>15</v>
      </c>
      <c r="I109" s="4">
        <v>15</v>
      </c>
      <c r="J109" s="382">
        <v>14</v>
      </c>
      <c r="K109" s="382">
        <v>16</v>
      </c>
      <c r="L109" s="382">
        <v>16</v>
      </c>
      <c r="M109" s="382">
        <v>18</v>
      </c>
      <c r="N109" s="382">
        <v>18</v>
      </c>
      <c r="O109" s="382">
        <v>19</v>
      </c>
      <c r="P109" s="416">
        <f t="shared" si="104"/>
        <v>19</v>
      </c>
    </row>
    <row r="110" spans="1:21" ht="15.6" x14ac:dyDescent="0.3">
      <c r="A110" s="478" t="s">
        <v>196</v>
      </c>
      <c r="B110" s="479"/>
      <c r="C110" s="348" t="s">
        <v>3</v>
      </c>
      <c r="D110" s="4">
        <v>16</v>
      </c>
      <c r="E110" s="4">
        <v>16</v>
      </c>
      <c r="F110" s="4">
        <v>2</v>
      </c>
      <c r="G110" s="4">
        <v>15</v>
      </c>
      <c r="H110" s="4">
        <v>15</v>
      </c>
      <c r="I110" s="4">
        <v>15</v>
      </c>
      <c r="J110" s="382">
        <v>14</v>
      </c>
      <c r="K110" s="382">
        <v>15</v>
      </c>
      <c r="L110" s="382">
        <v>14</v>
      </c>
      <c r="M110" s="382">
        <v>12</v>
      </c>
      <c r="N110" s="382">
        <v>12</v>
      </c>
      <c r="O110" s="382">
        <v>12</v>
      </c>
      <c r="P110" s="416">
        <f t="shared" si="104"/>
        <v>12</v>
      </c>
    </row>
    <row r="111" spans="1:21" ht="15.6" x14ac:dyDescent="0.3">
      <c r="A111" s="495" t="s">
        <v>95</v>
      </c>
      <c r="B111" s="496"/>
      <c r="C111" s="348" t="s">
        <v>3</v>
      </c>
      <c r="D111" s="417">
        <f>SUM(D107:D110)</f>
        <v>1975</v>
      </c>
      <c r="E111" s="417">
        <f t="shared" ref="E111:N111" si="106">SUM(E107:E110)</f>
        <v>2004</v>
      </c>
      <c r="F111" s="417">
        <f t="shared" si="106"/>
        <v>2120</v>
      </c>
      <c r="G111" s="417">
        <f t="shared" si="106"/>
        <v>2075</v>
      </c>
      <c r="H111" s="417">
        <f t="shared" si="106"/>
        <v>2109</v>
      </c>
      <c r="I111" s="417">
        <f t="shared" si="106"/>
        <v>2155</v>
      </c>
      <c r="J111" s="417">
        <f t="shared" si="106"/>
        <v>2117</v>
      </c>
      <c r="K111" s="417">
        <f t="shared" si="106"/>
        <v>2156</v>
      </c>
      <c r="L111" s="417">
        <f t="shared" si="106"/>
        <v>2180</v>
      </c>
      <c r="M111" s="417">
        <f t="shared" si="106"/>
        <v>2134</v>
      </c>
      <c r="N111" s="417">
        <f t="shared" si="106"/>
        <v>2179</v>
      </c>
      <c r="O111" s="417">
        <v>2220</v>
      </c>
      <c r="P111" s="416">
        <f t="shared" si="104"/>
        <v>2220</v>
      </c>
      <c r="Q111" s="418"/>
      <c r="R111" s="418"/>
      <c r="S111" s="418"/>
      <c r="T111" s="418"/>
      <c r="U111" s="418"/>
    </row>
    <row r="112" spans="1:21" s="354" customFormat="1" ht="15.6" customHeight="1" x14ac:dyDescent="0.3">
      <c r="A112" s="516" t="s">
        <v>216</v>
      </c>
      <c r="B112" s="517"/>
      <c r="C112" s="517"/>
      <c r="D112" s="517"/>
      <c r="E112" s="517"/>
      <c r="F112" s="517"/>
      <c r="G112" s="517"/>
      <c r="H112" s="517"/>
      <c r="I112" s="517"/>
      <c r="J112" s="517"/>
      <c r="K112" s="517"/>
      <c r="L112" s="517"/>
      <c r="M112" s="517"/>
      <c r="N112" s="517"/>
      <c r="O112" s="517"/>
      <c r="P112" s="518"/>
    </row>
    <row r="113" spans="1:18" ht="15.6" x14ac:dyDescent="0.3">
      <c r="A113" s="478" t="s">
        <v>197</v>
      </c>
      <c r="B113" s="479"/>
      <c r="C113" s="348" t="s">
        <v>3</v>
      </c>
      <c r="D113" s="127">
        <v>535</v>
      </c>
      <c r="E113" s="33">
        <v>535</v>
      </c>
      <c r="F113" s="33">
        <v>535</v>
      </c>
      <c r="G113" s="33">
        <v>535</v>
      </c>
      <c r="H113" s="33">
        <v>536</v>
      </c>
      <c r="I113" s="33">
        <v>538</v>
      </c>
      <c r="J113" s="419">
        <v>547</v>
      </c>
      <c r="K113" s="33">
        <v>547</v>
      </c>
      <c r="L113" s="419">
        <v>548</v>
      </c>
      <c r="M113" s="419">
        <v>549</v>
      </c>
      <c r="N113" s="419">
        <v>549</v>
      </c>
      <c r="O113" s="419">
        <v>549</v>
      </c>
      <c r="P113" s="416">
        <f t="shared" si="104"/>
        <v>549</v>
      </c>
    </row>
    <row r="114" spans="1:18" ht="15.6" x14ac:dyDescent="0.3">
      <c r="A114" s="478" t="s">
        <v>198</v>
      </c>
      <c r="B114" s="479"/>
      <c r="C114" s="348" t="s">
        <v>3</v>
      </c>
      <c r="D114" s="127">
        <v>45</v>
      </c>
      <c r="E114" s="33">
        <v>46</v>
      </c>
      <c r="F114" s="33">
        <v>47</v>
      </c>
      <c r="G114" s="33">
        <v>47</v>
      </c>
      <c r="H114" s="33">
        <v>47</v>
      </c>
      <c r="I114" s="33">
        <v>47</v>
      </c>
      <c r="J114" s="419">
        <v>47</v>
      </c>
      <c r="K114" s="33">
        <v>47</v>
      </c>
      <c r="L114" s="419">
        <v>47</v>
      </c>
      <c r="M114" s="419">
        <v>47</v>
      </c>
      <c r="N114" s="419">
        <v>47</v>
      </c>
      <c r="O114" s="419">
        <v>47</v>
      </c>
      <c r="P114" s="416">
        <f t="shared" si="104"/>
        <v>47</v>
      </c>
    </row>
    <row r="115" spans="1:18" ht="15.6" x14ac:dyDescent="0.3">
      <c r="A115" s="478" t="s">
        <v>199</v>
      </c>
      <c r="B115" s="479"/>
      <c r="C115" s="348" t="s">
        <v>3</v>
      </c>
      <c r="D115" s="127">
        <v>92</v>
      </c>
      <c r="E115" s="33">
        <v>95</v>
      </c>
      <c r="F115" s="33">
        <v>95</v>
      </c>
      <c r="G115" s="33">
        <v>95</v>
      </c>
      <c r="H115" s="33">
        <v>95</v>
      </c>
      <c r="I115" s="33">
        <v>96</v>
      </c>
      <c r="J115" s="419">
        <v>96</v>
      </c>
      <c r="K115" s="33">
        <v>96</v>
      </c>
      <c r="L115" s="419">
        <v>96</v>
      </c>
      <c r="M115" s="419">
        <v>96</v>
      </c>
      <c r="N115" s="419">
        <v>96</v>
      </c>
      <c r="O115" s="419">
        <v>96</v>
      </c>
      <c r="P115" s="416">
        <f t="shared" si="104"/>
        <v>96</v>
      </c>
    </row>
    <row r="116" spans="1:18" ht="15.6" x14ac:dyDescent="0.3">
      <c r="A116" s="478" t="s">
        <v>200</v>
      </c>
      <c r="B116" s="479"/>
      <c r="C116" s="348" t="s">
        <v>3</v>
      </c>
      <c r="D116" s="127">
        <v>2</v>
      </c>
      <c r="E116" s="33">
        <v>2</v>
      </c>
      <c r="F116" s="33">
        <v>2</v>
      </c>
      <c r="G116" s="33">
        <v>2</v>
      </c>
      <c r="H116" s="33">
        <v>2</v>
      </c>
      <c r="I116" s="33">
        <v>2</v>
      </c>
      <c r="J116" s="419">
        <v>2</v>
      </c>
      <c r="K116" s="33">
        <v>4</v>
      </c>
      <c r="L116" s="419">
        <v>4</v>
      </c>
      <c r="M116" s="419">
        <v>4</v>
      </c>
      <c r="N116" s="419">
        <v>4</v>
      </c>
      <c r="O116" s="419">
        <v>4</v>
      </c>
      <c r="P116" s="416">
        <f t="shared" si="104"/>
        <v>4</v>
      </c>
    </row>
    <row r="117" spans="1:18" ht="15.6" x14ac:dyDescent="0.3">
      <c r="A117" s="495" t="s">
        <v>94</v>
      </c>
      <c r="B117" s="496"/>
      <c r="C117" s="348" t="s">
        <v>3</v>
      </c>
      <c r="D117" s="417">
        <f>SUM(D113:D116)</f>
        <v>674</v>
      </c>
      <c r="E117" s="417">
        <f t="shared" ref="E117:P117" si="107">SUM(E113:E116)</f>
        <v>678</v>
      </c>
      <c r="F117" s="417">
        <f t="shared" si="107"/>
        <v>679</v>
      </c>
      <c r="G117" s="417">
        <f t="shared" si="107"/>
        <v>679</v>
      </c>
      <c r="H117" s="417">
        <f t="shared" ref="H117" si="108">SUM(H113:H116)</f>
        <v>680</v>
      </c>
      <c r="I117" s="417">
        <f t="shared" si="107"/>
        <v>683</v>
      </c>
      <c r="J117" s="417">
        <f t="shared" si="107"/>
        <v>692</v>
      </c>
      <c r="K117" s="417">
        <f t="shared" ref="K117" si="109">SUM(K113:K116)</f>
        <v>694</v>
      </c>
      <c r="L117" s="417">
        <f t="shared" si="107"/>
        <v>695</v>
      </c>
      <c r="M117" s="417">
        <f t="shared" ref="M117:N117" si="110">SUM(M113:M116)</f>
        <v>696</v>
      </c>
      <c r="N117" s="417">
        <f t="shared" si="110"/>
        <v>696</v>
      </c>
      <c r="O117" s="417">
        <v>696</v>
      </c>
      <c r="P117" s="350">
        <f t="shared" si="107"/>
        <v>696</v>
      </c>
    </row>
    <row r="118" spans="1:18" s="354" customFormat="1" ht="15.6" x14ac:dyDescent="0.3">
      <c r="A118" s="420" t="s">
        <v>191</v>
      </c>
      <c r="B118" s="421"/>
      <c r="C118" s="348" t="s">
        <v>3</v>
      </c>
      <c r="D118" s="417">
        <f t="shared" ref="D118:I118" si="111">D111+D117</f>
        <v>2649</v>
      </c>
      <c r="E118" s="417">
        <f t="shared" si="111"/>
        <v>2682</v>
      </c>
      <c r="F118" s="417">
        <f t="shared" si="111"/>
        <v>2799</v>
      </c>
      <c r="G118" s="417">
        <f t="shared" si="111"/>
        <v>2754</v>
      </c>
      <c r="H118" s="417">
        <f t="shared" si="111"/>
        <v>2789</v>
      </c>
      <c r="I118" s="417">
        <f t="shared" si="111"/>
        <v>2838</v>
      </c>
      <c r="J118" s="417">
        <f t="shared" ref="J118:K118" si="112">J111+J117</f>
        <v>2809</v>
      </c>
      <c r="K118" s="417">
        <f t="shared" si="112"/>
        <v>2850</v>
      </c>
      <c r="L118" s="417">
        <f t="shared" ref="L118:M118" si="113">L111+L117</f>
        <v>2875</v>
      </c>
      <c r="M118" s="417">
        <f t="shared" si="113"/>
        <v>2830</v>
      </c>
      <c r="N118" s="417">
        <f t="shared" ref="N118:P118" si="114">N111+N117</f>
        <v>2875</v>
      </c>
      <c r="O118" s="417">
        <v>2916</v>
      </c>
      <c r="P118" s="417">
        <f t="shared" si="114"/>
        <v>2916</v>
      </c>
      <c r="R118" s="422"/>
    </row>
    <row r="119" spans="1:18" ht="15.6" x14ac:dyDescent="0.3">
      <c r="A119" s="495" t="s">
        <v>192</v>
      </c>
      <c r="B119" s="496"/>
      <c r="C119" s="348" t="s">
        <v>3</v>
      </c>
      <c r="D119" s="417">
        <f t="shared" ref="D119:I119" si="115">D105+D118</f>
        <v>3448</v>
      </c>
      <c r="E119" s="417">
        <f t="shared" si="115"/>
        <v>3476</v>
      </c>
      <c r="F119" s="417">
        <f t="shared" si="115"/>
        <v>3486</v>
      </c>
      <c r="G119" s="417">
        <f t="shared" si="115"/>
        <v>3527</v>
      </c>
      <c r="H119" s="417">
        <f t="shared" si="115"/>
        <v>3554</v>
      </c>
      <c r="I119" s="417">
        <f t="shared" si="115"/>
        <v>3592</v>
      </c>
      <c r="J119" s="417">
        <f t="shared" ref="J119:K119" si="116">J105+J118</f>
        <v>3624</v>
      </c>
      <c r="K119" s="417">
        <f t="shared" si="116"/>
        <v>3658</v>
      </c>
      <c r="L119" s="417">
        <f t="shared" ref="L119:M119" si="117">L105+L118</f>
        <v>3681</v>
      </c>
      <c r="M119" s="417">
        <f t="shared" si="117"/>
        <v>3695</v>
      </c>
      <c r="N119" s="417">
        <f t="shared" ref="N119:P119" si="118">N105+N118</f>
        <v>3705</v>
      </c>
      <c r="O119" s="417">
        <v>3733</v>
      </c>
      <c r="P119" s="417">
        <f t="shared" si="118"/>
        <v>3733</v>
      </c>
    </row>
    <row r="120" spans="1:18" x14ac:dyDescent="0.3">
      <c r="A120" s="475" t="s">
        <v>201</v>
      </c>
      <c r="B120" s="476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7"/>
      <c r="R120" s="418"/>
    </row>
    <row r="121" spans="1:18" ht="17.399999999999999" x14ac:dyDescent="0.3">
      <c r="A121" s="478" t="s">
        <v>93</v>
      </c>
      <c r="B121" s="479"/>
      <c r="C121" s="359" t="s">
        <v>3</v>
      </c>
      <c r="D121" s="554">
        <f>24184+26</f>
        <v>24210</v>
      </c>
      <c r="E121" s="4">
        <v>24247</v>
      </c>
      <c r="F121" s="4">
        <v>24261</v>
      </c>
      <c r="G121" s="4">
        <v>24283</v>
      </c>
      <c r="H121" s="4">
        <v>24309</v>
      </c>
      <c r="I121" s="4">
        <v>24328</v>
      </c>
      <c r="J121" s="4">
        <v>24349</v>
      </c>
      <c r="K121" s="4">
        <f>66+24349</f>
        <v>24415</v>
      </c>
      <c r="L121" s="423">
        <v>24440</v>
      </c>
      <c r="M121" s="423">
        <v>24640</v>
      </c>
      <c r="N121" s="423">
        <v>24640</v>
      </c>
      <c r="O121" s="423">
        <v>24691</v>
      </c>
      <c r="P121" s="424">
        <f>O121</f>
        <v>24691</v>
      </c>
    </row>
    <row r="122" spans="1:18" ht="17.399999999999999" x14ac:dyDescent="0.3">
      <c r="A122" s="478" t="s">
        <v>92</v>
      </c>
      <c r="B122" s="479"/>
      <c r="C122" s="359" t="s">
        <v>3</v>
      </c>
      <c r="D122" s="554">
        <f>21596</f>
        <v>21596</v>
      </c>
      <c r="E122" s="4">
        <f>21596+5*28</f>
        <v>21736</v>
      </c>
      <c r="F122" s="4">
        <f>21736+27*4</f>
        <v>21844</v>
      </c>
      <c r="G122" s="4">
        <f>21844+23</f>
        <v>21867</v>
      </c>
      <c r="H122" s="4">
        <f>21867+27</f>
        <v>21894</v>
      </c>
      <c r="I122" s="4">
        <f>21894+38</f>
        <v>21932</v>
      </c>
      <c r="J122" s="4">
        <f>21932+32</f>
        <v>21964</v>
      </c>
      <c r="K122" s="4">
        <f>21964+33*1</f>
        <v>21997</v>
      </c>
      <c r="L122" s="423">
        <v>22022</v>
      </c>
      <c r="M122" s="423">
        <v>22061</v>
      </c>
      <c r="N122" s="423">
        <v>22101</v>
      </c>
      <c r="O122" s="423">
        <v>22101</v>
      </c>
      <c r="P122" s="424">
        <f>O122</f>
        <v>22101</v>
      </c>
    </row>
    <row r="123" spans="1:18" ht="15.6" x14ac:dyDescent="0.3">
      <c r="A123" s="511" t="s">
        <v>91</v>
      </c>
      <c r="B123" s="512"/>
      <c r="C123" s="425" t="s">
        <v>6</v>
      </c>
      <c r="D123" s="29">
        <f t="shared" ref="D123:F123" si="119">D122/D121</f>
        <v>0.89202808756712104</v>
      </c>
      <c r="E123" s="29">
        <f t="shared" si="119"/>
        <v>0.89644079679960409</v>
      </c>
      <c r="F123" s="29">
        <f t="shared" si="119"/>
        <v>0.90037508758913487</v>
      </c>
      <c r="G123" s="426">
        <f t="shared" ref="G123:P123" si="120">G122/G121</f>
        <v>0.90050652720009883</v>
      </c>
      <c r="H123" s="426">
        <f t="shared" si="120"/>
        <v>0.90065407873627057</v>
      </c>
      <c r="I123" s="426">
        <f t="shared" si="120"/>
        <v>0.90151266030910882</v>
      </c>
      <c r="J123" s="426">
        <f t="shared" si="120"/>
        <v>0.90204936547702164</v>
      </c>
      <c r="K123" s="426">
        <f t="shared" si="120"/>
        <v>0.90096252303911528</v>
      </c>
      <c r="L123" s="426">
        <f t="shared" si="120"/>
        <v>0.90106382978723409</v>
      </c>
      <c r="M123" s="426">
        <f t="shared" si="120"/>
        <v>0.89533279220779216</v>
      </c>
      <c r="N123" s="426">
        <f t="shared" si="120"/>
        <v>0.8969561688311688</v>
      </c>
      <c r="O123" s="426">
        <v>0.89510347900044551</v>
      </c>
      <c r="P123" s="427">
        <f t="shared" si="120"/>
        <v>0.89510347900044551</v>
      </c>
    </row>
    <row r="124" spans="1:18" x14ac:dyDescent="0.3">
      <c r="A124" s="503" t="s">
        <v>90</v>
      </c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5"/>
    </row>
    <row r="125" spans="1:18" ht="15.6" x14ac:dyDescent="0.3">
      <c r="A125" s="249" t="s">
        <v>230</v>
      </c>
      <c r="B125" s="348" t="s">
        <v>85</v>
      </c>
      <c r="C125" s="348" t="s">
        <v>3</v>
      </c>
      <c r="D125" s="132">
        <v>0</v>
      </c>
      <c r="E125" s="132">
        <v>0</v>
      </c>
      <c r="F125" s="132">
        <v>0</v>
      </c>
      <c r="G125" s="132">
        <f t="shared" ref="G125:H125" si="121">F130</f>
        <v>0</v>
      </c>
      <c r="H125" s="132">
        <f t="shared" si="121"/>
        <v>0</v>
      </c>
      <c r="I125" s="389"/>
      <c r="J125" s="389"/>
      <c r="K125" s="389"/>
      <c r="L125" s="389">
        <v>0</v>
      </c>
      <c r="M125" s="389">
        <v>0</v>
      </c>
      <c r="N125" s="389"/>
      <c r="O125" s="389"/>
      <c r="P125" s="428">
        <f>D125</f>
        <v>0</v>
      </c>
    </row>
    <row r="126" spans="1:18" ht="15.6" x14ac:dyDescent="0.3">
      <c r="A126" s="487"/>
      <c r="B126" s="348" t="s">
        <v>84</v>
      </c>
      <c r="C126" s="348" t="s">
        <v>3</v>
      </c>
      <c r="D126" s="132">
        <v>0</v>
      </c>
      <c r="E126" s="132">
        <v>0</v>
      </c>
      <c r="F126" s="132">
        <v>0</v>
      </c>
      <c r="G126" s="132">
        <v>0</v>
      </c>
      <c r="H126" s="132">
        <v>0</v>
      </c>
      <c r="I126" s="391"/>
      <c r="J126" s="391"/>
      <c r="K126" s="391"/>
      <c r="L126" s="391">
        <v>0</v>
      </c>
      <c r="M126" s="391">
        <v>0</v>
      </c>
      <c r="N126" s="391"/>
      <c r="O126" s="391"/>
      <c r="P126" s="429">
        <f>SUM(D126:O126)</f>
        <v>0</v>
      </c>
    </row>
    <row r="127" spans="1:18" ht="15.6" x14ac:dyDescent="0.3">
      <c r="A127" s="487"/>
      <c r="B127" s="430" t="s">
        <v>88</v>
      </c>
      <c r="C127" s="348" t="s">
        <v>3</v>
      </c>
      <c r="D127" s="132">
        <v>0</v>
      </c>
      <c r="E127" s="132">
        <v>0</v>
      </c>
      <c r="F127" s="132">
        <v>0</v>
      </c>
      <c r="G127" s="132">
        <v>0</v>
      </c>
      <c r="H127" s="132">
        <v>0</v>
      </c>
      <c r="I127" s="391"/>
      <c r="J127" s="391"/>
      <c r="K127" s="391"/>
      <c r="L127" s="391">
        <v>0</v>
      </c>
      <c r="M127" s="391">
        <v>0</v>
      </c>
      <c r="N127" s="391"/>
      <c r="O127" s="391"/>
      <c r="P127" s="429">
        <f>SUM(D127:O127)</f>
        <v>0</v>
      </c>
    </row>
    <row r="128" spans="1:18" ht="15.6" x14ac:dyDescent="0.3">
      <c r="A128" s="487"/>
      <c r="B128" s="348" t="s">
        <v>82</v>
      </c>
      <c r="C128" s="348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391"/>
      <c r="J128" s="391"/>
      <c r="K128" s="391"/>
      <c r="L128" s="391">
        <v>0</v>
      </c>
      <c r="M128" s="391">
        <v>0</v>
      </c>
      <c r="N128" s="391"/>
      <c r="O128" s="391"/>
      <c r="P128" s="429">
        <f>SUM(D128:O128)</f>
        <v>0</v>
      </c>
    </row>
    <row r="129" spans="1:18" ht="15.6" x14ac:dyDescent="0.3">
      <c r="A129" s="250"/>
      <c r="B129" s="348" t="s">
        <v>81</v>
      </c>
      <c r="C129" s="348" t="s">
        <v>3</v>
      </c>
      <c r="D129" s="132">
        <v>0</v>
      </c>
      <c r="E129" s="132">
        <v>0</v>
      </c>
      <c r="F129" s="132">
        <v>0</v>
      </c>
      <c r="G129" s="132">
        <f t="shared" ref="G129:H129" si="122">G125+G126-G127-G128</f>
        <v>0</v>
      </c>
      <c r="H129" s="132">
        <f t="shared" si="122"/>
        <v>0</v>
      </c>
      <c r="I129" s="389">
        <f t="shared" ref="I129" si="123">I125+I126-I127-I128</f>
        <v>0</v>
      </c>
      <c r="J129" s="389">
        <f t="shared" ref="J129:K129" si="124">J125+J126-J127-J128</f>
        <v>0</v>
      </c>
      <c r="K129" s="389">
        <f t="shared" si="124"/>
        <v>0</v>
      </c>
      <c r="L129" s="389">
        <v>0</v>
      </c>
      <c r="M129" s="389">
        <v>0</v>
      </c>
      <c r="N129" s="389">
        <f t="shared" ref="N129" si="125">N125+N126-N127-N128</f>
        <v>0</v>
      </c>
      <c r="O129" s="389">
        <v>0</v>
      </c>
      <c r="P129" s="428">
        <f>P125+P126-P127-P128</f>
        <v>0</v>
      </c>
    </row>
    <row r="130" spans="1:18" ht="15.6" x14ac:dyDescent="0.3">
      <c r="A130" s="249" t="s">
        <v>231</v>
      </c>
      <c r="B130" s="431" t="s">
        <v>85</v>
      </c>
      <c r="C130" s="431" t="s">
        <v>3</v>
      </c>
      <c r="D130" s="132">
        <v>0</v>
      </c>
      <c r="E130" s="132">
        <f>D134</f>
        <v>0</v>
      </c>
      <c r="F130" s="132">
        <f t="shared" ref="F130:H130" si="126">E134</f>
        <v>0</v>
      </c>
      <c r="G130" s="132">
        <f t="shared" si="126"/>
        <v>0</v>
      </c>
      <c r="H130" s="132">
        <f t="shared" si="126"/>
        <v>0</v>
      </c>
      <c r="I130" s="389"/>
      <c r="J130" s="389"/>
      <c r="K130" s="389"/>
      <c r="L130" s="389">
        <v>0</v>
      </c>
      <c r="M130" s="389">
        <v>0</v>
      </c>
      <c r="N130" s="389"/>
      <c r="O130" s="389"/>
      <c r="P130" s="428">
        <f>D130</f>
        <v>0</v>
      </c>
    </row>
    <row r="131" spans="1:18" ht="15.6" x14ac:dyDescent="0.3">
      <c r="A131" s="487"/>
      <c r="B131" s="348" t="s">
        <v>84</v>
      </c>
      <c r="C131" s="348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391"/>
      <c r="J131" s="391"/>
      <c r="K131" s="391"/>
      <c r="L131" s="391">
        <v>0</v>
      </c>
      <c r="M131" s="391">
        <v>0</v>
      </c>
      <c r="N131" s="391"/>
      <c r="O131" s="391"/>
      <c r="P131" s="429">
        <f>SUM(D131:O131)</f>
        <v>0</v>
      </c>
    </row>
    <row r="132" spans="1:18" ht="15.6" x14ac:dyDescent="0.3">
      <c r="A132" s="487"/>
      <c r="B132" s="430" t="s">
        <v>88</v>
      </c>
      <c r="C132" s="348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391"/>
      <c r="J132" s="391"/>
      <c r="K132" s="391"/>
      <c r="L132" s="391">
        <v>0</v>
      </c>
      <c r="M132" s="391">
        <v>0</v>
      </c>
      <c r="N132" s="391"/>
      <c r="O132" s="391"/>
      <c r="P132" s="429">
        <f>SUM(D132:O132)</f>
        <v>0</v>
      </c>
    </row>
    <row r="133" spans="1:18" ht="15.6" x14ac:dyDescent="0.3">
      <c r="A133" s="487"/>
      <c r="B133" s="348" t="s">
        <v>82</v>
      </c>
      <c r="C133" s="348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391"/>
      <c r="J133" s="391"/>
      <c r="K133" s="391"/>
      <c r="L133" s="391">
        <v>0</v>
      </c>
      <c r="M133" s="391">
        <v>0</v>
      </c>
      <c r="N133" s="391"/>
      <c r="O133" s="391"/>
      <c r="P133" s="429">
        <f>SUM(D133:O133)</f>
        <v>0</v>
      </c>
    </row>
    <row r="134" spans="1:18" ht="15.6" x14ac:dyDescent="0.3">
      <c r="A134" s="250"/>
      <c r="B134" s="348" t="s">
        <v>81</v>
      </c>
      <c r="C134" s="348" t="s">
        <v>3</v>
      </c>
      <c r="D134" s="132">
        <f>D130+D131-D132-D133</f>
        <v>0</v>
      </c>
      <c r="E134" s="132">
        <f t="shared" ref="E134:H134" si="127">E130+E131-E132-E133</f>
        <v>0</v>
      </c>
      <c r="F134" s="132">
        <f t="shared" si="127"/>
        <v>0</v>
      </c>
      <c r="G134" s="132">
        <f t="shared" si="127"/>
        <v>0</v>
      </c>
      <c r="H134" s="132">
        <f t="shared" si="127"/>
        <v>0</v>
      </c>
      <c r="I134" s="389">
        <f t="shared" ref="I134" si="128">I130+I131-I132-I133</f>
        <v>0</v>
      </c>
      <c r="J134" s="389">
        <f t="shared" ref="J134:K134" si="129">J130+J131-J132-J133</f>
        <v>0</v>
      </c>
      <c r="K134" s="389">
        <f t="shared" si="129"/>
        <v>0</v>
      </c>
      <c r="L134" s="389">
        <v>0</v>
      </c>
      <c r="M134" s="389">
        <v>0</v>
      </c>
      <c r="N134" s="389">
        <f t="shared" ref="N134" si="130">N130+N131-N132-N133</f>
        <v>0</v>
      </c>
      <c r="O134" s="389">
        <v>0</v>
      </c>
      <c r="P134" s="428">
        <f>P130+P131-P132-P133</f>
        <v>0</v>
      </c>
    </row>
    <row r="135" spans="1:18" ht="15.6" x14ac:dyDescent="0.3">
      <c r="A135" s="249" t="s">
        <v>89</v>
      </c>
      <c r="B135" s="348" t="s">
        <v>85</v>
      </c>
      <c r="C135" s="348" t="s">
        <v>3</v>
      </c>
      <c r="D135" s="132">
        <v>0</v>
      </c>
      <c r="E135" s="132">
        <f>D139</f>
        <v>0</v>
      </c>
      <c r="F135" s="132">
        <f t="shared" ref="F135:H135" si="131">E139</f>
        <v>1</v>
      </c>
      <c r="G135" s="132">
        <f t="shared" si="131"/>
        <v>0</v>
      </c>
      <c r="H135" s="132">
        <f t="shared" si="131"/>
        <v>0</v>
      </c>
      <c r="I135" s="389"/>
      <c r="J135" s="389"/>
      <c r="K135" s="389"/>
      <c r="L135" s="389">
        <v>0</v>
      </c>
      <c r="M135" s="389">
        <v>0</v>
      </c>
      <c r="N135" s="389"/>
      <c r="O135" s="389"/>
      <c r="P135" s="428">
        <f>D135</f>
        <v>0</v>
      </c>
    </row>
    <row r="136" spans="1:18" ht="15.6" x14ac:dyDescent="0.3">
      <c r="A136" s="487"/>
      <c r="B136" s="348" t="s">
        <v>84</v>
      </c>
      <c r="C136" s="348" t="s">
        <v>3</v>
      </c>
      <c r="D136" s="132">
        <v>0</v>
      </c>
      <c r="E136" s="132">
        <v>1</v>
      </c>
      <c r="F136" s="132">
        <v>0</v>
      </c>
      <c r="G136" s="132">
        <v>0</v>
      </c>
      <c r="H136" s="132">
        <v>0</v>
      </c>
      <c r="I136" s="391"/>
      <c r="J136" s="391"/>
      <c r="K136" s="391"/>
      <c r="L136" s="391">
        <v>0</v>
      </c>
      <c r="M136" s="391">
        <v>0</v>
      </c>
      <c r="N136" s="391"/>
      <c r="O136" s="391"/>
      <c r="P136" s="429">
        <f>SUM(D136:O136)</f>
        <v>1</v>
      </c>
    </row>
    <row r="137" spans="1:18" ht="15.6" x14ac:dyDescent="0.3">
      <c r="A137" s="487"/>
      <c r="B137" s="430" t="s">
        <v>88</v>
      </c>
      <c r="C137" s="348" t="s">
        <v>3</v>
      </c>
      <c r="D137" s="132">
        <v>0</v>
      </c>
      <c r="E137" s="132">
        <v>0</v>
      </c>
      <c r="F137" s="132">
        <v>1</v>
      </c>
      <c r="G137" s="132">
        <v>0</v>
      </c>
      <c r="H137" s="132">
        <v>0</v>
      </c>
      <c r="I137" s="391"/>
      <c r="J137" s="391"/>
      <c r="K137" s="391"/>
      <c r="L137" s="391">
        <v>0</v>
      </c>
      <c r="M137" s="391">
        <v>0</v>
      </c>
      <c r="N137" s="391"/>
      <c r="O137" s="391"/>
      <c r="P137" s="429">
        <f>SUM(D137:O137)</f>
        <v>1</v>
      </c>
    </row>
    <row r="138" spans="1:18" ht="15.6" x14ac:dyDescent="0.3">
      <c r="A138" s="487"/>
      <c r="B138" s="348" t="s">
        <v>82</v>
      </c>
      <c r="C138" s="348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391"/>
      <c r="J138" s="391"/>
      <c r="K138" s="391"/>
      <c r="L138" s="391">
        <v>0</v>
      </c>
      <c r="M138" s="391">
        <v>0</v>
      </c>
      <c r="N138" s="391"/>
      <c r="O138" s="391"/>
      <c r="P138" s="429">
        <f>SUM(D138:O138)</f>
        <v>0</v>
      </c>
    </row>
    <row r="139" spans="1:18" ht="15.6" x14ac:dyDescent="0.3">
      <c r="A139" s="250"/>
      <c r="B139" s="348" t="s">
        <v>81</v>
      </c>
      <c r="C139" s="348" t="s">
        <v>3</v>
      </c>
      <c r="D139" s="132">
        <f>D135+D136-D137-D138</f>
        <v>0</v>
      </c>
      <c r="E139" s="132">
        <f t="shared" ref="E139:H139" si="132">E135+E136-E137-E138</f>
        <v>1</v>
      </c>
      <c r="F139" s="132">
        <f t="shared" si="132"/>
        <v>0</v>
      </c>
      <c r="G139" s="132">
        <f t="shared" si="132"/>
        <v>0</v>
      </c>
      <c r="H139" s="132">
        <f t="shared" si="132"/>
        <v>0</v>
      </c>
      <c r="I139" s="389">
        <f t="shared" ref="I139" si="133">I135+I136-I137-I138</f>
        <v>0</v>
      </c>
      <c r="J139" s="389">
        <f t="shared" ref="J139:K139" si="134">J135+J136-J137-J138</f>
        <v>0</v>
      </c>
      <c r="K139" s="389">
        <f t="shared" si="134"/>
        <v>0</v>
      </c>
      <c r="L139" s="389">
        <v>0</v>
      </c>
      <c r="M139" s="389">
        <v>0</v>
      </c>
      <c r="N139" s="389">
        <f t="shared" ref="N139" si="135">N135+N136-N137-N138</f>
        <v>0</v>
      </c>
      <c r="O139" s="389">
        <v>0</v>
      </c>
      <c r="P139" s="428">
        <f>P135+P136-P137-P138</f>
        <v>0</v>
      </c>
    </row>
    <row r="140" spans="1:18" ht="15.6" x14ac:dyDescent="0.3">
      <c r="A140" s="249" t="s">
        <v>87</v>
      </c>
      <c r="B140" s="348" t="s">
        <v>85</v>
      </c>
      <c r="C140" s="348" t="s">
        <v>3</v>
      </c>
      <c r="D140" s="132">
        <v>218</v>
      </c>
      <c r="E140" s="132">
        <f>D144</f>
        <v>218</v>
      </c>
      <c r="F140" s="132">
        <f t="shared" ref="F140:K140" si="136">E144</f>
        <v>139</v>
      </c>
      <c r="G140" s="132">
        <f t="shared" si="136"/>
        <v>99</v>
      </c>
      <c r="H140" s="132">
        <f t="shared" si="136"/>
        <v>194</v>
      </c>
      <c r="I140" s="132">
        <f t="shared" si="136"/>
        <v>120</v>
      </c>
      <c r="J140" s="132">
        <f t="shared" si="136"/>
        <v>99</v>
      </c>
      <c r="K140" s="132">
        <f t="shared" si="136"/>
        <v>95</v>
      </c>
      <c r="L140" s="389">
        <v>95</v>
      </c>
      <c r="M140" s="389">
        <v>115</v>
      </c>
      <c r="N140" s="389">
        <v>0</v>
      </c>
      <c r="O140" s="391"/>
      <c r="P140" s="428">
        <f>D140</f>
        <v>218</v>
      </c>
    </row>
    <row r="141" spans="1:18" ht="15.6" x14ac:dyDescent="0.3">
      <c r="A141" s="487"/>
      <c r="B141" s="348" t="s">
        <v>84</v>
      </c>
      <c r="C141" s="348" t="s">
        <v>3</v>
      </c>
      <c r="D141" s="132">
        <v>0</v>
      </c>
      <c r="E141" s="132">
        <v>0</v>
      </c>
      <c r="F141" s="132">
        <v>0</v>
      </c>
      <c r="G141" s="132">
        <v>95</v>
      </c>
      <c r="H141" s="132">
        <v>0</v>
      </c>
      <c r="I141" s="132">
        <v>0</v>
      </c>
      <c r="J141" s="391"/>
      <c r="K141" s="391"/>
      <c r="L141" s="391">
        <v>20</v>
      </c>
      <c r="M141" s="391">
        <v>71</v>
      </c>
      <c r="N141" s="391">
        <v>17</v>
      </c>
      <c r="O141" s="391">
        <v>41</v>
      </c>
      <c r="P141" s="429">
        <f>SUM(D141:O141)</f>
        <v>244</v>
      </c>
    </row>
    <row r="142" spans="1:18" ht="15.6" x14ac:dyDescent="0.3">
      <c r="A142" s="487"/>
      <c r="B142" s="348" t="s">
        <v>83</v>
      </c>
      <c r="C142" s="348" t="s">
        <v>3</v>
      </c>
      <c r="D142" s="132">
        <v>0</v>
      </c>
      <c r="E142" s="132">
        <v>79</v>
      </c>
      <c r="F142" s="132">
        <v>36</v>
      </c>
      <c r="G142" s="132">
        <v>0</v>
      </c>
      <c r="H142" s="132">
        <v>74</v>
      </c>
      <c r="I142" s="132">
        <v>13</v>
      </c>
      <c r="J142" s="132">
        <v>4</v>
      </c>
      <c r="K142" s="391"/>
      <c r="L142" s="391"/>
      <c r="M142" s="391">
        <v>0</v>
      </c>
      <c r="N142" s="391">
        <v>0</v>
      </c>
      <c r="O142" s="391">
        <v>0</v>
      </c>
      <c r="P142" s="429">
        <f>SUM(D142:O142)</f>
        <v>206</v>
      </c>
    </row>
    <row r="143" spans="1:18" ht="15.6" x14ac:dyDescent="0.3">
      <c r="A143" s="487"/>
      <c r="B143" s="348" t="s">
        <v>82</v>
      </c>
      <c r="C143" s="348" t="s">
        <v>3</v>
      </c>
      <c r="D143" s="132">
        <v>0</v>
      </c>
      <c r="E143" s="132">
        <v>0</v>
      </c>
      <c r="F143" s="132">
        <v>4</v>
      </c>
      <c r="G143" s="132">
        <v>0</v>
      </c>
      <c r="H143" s="132">
        <v>0</v>
      </c>
      <c r="I143" s="132">
        <v>8</v>
      </c>
      <c r="J143" s="391"/>
      <c r="K143" s="391"/>
      <c r="L143" s="391"/>
      <c r="M143" s="391">
        <v>186</v>
      </c>
      <c r="N143" s="391">
        <v>17</v>
      </c>
      <c r="O143" s="391">
        <v>6</v>
      </c>
      <c r="P143" s="429">
        <f>SUM(D143:O143)</f>
        <v>221</v>
      </c>
    </row>
    <row r="144" spans="1:18" ht="15.6" x14ac:dyDescent="0.3">
      <c r="A144" s="250"/>
      <c r="B144" s="348" t="s">
        <v>81</v>
      </c>
      <c r="C144" s="348" t="s">
        <v>3</v>
      </c>
      <c r="D144" s="132">
        <f>D140+D141-D142-D143</f>
        <v>218</v>
      </c>
      <c r="E144" s="132">
        <f t="shared" ref="E144:I144" si="137">E140+E141-E142-E143</f>
        <v>139</v>
      </c>
      <c r="F144" s="132">
        <f t="shared" si="137"/>
        <v>99</v>
      </c>
      <c r="G144" s="132">
        <f t="shared" si="137"/>
        <v>194</v>
      </c>
      <c r="H144" s="132">
        <f t="shared" si="137"/>
        <v>120</v>
      </c>
      <c r="I144" s="132">
        <f t="shared" si="137"/>
        <v>99</v>
      </c>
      <c r="J144" s="389">
        <f t="shared" ref="J144:K144" si="138">J140+J141-J142-J143</f>
        <v>95</v>
      </c>
      <c r="K144" s="389">
        <f t="shared" si="138"/>
        <v>95</v>
      </c>
      <c r="L144" s="389">
        <f t="shared" ref="L144" si="139">L140+L141-L142-L143</f>
        <v>115</v>
      </c>
      <c r="M144" s="389">
        <v>0</v>
      </c>
      <c r="N144" s="389">
        <v>0</v>
      </c>
      <c r="O144" s="389">
        <v>35</v>
      </c>
      <c r="P144" s="428">
        <f>P140+P141-P142-P143</f>
        <v>35</v>
      </c>
      <c r="R144" s="432"/>
    </row>
    <row r="145" spans="1:16" s="354" customFormat="1" ht="15.6" x14ac:dyDescent="0.3">
      <c r="A145" s="249" t="s">
        <v>86</v>
      </c>
      <c r="B145" s="348" t="s">
        <v>85</v>
      </c>
      <c r="C145" s="348" t="s">
        <v>3</v>
      </c>
      <c r="D145" s="138">
        <f>D125+D130+D135+D140</f>
        <v>218</v>
      </c>
      <c r="E145" s="138">
        <f t="shared" ref="E145:F148" si="140">E125+E130+E135+E140</f>
        <v>218</v>
      </c>
      <c r="F145" s="138">
        <f t="shared" si="140"/>
        <v>140</v>
      </c>
      <c r="G145" s="394">
        <f t="shared" ref="G145:I145" si="141">G125+G130+G135+G140</f>
        <v>99</v>
      </c>
      <c r="H145" s="394">
        <f t="shared" si="141"/>
        <v>194</v>
      </c>
      <c r="I145" s="394">
        <f t="shared" si="141"/>
        <v>120</v>
      </c>
      <c r="J145" s="394">
        <f t="shared" ref="J145:K145" si="142">J125+J130+J135+J140</f>
        <v>99</v>
      </c>
      <c r="K145" s="394">
        <f t="shared" si="142"/>
        <v>95</v>
      </c>
      <c r="L145" s="394">
        <f t="shared" ref="L145:N145" si="143">L125+L130+L135+L140</f>
        <v>95</v>
      </c>
      <c r="M145" s="394">
        <f t="shared" si="143"/>
        <v>115</v>
      </c>
      <c r="N145" s="394">
        <f t="shared" si="143"/>
        <v>0</v>
      </c>
      <c r="O145" s="394">
        <v>0</v>
      </c>
      <c r="P145" s="433">
        <f t="shared" ref="P145" si="144">P125+P130+P135+P140</f>
        <v>218</v>
      </c>
    </row>
    <row r="146" spans="1:16" ht="15.6" x14ac:dyDescent="0.3">
      <c r="A146" s="487"/>
      <c r="B146" s="348" t="s">
        <v>84</v>
      </c>
      <c r="C146" s="348" t="s">
        <v>3</v>
      </c>
      <c r="D146" s="138">
        <f>D126+D131+D136+D141</f>
        <v>0</v>
      </c>
      <c r="E146" s="138">
        <f t="shared" si="140"/>
        <v>1</v>
      </c>
      <c r="F146" s="138">
        <f t="shared" si="140"/>
        <v>0</v>
      </c>
      <c r="G146" s="394">
        <f t="shared" ref="G146" si="145">G126+G131+G136+G141</f>
        <v>95</v>
      </c>
      <c r="H146" s="394">
        <f t="shared" ref="H146:I146" si="146">H126+H131+H136+H141</f>
        <v>0</v>
      </c>
      <c r="I146" s="394">
        <f t="shared" si="146"/>
        <v>0</v>
      </c>
      <c r="J146" s="394">
        <f t="shared" ref="J146:K146" si="147">J126+J131+J136+J141</f>
        <v>0</v>
      </c>
      <c r="K146" s="394">
        <f t="shared" si="147"/>
        <v>0</v>
      </c>
      <c r="L146" s="394">
        <f t="shared" ref="L146:N146" si="148">L126+L131+L136+L141</f>
        <v>20</v>
      </c>
      <c r="M146" s="394">
        <f t="shared" si="148"/>
        <v>71</v>
      </c>
      <c r="N146" s="394">
        <f t="shared" si="148"/>
        <v>17</v>
      </c>
      <c r="O146" s="394">
        <v>41</v>
      </c>
      <c r="P146" s="433">
        <f t="shared" ref="P146" si="149">P126+P131+P136+P141</f>
        <v>245</v>
      </c>
    </row>
    <row r="147" spans="1:16" ht="15.6" x14ac:dyDescent="0.3">
      <c r="A147" s="487"/>
      <c r="B147" s="348" t="s">
        <v>83</v>
      </c>
      <c r="C147" s="348" t="s">
        <v>3</v>
      </c>
      <c r="D147" s="138">
        <f>D127+D132+D137+D142</f>
        <v>0</v>
      </c>
      <c r="E147" s="138">
        <f t="shared" si="140"/>
        <v>79</v>
      </c>
      <c r="F147" s="138">
        <f t="shared" si="140"/>
        <v>37</v>
      </c>
      <c r="G147" s="394">
        <f t="shared" ref="G147" si="150">G127+G132+G137+G142</f>
        <v>0</v>
      </c>
      <c r="H147" s="394">
        <f t="shared" ref="H147:I147" si="151">H127+H132+H137+H142</f>
        <v>74</v>
      </c>
      <c r="I147" s="394">
        <f t="shared" si="151"/>
        <v>13</v>
      </c>
      <c r="J147" s="394">
        <f t="shared" ref="J147:K147" si="152">J127+J132+J137+J142</f>
        <v>4</v>
      </c>
      <c r="K147" s="394">
        <f t="shared" si="152"/>
        <v>0</v>
      </c>
      <c r="L147" s="394">
        <f t="shared" ref="L147:N147" si="153">L127+L132+L137+L142</f>
        <v>0</v>
      </c>
      <c r="M147" s="394">
        <f t="shared" si="153"/>
        <v>0</v>
      </c>
      <c r="N147" s="394">
        <f t="shared" si="153"/>
        <v>0</v>
      </c>
      <c r="O147" s="394">
        <v>0</v>
      </c>
      <c r="P147" s="433">
        <f t="shared" ref="P147" si="154">P127+P132+P137+P142</f>
        <v>207</v>
      </c>
    </row>
    <row r="148" spans="1:16" ht="15.6" x14ac:dyDescent="0.3">
      <c r="A148" s="487"/>
      <c r="B148" s="348" t="s">
        <v>82</v>
      </c>
      <c r="C148" s="348" t="s">
        <v>3</v>
      </c>
      <c r="D148" s="138">
        <f>D128+D133+D138+D143</f>
        <v>0</v>
      </c>
      <c r="E148" s="138">
        <f t="shared" si="140"/>
        <v>0</v>
      </c>
      <c r="F148" s="138">
        <f t="shared" si="140"/>
        <v>4</v>
      </c>
      <c r="G148" s="394">
        <f t="shared" ref="G148" si="155">G128+G133+G138+G143</f>
        <v>0</v>
      </c>
      <c r="H148" s="394">
        <f t="shared" ref="H148:I148" si="156">H128+H133+H138+H143</f>
        <v>0</v>
      </c>
      <c r="I148" s="394">
        <f t="shared" si="156"/>
        <v>8</v>
      </c>
      <c r="J148" s="394">
        <f t="shared" ref="J148:K148" si="157">J128+J133+J138+J143</f>
        <v>0</v>
      </c>
      <c r="K148" s="394">
        <f t="shared" si="157"/>
        <v>0</v>
      </c>
      <c r="L148" s="394">
        <f t="shared" ref="L148:N148" si="158">L128+L133+L138+L143</f>
        <v>0</v>
      </c>
      <c r="M148" s="394">
        <f t="shared" si="158"/>
        <v>186</v>
      </c>
      <c r="N148" s="394">
        <f t="shared" si="158"/>
        <v>17</v>
      </c>
      <c r="O148" s="394">
        <v>6</v>
      </c>
      <c r="P148" s="433">
        <f t="shared" ref="P148" si="159">P128+P133+P138+P143</f>
        <v>221</v>
      </c>
    </row>
    <row r="149" spans="1:16" ht="15.6" x14ac:dyDescent="0.3">
      <c r="A149" s="250"/>
      <c r="B149" s="348" t="s">
        <v>81</v>
      </c>
      <c r="C149" s="348" t="s">
        <v>3</v>
      </c>
      <c r="D149" s="138">
        <f>D145+D146-D147-D148</f>
        <v>218</v>
      </c>
      <c r="E149" s="138">
        <f t="shared" ref="E149:F149" si="160">E145+E146-E147-E148</f>
        <v>140</v>
      </c>
      <c r="F149" s="138">
        <f t="shared" si="160"/>
        <v>99</v>
      </c>
      <c r="G149" s="389">
        <f t="shared" ref="G149:I149" si="161">G145+G146-G147-G148</f>
        <v>194</v>
      </c>
      <c r="H149" s="389">
        <f t="shared" si="161"/>
        <v>120</v>
      </c>
      <c r="I149" s="389">
        <f t="shared" si="161"/>
        <v>99</v>
      </c>
      <c r="J149" s="389">
        <f t="shared" ref="J149:K149" si="162">J145+J146-J147-J148</f>
        <v>95</v>
      </c>
      <c r="K149" s="389">
        <f t="shared" si="162"/>
        <v>95</v>
      </c>
      <c r="L149" s="389">
        <f t="shared" ref="L149:N149" si="163">L145+L146-L147-L148</f>
        <v>115</v>
      </c>
      <c r="M149" s="389">
        <f t="shared" si="163"/>
        <v>0</v>
      </c>
      <c r="N149" s="389">
        <f t="shared" si="163"/>
        <v>0</v>
      </c>
      <c r="O149" s="389">
        <v>35</v>
      </c>
      <c r="P149" s="433">
        <f t="shared" ref="P149" si="164">P129+P134+P139+P144</f>
        <v>35</v>
      </c>
    </row>
    <row r="150" spans="1:16" x14ac:dyDescent="0.3">
      <c r="A150" s="475" t="s">
        <v>80</v>
      </c>
      <c r="B150" s="476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7"/>
    </row>
    <row r="151" spans="1:16" ht="15.6" x14ac:dyDescent="0.3">
      <c r="A151" s="478" t="s">
        <v>79</v>
      </c>
      <c r="B151" s="479"/>
      <c r="C151" s="348"/>
      <c r="D151" s="375"/>
      <c r="E151" s="375"/>
      <c r="F151" s="375"/>
      <c r="G151" s="375"/>
      <c r="H151" s="375"/>
      <c r="I151" s="375"/>
      <c r="J151" s="434"/>
      <c r="K151" s="434"/>
      <c r="L151" s="434"/>
      <c r="M151" s="434"/>
      <c r="N151" s="434"/>
      <c r="O151" s="434"/>
      <c r="P151" s="387"/>
    </row>
    <row r="152" spans="1:16" ht="15.6" x14ac:dyDescent="0.3">
      <c r="A152" s="506" t="s">
        <v>78</v>
      </c>
      <c r="B152" s="435" t="s">
        <v>63</v>
      </c>
      <c r="C152" s="348"/>
      <c r="D152" s="375"/>
      <c r="E152" s="375"/>
      <c r="F152" s="375"/>
      <c r="G152" s="375"/>
      <c r="H152" s="375"/>
      <c r="I152" s="375"/>
      <c r="J152" s="434"/>
      <c r="K152" s="434"/>
      <c r="L152" s="434"/>
      <c r="M152" s="434"/>
      <c r="N152" s="434"/>
      <c r="O152" s="434"/>
      <c r="P152" s="387"/>
    </row>
    <row r="153" spans="1:16" ht="15.6" x14ac:dyDescent="0.3">
      <c r="A153" s="507"/>
      <c r="B153" s="20" t="s">
        <v>73</v>
      </c>
      <c r="C153" s="348" t="s">
        <v>57</v>
      </c>
      <c r="D153" s="132">
        <v>18</v>
      </c>
      <c r="E153" s="132">
        <v>31</v>
      </c>
      <c r="F153" s="132">
        <v>18</v>
      </c>
      <c r="G153" s="132">
        <v>24</v>
      </c>
      <c r="H153" s="132">
        <v>22</v>
      </c>
      <c r="I153" s="132">
        <v>16</v>
      </c>
      <c r="J153" s="132">
        <v>18</v>
      </c>
      <c r="K153" s="132">
        <v>18</v>
      </c>
      <c r="L153" s="382">
        <v>17</v>
      </c>
      <c r="M153" s="382">
        <v>11</v>
      </c>
      <c r="N153" s="382">
        <v>29</v>
      </c>
      <c r="O153" s="382">
        <v>13</v>
      </c>
      <c r="P153" s="429">
        <f t="shared" ref="P153:P165" si="165">SUM(D153:O153)</f>
        <v>235</v>
      </c>
    </row>
    <row r="154" spans="1:16" ht="15.6" x14ac:dyDescent="0.3">
      <c r="A154" s="507"/>
      <c r="B154" s="20" t="s">
        <v>72</v>
      </c>
      <c r="C154" s="348" t="s">
        <v>57</v>
      </c>
      <c r="D154" s="132">
        <v>6</v>
      </c>
      <c r="E154" s="132">
        <v>13</v>
      </c>
      <c r="F154" s="132">
        <v>15</v>
      </c>
      <c r="G154" s="132">
        <v>12</v>
      </c>
      <c r="H154" s="132">
        <v>11</v>
      </c>
      <c r="I154" s="132">
        <v>3</v>
      </c>
      <c r="J154" s="132">
        <v>12</v>
      </c>
      <c r="K154" s="132">
        <v>5</v>
      </c>
      <c r="L154" s="382">
        <v>6</v>
      </c>
      <c r="M154" s="382">
        <v>9</v>
      </c>
      <c r="N154" s="382">
        <v>10</v>
      </c>
      <c r="O154" s="382">
        <v>5</v>
      </c>
      <c r="P154" s="429">
        <f t="shared" si="165"/>
        <v>107</v>
      </c>
    </row>
    <row r="155" spans="1:16" ht="15.6" x14ac:dyDescent="0.3">
      <c r="A155" s="507"/>
      <c r="B155" s="20" t="s">
        <v>53</v>
      </c>
      <c r="C155" s="348" t="s">
        <v>57</v>
      </c>
      <c r="D155" s="132">
        <v>4</v>
      </c>
      <c r="E155" s="132">
        <v>5</v>
      </c>
      <c r="F155" s="132">
        <v>2</v>
      </c>
      <c r="G155" s="132">
        <v>6</v>
      </c>
      <c r="H155" s="132">
        <v>5</v>
      </c>
      <c r="I155" s="132">
        <v>1</v>
      </c>
      <c r="J155" s="132">
        <v>0</v>
      </c>
      <c r="K155" s="132">
        <v>3</v>
      </c>
      <c r="L155" s="382">
        <v>3</v>
      </c>
      <c r="M155" s="382">
        <v>5</v>
      </c>
      <c r="N155" s="382">
        <v>2</v>
      </c>
      <c r="O155" s="382">
        <v>2</v>
      </c>
      <c r="P155" s="429">
        <f t="shared" si="165"/>
        <v>38</v>
      </c>
    </row>
    <row r="156" spans="1:16" ht="15.6" x14ac:dyDescent="0.3">
      <c r="A156" s="507"/>
      <c r="B156" s="20" t="s">
        <v>71</v>
      </c>
      <c r="C156" s="348" t="s">
        <v>57</v>
      </c>
      <c r="D156" s="132">
        <v>2</v>
      </c>
      <c r="E156" s="132">
        <v>0</v>
      </c>
      <c r="F156" s="132">
        <v>1</v>
      </c>
      <c r="G156" s="132">
        <v>0</v>
      </c>
      <c r="H156" s="132">
        <v>2</v>
      </c>
      <c r="I156" s="132">
        <v>0</v>
      </c>
      <c r="J156" s="132">
        <v>1</v>
      </c>
      <c r="K156" s="132">
        <v>2</v>
      </c>
      <c r="L156" s="382">
        <v>1</v>
      </c>
      <c r="M156" s="382">
        <v>0</v>
      </c>
      <c r="N156" s="382">
        <v>1</v>
      </c>
      <c r="O156" s="382">
        <v>0</v>
      </c>
      <c r="P156" s="429">
        <f t="shared" si="165"/>
        <v>10</v>
      </c>
    </row>
    <row r="157" spans="1:16" ht="15.6" x14ac:dyDescent="0.3">
      <c r="A157" s="507"/>
      <c r="B157" s="20" t="s">
        <v>52</v>
      </c>
      <c r="C157" s="348" t="s">
        <v>57</v>
      </c>
      <c r="D157" s="132">
        <v>2</v>
      </c>
      <c r="E157" s="132">
        <v>4</v>
      </c>
      <c r="F157" s="132">
        <v>1</v>
      </c>
      <c r="G157" s="132">
        <v>3</v>
      </c>
      <c r="H157" s="132">
        <v>0</v>
      </c>
      <c r="I157" s="132">
        <v>0</v>
      </c>
      <c r="J157" s="132">
        <v>0</v>
      </c>
      <c r="K157" s="132">
        <v>0</v>
      </c>
      <c r="L157" s="382">
        <v>0</v>
      </c>
      <c r="M157" s="382">
        <v>2</v>
      </c>
      <c r="N157" s="382">
        <v>4</v>
      </c>
      <c r="O157" s="382">
        <v>0</v>
      </c>
      <c r="P157" s="429">
        <f t="shared" si="165"/>
        <v>16</v>
      </c>
    </row>
    <row r="158" spans="1:16" ht="15.6" x14ac:dyDescent="0.3">
      <c r="A158" s="507"/>
      <c r="B158" s="20" t="s">
        <v>51</v>
      </c>
      <c r="C158" s="348" t="s">
        <v>57</v>
      </c>
      <c r="D158" s="132">
        <v>0</v>
      </c>
      <c r="E158" s="132">
        <v>3</v>
      </c>
      <c r="F158" s="132"/>
      <c r="G158" s="132">
        <v>1</v>
      </c>
      <c r="H158" s="132">
        <v>0</v>
      </c>
      <c r="I158" s="132">
        <v>1</v>
      </c>
      <c r="J158" s="132">
        <v>3</v>
      </c>
      <c r="K158" s="132">
        <v>1</v>
      </c>
      <c r="L158" s="382">
        <v>3</v>
      </c>
      <c r="M158" s="382">
        <v>1</v>
      </c>
      <c r="N158" s="382">
        <v>0</v>
      </c>
      <c r="O158" s="382">
        <v>1</v>
      </c>
      <c r="P158" s="429">
        <f t="shared" si="165"/>
        <v>14</v>
      </c>
    </row>
    <row r="159" spans="1:16" ht="15.6" x14ac:dyDescent="0.3">
      <c r="A159" s="507"/>
      <c r="B159" s="20" t="s">
        <v>62</v>
      </c>
      <c r="C159" s="348" t="s">
        <v>57</v>
      </c>
      <c r="D159" s="132">
        <v>0</v>
      </c>
      <c r="E159" s="132">
        <v>0</v>
      </c>
      <c r="F159" s="132"/>
      <c r="G159" s="132">
        <v>0</v>
      </c>
      <c r="H159" s="132">
        <v>0</v>
      </c>
      <c r="I159" s="132">
        <v>1</v>
      </c>
      <c r="J159" s="132">
        <v>0</v>
      </c>
      <c r="K159" s="132"/>
      <c r="L159" s="382">
        <v>0</v>
      </c>
      <c r="M159" s="382">
        <v>0</v>
      </c>
      <c r="N159" s="382">
        <v>0</v>
      </c>
      <c r="O159" s="382">
        <v>0</v>
      </c>
      <c r="P159" s="429">
        <f t="shared" si="165"/>
        <v>1</v>
      </c>
    </row>
    <row r="160" spans="1:16" ht="15.6" x14ac:dyDescent="0.3">
      <c r="A160" s="507"/>
      <c r="B160" s="20" t="s">
        <v>50</v>
      </c>
      <c r="C160" s="348" t="s">
        <v>57</v>
      </c>
      <c r="D160" s="132">
        <v>0</v>
      </c>
      <c r="E160" s="132">
        <v>0</v>
      </c>
      <c r="F160" s="132"/>
      <c r="G160" s="132">
        <v>0</v>
      </c>
      <c r="H160" s="132">
        <v>0</v>
      </c>
      <c r="I160" s="132">
        <v>1</v>
      </c>
      <c r="J160" s="132">
        <v>0</v>
      </c>
      <c r="K160" s="132"/>
      <c r="L160" s="382">
        <v>0</v>
      </c>
      <c r="M160" s="382">
        <v>1</v>
      </c>
      <c r="N160" s="382">
        <v>0</v>
      </c>
      <c r="O160" s="382">
        <v>0</v>
      </c>
      <c r="P160" s="429">
        <f t="shared" si="165"/>
        <v>2</v>
      </c>
    </row>
    <row r="161" spans="1:16" ht="15.6" x14ac:dyDescent="0.3">
      <c r="A161" s="507"/>
      <c r="B161" s="20" t="s">
        <v>49</v>
      </c>
      <c r="C161" s="348" t="s">
        <v>57</v>
      </c>
      <c r="D161" s="132">
        <v>0</v>
      </c>
      <c r="E161" s="132">
        <v>0</v>
      </c>
      <c r="F161" s="132"/>
      <c r="G161" s="132">
        <v>0</v>
      </c>
      <c r="H161" s="132">
        <v>0</v>
      </c>
      <c r="I161" s="132">
        <v>0</v>
      </c>
      <c r="J161" s="132">
        <v>0</v>
      </c>
      <c r="K161" s="132"/>
      <c r="L161" s="382">
        <v>1</v>
      </c>
      <c r="M161" s="382">
        <v>0</v>
      </c>
      <c r="N161" s="382">
        <v>2</v>
      </c>
      <c r="O161" s="382">
        <v>1</v>
      </c>
      <c r="P161" s="429">
        <f t="shared" si="165"/>
        <v>4</v>
      </c>
    </row>
    <row r="162" spans="1:16" ht="15.6" x14ac:dyDescent="0.3">
      <c r="A162" s="507"/>
      <c r="B162" s="20" t="s">
        <v>77</v>
      </c>
      <c r="C162" s="348" t="s">
        <v>57</v>
      </c>
      <c r="D162" s="132">
        <v>2</v>
      </c>
      <c r="E162" s="132">
        <v>5</v>
      </c>
      <c r="F162" s="132"/>
      <c r="G162" s="132">
        <v>1</v>
      </c>
      <c r="H162" s="132">
        <v>0</v>
      </c>
      <c r="I162" s="132">
        <v>1</v>
      </c>
      <c r="J162" s="132">
        <v>2</v>
      </c>
      <c r="K162" s="132">
        <v>3</v>
      </c>
      <c r="L162" s="382">
        <v>1</v>
      </c>
      <c r="M162" s="382">
        <v>3</v>
      </c>
      <c r="N162" s="382">
        <v>1</v>
      </c>
      <c r="O162" s="382">
        <v>0</v>
      </c>
      <c r="P162" s="429">
        <f t="shared" si="165"/>
        <v>19</v>
      </c>
    </row>
    <row r="163" spans="1:16" ht="15.6" x14ac:dyDescent="0.3">
      <c r="A163" s="507"/>
      <c r="B163" s="20" t="s">
        <v>69</v>
      </c>
      <c r="C163" s="348" t="s">
        <v>57</v>
      </c>
      <c r="D163" s="132">
        <v>0</v>
      </c>
      <c r="E163" s="132"/>
      <c r="F163" s="132"/>
      <c r="G163" s="132">
        <v>1</v>
      </c>
      <c r="H163" s="132">
        <v>1</v>
      </c>
      <c r="I163" s="382"/>
      <c r="J163" s="382"/>
      <c r="K163" s="382"/>
      <c r="L163" s="382">
        <v>0</v>
      </c>
      <c r="M163" s="382">
        <v>0</v>
      </c>
      <c r="N163" s="382">
        <v>0</v>
      </c>
      <c r="O163" s="382">
        <v>0</v>
      </c>
      <c r="P163" s="429">
        <f t="shared" si="165"/>
        <v>2</v>
      </c>
    </row>
    <row r="164" spans="1:16" ht="15.6" x14ac:dyDescent="0.3">
      <c r="A164" s="507"/>
      <c r="B164" s="20" t="s">
        <v>68</v>
      </c>
      <c r="C164" s="348" t="s">
        <v>57</v>
      </c>
      <c r="D164" s="132">
        <v>0</v>
      </c>
      <c r="E164" s="132"/>
      <c r="F164" s="132"/>
      <c r="G164" s="132"/>
      <c r="H164" s="132"/>
      <c r="I164" s="382"/>
      <c r="J164" s="382"/>
      <c r="K164" s="382"/>
      <c r="L164" s="382"/>
      <c r="M164" s="382"/>
      <c r="N164" s="382"/>
      <c r="O164" s="382"/>
      <c r="P164" s="429">
        <f t="shared" si="165"/>
        <v>0</v>
      </c>
    </row>
    <row r="165" spans="1:16" ht="15.6" x14ac:dyDescent="0.3">
      <c r="A165" s="508"/>
      <c r="B165" s="20" t="s">
        <v>76</v>
      </c>
      <c r="C165" s="348" t="s">
        <v>57</v>
      </c>
      <c r="D165" s="132">
        <v>0</v>
      </c>
      <c r="E165" s="132"/>
      <c r="F165" s="132"/>
      <c r="G165" s="132"/>
      <c r="H165" s="132"/>
      <c r="I165" s="382"/>
      <c r="J165" s="382"/>
      <c r="K165" s="382"/>
      <c r="L165" s="382"/>
      <c r="M165" s="382"/>
      <c r="N165" s="382"/>
      <c r="O165" s="382"/>
      <c r="P165" s="429">
        <f t="shared" si="165"/>
        <v>0</v>
      </c>
    </row>
    <row r="166" spans="1:16" ht="15.6" x14ac:dyDescent="0.3">
      <c r="A166" s="506" t="s">
        <v>75</v>
      </c>
      <c r="B166" s="436" t="s">
        <v>63</v>
      </c>
      <c r="C166" s="348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2"/>
      <c r="O166" s="382"/>
      <c r="P166" s="429"/>
    </row>
    <row r="167" spans="1:16" ht="15.6" x14ac:dyDescent="0.3">
      <c r="A167" s="507"/>
      <c r="B167" s="20" t="s">
        <v>74</v>
      </c>
      <c r="C167" s="348" t="s">
        <v>57</v>
      </c>
      <c r="D167" s="132"/>
      <c r="E167" s="132"/>
      <c r="F167" s="132"/>
      <c r="G167" s="132"/>
      <c r="H167" s="132"/>
      <c r="I167" s="391"/>
      <c r="J167" s="391"/>
      <c r="K167" s="391"/>
      <c r="L167" s="382"/>
      <c r="M167" s="391"/>
      <c r="N167" s="382"/>
      <c r="O167" s="382"/>
      <c r="P167" s="429">
        <f t="shared" ref="P167:P175" si="166">SUM(D167:O167)</f>
        <v>0</v>
      </c>
    </row>
    <row r="168" spans="1:16" ht="15.6" x14ac:dyDescent="0.3">
      <c r="A168" s="507"/>
      <c r="B168" s="20" t="s">
        <v>73</v>
      </c>
      <c r="C168" s="348" t="s">
        <v>57</v>
      </c>
      <c r="D168" s="132"/>
      <c r="E168" s="132">
        <v>1</v>
      </c>
      <c r="F168" s="132"/>
      <c r="G168" s="132"/>
      <c r="H168" s="132"/>
      <c r="I168" s="391"/>
      <c r="J168" s="132">
        <v>1</v>
      </c>
      <c r="K168" s="132">
        <v>1</v>
      </c>
      <c r="L168" s="382"/>
      <c r="M168" s="391"/>
      <c r="N168" s="382"/>
      <c r="O168" s="382"/>
      <c r="P168" s="429">
        <f t="shared" si="166"/>
        <v>3</v>
      </c>
    </row>
    <row r="169" spans="1:16" ht="15.6" x14ac:dyDescent="0.3">
      <c r="A169" s="507"/>
      <c r="B169" s="20" t="s">
        <v>72</v>
      </c>
      <c r="C169" s="348" t="s">
        <v>57</v>
      </c>
      <c r="D169" s="132"/>
      <c r="E169" s="132"/>
      <c r="F169" s="132"/>
      <c r="G169" s="132"/>
      <c r="H169" s="132"/>
      <c r="I169" s="391"/>
      <c r="J169" s="391"/>
      <c r="K169" s="391"/>
      <c r="L169" s="382"/>
      <c r="M169" s="391"/>
      <c r="N169" s="382"/>
      <c r="O169" s="382"/>
      <c r="P169" s="429">
        <f t="shared" si="166"/>
        <v>0</v>
      </c>
    </row>
    <row r="170" spans="1:16" ht="15.6" x14ac:dyDescent="0.3">
      <c r="A170" s="507"/>
      <c r="B170" s="20" t="s">
        <v>71</v>
      </c>
      <c r="C170" s="348" t="s">
        <v>57</v>
      </c>
      <c r="D170" s="132"/>
      <c r="E170" s="132"/>
      <c r="F170" s="132"/>
      <c r="G170" s="132"/>
      <c r="H170" s="132"/>
      <c r="I170" s="391"/>
      <c r="J170" s="391"/>
      <c r="K170" s="391"/>
      <c r="L170" s="382"/>
      <c r="M170" s="391"/>
      <c r="N170" s="382"/>
      <c r="O170" s="382"/>
      <c r="P170" s="429">
        <f t="shared" si="166"/>
        <v>0</v>
      </c>
    </row>
    <row r="171" spans="1:16" ht="15.6" x14ac:dyDescent="0.3">
      <c r="A171" s="507"/>
      <c r="B171" s="20" t="s">
        <v>52</v>
      </c>
      <c r="C171" s="348" t="s">
        <v>57</v>
      </c>
      <c r="D171" s="132"/>
      <c r="E171" s="132"/>
      <c r="F171" s="132"/>
      <c r="G171" s="132"/>
      <c r="H171" s="132"/>
      <c r="I171" s="391"/>
      <c r="J171" s="391"/>
      <c r="K171" s="391"/>
      <c r="L171" s="382"/>
      <c r="M171" s="391"/>
      <c r="N171" s="382"/>
      <c r="O171" s="382"/>
      <c r="P171" s="429">
        <f t="shared" si="166"/>
        <v>0</v>
      </c>
    </row>
    <row r="172" spans="1:16" ht="15.6" x14ac:dyDescent="0.3">
      <c r="A172" s="507"/>
      <c r="B172" s="20" t="s">
        <v>62</v>
      </c>
      <c r="C172" s="348" t="s">
        <v>57</v>
      </c>
      <c r="D172" s="132"/>
      <c r="E172" s="132"/>
      <c r="F172" s="132"/>
      <c r="G172" s="132"/>
      <c r="H172" s="132"/>
      <c r="I172" s="391"/>
      <c r="J172" s="391"/>
      <c r="K172" s="391"/>
      <c r="L172" s="382"/>
      <c r="M172" s="391"/>
      <c r="N172" s="382"/>
      <c r="O172" s="382"/>
      <c r="P172" s="429">
        <f t="shared" si="166"/>
        <v>0</v>
      </c>
    </row>
    <row r="173" spans="1:16" ht="15.6" x14ac:dyDescent="0.3">
      <c r="A173" s="507"/>
      <c r="B173" s="20" t="s">
        <v>61</v>
      </c>
      <c r="C173" s="348" t="s">
        <v>57</v>
      </c>
      <c r="D173" s="132"/>
      <c r="E173" s="132"/>
      <c r="F173" s="132"/>
      <c r="G173" s="132"/>
      <c r="H173" s="132"/>
      <c r="I173" s="391"/>
      <c r="J173" s="391"/>
      <c r="K173" s="391"/>
      <c r="L173" s="382"/>
      <c r="M173" s="382"/>
      <c r="N173" s="382"/>
      <c r="O173" s="382"/>
      <c r="P173" s="429">
        <f t="shared" si="166"/>
        <v>0</v>
      </c>
    </row>
    <row r="174" spans="1:16" ht="15.6" x14ac:dyDescent="0.3">
      <c r="A174" s="507"/>
      <c r="B174" s="20" t="s">
        <v>60</v>
      </c>
      <c r="C174" s="348" t="s">
        <v>57</v>
      </c>
      <c r="D174" s="132"/>
      <c r="E174" s="132"/>
      <c r="F174" s="132"/>
      <c r="G174" s="132"/>
      <c r="H174" s="132"/>
      <c r="I174" s="391"/>
      <c r="J174" s="391"/>
      <c r="K174" s="391"/>
      <c r="L174" s="382"/>
      <c r="M174" s="382"/>
      <c r="N174" s="382"/>
      <c r="O174" s="382"/>
      <c r="P174" s="429">
        <f t="shared" si="166"/>
        <v>0</v>
      </c>
    </row>
    <row r="175" spans="1:16" ht="15.6" x14ac:dyDescent="0.3">
      <c r="A175" s="508"/>
      <c r="B175" s="20" t="s">
        <v>69</v>
      </c>
      <c r="C175" s="348" t="s">
        <v>57</v>
      </c>
      <c r="D175" s="132"/>
      <c r="E175" s="132"/>
      <c r="F175" s="132"/>
      <c r="G175" s="132"/>
      <c r="H175" s="132"/>
      <c r="I175" s="391"/>
      <c r="J175" s="391"/>
      <c r="K175" s="391"/>
      <c r="L175" s="382"/>
      <c r="M175" s="382"/>
      <c r="N175" s="382"/>
      <c r="O175" s="382"/>
      <c r="P175" s="429">
        <f t="shared" si="166"/>
        <v>0</v>
      </c>
    </row>
    <row r="176" spans="1:16" ht="15.6" x14ac:dyDescent="0.3">
      <c r="A176" s="506" t="s">
        <v>70</v>
      </c>
      <c r="B176" s="436" t="s">
        <v>63</v>
      </c>
      <c r="C176" s="348"/>
      <c r="D176" s="382"/>
      <c r="E176" s="382"/>
      <c r="F176" s="382"/>
      <c r="G176" s="382"/>
      <c r="H176" s="132"/>
      <c r="I176" s="382"/>
      <c r="J176" s="382"/>
      <c r="K176" s="382"/>
      <c r="L176" s="382"/>
      <c r="M176" s="382"/>
      <c r="N176" s="382"/>
      <c r="O176" s="382"/>
      <c r="P176" s="429"/>
    </row>
    <row r="177" spans="1:16" ht="15.6" x14ac:dyDescent="0.3">
      <c r="A177" s="507"/>
      <c r="B177" s="20" t="s">
        <v>60</v>
      </c>
      <c r="C177" s="348" t="s">
        <v>57</v>
      </c>
      <c r="D177" s="132"/>
      <c r="E177" s="132"/>
      <c r="F177" s="132"/>
      <c r="G177" s="132"/>
      <c r="H177" s="132"/>
      <c r="I177" s="382"/>
      <c r="J177" s="382"/>
      <c r="K177" s="382"/>
      <c r="L177" s="382"/>
      <c r="M177" s="382"/>
      <c r="N177" s="382"/>
      <c r="O177" s="382"/>
      <c r="P177" s="429">
        <f t="shared" ref="P177:P182" si="167">SUM(D177:O177)</f>
        <v>0</v>
      </c>
    </row>
    <row r="178" spans="1:16" ht="15.6" x14ac:dyDescent="0.3">
      <c r="A178" s="507"/>
      <c r="B178" s="20" t="s">
        <v>69</v>
      </c>
      <c r="C178" s="348" t="s">
        <v>57</v>
      </c>
      <c r="D178" s="132"/>
      <c r="E178" s="132"/>
      <c r="F178" s="132"/>
      <c r="G178" s="132"/>
      <c r="H178" s="132"/>
      <c r="I178" s="382"/>
      <c r="J178" s="382"/>
      <c r="K178" s="382"/>
      <c r="L178" s="382"/>
      <c r="M178" s="382"/>
      <c r="N178" s="382"/>
      <c r="O178" s="382"/>
      <c r="P178" s="429">
        <f t="shared" si="167"/>
        <v>0</v>
      </c>
    </row>
    <row r="179" spans="1:16" ht="15.6" x14ac:dyDescent="0.3">
      <c r="A179" s="507"/>
      <c r="B179" s="20" t="s">
        <v>68</v>
      </c>
      <c r="C179" s="348" t="s">
        <v>57</v>
      </c>
      <c r="D179" s="132"/>
      <c r="E179" s="132"/>
      <c r="F179" s="132"/>
      <c r="G179" s="132"/>
      <c r="H179" s="132"/>
      <c r="I179" s="382"/>
      <c r="J179" s="382"/>
      <c r="K179" s="382"/>
      <c r="L179" s="382"/>
      <c r="M179" s="382"/>
      <c r="N179" s="382"/>
      <c r="O179" s="382"/>
      <c r="P179" s="429">
        <f t="shared" si="167"/>
        <v>0</v>
      </c>
    </row>
    <row r="180" spans="1:16" ht="15.6" x14ac:dyDescent="0.3">
      <c r="A180" s="507"/>
      <c r="B180" s="20" t="s">
        <v>67</v>
      </c>
      <c r="C180" s="348" t="s">
        <v>57</v>
      </c>
      <c r="D180" s="132"/>
      <c r="E180" s="132"/>
      <c r="F180" s="132"/>
      <c r="G180" s="132"/>
      <c r="H180" s="132"/>
      <c r="I180" s="382"/>
      <c r="J180" s="382"/>
      <c r="K180" s="382"/>
      <c r="L180" s="382"/>
      <c r="M180" s="382"/>
      <c r="N180" s="382"/>
      <c r="O180" s="382"/>
      <c r="P180" s="429">
        <f t="shared" si="167"/>
        <v>0</v>
      </c>
    </row>
    <row r="181" spans="1:16" ht="15.6" x14ac:dyDescent="0.3">
      <c r="A181" s="507"/>
      <c r="B181" s="20" t="s">
        <v>66</v>
      </c>
      <c r="C181" s="348" t="s">
        <v>57</v>
      </c>
      <c r="D181" s="132"/>
      <c r="E181" s="132"/>
      <c r="F181" s="132"/>
      <c r="G181" s="132"/>
      <c r="H181" s="132"/>
      <c r="I181" s="382"/>
      <c r="J181" s="382"/>
      <c r="K181" s="382"/>
      <c r="L181" s="382"/>
      <c r="M181" s="382"/>
      <c r="N181" s="382"/>
      <c r="O181" s="382"/>
      <c r="P181" s="429">
        <f t="shared" si="167"/>
        <v>0</v>
      </c>
    </row>
    <row r="182" spans="1:16" ht="15.6" x14ac:dyDescent="0.3">
      <c r="A182" s="508"/>
      <c r="B182" s="20" t="s">
        <v>65</v>
      </c>
      <c r="C182" s="348" t="s">
        <v>57</v>
      </c>
      <c r="D182" s="132"/>
      <c r="E182" s="132"/>
      <c r="F182" s="132"/>
      <c r="G182" s="132"/>
      <c r="H182" s="132"/>
      <c r="I182" s="382"/>
      <c r="J182" s="382"/>
      <c r="K182" s="382"/>
      <c r="L182" s="382"/>
      <c r="M182" s="382"/>
      <c r="N182" s="382"/>
      <c r="O182" s="382"/>
      <c r="P182" s="429">
        <f t="shared" si="167"/>
        <v>0</v>
      </c>
    </row>
    <row r="183" spans="1:16" ht="15.6" x14ac:dyDescent="0.3">
      <c r="A183" s="506" t="s">
        <v>209</v>
      </c>
      <c r="B183" s="436" t="s">
        <v>63</v>
      </c>
      <c r="C183" s="348"/>
      <c r="D183" s="382"/>
      <c r="E183" s="382"/>
      <c r="F183" s="382"/>
      <c r="G183" s="382"/>
      <c r="H183" s="132"/>
      <c r="I183" s="382"/>
      <c r="J183" s="382"/>
      <c r="K183" s="382"/>
      <c r="L183" s="382"/>
      <c r="M183" s="382"/>
      <c r="N183" s="382"/>
      <c r="O183" s="382"/>
      <c r="P183" s="429"/>
    </row>
    <row r="184" spans="1:16" ht="15.6" x14ac:dyDescent="0.3">
      <c r="A184" s="507"/>
      <c r="B184" s="20" t="s">
        <v>73</v>
      </c>
      <c r="C184" s="348"/>
      <c r="D184" s="132"/>
      <c r="E184" s="132"/>
      <c r="F184" s="132"/>
      <c r="G184" s="4"/>
      <c r="H184" s="391"/>
      <c r="I184" s="391"/>
      <c r="J184" s="391"/>
      <c r="K184" s="391"/>
      <c r="L184" s="382"/>
      <c r="M184" s="382"/>
      <c r="N184" s="382"/>
      <c r="O184" s="382"/>
      <c r="P184" s="429">
        <f>SUM(D184:O184)</f>
        <v>0</v>
      </c>
    </row>
    <row r="185" spans="1:16" ht="15.6" x14ac:dyDescent="0.3">
      <c r="A185" s="507"/>
      <c r="B185" s="20" t="s">
        <v>72</v>
      </c>
      <c r="C185" s="348"/>
      <c r="D185" s="132"/>
      <c r="E185" s="132"/>
      <c r="F185" s="132"/>
      <c r="G185" s="4"/>
      <c r="H185" s="391"/>
      <c r="I185" s="391"/>
      <c r="J185" s="391"/>
      <c r="K185" s="391"/>
      <c r="L185" s="382"/>
      <c r="M185" s="382"/>
      <c r="N185" s="382"/>
      <c r="O185" s="382"/>
      <c r="P185" s="429">
        <f>SUM(D185:O185)</f>
        <v>0</v>
      </c>
    </row>
    <row r="186" spans="1:16" ht="15.6" x14ac:dyDescent="0.3">
      <c r="A186" s="507"/>
      <c r="B186" s="20" t="s">
        <v>53</v>
      </c>
      <c r="C186" s="348"/>
      <c r="D186" s="132"/>
      <c r="E186" s="132"/>
      <c r="F186" s="132"/>
      <c r="G186" s="4"/>
      <c r="H186" s="391"/>
      <c r="I186" s="391"/>
      <c r="J186" s="391"/>
      <c r="K186" s="391"/>
      <c r="L186" s="382"/>
      <c r="M186" s="382"/>
      <c r="N186" s="382"/>
      <c r="O186" s="382"/>
      <c r="P186" s="429">
        <f>SUM(D186:O186)</f>
        <v>0</v>
      </c>
    </row>
    <row r="187" spans="1:16" ht="15.6" x14ac:dyDescent="0.3">
      <c r="A187" s="508"/>
      <c r="B187" s="20" t="s">
        <v>52</v>
      </c>
      <c r="C187" s="348"/>
      <c r="D187" s="132"/>
      <c r="E187" s="132"/>
      <c r="F187" s="132"/>
      <c r="G187" s="4"/>
      <c r="H187" s="391"/>
      <c r="I187" s="391"/>
      <c r="J187" s="391"/>
      <c r="K187" s="391"/>
      <c r="L187" s="382"/>
      <c r="M187" s="382"/>
      <c r="N187" s="382"/>
      <c r="O187" s="382"/>
      <c r="P187" s="429">
        <f>SUM(D187:O187)</f>
        <v>0</v>
      </c>
    </row>
    <row r="188" spans="1:16" ht="15.6" x14ac:dyDescent="0.3">
      <c r="A188" s="506" t="s">
        <v>64</v>
      </c>
      <c r="B188" s="436" t="s">
        <v>63</v>
      </c>
      <c r="C188" s="348"/>
      <c r="D188" s="382"/>
      <c r="E188" s="391"/>
      <c r="F188" s="391"/>
      <c r="G188" s="391"/>
      <c r="H188" s="4"/>
      <c r="I188" s="391"/>
      <c r="J188" s="391"/>
      <c r="K188" s="391"/>
      <c r="L188" s="382"/>
      <c r="M188" s="382"/>
      <c r="N188" s="382"/>
      <c r="O188" s="382"/>
      <c r="P188" s="429"/>
    </row>
    <row r="189" spans="1:16" ht="15.6" x14ac:dyDescent="0.3">
      <c r="A189" s="507"/>
      <c r="B189" s="20" t="s">
        <v>52</v>
      </c>
      <c r="C189" s="348" t="s">
        <v>57</v>
      </c>
      <c r="D189" s="382"/>
      <c r="E189" s="382"/>
      <c r="F189" s="382"/>
      <c r="G189" s="382"/>
      <c r="H189" s="4"/>
      <c r="I189" s="382"/>
      <c r="J189" s="382"/>
      <c r="K189" s="382"/>
      <c r="L189" s="382"/>
      <c r="M189" s="382"/>
      <c r="N189" s="382"/>
      <c r="O189" s="382"/>
      <c r="P189" s="429">
        <f>SUM(D189:O189)</f>
        <v>0</v>
      </c>
    </row>
    <row r="190" spans="1:16" ht="15.6" x14ac:dyDescent="0.3">
      <c r="A190" s="507"/>
      <c r="B190" s="20" t="s">
        <v>62</v>
      </c>
      <c r="C190" s="348" t="s">
        <v>57</v>
      </c>
      <c r="D190" s="132"/>
      <c r="E190" s="132"/>
      <c r="F190" s="132"/>
      <c r="G190" s="382"/>
      <c r="H190" s="4"/>
      <c r="I190" s="382"/>
      <c r="J190" s="382"/>
      <c r="K190" s="382"/>
      <c r="L190" s="382"/>
      <c r="M190" s="382"/>
      <c r="N190" s="382"/>
      <c r="O190" s="382"/>
      <c r="P190" s="429">
        <f>SUM(D190:O190)</f>
        <v>0</v>
      </c>
    </row>
    <row r="191" spans="1:16" ht="15.6" x14ac:dyDescent="0.3">
      <c r="A191" s="507"/>
      <c r="B191" s="20" t="s">
        <v>61</v>
      </c>
      <c r="C191" s="348" t="s">
        <v>57</v>
      </c>
      <c r="D191" s="132"/>
      <c r="E191" s="132"/>
      <c r="F191" s="132"/>
      <c r="G191" s="382"/>
      <c r="H191" s="4"/>
      <c r="I191" s="382"/>
      <c r="J191" s="382"/>
      <c r="K191" s="382"/>
      <c r="L191" s="382"/>
      <c r="M191" s="382"/>
      <c r="N191" s="382"/>
      <c r="O191" s="382"/>
      <c r="P191" s="429">
        <f>SUM(D191:O191)</f>
        <v>0</v>
      </c>
    </row>
    <row r="192" spans="1:16" ht="15.6" x14ac:dyDescent="0.3">
      <c r="A192" s="508"/>
      <c r="B192" s="20" t="s">
        <v>60</v>
      </c>
      <c r="C192" s="348" t="s">
        <v>57</v>
      </c>
      <c r="D192" s="382"/>
      <c r="E192" s="382"/>
      <c r="F192" s="382"/>
      <c r="G192" s="382"/>
      <c r="H192" s="382"/>
      <c r="I192" s="382"/>
      <c r="J192" s="382"/>
      <c r="K192" s="382"/>
      <c r="L192" s="382"/>
      <c r="M192" s="382"/>
      <c r="N192" s="382"/>
      <c r="O192" s="382"/>
      <c r="P192" s="429">
        <f>SUM(D192:O192)</f>
        <v>0</v>
      </c>
    </row>
    <row r="193" spans="1:16" ht="15.6" x14ac:dyDescent="0.3">
      <c r="A193" s="437" t="s">
        <v>59</v>
      </c>
      <c r="B193" s="438"/>
      <c r="C193" s="348"/>
      <c r="D193" s="439">
        <f>SUM(D153:D192)</f>
        <v>34</v>
      </c>
      <c r="E193" s="439">
        <f t="shared" ref="E193:N193" si="168">SUM(E153:E192)</f>
        <v>62</v>
      </c>
      <c r="F193" s="439">
        <f t="shared" si="168"/>
        <v>37</v>
      </c>
      <c r="G193" s="439">
        <f t="shared" si="168"/>
        <v>48</v>
      </c>
      <c r="H193" s="439">
        <f t="shared" si="168"/>
        <v>41</v>
      </c>
      <c r="I193" s="439">
        <f t="shared" si="168"/>
        <v>24</v>
      </c>
      <c r="J193" s="439">
        <f t="shared" si="168"/>
        <v>37</v>
      </c>
      <c r="K193" s="439">
        <f t="shared" si="168"/>
        <v>33</v>
      </c>
      <c r="L193" s="439">
        <f t="shared" si="168"/>
        <v>32</v>
      </c>
      <c r="M193" s="439">
        <f t="shared" si="168"/>
        <v>32</v>
      </c>
      <c r="N193" s="439">
        <f t="shared" si="168"/>
        <v>49</v>
      </c>
      <c r="O193" s="439">
        <v>22</v>
      </c>
      <c r="P193" s="376">
        <f t="shared" ref="P193" si="169">SUM(P153:P192)</f>
        <v>451</v>
      </c>
    </row>
    <row r="194" spans="1:16" ht="15.6" x14ac:dyDescent="0.3">
      <c r="A194" s="482" t="s">
        <v>58</v>
      </c>
      <c r="B194" s="509"/>
      <c r="C194" s="348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382"/>
      <c r="J194" s="382"/>
      <c r="K194" s="382"/>
      <c r="L194" s="382"/>
      <c r="M194" s="382"/>
      <c r="N194" s="382"/>
      <c r="O194" s="382"/>
      <c r="P194" s="387">
        <f>SUM(D194:O194)</f>
        <v>0</v>
      </c>
    </row>
    <row r="195" spans="1:16" ht="15.6" x14ac:dyDescent="0.3">
      <c r="A195" s="484"/>
      <c r="B195" s="510"/>
      <c r="C195" s="440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382"/>
      <c r="J195" s="382"/>
      <c r="K195" s="382"/>
      <c r="L195" s="382"/>
      <c r="M195" s="382"/>
      <c r="N195" s="382"/>
      <c r="O195" s="382"/>
      <c r="P195" s="387">
        <f>SUM(D195:O195)</f>
        <v>0</v>
      </c>
    </row>
    <row r="196" spans="1:16" ht="15.6" x14ac:dyDescent="0.3">
      <c r="A196" s="441" t="s">
        <v>202</v>
      </c>
      <c r="B196" s="442"/>
      <c r="C196" s="440" t="s">
        <v>55</v>
      </c>
      <c r="D196" s="4">
        <v>24</v>
      </c>
      <c r="E196" s="4">
        <v>24</v>
      </c>
      <c r="F196" s="4">
        <v>24</v>
      </c>
      <c r="G196" s="4">
        <v>24</v>
      </c>
      <c r="H196" s="4">
        <v>24</v>
      </c>
      <c r="I196" s="4">
        <v>24</v>
      </c>
      <c r="J196" s="382">
        <v>24</v>
      </c>
      <c r="K196" s="4">
        <v>24</v>
      </c>
      <c r="L196" s="382">
        <v>24</v>
      </c>
      <c r="M196" s="382">
        <v>24</v>
      </c>
      <c r="N196" s="382">
        <v>24</v>
      </c>
      <c r="O196" s="382">
        <v>24</v>
      </c>
      <c r="P196" s="387">
        <f>SUM(D196:O196)/12</f>
        <v>24</v>
      </c>
    </row>
    <row r="197" spans="1:16" ht="15.6" x14ac:dyDescent="0.3">
      <c r="A197" s="478" t="s">
        <v>56</v>
      </c>
      <c r="B197" s="479"/>
      <c r="C197" s="440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382"/>
      <c r="J197" s="382"/>
      <c r="K197" s="382"/>
      <c r="L197" s="382"/>
      <c r="M197" s="382"/>
      <c r="N197" s="382"/>
      <c r="O197" s="382"/>
      <c r="P197" s="387">
        <f>SUM(D197:O197)</f>
        <v>0</v>
      </c>
    </row>
    <row r="198" spans="1:16" x14ac:dyDescent="0.3">
      <c r="A198" s="475" t="s">
        <v>203</v>
      </c>
      <c r="B198" s="476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7"/>
    </row>
    <row r="199" spans="1:16" ht="15.6" x14ac:dyDescent="0.3">
      <c r="A199" s="482" t="s">
        <v>54</v>
      </c>
      <c r="B199" s="358" t="s">
        <v>53</v>
      </c>
      <c r="C199" s="348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382"/>
      <c r="J199" s="382"/>
      <c r="K199" s="382"/>
      <c r="L199" s="382"/>
      <c r="M199" s="382"/>
      <c r="N199" s="382">
        <v>35</v>
      </c>
      <c r="O199" s="382"/>
      <c r="P199" s="387">
        <f t="shared" ref="P199:P204" si="170">SUM(D199:O199)</f>
        <v>35</v>
      </c>
    </row>
    <row r="200" spans="1:16" ht="15.6" x14ac:dyDescent="0.3">
      <c r="A200" s="483"/>
      <c r="B200" s="358" t="s">
        <v>52</v>
      </c>
      <c r="C200" s="348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382"/>
      <c r="J200" s="382"/>
      <c r="K200" s="382"/>
      <c r="L200" s="382"/>
      <c r="M200" s="382"/>
      <c r="N200" s="382">
        <v>53</v>
      </c>
      <c r="O200" s="382">
        <v>348</v>
      </c>
      <c r="P200" s="387">
        <f t="shared" si="170"/>
        <v>401</v>
      </c>
    </row>
    <row r="201" spans="1:16" ht="15.6" x14ac:dyDescent="0.3">
      <c r="A201" s="483"/>
      <c r="B201" s="358" t="s">
        <v>51</v>
      </c>
      <c r="C201" s="348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382"/>
      <c r="J201" s="382"/>
      <c r="K201" s="382"/>
      <c r="L201" s="382"/>
      <c r="M201" s="382"/>
      <c r="N201" s="382">
        <v>0</v>
      </c>
      <c r="O201" s="382">
        <v>1326</v>
      </c>
      <c r="P201" s="387">
        <f t="shared" si="170"/>
        <v>1326</v>
      </c>
    </row>
    <row r="202" spans="1:16" ht="15.6" x14ac:dyDescent="0.3">
      <c r="A202" s="483"/>
      <c r="B202" s="358" t="s">
        <v>50</v>
      </c>
      <c r="C202" s="348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382"/>
      <c r="J202" s="382"/>
      <c r="K202" s="382"/>
      <c r="L202" s="382"/>
      <c r="M202" s="382"/>
      <c r="N202" s="382">
        <v>1386</v>
      </c>
      <c r="O202" s="382"/>
      <c r="P202" s="387">
        <f t="shared" si="170"/>
        <v>1386</v>
      </c>
    </row>
    <row r="203" spans="1:16" ht="15.6" x14ac:dyDescent="0.3">
      <c r="A203" s="484"/>
      <c r="B203" s="358" t="s">
        <v>49</v>
      </c>
      <c r="C203" s="348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382"/>
      <c r="J203" s="382"/>
      <c r="K203" s="382"/>
      <c r="L203" s="382"/>
      <c r="M203" s="382"/>
      <c r="N203" s="382">
        <v>242</v>
      </c>
      <c r="O203" s="382"/>
      <c r="P203" s="387">
        <f t="shared" si="170"/>
        <v>242</v>
      </c>
    </row>
    <row r="204" spans="1:16" ht="15.6" x14ac:dyDescent="0.3">
      <c r="A204" s="443" t="s">
        <v>48</v>
      </c>
      <c r="B204" s="358"/>
      <c r="C204" s="348" t="s">
        <v>47</v>
      </c>
      <c r="D204" s="15">
        <f t="shared" ref="D204:F204" si="171">SUM(D199:D203)</f>
        <v>0</v>
      </c>
      <c r="E204" s="15">
        <f t="shared" si="171"/>
        <v>0</v>
      </c>
      <c r="F204" s="15">
        <f t="shared" si="171"/>
        <v>0</v>
      </c>
      <c r="G204" s="15">
        <f t="shared" ref="G204" si="172">SUM(G199:G203)</f>
        <v>0</v>
      </c>
      <c r="H204" s="15">
        <f t="shared" ref="H204" si="173">SUM(H199:H203)</f>
        <v>0</v>
      </c>
      <c r="I204" s="375">
        <f t="shared" ref="I204:N204" si="174">SUM(I199:I203)</f>
        <v>0</v>
      </c>
      <c r="J204" s="375">
        <f t="shared" si="174"/>
        <v>0</v>
      </c>
      <c r="K204" s="375">
        <f t="shared" si="174"/>
        <v>0</v>
      </c>
      <c r="L204" s="375">
        <f t="shared" si="174"/>
        <v>0</v>
      </c>
      <c r="M204" s="375">
        <f t="shared" si="174"/>
        <v>0</v>
      </c>
      <c r="N204" s="375">
        <f t="shared" si="174"/>
        <v>1716</v>
      </c>
      <c r="O204" s="375">
        <v>1674</v>
      </c>
      <c r="P204" s="444">
        <f t="shared" si="170"/>
        <v>3390</v>
      </c>
    </row>
    <row r="205" spans="1:16" s="354" customFormat="1" x14ac:dyDescent="0.3">
      <c r="A205" s="475" t="s">
        <v>46</v>
      </c>
      <c r="B205" s="476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7"/>
    </row>
    <row r="206" spans="1:16" ht="15.6" x14ac:dyDescent="0.3">
      <c r="A206" s="478" t="s">
        <v>43</v>
      </c>
      <c r="B206" s="479"/>
      <c r="C206" s="348" t="s">
        <v>31</v>
      </c>
      <c r="D206" s="13">
        <f>601650+1934269.93+5973922.85</f>
        <v>8509842.7799999993</v>
      </c>
      <c r="E206" s="13">
        <f>716450+2242090.4+9980882.56</f>
        <v>12939422.960000001</v>
      </c>
      <c r="F206" s="13">
        <f>1172790+2354699.51+13063125.41</f>
        <v>16590614.92</v>
      </c>
      <c r="G206" s="13">
        <f>1051490+3711242.83+12000192.49</f>
        <v>16762925.32</v>
      </c>
      <c r="H206" s="13">
        <f>1721338+5768208+23024387</f>
        <v>30513933</v>
      </c>
      <c r="I206" s="13">
        <f>1968761+5634118+21707328</f>
        <v>29310207</v>
      </c>
      <c r="J206" s="13">
        <f>876400+1785050+9853134</f>
        <v>12514584</v>
      </c>
      <c r="K206" s="13">
        <f>1716102.68+5402371.92+22086010.5</f>
        <v>29204485.100000001</v>
      </c>
      <c r="L206" s="377">
        <v>8167616.6399999997</v>
      </c>
      <c r="M206" s="377">
        <v>20480519</v>
      </c>
      <c r="N206" s="377">
        <v>14643301.26</v>
      </c>
      <c r="O206" s="377">
        <v>17473179</v>
      </c>
      <c r="P206" s="387">
        <f>SUM(D206:O206)</f>
        <v>217110630.97999999</v>
      </c>
    </row>
    <row r="207" spans="1:16" ht="15.6" x14ac:dyDescent="0.3">
      <c r="A207" s="478" t="s">
        <v>42</v>
      </c>
      <c r="B207" s="479"/>
      <c r="C207" s="348" t="s">
        <v>31</v>
      </c>
      <c r="D207" s="13">
        <v>154600</v>
      </c>
      <c r="E207" s="13">
        <v>226600</v>
      </c>
      <c r="F207" s="13">
        <v>156600</v>
      </c>
      <c r="G207" s="13">
        <v>230000</v>
      </c>
      <c r="H207" s="13">
        <v>435900</v>
      </c>
      <c r="I207" s="13">
        <v>223500</v>
      </c>
      <c r="J207" s="13">
        <v>146200</v>
      </c>
      <c r="K207" s="13">
        <v>283500</v>
      </c>
      <c r="L207" s="377">
        <v>141300</v>
      </c>
      <c r="M207" s="377">
        <v>188500</v>
      </c>
      <c r="N207" s="377">
        <v>178500</v>
      </c>
      <c r="O207" s="377">
        <v>184250</v>
      </c>
      <c r="P207" s="387">
        <f>SUM(D207:O207)</f>
        <v>2549450</v>
      </c>
    </row>
    <row r="208" spans="1:16" ht="15.6" x14ac:dyDescent="0.3">
      <c r="A208" s="485" t="s">
        <v>41</v>
      </c>
      <c r="B208" s="486"/>
      <c r="C208" s="348" t="s">
        <v>31</v>
      </c>
      <c r="D208" s="13">
        <v>15000</v>
      </c>
      <c r="E208" s="13">
        <v>42300</v>
      </c>
      <c r="F208" s="13">
        <v>65100</v>
      </c>
      <c r="G208" s="13">
        <v>91100</v>
      </c>
      <c r="H208" s="13">
        <v>125600</v>
      </c>
      <c r="I208" s="13">
        <v>260250</v>
      </c>
      <c r="J208" s="13">
        <v>25400</v>
      </c>
      <c r="K208" s="13">
        <v>279382.93</v>
      </c>
      <c r="L208" s="377">
        <v>379042</v>
      </c>
      <c r="M208" s="377">
        <v>296793</v>
      </c>
      <c r="N208" s="377">
        <v>336500</v>
      </c>
      <c r="O208" s="377">
        <v>117350</v>
      </c>
      <c r="P208" s="387">
        <f>SUM(D208:O208)</f>
        <v>2033817.93</v>
      </c>
    </row>
    <row r="209" spans="1:16" ht="15.6" x14ac:dyDescent="0.3">
      <c r="A209" s="478" t="s">
        <v>40</v>
      </c>
      <c r="B209" s="479"/>
      <c r="C209" s="348" t="s">
        <v>31</v>
      </c>
      <c r="D209" s="13">
        <v>555628.62</v>
      </c>
      <c r="E209" s="13">
        <v>7002172.1100000003</v>
      </c>
      <c r="F209" s="13">
        <v>503047.32</v>
      </c>
      <c r="G209" s="13">
        <v>493945</v>
      </c>
      <c r="H209" s="13">
        <v>51045721</v>
      </c>
      <c r="I209" s="13">
        <v>606350</v>
      </c>
      <c r="J209" s="13">
        <v>375450</v>
      </c>
      <c r="K209" s="13">
        <v>508647.32</v>
      </c>
      <c r="L209" s="377">
        <v>178243</v>
      </c>
      <c r="M209" s="377">
        <v>113695600</v>
      </c>
      <c r="N209" s="377">
        <v>121700</v>
      </c>
      <c r="O209" s="377">
        <v>102950</v>
      </c>
      <c r="P209" s="387">
        <f>SUM(D209:O209)</f>
        <v>175189454.37</v>
      </c>
    </row>
    <row r="210" spans="1:16" ht="15.6" x14ac:dyDescent="0.3">
      <c r="A210" s="480" t="s">
        <v>45</v>
      </c>
      <c r="B210" s="481"/>
      <c r="C210" s="348" t="s">
        <v>31</v>
      </c>
      <c r="D210" s="439">
        <f t="shared" ref="D210:N210" si="175">SUM(D206:D209)</f>
        <v>9235071.3999999985</v>
      </c>
      <c r="E210" s="439">
        <f t="shared" si="175"/>
        <v>20210495.07</v>
      </c>
      <c r="F210" s="439">
        <f t="shared" si="175"/>
        <v>17315362.240000002</v>
      </c>
      <c r="G210" s="439">
        <f t="shared" si="175"/>
        <v>17577970.32</v>
      </c>
      <c r="H210" s="439">
        <f t="shared" si="175"/>
        <v>82121154</v>
      </c>
      <c r="I210" s="439">
        <f t="shared" si="175"/>
        <v>30400307</v>
      </c>
      <c r="J210" s="439">
        <f t="shared" si="175"/>
        <v>13061634</v>
      </c>
      <c r="K210" s="439">
        <f t="shared" si="175"/>
        <v>30276015.350000001</v>
      </c>
      <c r="L210" s="439">
        <f t="shared" si="175"/>
        <v>8866201.6400000006</v>
      </c>
      <c r="M210" s="439">
        <f t="shared" si="175"/>
        <v>134661412</v>
      </c>
      <c r="N210" s="439">
        <f t="shared" si="175"/>
        <v>15280001.26</v>
      </c>
      <c r="O210" s="439">
        <v>17877729</v>
      </c>
      <c r="P210" s="387">
        <f>SUM(D210:O210)</f>
        <v>396883353.27999997</v>
      </c>
    </row>
    <row r="211" spans="1:16" s="354" customFormat="1" x14ac:dyDescent="0.3">
      <c r="A211" s="475" t="s">
        <v>44</v>
      </c>
      <c r="B211" s="476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7"/>
    </row>
    <row r="212" spans="1:16" ht="15.6" x14ac:dyDescent="0.3">
      <c r="A212" s="478" t="s">
        <v>43</v>
      </c>
      <c r="B212" s="479"/>
      <c r="C212" s="348" t="s">
        <v>31</v>
      </c>
      <c r="D212" s="13">
        <v>2713554</v>
      </c>
      <c r="E212" s="13">
        <v>3419473</v>
      </c>
      <c r="F212" s="13">
        <v>6831849.5999999996</v>
      </c>
      <c r="G212" s="13">
        <v>5142813</v>
      </c>
      <c r="H212" s="13">
        <f>32321326.4-H213-H214-H215+2876.4</f>
        <v>15526014.4</v>
      </c>
      <c r="I212" s="13">
        <v>3108698</v>
      </c>
      <c r="J212" s="13">
        <f>18942702.1+226.62-10994374</f>
        <v>7948554.7200000025</v>
      </c>
      <c r="K212" s="13">
        <v>6489707.8899999997</v>
      </c>
      <c r="L212" s="377">
        <v>7827143.2599999998</v>
      </c>
      <c r="M212" s="377">
        <v>8970869.4399999995</v>
      </c>
      <c r="N212" s="377">
        <v>9368431.8399999999</v>
      </c>
      <c r="O212" s="377">
        <v>6871822</v>
      </c>
      <c r="P212" s="387">
        <f>SUM(D212:O212)</f>
        <v>84218931.150000006</v>
      </c>
    </row>
    <row r="213" spans="1:16" ht="15.6" x14ac:dyDescent="0.3">
      <c r="A213" s="478" t="s">
        <v>42</v>
      </c>
      <c r="B213" s="479"/>
      <c r="C213" s="348" t="s">
        <v>31</v>
      </c>
      <c r="D213" s="13">
        <v>112600</v>
      </c>
      <c r="E213" s="13">
        <v>136000</v>
      </c>
      <c r="F213" s="13">
        <v>192540</v>
      </c>
      <c r="G213" s="13">
        <v>144000</v>
      </c>
      <c r="H213" s="13">
        <v>201846</v>
      </c>
      <c r="I213" s="13">
        <v>110000</v>
      </c>
      <c r="J213" s="13">
        <v>148600</v>
      </c>
      <c r="K213" s="13">
        <v>165000</v>
      </c>
      <c r="L213" s="377">
        <v>261540</v>
      </c>
      <c r="M213" s="377">
        <v>621000</v>
      </c>
      <c r="N213" s="377">
        <v>685000</v>
      </c>
      <c r="O213" s="377">
        <v>170192.48</v>
      </c>
      <c r="P213" s="387">
        <f>SUM(D213:O213)</f>
        <v>2948318.48</v>
      </c>
    </row>
    <row r="214" spans="1:16" ht="15.6" x14ac:dyDescent="0.3">
      <c r="A214" s="485" t="s">
        <v>41</v>
      </c>
      <c r="B214" s="486"/>
      <c r="C214" s="348" t="s">
        <v>31</v>
      </c>
      <c r="D214" s="13">
        <v>972420</v>
      </c>
      <c r="E214" s="13">
        <v>1105851</v>
      </c>
      <c r="F214" s="13">
        <v>1263400</v>
      </c>
      <c r="G214" s="13">
        <v>993465</v>
      </c>
      <c r="H214" s="13">
        <v>2341842.4</v>
      </c>
      <c r="I214" s="13">
        <v>1487213.89</v>
      </c>
      <c r="J214" s="13">
        <v>2163874</v>
      </c>
      <c r="K214" s="13">
        <v>2687594.45</v>
      </c>
      <c r="L214" s="377">
        <v>2284978.9300000002</v>
      </c>
      <c r="M214" s="377">
        <v>2614762.5</v>
      </c>
      <c r="N214" s="377">
        <v>3487933.62</v>
      </c>
      <c r="O214" s="377">
        <v>898240</v>
      </c>
      <c r="P214" s="387">
        <f>SUM(D214:O214)</f>
        <v>22301575.789999999</v>
      </c>
    </row>
    <row r="215" spans="1:16" ht="15.6" x14ac:dyDescent="0.3">
      <c r="A215" s="478" t="s">
        <v>40</v>
      </c>
      <c r="B215" s="479"/>
      <c r="C215" s="348" t="s">
        <v>31</v>
      </c>
      <c r="D215" s="13">
        <f>11012405.51-3798574</f>
        <v>7213831.5099999998</v>
      </c>
      <c r="E215" s="13">
        <f>10197599.7-4661324</f>
        <v>5536275.6999999993</v>
      </c>
      <c r="F215" s="13">
        <f>17167396.6-8287789.6</f>
        <v>8879607.0000000019</v>
      </c>
      <c r="G215" s="13">
        <f>12317817.84-6280278</f>
        <v>6037539.8399999999</v>
      </c>
      <c r="H215" s="13">
        <v>14254500</v>
      </c>
      <c r="I215" s="13">
        <f>19495766.89-4705911.89</f>
        <v>14789855</v>
      </c>
      <c r="J215" s="13">
        <v>8681900</v>
      </c>
      <c r="K215" s="13">
        <f>18716686.41-9342302.34</f>
        <v>9374384.0700000003</v>
      </c>
      <c r="L215" s="377">
        <v>9253708.8499999996</v>
      </c>
      <c r="M215" s="377">
        <v>11250576.35</v>
      </c>
      <c r="N215" s="377">
        <v>19271347.539999999</v>
      </c>
      <c r="O215" s="377">
        <v>3384718</v>
      </c>
      <c r="P215" s="387">
        <f>SUM(D215:O215)</f>
        <v>117928243.85999998</v>
      </c>
    </row>
    <row r="216" spans="1:16" ht="15.6" x14ac:dyDescent="0.3">
      <c r="A216" s="480" t="s">
        <v>39</v>
      </c>
      <c r="B216" s="481"/>
      <c r="C216" s="348" t="s">
        <v>31</v>
      </c>
      <c r="D216" s="439">
        <f t="shared" ref="D216:N216" si="176">SUM(D212:D215)</f>
        <v>11012405.51</v>
      </c>
      <c r="E216" s="439">
        <f t="shared" si="176"/>
        <v>10197599.699999999</v>
      </c>
      <c r="F216" s="439">
        <f t="shared" si="176"/>
        <v>17167396.600000001</v>
      </c>
      <c r="G216" s="439">
        <f t="shared" si="176"/>
        <v>12317817.84</v>
      </c>
      <c r="H216" s="439">
        <f t="shared" si="176"/>
        <v>32324202.800000001</v>
      </c>
      <c r="I216" s="439">
        <f t="shared" si="176"/>
        <v>19495766.890000001</v>
      </c>
      <c r="J216" s="439">
        <f t="shared" si="176"/>
        <v>18942928.720000003</v>
      </c>
      <c r="K216" s="439">
        <f t="shared" si="176"/>
        <v>18716686.41</v>
      </c>
      <c r="L216" s="439">
        <f t="shared" si="176"/>
        <v>19627371.039999999</v>
      </c>
      <c r="M216" s="439">
        <f t="shared" si="176"/>
        <v>23457208.289999999</v>
      </c>
      <c r="N216" s="439">
        <f t="shared" si="176"/>
        <v>32812713</v>
      </c>
      <c r="O216" s="439">
        <v>11324972.48</v>
      </c>
      <c r="P216" s="387">
        <f>SUM(D216:O216)</f>
        <v>227397069.27999997</v>
      </c>
    </row>
    <row r="217" spans="1:16" s="354" customFormat="1" ht="15.6" x14ac:dyDescent="0.3">
      <c r="A217" s="445" t="s">
        <v>38</v>
      </c>
      <c r="B217" s="446"/>
      <c r="C217" s="348" t="s">
        <v>31</v>
      </c>
      <c r="D217" s="439">
        <f>D210+D216</f>
        <v>20247476.909999996</v>
      </c>
      <c r="E217" s="439">
        <f t="shared" ref="E217:P217" si="177">E210+E216</f>
        <v>30408094.77</v>
      </c>
      <c r="F217" s="439">
        <f t="shared" si="177"/>
        <v>34482758.840000004</v>
      </c>
      <c r="G217" s="439">
        <f t="shared" si="177"/>
        <v>29895788.16</v>
      </c>
      <c r="H217" s="439">
        <f t="shared" si="177"/>
        <v>114445356.8</v>
      </c>
      <c r="I217" s="439">
        <f t="shared" si="177"/>
        <v>49896073.890000001</v>
      </c>
      <c r="J217" s="439">
        <f t="shared" si="177"/>
        <v>32004562.720000003</v>
      </c>
      <c r="K217" s="439">
        <f t="shared" si="177"/>
        <v>48992701.760000005</v>
      </c>
      <c r="L217" s="439">
        <f t="shared" si="177"/>
        <v>28493572.68</v>
      </c>
      <c r="M217" s="439">
        <f t="shared" si="177"/>
        <v>158118620.28999999</v>
      </c>
      <c r="N217" s="439">
        <f t="shared" si="177"/>
        <v>48092714.259999998</v>
      </c>
      <c r="O217" s="439">
        <v>29202701.48</v>
      </c>
      <c r="P217" s="383">
        <f t="shared" si="177"/>
        <v>624280422.55999994</v>
      </c>
    </row>
    <row r="218" spans="1:16" s="354" customFormat="1" x14ac:dyDescent="0.3">
      <c r="A218" s="475" t="s">
        <v>37</v>
      </c>
      <c r="B218" s="476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7"/>
    </row>
    <row r="219" spans="1:16" ht="15.6" x14ac:dyDescent="0.3">
      <c r="A219" s="478" t="s">
        <v>35</v>
      </c>
      <c r="B219" s="479"/>
      <c r="C219" s="348" t="s">
        <v>31</v>
      </c>
      <c r="D219" s="13">
        <f>679073.3+2027859.16+7729173.12</f>
        <v>10436105.58</v>
      </c>
      <c r="E219" s="13">
        <f>1049365.28+3075832.47+12186302.57</f>
        <v>16311500.32</v>
      </c>
      <c r="F219" s="13">
        <f>1068924.94+3120813.51+12651408.9</f>
        <v>16841147.350000001</v>
      </c>
      <c r="G219" s="13">
        <f>1014485.99+3026337.27+11889589.32</f>
        <v>15930412.58</v>
      </c>
      <c r="H219" s="13">
        <f>1170806.28+3123056.23+12290601.44</f>
        <v>16584463.949999999</v>
      </c>
      <c r="I219" s="13">
        <f>1155654+3634484+13404044</f>
        <v>18194182</v>
      </c>
      <c r="J219" s="13">
        <f>977358+3456016+13784927</f>
        <v>18218301</v>
      </c>
      <c r="K219" s="13">
        <f>984018.07+3284792.03+13283646.55</f>
        <v>17552456.649999999</v>
      </c>
      <c r="L219" s="377">
        <v>16923275</v>
      </c>
      <c r="M219" s="377">
        <v>19357298.259999998</v>
      </c>
      <c r="N219" s="377">
        <v>16574291.710000001</v>
      </c>
      <c r="O219" s="377">
        <v>115939719</v>
      </c>
      <c r="P219" s="387">
        <f>SUM(D219:O219)</f>
        <v>298863153.39999998</v>
      </c>
    </row>
    <row r="220" spans="1:16" ht="15.6" x14ac:dyDescent="0.3">
      <c r="A220" s="478" t="s">
        <v>34</v>
      </c>
      <c r="B220" s="479"/>
      <c r="C220" s="348" t="s">
        <v>31</v>
      </c>
      <c r="D220" s="13">
        <v>198756.27</v>
      </c>
      <c r="E220" s="13">
        <v>182062.83</v>
      </c>
      <c r="F220" s="13">
        <f>198234.6</f>
        <v>198234.6</v>
      </c>
      <c r="G220" s="13">
        <v>177541.69</v>
      </c>
      <c r="H220" s="13">
        <v>179106.7</v>
      </c>
      <c r="I220" s="13">
        <v>192670</v>
      </c>
      <c r="J220" s="13">
        <v>204842</v>
      </c>
      <c r="K220" s="13">
        <f>191279</f>
        <v>191279</v>
      </c>
      <c r="L220" s="377">
        <v>204321</v>
      </c>
      <c r="M220" s="377">
        <v>166586.62</v>
      </c>
      <c r="N220" s="377">
        <v>164499.94</v>
      </c>
      <c r="O220" s="377">
        <v>151284</v>
      </c>
      <c r="P220" s="387">
        <f>SUM(D220:O220)</f>
        <v>2211184.65</v>
      </c>
    </row>
    <row r="221" spans="1:16" ht="15.6" x14ac:dyDescent="0.3">
      <c r="A221" s="478" t="s">
        <v>33</v>
      </c>
      <c r="B221" s="479"/>
      <c r="C221" s="348" t="s">
        <v>31</v>
      </c>
      <c r="D221" s="13">
        <v>8424335.8100000005</v>
      </c>
      <c r="E221" s="13">
        <v>484040.31</v>
      </c>
      <c r="F221" s="13">
        <v>537967.32999999996</v>
      </c>
      <c r="G221" s="13">
        <v>467917.35</v>
      </c>
      <c r="H221" s="13">
        <v>501158.06</v>
      </c>
      <c r="I221" s="13">
        <v>496888</v>
      </c>
      <c r="J221" s="13">
        <v>614918</v>
      </c>
      <c r="K221" s="13">
        <v>519026.16</v>
      </c>
      <c r="L221" s="377">
        <v>442153</v>
      </c>
      <c r="M221" s="377">
        <v>389490.3</v>
      </c>
      <c r="N221" s="377">
        <v>525319.56000000006</v>
      </c>
      <c r="O221" s="377">
        <v>490696</v>
      </c>
      <c r="P221" s="387">
        <f>SUM(D221:O221)</f>
        <v>13893909.880000003</v>
      </c>
    </row>
    <row r="222" spans="1:16" ht="15.6" x14ac:dyDescent="0.3">
      <c r="A222" s="478" t="s">
        <v>32</v>
      </c>
      <c r="B222" s="479"/>
      <c r="C222" s="348" t="s">
        <v>31</v>
      </c>
      <c r="D222" s="13">
        <v>73610.960000000006</v>
      </c>
      <c r="E222" s="13">
        <v>113489.98</v>
      </c>
      <c r="F222" s="13">
        <v>139682.57</v>
      </c>
      <c r="G222" s="13">
        <v>162290.64000000001</v>
      </c>
      <c r="H222" s="13">
        <v>173161.5</v>
      </c>
      <c r="I222" s="13">
        <v>145474</v>
      </c>
      <c r="J222" s="13">
        <v>134750</v>
      </c>
      <c r="K222" s="13">
        <v>159275.96</v>
      </c>
      <c r="L222" s="377">
        <v>168510</v>
      </c>
      <c r="M222" s="377">
        <v>189953.58</v>
      </c>
      <c r="N222" s="377">
        <v>177646.53</v>
      </c>
      <c r="O222" s="377">
        <v>203756</v>
      </c>
      <c r="P222" s="387">
        <f>SUM(D222:O222)</f>
        <v>1841601.7200000002</v>
      </c>
    </row>
    <row r="223" spans="1:16" ht="15.6" x14ac:dyDescent="0.3">
      <c r="A223" s="480" t="s">
        <v>36</v>
      </c>
      <c r="B223" s="481"/>
      <c r="C223" s="348" t="s">
        <v>31</v>
      </c>
      <c r="D223" s="555">
        <f>SUM(D219:D222)</f>
        <v>19132808.620000001</v>
      </c>
      <c r="E223" s="555">
        <f t="shared" ref="E223" si="178">SUM(E219:E222)</f>
        <v>17091093.440000001</v>
      </c>
      <c r="F223" s="555">
        <f>SUM(F219:F222)</f>
        <v>17717031.850000001</v>
      </c>
      <c r="G223" s="439">
        <f>SUM(G219:G222)</f>
        <v>16738162.26</v>
      </c>
      <c r="H223" s="439">
        <f t="shared" ref="H223:N223" si="179">SUM(H219:H222)</f>
        <v>17437890.209999997</v>
      </c>
      <c r="I223" s="439">
        <f t="shared" si="179"/>
        <v>19029214</v>
      </c>
      <c r="J223" s="448">
        <f t="shared" si="179"/>
        <v>19172811</v>
      </c>
      <c r="K223" s="448">
        <f t="shared" si="179"/>
        <v>18422037.77</v>
      </c>
      <c r="L223" s="448">
        <f t="shared" si="179"/>
        <v>17738259</v>
      </c>
      <c r="M223" s="448">
        <f t="shared" si="179"/>
        <v>20103328.759999998</v>
      </c>
      <c r="N223" s="448">
        <f t="shared" si="179"/>
        <v>17441757.740000002</v>
      </c>
      <c r="O223" s="448">
        <v>116785455</v>
      </c>
      <c r="P223" s="387">
        <f>SUM(D223:O223)</f>
        <v>316809849.64999998</v>
      </c>
    </row>
    <row r="224" spans="1:16" x14ac:dyDescent="0.3">
      <c r="A224" s="475" t="s">
        <v>211</v>
      </c>
      <c r="B224" s="476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7"/>
    </row>
    <row r="225" spans="1:16" ht="15.6" x14ac:dyDescent="0.3">
      <c r="A225" s="478" t="s">
        <v>35</v>
      </c>
      <c r="B225" s="479"/>
      <c r="C225" s="348" t="s">
        <v>31</v>
      </c>
      <c r="D225" s="377">
        <v>0</v>
      </c>
      <c r="E225" s="377">
        <v>0</v>
      </c>
      <c r="F225" s="377">
        <v>0</v>
      </c>
      <c r="G225" s="377"/>
      <c r="H225" s="377"/>
      <c r="I225" s="377"/>
      <c r="J225" s="377"/>
      <c r="K225" s="377"/>
      <c r="L225" s="377"/>
      <c r="M225" s="377"/>
      <c r="N225" s="377"/>
      <c r="O225" s="377"/>
      <c r="P225" s="387">
        <f t="shared" ref="P225:P230" si="180">SUM(D225:O225)</f>
        <v>0</v>
      </c>
    </row>
    <row r="226" spans="1:16" ht="15.6" x14ac:dyDescent="0.3">
      <c r="A226" s="478" t="s">
        <v>34</v>
      </c>
      <c r="B226" s="479"/>
      <c r="C226" s="348" t="s">
        <v>31</v>
      </c>
      <c r="D226" s="377">
        <v>0</v>
      </c>
      <c r="E226" s="377">
        <v>0</v>
      </c>
      <c r="F226" s="377">
        <v>0</v>
      </c>
      <c r="G226" s="377"/>
      <c r="H226" s="377"/>
      <c r="I226" s="377"/>
      <c r="J226" s="377"/>
      <c r="K226" s="377"/>
      <c r="L226" s="377"/>
      <c r="M226" s="377"/>
      <c r="N226" s="377"/>
      <c r="O226" s="377"/>
      <c r="P226" s="387">
        <f t="shared" si="180"/>
        <v>0</v>
      </c>
    </row>
    <row r="227" spans="1:16" ht="15.6" x14ac:dyDescent="0.3">
      <c r="A227" s="478" t="s">
        <v>33</v>
      </c>
      <c r="B227" s="479"/>
      <c r="C227" s="348" t="s">
        <v>31</v>
      </c>
      <c r="D227" s="377">
        <v>0</v>
      </c>
      <c r="E227" s="377">
        <v>0</v>
      </c>
      <c r="F227" s="377">
        <v>0</v>
      </c>
      <c r="G227" s="377"/>
      <c r="H227" s="377"/>
      <c r="I227" s="377"/>
      <c r="J227" s="377"/>
      <c r="K227" s="377"/>
      <c r="L227" s="377"/>
      <c r="M227" s="377"/>
      <c r="N227" s="377"/>
      <c r="O227" s="377"/>
      <c r="P227" s="387">
        <f t="shared" si="180"/>
        <v>0</v>
      </c>
    </row>
    <row r="228" spans="1:16" ht="15.6" x14ac:dyDescent="0.3">
      <c r="A228" s="478" t="s">
        <v>32</v>
      </c>
      <c r="B228" s="479"/>
      <c r="C228" s="348" t="s">
        <v>31</v>
      </c>
      <c r="D228" s="377">
        <v>0</v>
      </c>
      <c r="E228" s="377">
        <v>0</v>
      </c>
      <c r="F228" s="377">
        <v>0</v>
      </c>
      <c r="G228" s="377"/>
      <c r="H228" s="377"/>
      <c r="I228" s="377"/>
      <c r="J228" s="377"/>
      <c r="K228" s="377"/>
      <c r="L228" s="377"/>
      <c r="M228" s="377"/>
      <c r="N228" s="377"/>
      <c r="O228" s="377"/>
      <c r="P228" s="387">
        <f t="shared" si="180"/>
        <v>0</v>
      </c>
    </row>
    <row r="229" spans="1:16" ht="15.6" x14ac:dyDescent="0.3">
      <c r="A229" s="480" t="s">
        <v>212</v>
      </c>
      <c r="B229" s="481"/>
      <c r="C229" s="348" t="s">
        <v>31</v>
      </c>
      <c r="D229" s="555">
        <v>11012405.51</v>
      </c>
      <c r="E229" s="13">
        <v>9739934.7300000004</v>
      </c>
      <c r="F229" s="13">
        <v>16811700.079999998</v>
      </c>
      <c r="G229" s="13">
        <v>11778383.369999999</v>
      </c>
      <c r="H229" s="13">
        <f>2876.4+32118308.66</f>
        <v>32121185.059999999</v>
      </c>
      <c r="I229" s="13">
        <v>19202715.809999999</v>
      </c>
      <c r="J229" s="584">
        <f>18678495.53+226.62</f>
        <v>18678722.150000002</v>
      </c>
      <c r="K229" s="584">
        <v>18132815.510000002</v>
      </c>
      <c r="L229" s="448">
        <v>15911133.02</v>
      </c>
      <c r="M229" s="448">
        <v>23245674.629999999</v>
      </c>
      <c r="N229" s="448">
        <v>32280357.300000001</v>
      </c>
      <c r="O229" s="448">
        <v>10683292.48</v>
      </c>
      <c r="P229" s="387">
        <f t="shared" si="180"/>
        <v>219598319.65000001</v>
      </c>
    </row>
    <row r="230" spans="1:16" ht="15.6" x14ac:dyDescent="0.3">
      <c r="A230" s="445" t="s">
        <v>213</v>
      </c>
      <c r="B230" s="449"/>
      <c r="C230" s="348" t="s">
        <v>31</v>
      </c>
      <c r="D230" s="447">
        <f>D223+D229</f>
        <v>30145214.130000003</v>
      </c>
      <c r="E230" s="447">
        <f t="shared" ref="E230:N230" si="181">E223+E229</f>
        <v>26831028.170000002</v>
      </c>
      <c r="F230" s="447">
        <f t="shared" si="181"/>
        <v>34528731.93</v>
      </c>
      <c r="G230" s="447">
        <f t="shared" si="181"/>
        <v>28516545.629999999</v>
      </c>
      <c r="H230" s="447">
        <f t="shared" si="181"/>
        <v>49559075.269999996</v>
      </c>
      <c r="I230" s="447">
        <f t="shared" si="181"/>
        <v>38231929.810000002</v>
      </c>
      <c r="J230" s="447">
        <f t="shared" si="181"/>
        <v>37851533.150000006</v>
      </c>
      <c r="K230" s="447">
        <f t="shared" si="181"/>
        <v>36554853.280000001</v>
      </c>
      <c r="L230" s="447">
        <f t="shared" si="181"/>
        <v>33649392.019999996</v>
      </c>
      <c r="M230" s="447">
        <f t="shared" si="181"/>
        <v>43349003.390000001</v>
      </c>
      <c r="N230" s="447">
        <f t="shared" si="181"/>
        <v>49722115.040000007</v>
      </c>
      <c r="O230" s="447">
        <v>127468747.48</v>
      </c>
      <c r="P230" s="387">
        <f t="shared" si="180"/>
        <v>536408169.30000001</v>
      </c>
    </row>
    <row r="231" spans="1:16" x14ac:dyDescent="0.3">
      <c r="A231" s="475" t="s">
        <v>30</v>
      </c>
      <c r="B231" s="476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7"/>
    </row>
    <row r="232" spans="1:16" ht="15.6" x14ac:dyDescent="0.3">
      <c r="A232" s="478" t="s">
        <v>29</v>
      </c>
      <c r="B232" s="479"/>
      <c r="C232" s="348" t="s">
        <v>18</v>
      </c>
      <c r="D232" s="13">
        <f>35105.92+132497.36+490436.1</f>
        <v>658039.37999999989</v>
      </c>
      <c r="E232" s="13">
        <f>53005.32+199445.85+750020.46</f>
        <v>1002471.63</v>
      </c>
      <c r="F232" s="13">
        <f>53698.2+200145.66+770331.45</f>
        <v>1024175.3099999999</v>
      </c>
      <c r="G232" s="13">
        <f>53698.2+200145.66+784202.37</f>
        <v>1038046.23</v>
      </c>
      <c r="H232" s="13">
        <f>54044.64+200845.47+797082.51</f>
        <v>1051972.6200000001</v>
      </c>
      <c r="I232" s="13">
        <f>54045+202245+819375</f>
        <v>1075665</v>
      </c>
      <c r="J232" s="13">
        <f>49194+197346+812440</f>
        <v>1058980</v>
      </c>
      <c r="K232" s="13">
        <f>49194.48+198746.04+828787.47+27</f>
        <v>1076754.99</v>
      </c>
      <c r="L232" s="377">
        <v>1088412</v>
      </c>
      <c r="M232" s="377">
        <v>1065586.74</v>
      </c>
      <c r="N232" s="377">
        <v>1092109.47</v>
      </c>
      <c r="O232" s="377">
        <v>1110699</v>
      </c>
      <c r="P232" s="387">
        <f>SUM(D232:O232)</f>
        <v>12342912.370000001</v>
      </c>
    </row>
    <row r="233" spans="1:16" ht="15.6" x14ac:dyDescent="0.3">
      <c r="A233" s="478" t="s">
        <v>28</v>
      </c>
      <c r="B233" s="479"/>
      <c r="C233" s="348" t="s">
        <v>18</v>
      </c>
      <c r="D233" s="13">
        <v>2782.24</v>
      </c>
      <c r="E233" s="13">
        <v>2782.24</v>
      </c>
      <c r="F233" s="13">
        <v>2608.35</v>
      </c>
      <c r="G233" s="13">
        <v>2608.35</v>
      </c>
      <c r="H233" s="13">
        <v>2608.35</v>
      </c>
      <c r="I233" s="13">
        <v>2608</v>
      </c>
      <c r="J233" s="13">
        <v>2434</v>
      </c>
      <c r="K233" s="13">
        <v>2434.46</v>
      </c>
      <c r="L233" s="377">
        <v>2434</v>
      </c>
      <c r="M233" s="377">
        <v>2086.6799999999998</v>
      </c>
      <c r="N233" s="377">
        <v>2086.6799999999998</v>
      </c>
      <c r="O233" s="377">
        <v>2087</v>
      </c>
      <c r="P233" s="387">
        <f>SUM(D233:O233)</f>
        <v>29560.35</v>
      </c>
    </row>
    <row r="234" spans="1:16" ht="15.6" x14ac:dyDescent="0.3">
      <c r="A234" s="478" t="s">
        <v>27</v>
      </c>
      <c r="B234" s="479"/>
      <c r="C234" s="348" t="s">
        <v>18</v>
      </c>
      <c r="D234" s="13">
        <v>61702.5</v>
      </c>
      <c r="E234" s="13">
        <v>86383.64</v>
      </c>
      <c r="F234" s="13">
        <v>83298.509999999995</v>
      </c>
      <c r="G234" s="13">
        <v>83298.509999999995</v>
      </c>
      <c r="H234" s="13">
        <v>83298.509999999995</v>
      </c>
      <c r="I234" s="13">
        <v>80213</v>
      </c>
      <c r="J234" s="13">
        <v>77128</v>
      </c>
      <c r="K234" s="13">
        <v>80213.38</v>
      </c>
      <c r="L234" s="377">
        <v>80213</v>
      </c>
      <c r="M234" s="377">
        <v>74043.12</v>
      </c>
      <c r="N234" s="377">
        <v>83298.509999999995</v>
      </c>
      <c r="O234" s="377">
        <v>80213</v>
      </c>
      <c r="P234" s="387">
        <f>SUM(D234:O234)</f>
        <v>953303.68</v>
      </c>
    </row>
    <row r="235" spans="1:16" ht="15.6" x14ac:dyDescent="0.3">
      <c r="A235" s="478" t="s">
        <v>26</v>
      </c>
      <c r="B235" s="479"/>
      <c r="C235" s="348" t="s">
        <v>18</v>
      </c>
      <c r="D235" s="13">
        <v>22484.080000000002</v>
      </c>
      <c r="E235" s="13">
        <v>33726.160000000003</v>
      </c>
      <c r="F235" s="13">
        <v>29510.39</v>
      </c>
      <c r="G235" s="13">
        <v>37941.93</v>
      </c>
      <c r="H235" s="13">
        <v>63236.55</v>
      </c>
      <c r="I235" s="13">
        <v>63237</v>
      </c>
      <c r="J235" s="13">
        <v>59021</v>
      </c>
      <c r="K235" s="13">
        <v>67425.320000000007</v>
      </c>
      <c r="L235" s="377">
        <v>67452</v>
      </c>
      <c r="M235" s="377">
        <v>75883.86</v>
      </c>
      <c r="N235" s="377">
        <v>75883.86</v>
      </c>
      <c r="O235" s="377">
        <v>80100</v>
      </c>
      <c r="P235" s="387">
        <f>SUM(D235:O235)</f>
        <v>675902.15</v>
      </c>
    </row>
    <row r="236" spans="1:16" ht="15.6" x14ac:dyDescent="0.3">
      <c r="A236" s="480" t="s">
        <v>25</v>
      </c>
      <c r="B236" s="481"/>
      <c r="C236" s="348" t="s">
        <v>18</v>
      </c>
      <c r="D236" s="447">
        <f t="shared" ref="D236:N236" si="182">SUM(D232:D235)</f>
        <v>745008.19999999984</v>
      </c>
      <c r="E236" s="447">
        <f t="shared" si="182"/>
        <v>1125363.67</v>
      </c>
      <c r="F236" s="447">
        <f t="shared" si="182"/>
        <v>1139592.5599999998</v>
      </c>
      <c r="G236" s="447">
        <f t="shared" si="182"/>
        <v>1161895.0199999998</v>
      </c>
      <c r="H236" s="447">
        <f t="shared" si="182"/>
        <v>1201116.0300000003</v>
      </c>
      <c r="I236" s="447">
        <f t="shared" si="182"/>
        <v>1221723</v>
      </c>
      <c r="J236" s="447">
        <f t="shared" si="182"/>
        <v>1197563</v>
      </c>
      <c r="K236" s="447">
        <f t="shared" si="182"/>
        <v>1226828.1500000001</v>
      </c>
      <c r="L236" s="447">
        <f t="shared" si="182"/>
        <v>1238511</v>
      </c>
      <c r="M236" s="447">
        <f t="shared" si="182"/>
        <v>1217600.4000000001</v>
      </c>
      <c r="N236" s="447">
        <f t="shared" si="182"/>
        <v>1253378.52</v>
      </c>
      <c r="O236" s="447">
        <v>1273099</v>
      </c>
      <c r="P236" s="383">
        <f t="shared" ref="P236" si="183">SUM(P232:P235)</f>
        <v>14001678.550000001</v>
      </c>
    </row>
    <row r="237" spans="1:16" x14ac:dyDescent="0.3">
      <c r="A237" s="475" t="s">
        <v>24</v>
      </c>
      <c r="B237" s="476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7"/>
    </row>
    <row r="238" spans="1:16" ht="15.6" x14ac:dyDescent="0.3">
      <c r="A238" s="478" t="s">
        <v>23</v>
      </c>
      <c r="B238" s="479"/>
      <c r="C238" s="348" t="s">
        <v>18</v>
      </c>
      <c r="D238" s="13">
        <f>135736+253612+1326105</f>
        <v>1715453</v>
      </c>
      <c r="E238" s="13">
        <f>136629+254505+1352002</f>
        <v>1743136</v>
      </c>
      <c r="F238" s="13">
        <f>138415+255398+1388615</f>
        <v>1782428</v>
      </c>
      <c r="G238" s="13">
        <f>138415+255398+1413619</f>
        <v>1807432</v>
      </c>
      <c r="H238" s="13">
        <f>139308+256291+1436837</f>
        <v>1832436</v>
      </c>
      <c r="I238" s="13">
        <f>139308+258077+1477022</f>
        <v>1874407</v>
      </c>
      <c r="J238" s="13">
        <f>126806+251826+1464520</f>
        <v>1843152</v>
      </c>
      <c r="K238" s="13">
        <f>126806+253612+1493989</f>
        <v>1874407</v>
      </c>
      <c r="L238" s="377">
        <v>1895839</v>
      </c>
      <c r="M238" s="377">
        <v>1857440</v>
      </c>
      <c r="N238" s="377">
        <v>1901197</v>
      </c>
      <c r="O238" s="377">
        <v>1934238</v>
      </c>
      <c r="P238" s="387">
        <f>SUM(D238:O238)</f>
        <v>22061565</v>
      </c>
    </row>
    <row r="239" spans="1:16" ht="15.6" x14ac:dyDescent="0.3">
      <c r="A239" s="478" t="s">
        <v>22</v>
      </c>
      <c r="B239" s="479"/>
      <c r="C239" s="348" t="s">
        <v>18</v>
      </c>
      <c r="D239" s="15">
        <v>14288</v>
      </c>
      <c r="E239" s="15">
        <v>14288</v>
      </c>
      <c r="F239" s="15">
        <v>13395</v>
      </c>
      <c r="G239" s="15">
        <v>13395</v>
      </c>
      <c r="H239" s="15">
        <v>13395</v>
      </c>
      <c r="I239" s="15">
        <v>13395</v>
      </c>
      <c r="J239" s="15">
        <v>12502</v>
      </c>
      <c r="K239" s="15">
        <v>12502</v>
      </c>
      <c r="L239" s="375">
        <v>12502</v>
      </c>
      <c r="M239" s="375">
        <v>10716</v>
      </c>
      <c r="N239" s="375">
        <v>10716</v>
      </c>
      <c r="O239" s="375">
        <v>10716</v>
      </c>
      <c r="P239" s="387">
        <f>SUM(D239:O239)</f>
        <v>151810</v>
      </c>
    </row>
    <row r="240" spans="1:16" ht="15.6" x14ac:dyDescent="0.3">
      <c r="A240" s="478" t="s">
        <v>21</v>
      </c>
      <c r="B240" s="479"/>
      <c r="C240" s="348" t="s">
        <v>18</v>
      </c>
      <c r="D240" s="15">
        <v>26790</v>
      </c>
      <c r="E240" s="15">
        <v>25004</v>
      </c>
      <c r="F240" s="15">
        <v>24111</v>
      </c>
      <c r="G240" s="15">
        <v>24111</v>
      </c>
      <c r="H240" s="15">
        <v>24111</v>
      </c>
      <c r="I240" s="15">
        <v>23218</v>
      </c>
      <c r="J240" s="15">
        <v>22325</v>
      </c>
      <c r="K240" s="15">
        <v>23218</v>
      </c>
      <c r="L240" s="375">
        <v>23218</v>
      </c>
      <c r="M240" s="375">
        <v>21432</v>
      </c>
      <c r="N240" s="375">
        <v>24111</v>
      </c>
      <c r="O240" s="375">
        <v>23218</v>
      </c>
      <c r="P240" s="387">
        <f>SUM(D240:O240)</f>
        <v>284867</v>
      </c>
    </row>
    <row r="241" spans="1:17" ht="15.6" x14ac:dyDescent="0.3">
      <c r="A241" s="478" t="s">
        <v>20</v>
      </c>
      <c r="B241" s="479"/>
      <c r="C241" s="348" t="s">
        <v>18</v>
      </c>
      <c r="D241" s="15">
        <v>7144</v>
      </c>
      <c r="E241" s="15">
        <v>7144</v>
      </c>
      <c r="F241" s="15">
        <v>6251</v>
      </c>
      <c r="G241" s="15">
        <v>8037</v>
      </c>
      <c r="H241" s="15">
        <v>13395</v>
      </c>
      <c r="I241" s="15">
        <v>13395</v>
      </c>
      <c r="J241" s="15">
        <v>12502</v>
      </c>
      <c r="K241" s="15">
        <v>14288</v>
      </c>
      <c r="L241" s="375">
        <v>14288</v>
      </c>
      <c r="M241" s="375">
        <v>16074</v>
      </c>
      <c r="N241" s="375">
        <v>16074</v>
      </c>
      <c r="O241" s="375">
        <v>16967</v>
      </c>
      <c r="P241" s="387">
        <f>SUM(D241:O241)</f>
        <v>145559</v>
      </c>
    </row>
    <row r="242" spans="1:17" ht="15.6" x14ac:dyDescent="0.3">
      <c r="A242" s="480" t="s">
        <v>19</v>
      </c>
      <c r="B242" s="481"/>
      <c r="C242" s="348" t="s">
        <v>18</v>
      </c>
      <c r="D242" s="447">
        <f t="shared" ref="D242:P242" si="184">SUM(D238:D241)</f>
        <v>1763675</v>
      </c>
      <c r="E242" s="447">
        <f t="shared" si="184"/>
        <v>1789572</v>
      </c>
      <c r="F242" s="447">
        <f t="shared" si="184"/>
        <v>1826185</v>
      </c>
      <c r="G242" s="447">
        <f t="shared" si="184"/>
        <v>1852975</v>
      </c>
      <c r="H242" s="447">
        <f t="shared" si="184"/>
        <v>1883337</v>
      </c>
      <c r="I242" s="439">
        <f t="shared" si="184"/>
        <v>1924415</v>
      </c>
      <c r="J242" s="447">
        <f t="shared" si="184"/>
        <v>1890481</v>
      </c>
      <c r="K242" s="447">
        <f t="shared" si="184"/>
        <v>1924415</v>
      </c>
      <c r="L242" s="447">
        <f t="shared" si="184"/>
        <v>1945847</v>
      </c>
      <c r="M242" s="447">
        <f t="shared" si="184"/>
        <v>1905662</v>
      </c>
      <c r="N242" s="447">
        <f t="shared" si="184"/>
        <v>1952098</v>
      </c>
      <c r="O242" s="447">
        <v>1985139</v>
      </c>
      <c r="P242" s="383">
        <f t="shared" si="184"/>
        <v>22643801</v>
      </c>
    </row>
    <row r="243" spans="1:17" ht="15.6" x14ac:dyDescent="0.3">
      <c r="A243" s="480" t="s">
        <v>214</v>
      </c>
      <c r="B243" s="481"/>
      <c r="C243" s="348" t="s">
        <v>18</v>
      </c>
      <c r="D243" s="439">
        <f>D230+D236+D242</f>
        <v>32653897.330000002</v>
      </c>
      <c r="E243" s="439">
        <f t="shared" ref="E243:N243" si="185">E230+E236+E242</f>
        <v>29745963.840000004</v>
      </c>
      <c r="F243" s="439">
        <f t="shared" si="185"/>
        <v>37494509.490000002</v>
      </c>
      <c r="G243" s="439">
        <f t="shared" si="185"/>
        <v>31531415.649999999</v>
      </c>
      <c r="H243" s="439">
        <f t="shared" si="185"/>
        <v>52643528.299999997</v>
      </c>
      <c r="I243" s="439">
        <f t="shared" si="185"/>
        <v>41378067.810000002</v>
      </c>
      <c r="J243" s="439">
        <f t="shared" si="185"/>
        <v>40939577.150000006</v>
      </c>
      <c r="K243" s="439">
        <f t="shared" si="185"/>
        <v>39706096.43</v>
      </c>
      <c r="L243" s="439">
        <f t="shared" si="185"/>
        <v>36833750.019999996</v>
      </c>
      <c r="M243" s="439">
        <f t="shared" si="185"/>
        <v>46472265.789999999</v>
      </c>
      <c r="N243" s="439">
        <f t="shared" si="185"/>
        <v>52927591.56000001</v>
      </c>
      <c r="O243" s="439">
        <v>130726985.48</v>
      </c>
      <c r="P243" s="383">
        <f t="shared" ref="P243" si="186">P216+P223+P236+P242</f>
        <v>580852398.4799999</v>
      </c>
      <c r="Q243" s="450"/>
    </row>
    <row r="244" spans="1:17" x14ac:dyDescent="0.3">
      <c r="A244" s="475" t="s">
        <v>204</v>
      </c>
      <c r="B244" s="476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7"/>
    </row>
    <row r="245" spans="1:17" ht="15.6" x14ac:dyDescent="0.3">
      <c r="A245" s="499" t="s">
        <v>205</v>
      </c>
      <c r="B245" s="500"/>
      <c r="C245" s="348" t="s">
        <v>18</v>
      </c>
      <c r="D245" s="556">
        <f>346156890.74-D246</f>
        <v>123346006.31</v>
      </c>
      <c r="E245" s="154">
        <f>345452424.78-E246</f>
        <v>115182526.58999997</v>
      </c>
      <c r="F245" s="154">
        <v>65938681.460000001</v>
      </c>
      <c r="G245" s="154">
        <v>124990875.55</v>
      </c>
      <c r="H245" s="154">
        <v>140231665.66</v>
      </c>
      <c r="I245" s="154">
        <f>293581352.26-I246</f>
        <v>120183192.38</v>
      </c>
      <c r="J245" s="154">
        <v>129177824.56</v>
      </c>
      <c r="K245" s="154">
        <f>291682641.52-173158638.92</f>
        <v>118524002.59999999</v>
      </c>
      <c r="L245" s="451">
        <v>136750021.46999997</v>
      </c>
      <c r="M245" s="451">
        <v>134390049.49000001</v>
      </c>
      <c r="N245" s="451">
        <v>138324380.49000001</v>
      </c>
      <c r="O245" s="451">
        <v>142624648.46000001</v>
      </c>
      <c r="P245" s="452">
        <f>O245</f>
        <v>142624648.46000001</v>
      </c>
    </row>
    <row r="246" spans="1:17" ht="15.6" x14ac:dyDescent="0.3">
      <c r="A246" s="499" t="s">
        <v>206</v>
      </c>
      <c r="B246" s="500"/>
      <c r="C246" s="348" t="s">
        <v>18</v>
      </c>
      <c r="D246" s="556">
        <f>222810884.43</f>
        <v>222810884.43000001</v>
      </c>
      <c r="E246" s="154">
        <v>230269898.19</v>
      </c>
      <c r="F246" s="154">
        <v>7781207.0199999996</v>
      </c>
      <c r="G246" s="154">
        <v>221223209.88999999</v>
      </c>
      <c r="H246" s="154">
        <v>165837568.21000001</v>
      </c>
      <c r="I246" s="154">
        <v>173398159.88</v>
      </c>
      <c r="J246" s="154">
        <v>167408651.38999999</v>
      </c>
      <c r="K246" s="154">
        <v>173158638.91999999</v>
      </c>
      <c r="L246" s="451">
        <v>165966932.61000001</v>
      </c>
      <c r="M246" s="451">
        <v>56892083.780000001</v>
      </c>
      <c r="N246" s="451">
        <v>58324985.780000001</v>
      </c>
      <c r="O246" s="451">
        <v>156190681.59999999</v>
      </c>
      <c r="P246" s="452">
        <f>O246</f>
        <v>156190681.59999999</v>
      </c>
    </row>
    <row r="247" spans="1:17" ht="15.6" x14ac:dyDescent="0.3">
      <c r="A247" s="497" t="s">
        <v>207</v>
      </c>
      <c r="B247" s="498"/>
      <c r="C247" s="348" t="s">
        <v>18</v>
      </c>
      <c r="D247" s="453">
        <f>D245+D246</f>
        <v>346156890.74000001</v>
      </c>
      <c r="E247" s="453">
        <f t="shared" ref="E247:P247" si="187">E245+E246</f>
        <v>345452424.77999997</v>
      </c>
      <c r="F247" s="453">
        <f t="shared" si="187"/>
        <v>73719888.480000004</v>
      </c>
      <c r="G247" s="453">
        <f t="shared" si="187"/>
        <v>346214085.44</v>
      </c>
      <c r="H247" s="453">
        <f t="shared" si="187"/>
        <v>306069233.87</v>
      </c>
      <c r="I247" s="453">
        <f t="shared" si="187"/>
        <v>293581352.25999999</v>
      </c>
      <c r="J247" s="453">
        <f t="shared" si="187"/>
        <v>296586475.94999999</v>
      </c>
      <c r="K247" s="453">
        <f t="shared" si="187"/>
        <v>291682641.51999998</v>
      </c>
      <c r="L247" s="453">
        <f t="shared" si="187"/>
        <v>302716954.07999998</v>
      </c>
      <c r="M247" s="453">
        <f t="shared" si="187"/>
        <v>191282133.27000001</v>
      </c>
      <c r="N247" s="454">
        <f t="shared" si="187"/>
        <v>196649366.27000001</v>
      </c>
      <c r="O247" s="454">
        <v>298815330.06</v>
      </c>
      <c r="P247" s="452">
        <f t="shared" si="187"/>
        <v>298815330.06</v>
      </c>
    </row>
    <row r="248" spans="1:17" x14ac:dyDescent="0.3">
      <c r="A248" s="475" t="s">
        <v>17</v>
      </c>
      <c r="B248" s="476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7"/>
    </row>
    <row r="249" spans="1:17" ht="15.6" x14ac:dyDescent="0.3">
      <c r="A249" s="490" t="s">
        <v>16</v>
      </c>
      <c r="B249" s="491"/>
      <c r="C249" s="359" t="s">
        <v>6</v>
      </c>
      <c r="D249" s="8">
        <f>D58/D243</f>
        <v>0.20609438322136109</v>
      </c>
      <c r="E249" s="8">
        <f t="shared" ref="E249:N249" si="188">E58/E243</f>
        <v>0.22682972541393365</v>
      </c>
      <c r="F249" s="8">
        <f t="shared" si="188"/>
        <v>0.16989764892641085</v>
      </c>
      <c r="G249" s="8">
        <f t="shared" si="188"/>
        <v>0.21558197657389355</v>
      </c>
      <c r="H249" s="571">
        <f t="shared" si="188"/>
        <v>0.13381535541948089</v>
      </c>
      <c r="I249" s="8">
        <f t="shared" si="188"/>
        <v>0.16824774351395699</v>
      </c>
      <c r="J249" s="8">
        <f t="shared" si="188"/>
        <v>0.1679593768837937</v>
      </c>
      <c r="K249" s="8">
        <f t="shared" si="188"/>
        <v>0.18992127380979112</v>
      </c>
      <c r="L249" s="8">
        <f t="shared" si="188"/>
        <v>0.21318254232154885</v>
      </c>
      <c r="M249" s="8">
        <f t="shared" si="188"/>
        <v>0.23435040783708683</v>
      </c>
      <c r="N249" s="8">
        <f t="shared" si="188"/>
        <v>0.13493028009604749</v>
      </c>
      <c r="O249" s="8">
        <v>9.3404418511341625E-2</v>
      </c>
      <c r="P249" s="456">
        <f t="shared" ref="P249" si="189">P58/P243%</f>
        <v>16.039101293856124</v>
      </c>
    </row>
    <row r="250" spans="1:17" ht="15.6" x14ac:dyDescent="0.3">
      <c r="A250" s="490" t="s">
        <v>208</v>
      </c>
      <c r="B250" s="491"/>
      <c r="C250" s="359" t="s">
        <v>6</v>
      </c>
      <c r="D250" s="29">
        <f>D210/(D223+D245)</f>
        <v>6.4817154778674987E-2</v>
      </c>
      <c r="E250" s="29">
        <f t="shared" ref="E250:N250" si="190">E210/(E223+E245)</f>
        <v>0.15279308954738074</v>
      </c>
      <c r="F250" s="29">
        <f t="shared" si="190"/>
        <v>0.206983618391192</v>
      </c>
      <c r="G250" s="29">
        <f t="shared" si="190"/>
        <v>0.12402518631054833</v>
      </c>
      <c r="H250" s="573">
        <f t="shared" si="190"/>
        <v>0.52084344087142376</v>
      </c>
      <c r="I250" s="29">
        <f t="shared" si="190"/>
        <v>0.21837354723269456</v>
      </c>
      <c r="J250" s="29">
        <f t="shared" si="190"/>
        <v>8.8045689529366783E-2</v>
      </c>
      <c r="K250" s="29">
        <f t="shared" si="190"/>
        <v>0.22107988860576358</v>
      </c>
      <c r="L250" s="29">
        <f t="shared" si="190"/>
        <v>5.7390771733793269E-2</v>
      </c>
      <c r="M250" s="29">
        <f t="shared" si="190"/>
        <v>0.87163225715792125</v>
      </c>
      <c r="N250" s="29">
        <f t="shared" si="190"/>
        <v>9.8095782778141211E-2</v>
      </c>
      <c r="O250" s="29">
        <v>6.891685698262201E-2</v>
      </c>
      <c r="P250" s="427">
        <f t="shared" ref="P250" si="191">P210/(P223+P245)%</f>
        <v>86.385187641041313</v>
      </c>
    </row>
    <row r="251" spans="1:17" ht="16.2" thickBot="1" x14ac:dyDescent="0.35">
      <c r="A251" s="501" t="s">
        <v>15</v>
      </c>
      <c r="B251" s="502"/>
      <c r="C251" s="359" t="s">
        <v>6</v>
      </c>
      <c r="D251" s="29">
        <f>D210/D223</f>
        <v>0.48268247403814768</v>
      </c>
      <c r="E251" s="29">
        <f t="shared" ref="E251:N251" si="192">E210/E223</f>
        <v>1.1825162117889632</v>
      </c>
      <c r="F251" s="29">
        <f t="shared" si="192"/>
        <v>0.97732861726497378</v>
      </c>
      <c r="G251" s="29">
        <f t="shared" si="192"/>
        <v>1.0501732536078308</v>
      </c>
      <c r="H251" s="573">
        <f t="shared" si="192"/>
        <v>4.7093514760694211</v>
      </c>
      <c r="I251" s="29">
        <f t="shared" si="192"/>
        <v>1.5975597836043045</v>
      </c>
      <c r="J251" s="29">
        <f t="shared" si="192"/>
        <v>0.68125816292665697</v>
      </c>
      <c r="K251" s="29">
        <f t="shared" si="192"/>
        <v>1.6434672281100204</v>
      </c>
      <c r="L251" s="29">
        <f t="shared" si="192"/>
        <v>0.49983494096010217</v>
      </c>
      <c r="M251" s="29">
        <f t="shared" si="192"/>
        <v>6.6984634041273079</v>
      </c>
      <c r="N251" s="29">
        <f t="shared" si="192"/>
        <v>0.87605856518449721</v>
      </c>
      <c r="O251" s="29">
        <v>0.1530818114293428</v>
      </c>
      <c r="P251" s="458">
        <f t="shared" ref="P251" si="193">P210/P223%</f>
        <v>125.27494133104204</v>
      </c>
    </row>
    <row r="252" spans="1:17" x14ac:dyDescent="0.3">
      <c r="A252" s="503" t="s">
        <v>14</v>
      </c>
      <c r="B252" s="504"/>
      <c r="C252" s="504"/>
      <c r="D252" s="504"/>
      <c r="E252" s="504"/>
      <c r="F252" s="504"/>
      <c r="G252" s="504"/>
      <c r="H252" s="504"/>
      <c r="I252" s="504"/>
      <c r="J252" s="504"/>
      <c r="K252" s="504"/>
      <c r="L252" s="504"/>
      <c r="M252" s="504"/>
      <c r="N252" s="504"/>
      <c r="O252" s="504"/>
      <c r="P252" s="505"/>
    </row>
    <row r="253" spans="1:17" s="354" customFormat="1" ht="15" customHeight="1" x14ac:dyDescent="0.3">
      <c r="A253" s="490" t="s">
        <v>13</v>
      </c>
      <c r="B253" s="491"/>
      <c r="C253" s="359" t="s">
        <v>3</v>
      </c>
      <c r="D253" s="4">
        <f>D103</f>
        <v>82</v>
      </c>
      <c r="E253" s="4">
        <f>E103</f>
        <v>82</v>
      </c>
      <c r="F253" s="4">
        <f>F103</f>
        <v>7</v>
      </c>
      <c r="G253" s="4">
        <v>10</v>
      </c>
      <c r="H253" s="4">
        <v>16</v>
      </c>
      <c r="I253" s="4">
        <v>6</v>
      </c>
      <c r="J253" s="4">
        <v>20</v>
      </c>
      <c r="K253" s="4">
        <f t="shared" ref="K253" si="194">K103</f>
        <v>82</v>
      </c>
      <c r="L253" s="382">
        <v>12</v>
      </c>
      <c r="M253" s="382">
        <v>18</v>
      </c>
      <c r="N253" s="382">
        <v>20</v>
      </c>
      <c r="O253" s="382">
        <v>11</v>
      </c>
      <c r="P253" s="459">
        <f>SUM(D253:O253)</f>
        <v>366</v>
      </c>
    </row>
    <row r="254" spans="1:17" s="354" customFormat="1" ht="15.6" x14ac:dyDescent="0.3">
      <c r="A254" s="490" t="s">
        <v>12</v>
      </c>
      <c r="B254" s="491"/>
      <c r="C254" s="359" t="s">
        <v>3</v>
      </c>
      <c r="D254" s="4">
        <v>6</v>
      </c>
      <c r="E254" s="4">
        <v>7</v>
      </c>
      <c r="F254" s="4">
        <v>3</v>
      </c>
      <c r="G254" s="4">
        <v>6</v>
      </c>
      <c r="H254" s="4">
        <v>11</v>
      </c>
      <c r="I254" s="4">
        <v>4</v>
      </c>
      <c r="J254" s="4">
        <v>11</v>
      </c>
      <c r="K254" s="4">
        <v>7</v>
      </c>
      <c r="L254" s="382">
        <v>5</v>
      </c>
      <c r="M254" s="382">
        <v>6</v>
      </c>
      <c r="N254" s="382">
        <v>13</v>
      </c>
      <c r="O254" s="382">
        <v>7</v>
      </c>
      <c r="P254" s="459">
        <f>SUM(D254:O254)</f>
        <v>86</v>
      </c>
    </row>
    <row r="255" spans="1:17" ht="15.75" customHeight="1" x14ac:dyDescent="0.3">
      <c r="A255" s="490" t="s">
        <v>11</v>
      </c>
      <c r="B255" s="491"/>
      <c r="C255" s="359" t="s">
        <v>3</v>
      </c>
      <c r="D255" s="4">
        <v>68</v>
      </c>
      <c r="E255" s="4">
        <v>76</v>
      </c>
      <c r="F255" s="4">
        <v>48</v>
      </c>
      <c r="G255" s="4">
        <v>52</v>
      </c>
      <c r="H255" s="4">
        <v>10</v>
      </c>
      <c r="I255" s="4">
        <v>20</v>
      </c>
      <c r="J255" s="4">
        <v>65</v>
      </c>
      <c r="K255" s="4">
        <v>48</v>
      </c>
      <c r="L255" s="382">
        <v>53</v>
      </c>
      <c r="M255" s="382">
        <f t="shared" ref="M255" si="195">M95</f>
        <v>468</v>
      </c>
      <c r="N255" s="382">
        <v>64</v>
      </c>
      <c r="O255" s="382">
        <v>459</v>
      </c>
      <c r="P255" s="459">
        <f>SUM(D255:O255)</f>
        <v>1431</v>
      </c>
    </row>
    <row r="256" spans="1:17" ht="15.6" x14ac:dyDescent="0.3">
      <c r="A256" s="490" t="s">
        <v>10</v>
      </c>
      <c r="B256" s="491"/>
      <c r="C256" s="359" t="s">
        <v>3</v>
      </c>
      <c r="D256" s="4">
        <v>10</v>
      </c>
      <c r="E256" s="4">
        <v>5</v>
      </c>
      <c r="F256" s="4">
        <v>5</v>
      </c>
      <c r="G256" s="4">
        <v>4</v>
      </c>
      <c r="H256" s="4">
        <v>16</v>
      </c>
      <c r="I256" s="4">
        <v>26</v>
      </c>
      <c r="J256" s="4">
        <v>20</v>
      </c>
      <c r="K256" s="4">
        <v>6</v>
      </c>
      <c r="L256" s="382">
        <v>12</v>
      </c>
      <c r="M256" s="382">
        <f t="shared" ref="M256" si="196">M91</f>
        <v>18</v>
      </c>
      <c r="N256" s="382">
        <f t="shared" ref="N256" si="197">N91</f>
        <v>20</v>
      </c>
      <c r="O256" s="382">
        <v>11</v>
      </c>
      <c r="P256" s="459">
        <f>SUM(D256:O256)</f>
        <v>153</v>
      </c>
    </row>
    <row r="257" spans="1:16" ht="15.6" customHeight="1" x14ac:dyDescent="0.3">
      <c r="A257" s="490" t="s">
        <v>9</v>
      </c>
      <c r="B257" s="491"/>
      <c r="C257" s="359" t="s">
        <v>3</v>
      </c>
      <c r="D257" s="4">
        <v>30</v>
      </c>
      <c r="E257" s="4">
        <v>30</v>
      </c>
      <c r="F257" s="4">
        <v>30</v>
      </c>
      <c r="G257" s="4">
        <v>30</v>
      </c>
      <c r="H257" s="4">
        <v>31</v>
      </c>
      <c r="I257" s="4">
        <v>30</v>
      </c>
      <c r="J257" s="4">
        <v>30</v>
      </c>
      <c r="K257" s="4">
        <v>30</v>
      </c>
      <c r="L257" s="382">
        <v>30</v>
      </c>
      <c r="M257" s="382">
        <v>30</v>
      </c>
      <c r="N257" s="382">
        <v>30</v>
      </c>
      <c r="O257" s="382">
        <v>30</v>
      </c>
      <c r="P257" s="459">
        <f>SUM(D257:O257)</f>
        <v>361</v>
      </c>
    </row>
    <row r="258" spans="1:16" ht="15.6" x14ac:dyDescent="0.3">
      <c r="A258" s="480" t="s">
        <v>8</v>
      </c>
      <c r="B258" s="481"/>
      <c r="C258" s="359" t="s">
        <v>3</v>
      </c>
      <c r="D258" s="557">
        <f t="shared" ref="D258:F258" si="198">D257/D256</f>
        <v>3</v>
      </c>
      <c r="E258" s="3">
        <f t="shared" si="198"/>
        <v>6</v>
      </c>
      <c r="F258" s="1">
        <f t="shared" si="198"/>
        <v>6</v>
      </c>
      <c r="G258" s="381">
        <f t="shared" ref="G258:P258" si="199">G257/G256</f>
        <v>7.5</v>
      </c>
      <c r="H258" s="381">
        <f t="shared" si="199"/>
        <v>1.9375</v>
      </c>
      <c r="I258" s="381">
        <f t="shared" si="199"/>
        <v>1.1538461538461537</v>
      </c>
      <c r="J258" s="381">
        <f t="shared" si="199"/>
        <v>1.5</v>
      </c>
      <c r="K258" s="381">
        <f t="shared" si="199"/>
        <v>5</v>
      </c>
      <c r="L258" s="381">
        <f t="shared" si="199"/>
        <v>2.5</v>
      </c>
      <c r="M258" s="381">
        <f t="shared" si="199"/>
        <v>1.6666666666666667</v>
      </c>
      <c r="N258" s="381">
        <f t="shared" si="199"/>
        <v>1.5</v>
      </c>
      <c r="O258" s="381">
        <v>2.7272727272727271</v>
      </c>
      <c r="P258" s="459">
        <f t="shared" si="199"/>
        <v>2.3594771241830066</v>
      </c>
    </row>
    <row r="259" spans="1:16" ht="15.6" x14ac:dyDescent="0.3">
      <c r="A259" s="480" t="s">
        <v>7</v>
      </c>
      <c r="B259" s="481"/>
      <c r="C259" s="359" t="s">
        <v>6</v>
      </c>
      <c r="D259" s="558">
        <f>(D104+D105)/D255*100</f>
        <v>1197.0588235294117</v>
      </c>
      <c r="E259" s="559">
        <f t="shared" ref="E259:F259" si="200">(E104+E105)/E255*100</f>
        <v>1064.4736842105265</v>
      </c>
      <c r="F259" s="559">
        <f t="shared" si="200"/>
        <v>1462.5</v>
      </c>
      <c r="G259" s="461">
        <f t="shared" ref="G259:P259" si="201">G92/G255*100</f>
        <v>44.230769230769226</v>
      </c>
      <c r="H259" s="461">
        <f t="shared" si="201"/>
        <v>270</v>
      </c>
      <c r="I259" s="461">
        <f t="shared" si="201"/>
        <v>190</v>
      </c>
      <c r="J259" s="462">
        <f t="shared" si="201"/>
        <v>49.230769230769234</v>
      </c>
      <c r="K259" s="462">
        <f t="shared" si="201"/>
        <v>64.583333333333343</v>
      </c>
      <c r="L259" s="462">
        <f t="shared" si="201"/>
        <v>47.169811320754718</v>
      </c>
      <c r="M259" s="462">
        <f t="shared" si="201"/>
        <v>2.5641025641025639</v>
      </c>
      <c r="N259" s="462">
        <f t="shared" si="201"/>
        <v>28.125</v>
      </c>
      <c r="O259" s="462">
        <v>4.7930283224400867</v>
      </c>
      <c r="P259" s="463">
        <f t="shared" si="201"/>
        <v>19.49685534591195</v>
      </c>
    </row>
    <row r="260" spans="1:16" x14ac:dyDescent="0.3">
      <c r="A260" s="475" t="s">
        <v>5</v>
      </c>
      <c r="B260" s="476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7"/>
    </row>
    <row r="261" spans="1:16" s="354" customFormat="1" ht="15" customHeight="1" x14ac:dyDescent="0.3">
      <c r="A261" s="490" t="s">
        <v>4</v>
      </c>
      <c r="B261" s="491"/>
      <c r="C261" s="359" t="s">
        <v>3</v>
      </c>
      <c r="D261" s="4">
        <v>36</v>
      </c>
      <c r="E261" s="4">
        <v>26</v>
      </c>
      <c r="F261" s="4">
        <v>30</v>
      </c>
      <c r="G261" s="4">
        <v>20</v>
      </c>
      <c r="H261" s="4">
        <v>15</v>
      </c>
      <c r="I261" s="4">
        <v>12</v>
      </c>
      <c r="J261" s="4">
        <v>18</v>
      </c>
      <c r="K261" s="4">
        <v>16</v>
      </c>
      <c r="L261" s="4">
        <v>16</v>
      </c>
      <c r="M261" s="4">
        <v>20</v>
      </c>
      <c r="N261" s="4">
        <v>25</v>
      </c>
      <c r="O261" s="4">
        <v>21</v>
      </c>
      <c r="P261" s="383">
        <f>SUM(D261:O261)</f>
        <v>255</v>
      </c>
    </row>
    <row r="262" spans="1:16" s="354" customFormat="1" ht="15.75" customHeight="1" x14ac:dyDescent="0.3">
      <c r="A262" s="490" t="s">
        <v>2</v>
      </c>
      <c r="B262" s="491"/>
      <c r="C262" s="359" t="s">
        <v>0</v>
      </c>
      <c r="D262" s="4">
        <v>2</v>
      </c>
      <c r="E262" s="4">
        <v>3</v>
      </c>
      <c r="F262" s="4">
        <v>3</v>
      </c>
      <c r="G262" s="4">
        <v>3</v>
      </c>
      <c r="H262" s="4">
        <v>3</v>
      </c>
      <c r="I262" s="4">
        <v>3</v>
      </c>
      <c r="J262" s="4">
        <v>3</v>
      </c>
      <c r="K262" s="4">
        <v>5</v>
      </c>
      <c r="L262" s="4">
        <v>3</v>
      </c>
      <c r="M262" s="4">
        <v>3</v>
      </c>
      <c r="N262" s="4">
        <v>3</v>
      </c>
      <c r="O262" s="4">
        <v>3</v>
      </c>
      <c r="P262" s="383">
        <f>SUM(D262:O262)</f>
        <v>37</v>
      </c>
    </row>
    <row r="263" spans="1:16" ht="16.2" thickBot="1" x14ac:dyDescent="0.35">
      <c r="A263" s="488" t="s">
        <v>1</v>
      </c>
      <c r="B263" s="489"/>
      <c r="C263" s="464" t="s">
        <v>0</v>
      </c>
      <c r="D263" s="559">
        <f>D261/D262</f>
        <v>18</v>
      </c>
      <c r="E263" s="559">
        <f t="shared" ref="E263:N263" si="202">E261/E262</f>
        <v>8.6666666666666661</v>
      </c>
      <c r="F263" s="559">
        <f t="shared" si="202"/>
        <v>10</v>
      </c>
      <c r="G263" s="559">
        <f t="shared" si="202"/>
        <v>6.666666666666667</v>
      </c>
      <c r="H263" s="559">
        <f t="shared" si="202"/>
        <v>5</v>
      </c>
      <c r="I263" s="559">
        <v>4</v>
      </c>
      <c r="J263" s="559">
        <f t="shared" si="202"/>
        <v>6</v>
      </c>
      <c r="K263" s="559">
        <f t="shared" si="202"/>
        <v>3.2</v>
      </c>
      <c r="L263" s="559">
        <f t="shared" si="202"/>
        <v>5.333333333333333</v>
      </c>
      <c r="M263" s="559">
        <f t="shared" si="202"/>
        <v>6.666666666666667</v>
      </c>
      <c r="N263" s="559">
        <f t="shared" si="202"/>
        <v>8.3333333333333339</v>
      </c>
      <c r="O263" s="559">
        <v>7</v>
      </c>
      <c r="P263" s="466">
        <f t="shared" ref="P263" si="203">P261/P262</f>
        <v>6.8918918918918921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263"/>
  <sheetViews>
    <sheetView zoomScaleNormal="100" workbookViewId="0">
      <pane xSplit="3" topLeftCell="N1" activePane="topRight" state="frozen"/>
      <selection pane="topRight" activeCell="O1" sqref="O1:O1048576"/>
    </sheetView>
  </sheetViews>
  <sheetFormatPr defaultRowHeight="14.4" x14ac:dyDescent="0.3"/>
  <cols>
    <col min="1" max="1" width="39" style="344" customWidth="1"/>
    <col min="2" max="2" width="16.88671875" style="344" customWidth="1"/>
    <col min="3" max="3" width="12.5546875" style="344" customWidth="1"/>
    <col min="4" max="10" width="19.109375" style="344" customWidth="1"/>
    <col min="11" max="11" width="23.109375" style="344" customWidth="1"/>
    <col min="12" max="12" width="22.6640625" style="344" customWidth="1"/>
    <col min="13" max="13" width="20.109375" style="344" bestFit="1" customWidth="1"/>
    <col min="14" max="15" width="19.109375" style="344" customWidth="1"/>
    <col min="16" max="16" width="18.44140625" style="344" customWidth="1"/>
    <col min="17" max="16384" width="8.88671875" style="344"/>
  </cols>
  <sheetData>
    <row r="1" spans="1:16" customFormat="1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customFormat="1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customFormat="1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customFormat="1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customFormat="1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customFormat="1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473" t="s">
        <v>174</v>
      </c>
      <c r="B7" s="474"/>
      <c r="C7" s="341" t="s">
        <v>173</v>
      </c>
      <c r="D7" s="342" t="s">
        <v>163</v>
      </c>
      <c r="E7" s="342" t="s">
        <v>162</v>
      </c>
      <c r="F7" s="342" t="s">
        <v>161</v>
      </c>
      <c r="G7" s="342" t="s">
        <v>172</v>
      </c>
      <c r="H7" s="342" t="s">
        <v>171</v>
      </c>
      <c r="I7" s="342" t="s">
        <v>170</v>
      </c>
      <c r="J7" s="342" t="s">
        <v>169</v>
      </c>
      <c r="K7" s="342" t="s">
        <v>168</v>
      </c>
      <c r="L7" s="342" t="s">
        <v>167</v>
      </c>
      <c r="M7" s="342" t="s">
        <v>166</v>
      </c>
      <c r="N7" s="342" t="s">
        <v>165</v>
      </c>
      <c r="O7" s="342" t="s">
        <v>164</v>
      </c>
      <c r="P7" s="343" t="s">
        <v>160</v>
      </c>
    </row>
    <row r="8" spans="1:16" ht="15" thickBot="1" x14ac:dyDescent="0.35">
      <c r="A8" s="543" t="s">
        <v>159</v>
      </c>
      <c r="B8" s="544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5"/>
    </row>
    <row r="9" spans="1:16" ht="15.6" x14ac:dyDescent="0.3">
      <c r="A9" s="546" t="s">
        <v>176</v>
      </c>
      <c r="B9" s="547"/>
      <c r="C9" s="345" t="s">
        <v>152</v>
      </c>
      <c r="D9" s="57">
        <v>14568</v>
      </c>
      <c r="E9" s="57">
        <v>14182</v>
      </c>
      <c r="F9" s="57">
        <v>16548</v>
      </c>
      <c r="G9" s="57">
        <v>16789</v>
      </c>
      <c r="H9" s="57">
        <v>18130</v>
      </c>
      <c r="I9" s="57">
        <v>17000</v>
      </c>
      <c r="J9" s="57">
        <v>19105</v>
      </c>
      <c r="K9" s="57">
        <v>17500</v>
      </c>
      <c r="L9" s="346">
        <v>19189</v>
      </c>
      <c r="M9" s="346">
        <v>16635</v>
      </c>
      <c r="N9" s="346">
        <v>16303</v>
      </c>
      <c r="O9" s="346">
        <v>15772</v>
      </c>
      <c r="P9" s="347">
        <f>SUM(D9:O9)</f>
        <v>201721</v>
      </c>
    </row>
    <row r="10" spans="1:16" x14ac:dyDescent="0.3">
      <c r="A10" s="475" t="s">
        <v>177</v>
      </c>
      <c r="B10" s="476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7"/>
    </row>
    <row r="11" spans="1:16" ht="15.6" x14ac:dyDescent="0.3">
      <c r="A11" s="485" t="s">
        <v>157</v>
      </c>
      <c r="B11" s="486"/>
      <c r="C11" s="348" t="s">
        <v>152</v>
      </c>
      <c r="D11" s="26">
        <f>756+1266+5487</f>
        <v>7509</v>
      </c>
      <c r="E11" s="26">
        <f>601+1401+4891</f>
        <v>6893</v>
      </c>
      <c r="F11" s="26">
        <f>655+1293+5174</f>
        <v>7122</v>
      </c>
      <c r="G11" s="26">
        <f>613+1197+5045</f>
        <v>6855</v>
      </c>
      <c r="H11" s="26">
        <f>664+928+4571</f>
        <v>6163</v>
      </c>
      <c r="I11" s="26">
        <f>659+1118+5665</f>
        <v>7442</v>
      </c>
      <c r="J11" s="26">
        <v>3352</v>
      </c>
      <c r="K11" s="26">
        <f>757+1235+5328</f>
        <v>7320</v>
      </c>
      <c r="L11" s="349">
        <v>7818</v>
      </c>
      <c r="M11" s="349">
        <v>7897</v>
      </c>
      <c r="N11" s="349">
        <v>7333</v>
      </c>
      <c r="O11" s="349">
        <v>6795</v>
      </c>
      <c r="P11" s="350">
        <f>SUM(D11:O11)</f>
        <v>82499</v>
      </c>
    </row>
    <row r="12" spans="1:16" ht="15.6" x14ac:dyDescent="0.3">
      <c r="A12" s="485" t="s">
        <v>156</v>
      </c>
      <c r="B12" s="486"/>
      <c r="C12" s="348" t="s">
        <v>152</v>
      </c>
      <c r="D12" s="26">
        <v>20</v>
      </c>
      <c r="E12" s="26">
        <v>23</v>
      </c>
      <c r="F12" s="26">
        <v>23</v>
      </c>
      <c r="G12" s="26">
        <v>32</v>
      </c>
      <c r="H12" s="26">
        <v>11</v>
      </c>
      <c r="I12" s="26">
        <v>10</v>
      </c>
      <c r="J12" s="26">
        <v>4</v>
      </c>
      <c r="K12" s="26">
        <v>14</v>
      </c>
      <c r="L12" s="349">
        <v>14</v>
      </c>
      <c r="M12" s="349">
        <v>7</v>
      </c>
      <c r="N12" s="349">
        <v>6</v>
      </c>
      <c r="O12" s="349">
        <v>7</v>
      </c>
      <c r="P12" s="350">
        <f>SUM(D12:O12)</f>
        <v>171</v>
      </c>
    </row>
    <row r="13" spans="1:16" ht="15.6" x14ac:dyDescent="0.3">
      <c r="A13" s="485" t="s">
        <v>155</v>
      </c>
      <c r="B13" s="486"/>
      <c r="C13" s="348" t="s">
        <v>152</v>
      </c>
      <c r="D13" s="26">
        <v>1093</v>
      </c>
      <c r="E13" s="26">
        <v>1249</v>
      </c>
      <c r="F13" s="26">
        <v>3956</v>
      </c>
      <c r="G13" s="26">
        <v>3585</v>
      </c>
      <c r="H13" s="26">
        <v>3350</v>
      </c>
      <c r="I13" s="26">
        <v>3802</v>
      </c>
      <c r="J13" s="26">
        <v>4986</v>
      </c>
      <c r="K13" s="26">
        <v>3034</v>
      </c>
      <c r="L13" s="349">
        <v>3477</v>
      </c>
      <c r="M13" s="349">
        <v>1455</v>
      </c>
      <c r="N13" s="349">
        <v>2265</v>
      </c>
      <c r="O13" s="349">
        <v>2705</v>
      </c>
      <c r="P13" s="350">
        <f>SUM(D13:O13)</f>
        <v>34957</v>
      </c>
    </row>
    <row r="14" spans="1:16" ht="15.6" x14ac:dyDescent="0.3">
      <c r="A14" s="478" t="s">
        <v>154</v>
      </c>
      <c r="B14" s="479"/>
      <c r="C14" s="348" t="s">
        <v>152</v>
      </c>
      <c r="D14" s="26">
        <v>88</v>
      </c>
      <c r="E14" s="26">
        <v>99</v>
      </c>
      <c r="F14" s="26">
        <v>146</v>
      </c>
      <c r="G14" s="26">
        <v>174</v>
      </c>
      <c r="H14" s="26">
        <v>260</v>
      </c>
      <c r="I14" s="26">
        <v>184</v>
      </c>
      <c r="J14" s="26">
        <v>2976</v>
      </c>
      <c r="K14" s="26">
        <v>1700</v>
      </c>
      <c r="L14" s="349">
        <v>177</v>
      </c>
      <c r="M14" s="349">
        <v>147</v>
      </c>
      <c r="N14" s="349">
        <v>91</v>
      </c>
      <c r="O14" s="349">
        <v>194</v>
      </c>
      <c r="P14" s="350">
        <f>SUM(D14:O14)</f>
        <v>6236</v>
      </c>
    </row>
    <row r="15" spans="1:16" s="353" customFormat="1" ht="15.6" x14ac:dyDescent="0.3">
      <c r="A15" s="495" t="s">
        <v>158</v>
      </c>
      <c r="B15" s="496"/>
      <c r="C15" s="351" t="s">
        <v>152</v>
      </c>
      <c r="D15" s="352">
        <f t="shared" ref="D15:P15" si="0">SUM(D11:D14)</f>
        <v>8710</v>
      </c>
      <c r="E15" s="352">
        <f t="shared" si="0"/>
        <v>8264</v>
      </c>
      <c r="F15" s="352">
        <f t="shared" si="0"/>
        <v>11247</v>
      </c>
      <c r="G15" s="352">
        <f t="shared" si="0"/>
        <v>10646</v>
      </c>
      <c r="H15" s="352">
        <f t="shared" si="0"/>
        <v>9784</v>
      </c>
      <c r="I15" s="352">
        <f t="shared" si="0"/>
        <v>11438</v>
      </c>
      <c r="J15" s="352">
        <f t="shared" si="0"/>
        <v>11318</v>
      </c>
      <c r="K15" s="352">
        <f t="shared" si="0"/>
        <v>12068</v>
      </c>
      <c r="L15" s="352">
        <f t="shared" si="0"/>
        <v>11486</v>
      </c>
      <c r="M15" s="352">
        <f t="shared" si="0"/>
        <v>9506</v>
      </c>
      <c r="N15" s="352">
        <f t="shared" si="0"/>
        <v>9695</v>
      </c>
      <c r="O15" s="352">
        <v>9701</v>
      </c>
      <c r="P15" s="350">
        <f t="shared" si="0"/>
        <v>123863</v>
      </c>
    </row>
    <row r="16" spans="1:16" s="354" customFormat="1" x14ac:dyDescent="0.3">
      <c r="A16" s="475" t="s">
        <v>178</v>
      </c>
      <c r="B16" s="476"/>
      <c r="C16" s="476"/>
      <c r="D16" s="476"/>
      <c r="E16" s="476"/>
      <c r="F16" s="476"/>
      <c r="G16" s="476"/>
      <c r="H16" s="476"/>
      <c r="I16" s="476"/>
      <c r="J16" s="476"/>
      <c r="K16" s="476"/>
      <c r="L16" s="476"/>
      <c r="M16" s="476"/>
      <c r="N16" s="476"/>
      <c r="O16" s="476"/>
      <c r="P16" s="477"/>
    </row>
    <row r="17" spans="1:17" s="354" customFormat="1" ht="15.6" x14ac:dyDescent="0.3">
      <c r="A17" s="485" t="s">
        <v>180</v>
      </c>
      <c r="B17" s="486"/>
      <c r="C17" s="348" t="s">
        <v>152</v>
      </c>
      <c r="D17" s="26">
        <v>1066</v>
      </c>
      <c r="E17" s="26">
        <f>630+530</f>
        <v>1160</v>
      </c>
      <c r="F17" s="26">
        <v>920</v>
      </c>
      <c r="G17" s="26">
        <v>752</v>
      </c>
      <c r="H17" s="26">
        <v>1498</v>
      </c>
      <c r="I17" s="26">
        <v>524</v>
      </c>
      <c r="J17" s="26">
        <v>1170</v>
      </c>
      <c r="K17" s="26">
        <v>611</v>
      </c>
      <c r="L17" s="349">
        <v>640</v>
      </c>
      <c r="M17" s="349">
        <v>692</v>
      </c>
      <c r="N17" s="349">
        <v>723</v>
      </c>
      <c r="O17" s="349">
        <v>694</v>
      </c>
      <c r="P17" s="350">
        <f>SUM(D17:O17)</f>
        <v>10450</v>
      </c>
      <c r="Q17" s="355"/>
    </row>
    <row r="18" spans="1:17" s="354" customFormat="1" ht="15.6" x14ac:dyDescent="0.3">
      <c r="A18" s="485" t="s">
        <v>181</v>
      </c>
      <c r="B18" s="486"/>
      <c r="C18" s="348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349">
        <v>0</v>
      </c>
      <c r="M18" s="349"/>
      <c r="N18" s="349">
        <v>0</v>
      </c>
      <c r="O18" s="349">
        <v>0</v>
      </c>
      <c r="P18" s="350">
        <f>SUM(D18:O18)</f>
        <v>0</v>
      </c>
      <c r="Q18" s="355"/>
    </row>
    <row r="19" spans="1:17" s="354" customFormat="1" ht="15.6" x14ac:dyDescent="0.3">
      <c r="A19" s="485" t="s">
        <v>182</v>
      </c>
      <c r="B19" s="486"/>
      <c r="C19" s="348" t="s">
        <v>152</v>
      </c>
      <c r="D19" s="26">
        <v>1241</v>
      </c>
      <c r="E19" s="26">
        <v>230</v>
      </c>
      <c r="F19" s="26">
        <v>253</v>
      </c>
      <c r="G19" s="26">
        <v>745</v>
      </c>
      <c r="H19" s="26">
        <v>1624</v>
      </c>
      <c r="I19" s="26">
        <v>646</v>
      </c>
      <c r="J19" s="26">
        <v>384</v>
      </c>
      <c r="K19" s="26">
        <v>253</v>
      </c>
      <c r="L19" s="349">
        <v>521</v>
      </c>
      <c r="M19" s="349">
        <v>513</v>
      </c>
      <c r="N19" s="349">
        <v>2218</v>
      </c>
      <c r="O19" s="349">
        <v>387</v>
      </c>
      <c r="P19" s="350">
        <f>SUM(D19:O19)</f>
        <v>9015</v>
      </c>
      <c r="Q19" s="355"/>
    </row>
    <row r="20" spans="1:17" s="354" customFormat="1" ht="15.6" x14ac:dyDescent="0.3">
      <c r="A20" s="478" t="s">
        <v>183</v>
      </c>
      <c r="B20" s="479"/>
      <c r="C20" s="348" t="s">
        <v>152</v>
      </c>
      <c r="D20" s="26">
        <f>2433-2307</f>
        <v>126</v>
      </c>
      <c r="E20" s="26">
        <f>1862-1390</f>
        <v>472</v>
      </c>
      <c r="F20" s="26">
        <f>1447-1173</f>
        <v>274</v>
      </c>
      <c r="G20" s="26">
        <v>189</v>
      </c>
      <c r="H20" s="26">
        <f>3562-3120</f>
        <v>442</v>
      </c>
      <c r="I20" s="26">
        <f>177+92</f>
        <v>269</v>
      </c>
      <c r="J20" s="26">
        <v>293</v>
      </c>
      <c r="K20" s="26">
        <f>1228-1080</f>
        <v>148</v>
      </c>
      <c r="L20" s="349">
        <v>230</v>
      </c>
      <c r="M20" s="349">
        <v>229</v>
      </c>
      <c r="N20" s="349">
        <v>690</v>
      </c>
      <c r="O20" s="349">
        <v>31</v>
      </c>
      <c r="P20" s="350">
        <f>SUM(D20:O20)</f>
        <v>3393</v>
      </c>
      <c r="Q20" s="355"/>
    </row>
    <row r="21" spans="1:17" s="356" customFormat="1" ht="15.6" x14ac:dyDescent="0.3">
      <c r="A21" s="495" t="s">
        <v>184</v>
      </c>
      <c r="B21" s="496"/>
      <c r="C21" s="351" t="s">
        <v>152</v>
      </c>
      <c r="D21" s="352">
        <f>SUM(D17:D20)</f>
        <v>2433</v>
      </c>
      <c r="E21" s="352">
        <f t="shared" ref="E21:P21" si="1">SUM(E17:E20)</f>
        <v>1862</v>
      </c>
      <c r="F21" s="352">
        <f t="shared" si="1"/>
        <v>1447</v>
      </c>
      <c r="G21" s="352">
        <f t="shared" si="1"/>
        <v>1686</v>
      </c>
      <c r="H21" s="352">
        <f t="shared" si="1"/>
        <v>3564</v>
      </c>
      <c r="I21" s="352">
        <f t="shared" si="1"/>
        <v>1439</v>
      </c>
      <c r="J21" s="352">
        <f t="shared" si="1"/>
        <v>1847</v>
      </c>
      <c r="K21" s="352">
        <f t="shared" si="1"/>
        <v>1012</v>
      </c>
      <c r="L21" s="352">
        <f t="shared" si="1"/>
        <v>1391</v>
      </c>
      <c r="M21" s="352">
        <f t="shared" si="1"/>
        <v>1434</v>
      </c>
      <c r="N21" s="352">
        <f t="shared" si="1"/>
        <v>3631</v>
      </c>
      <c r="O21" s="352">
        <v>1112</v>
      </c>
      <c r="P21" s="350">
        <f t="shared" si="1"/>
        <v>22858</v>
      </c>
      <c r="Q21" s="355"/>
    </row>
    <row r="22" spans="1:17" s="354" customFormat="1" ht="15.6" x14ac:dyDescent="0.3">
      <c r="A22" s="357" t="s">
        <v>185</v>
      </c>
      <c r="B22" s="358"/>
      <c r="C22" s="348" t="s">
        <v>152</v>
      </c>
      <c r="D22" s="352">
        <f>D21+D15</f>
        <v>11143</v>
      </c>
      <c r="E22" s="352">
        <f t="shared" ref="E22:P22" si="2">E21+E15</f>
        <v>10126</v>
      </c>
      <c r="F22" s="352">
        <f t="shared" si="2"/>
        <v>12694</v>
      </c>
      <c r="G22" s="352">
        <f t="shared" si="2"/>
        <v>12332</v>
      </c>
      <c r="H22" s="352">
        <f t="shared" si="2"/>
        <v>13348</v>
      </c>
      <c r="I22" s="352">
        <f t="shared" si="2"/>
        <v>12877</v>
      </c>
      <c r="J22" s="352">
        <f t="shared" si="2"/>
        <v>13165</v>
      </c>
      <c r="K22" s="352">
        <f t="shared" si="2"/>
        <v>13080</v>
      </c>
      <c r="L22" s="352">
        <f t="shared" si="2"/>
        <v>12877</v>
      </c>
      <c r="M22" s="352">
        <f t="shared" si="2"/>
        <v>10940</v>
      </c>
      <c r="N22" s="352">
        <f t="shared" si="2"/>
        <v>13326</v>
      </c>
      <c r="O22" s="352">
        <v>10813</v>
      </c>
      <c r="P22" s="350">
        <f t="shared" si="2"/>
        <v>146721</v>
      </c>
    </row>
    <row r="23" spans="1:17" x14ac:dyDescent="0.3">
      <c r="A23" s="537"/>
      <c r="B23" s="538"/>
      <c r="C23" s="538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538"/>
      <c r="O23" s="538"/>
      <c r="P23" s="539"/>
    </row>
    <row r="24" spans="1:17" ht="15.6" x14ac:dyDescent="0.3">
      <c r="A24" s="470" t="s">
        <v>179</v>
      </c>
      <c r="B24" s="359" t="s">
        <v>153</v>
      </c>
      <c r="C24" s="359" t="s">
        <v>152</v>
      </c>
      <c r="D24" s="360">
        <f>D9-D22</f>
        <v>3425</v>
      </c>
      <c r="E24" s="360">
        <f t="shared" ref="E24:P24" si="3">E9-E22</f>
        <v>4056</v>
      </c>
      <c r="F24" s="360">
        <f t="shared" si="3"/>
        <v>3854</v>
      </c>
      <c r="G24" s="360">
        <f t="shared" si="3"/>
        <v>4457</v>
      </c>
      <c r="H24" s="360">
        <f t="shared" si="3"/>
        <v>4782</v>
      </c>
      <c r="I24" s="360">
        <f t="shared" si="3"/>
        <v>4123</v>
      </c>
      <c r="J24" s="360">
        <f t="shared" si="3"/>
        <v>5940</v>
      </c>
      <c r="K24" s="360">
        <f t="shared" si="3"/>
        <v>4420</v>
      </c>
      <c r="L24" s="360">
        <f t="shared" si="3"/>
        <v>6312</v>
      </c>
      <c r="M24" s="360">
        <f t="shared" si="3"/>
        <v>5695</v>
      </c>
      <c r="N24" s="360">
        <f t="shared" si="3"/>
        <v>2977</v>
      </c>
      <c r="O24" s="360">
        <v>4959</v>
      </c>
      <c r="P24" s="361">
        <f t="shared" si="3"/>
        <v>55000</v>
      </c>
    </row>
    <row r="25" spans="1:17" ht="15.6" x14ac:dyDescent="0.3">
      <c r="A25" s="472"/>
      <c r="B25" s="374" t="s">
        <v>151</v>
      </c>
      <c r="C25" s="548" t="s">
        <v>6</v>
      </c>
      <c r="D25" s="549">
        <f t="shared" ref="D25:P25" si="4">D24/D9</f>
        <v>0.2351043382756727</v>
      </c>
      <c r="E25" s="549">
        <f t="shared" si="4"/>
        <v>0.28599633338034125</v>
      </c>
      <c r="F25" s="549">
        <f t="shared" si="4"/>
        <v>0.2328982354363065</v>
      </c>
      <c r="G25" s="549">
        <f t="shared" si="4"/>
        <v>0.26547143963309311</v>
      </c>
      <c r="H25" s="549">
        <f t="shared" si="4"/>
        <v>0.26376172090457806</v>
      </c>
      <c r="I25" s="549">
        <f t="shared" si="4"/>
        <v>0.24252941176470588</v>
      </c>
      <c r="J25" s="549">
        <f t="shared" si="4"/>
        <v>0.31091337346244441</v>
      </c>
      <c r="K25" s="549">
        <f t="shared" si="4"/>
        <v>0.25257142857142856</v>
      </c>
      <c r="L25" s="549">
        <f t="shared" si="4"/>
        <v>0.32893845432278912</v>
      </c>
      <c r="M25" s="549">
        <f t="shared" si="4"/>
        <v>0.34235046588518186</v>
      </c>
      <c r="N25" s="549">
        <f t="shared" si="4"/>
        <v>0.18260442863276696</v>
      </c>
      <c r="O25" s="549">
        <v>0.31441795587116411</v>
      </c>
      <c r="P25" s="550">
        <f t="shared" si="4"/>
        <v>0.2726538139311227</v>
      </c>
    </row>
    <row r="26" spans="1:17" x14ac:dyDescent="0.3">
      <c r="A26" s="475" t="s">
        <v>150</v>
      </c>
      <c r="B26" s="476"/>
      <c r="C26" s="476"/>
      <c r="D26" s="476"/>
      <c r="E26" s="476"/>
      <c r="F26" s="476"/>
      <c r="G26" s="476"/>
      <c r="H26" s="476"/>
      <c r="I26" s="476"/>
      <c r="J26" s="476"/>
      <c r="K26" s="476"/>
      <c r="L26" s="476"/>
      <c r="M26" s="476"/>
      <c r="N26" s="476"/>
      <c r="O26" s="476"/>
      <c r="P26" s="477"/>
    </row>
    <row r="27" spans="1:17" x14ac:dyDescent="0.3">
      <c r="A27" s="467" t="s">
        <v>149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9"/>
    </row>
    <row r="28" spans="1:17" ht="15.6" x14ac:dyDescent="0.3">
      <c r="A28" s="366" t="s">
        <v>148</v>
      </c>
      <c r="B28" s="367" t="s">
        <v>147</v>
      </c>
      <c r="C28" s="368"/>
      <c r="D28" s="369"/>
      <c r="E28" s="369"/>
      <c r="F28" s="369"/>
      <c r="G28" s="369"/>
      <c r="H28" s="369"/>
      <c r="I28" s="369"/>
      <c r="J28" s="370"/>
      <c r="K28" s="370"/>
      <c r="L28" s="370"/>
      <c r="M28" s="370"/>
      <c r="N28" s="370"/>
      <c r="O28" s="369"/>
      <c r="P28" s="371"/>
    </row>
    <row r="29" spans="1:17" ht="15.6" x14ac:dyDescent="0.3">
      <c r="A29" s="249" t="s">
        <v>146</v>
      </c>
      <c r="B29" s="642">
        <v>5111.67</v>
      </c>
      <c r="C29" s="359" t="s">
        <v>140</v>
      </c>
      <c r="D29" s="43">
        <v>50</v>
      </c>
      <c r="E29" s="43">
        <v>50</v>
      </c>
      <c r="F29" s="43">
        <v>50</v>
      </c>
      <c r="G29" s="43">
        <v>49</v>
      </c>
      <c r="H29" s="43">
        <v>39</v>
      </c>
      <c r="I29" s="43">
        <v>35</v>
      </c>
      <c r="J29" s="43">
        <v>42</v>
      </c>
      <c r="K29" s="43">
        <v>42</v>
      </c>
      <c r="L29" s="372">
        <v>40</v>
      </c>
      <c r="M29" s="372">
        <v>39</v>
      </c>
      <c r="N29" s="372">
        <v>41</v>
      </c>
      <c r="O29" s="372">
        <v>40</v>
      </c>
      <c r="P29" s="373">
        <f>SUM(D29:O29)</f>
        <v>517</v>
      </c>
    </row>
    <row r="30" spans="1:17" ht="15.6" x14ac:dyDescent="0.3">
      <c r="A30" s="250"/>
      <c r="B30" s="642"/>
      <c r="C30" s="374" t="s">
        <v>139</v>
      </c>
      <c r="D30" s="15">
        <f t="shared" ref="D30:F30" si="5">D29/(D9/1000)</f>
        <v>3.4321801208127405</v>
      </c>
      <c r="E30" s="15">
        <f t="shared" si="5"/>
        <v>3.5255958256945421</v>
      </c>
      <c r="F30" s="15">
        <f t="shared" si="5"/>
        <v>3.0215131737974379</v>
      </c>
      <c r="G30" s="375">
        <f t="shared" ref="G30:P30" si="6">G29/(G9/1000)</f>
        <v>2.9185776401215078</v>
      </c>
      <c r="H30" s="375">
        <f t="shared" si="6"/>
        <v>2.1511307225592939</v>
      </c>
      <c r="I30" s="15">
        <f t="shared" si="6"/>
        <v>2.0588235294117645</v>
      </c>
      <c r="J30" s="15">
        <f t="shared" si="6"/>
        <v>2.1983773881182938</v>
      </c>
      <c r="K30" s="15">
        <f t="shared" si="6"/>
        <v>2.4</v>
      </c>
      <c r="L30" s="375">
        <v>2.0845275939340246</v>
      </c>
      <c r="M30" s="375">
        <f t="shared" si="6"/>
        <v>2.3444544634806128</v>
      </c>
      <c r="N30" s="375">
        <f t="shared" si="6"/>
        <v>2.5148745629638714</v>
      </c>
      <c r="O30" s="375">
        <v>2.5361399949277201</v>
      </c>
      <c r="P30" s="376">
        <f t="shared" si="6"/>
        <v>2.5629458509525533</v>
      </c>
    </row>
    <row r="31" spans="1:17" ht="15.6" x14ac:dyDescent="0.3">
      <c r="A31" s="249" t="s">
        <v>145</v>
      </c>
      <c r="B31" s="642">
        <v>1537</v>
      </c>
      <c r="C31" s="359" t="s">
        <v>140</v>
      </c>
      <c r="D31" s="43"/>
      <c r="E31" s="43"/>
      <c r="F31" s="43"/>
      <c r="G31" s="372"/>
      <c r="H31" s="372"/>
      <c r="I31" s="372"/>
      <c r="J31" s="372"/>
      <c r="K31" s="372"/>
      <c r="L31" s="372"/>
      <c r="M31" s="372"/>
      <c r="N31" s="372"/>
      <c r="O31" s="372"/>
      <c r="P31" s="373">
        <f>SUM(D31:O31)</f>
        <v>0</v>
      </c>
    </row>
    <row r="32" spans="1:17" ht="15.6" x14ac:dyDescent="0.3">
      <c r="A32" s="250"/>
      <c r="B32" s="642"/>
      <c r="C32" s="374" t="s">
        <v>139</v>
      </c>
      <c r="D32" s="15">
        <f t="shared" ref="D32:F32" si="7">D31/(D9/1000)</f>
        <v>0</v>
      </c>
      <c r="E32" s="15">
        <f t="shared" si="7"/>
        <v>0</v>
      </c>
      <c r="F32" s="15">
        <f t="shared" si="7"/>
        <v>0</v>
      </c>
      <c r="G32" s="375">
        <f t="shared" ref="G32:P32" si="8">G31/(G9/1000)</f>
        <v>0</v>
      </c>
      <c r="H32" s="375">
        <f t="shared" si="8"/>
        <v>0</v>
      </c>
      <c r="I32" s="375">
        <f t="shared" si="8"/>
        <v>0</v>
      </c>
      <c r="J32" s="375">
        <f t="shared" si="8"/>
        <v>0</v>
      </c>
      <c r="K32" s="375">
        <f t="shared" si="8"/>
        <v>0</v>
      </c>
      <c r="L32" s="375">
        <f t="shared" si="8"/>
        <v>0</v>
      </c>
      <c r="M32" s="375">
        <f t="shared" si="8"/>
        <v>0</v>
      </c>
      <c r="N32" s="375">
        <f t="shared" si="8"/>
        <v>0</v>
      </c>
      <c r="O32" s="375">
        <v>0</v>
      </c>
      <c r="P32" s="376">
        <f t="shared" si="8"/>
        <v>0</v>
      </c>
    </row>
    <row r="33" spans="1:16" ht="15.6" x14ac:dyDescent="0.3">
      <c r="A33" s="249" t="s">
        <v>144</v>
      </c>
      <c r="B33" s="642">
        <v>1781.02</v>
      </c>
      <c r="C33" s="359" t="s">
        <v>140</v>
      </c>
      <c r="D33" s="43"/>
      <c r="E33" s="43"/>
      <c r="F33" s="43"/>
      <c r="G33" s="372"/>
      <c r="H33" s="372"/>
      <c r="I33" s="372"/>
      <c r="J33" s="372"/>
      <c r="K33" s="372"/>
      <c r="L33" s="372"/>
      <c r="M33" s="372"/>
      <c r="N33" s="372"/>
      <c r="O33" s="372"/>
      <c r="P33" s="373">
        <f>SUM(D33:O33)</f>
        <v>0</v>
      </c>
    </row>
    <row r="34" spans="1:16" ht="15.6" x14ac:dyDescent="0.3">
      <c r="A34" s="250"/>
      <c r="B34" s="642"/>
      <c r="C34" s="374" t="s">
        <v>139</v>
      </c>
      <c r="D34" s="15">
        <f t="shared" ref="D34:F34" si="9">D33/(D9/1000)</f>
        <v>0</v>
      </c>
      <c r="E34" s="15">
        <f t="shared" si="9"/>
        <v>0</v>
      </c>
      <c r="F34" s="15">
        <f t="shared" si="9"/>
        <v>0</v>
      </c>
      <c r="G34" s="375">
        <f t="shared" ref="G34:P34" si="10">G33/(G9/1000)</f>
        <v>0</v>
      </c>
      <c r="H34" s="375">
        <f t="shared" si="10"/>
        <v>0</v>
      </c>
      <c r="I34" s="375">
        <f t="shared" si="10"/>
        <v>0</v>
      </c>
      <c r="J34" s="375">
        <f t="shared" si="10"/>
        <v>0</v>
      </c>
      <c r="K34" s="375">
        <f t="shared" si="10"/>
        <v>0</v>
      </c>
      <c r="L34" s="375">
        <f t="shared" si="10"/>
        <v>0</v>
      </c>
      <c r="M34" s="375">
        <f t="shared" si="10"/>
        <v>0</v>
      </c>
      <c r="N34" s="375">
        <f t="shared" si="10"/>
        <v>0</v>
      </c>
      <c r="O34" s="375">
        <v>0</v>
      </c>
      <c r="P34" s="376">
        <f t="shared" si="10"/>
        <v>0</v>
      </c>
    </row>
    <row r="35" spans="1:16" ht="15.6" x14ac:dyDescent="0.3">
      <c r="A35" s="249" t="s">
        <v>143</v>
      </c>
      <c r="B35" s="642">
        <v>5979.95</v>
      </c>
      <c r="C35" s="359" t="s">
        <v>126</v>
      </c>
      <c r="D35" s="13">
        <v>0</v>
      </c>
      <c r="E35" s="13"/>
      <c r="F35" s="13"/>
      <c r="G35" s="377"/>
      <c r="H35" s="377"/>
      <c r="I35" s="377"/>
      <c r="J35" s="377"/>
      <c r="K35" s="377"/>
      <c r="L35" s="377"/>
      <c r="M35" s="377"/>
      <c r="N35" s="377"/>
      <c r="O35" s="377"/>
      <c r="P35" s="376"/>
    </row>
    <row r="36" spans="1:16" ht="15.6" x14ac:dyDescent="0.3">
      <c r="A36" s="250"/>
      <c r="B36" s="642"/>
      <c r="C36" s="359" t="s">
        <v>142</v>
      </c>
      <c r="D36" s="13"/>
      <c r="E36" s="13"/>
      <c r="F36" s="13"/>
      <c r="G36" s="377"/>
      <c r="H36" s="377"/>
      <c r="I36" s="377"/>
      <c r="J36" s="377"/>
      <c r="K36" s="377"/>
      <c r="L36" s="377"/>
      <c r="M36" s="377"/>
      <c r="N36" s="377"/>
      <c r="O36" s="377"/>
      <c r="P36" s="376"/>
    </row>
    <row r="37" spans="1:16" ht="15.6" x14ac:dyDescent="0.3">
      <c r="A37" s="249" t="s">
        <v>186</v>
      </c>
      <c r="B37" s="642">
        <v>5403.75</v>
      </c>
      <c r="C37" s="359" t="s">
        <v>126</v>
      </c>
      <c r="D37" s="43">
        <v>0</v>
      </c>
      <c r="E37" s="43">
        <v>0</v>
      </c>
      <c r="F37" s="43">
        <v>0</v>
      </c>
      <c r="G37" s="372">
        <v>0</v>
      </c>
      <c r="H37" s="372">
        <v>0</v>
      </c>
      <c r="I37" s="372">
        <v>0</v>
      </c>
      <c r="J37" s="372">
        <v>0</v>
      </c>
      <c r="K37" s="372">
        <v>0</v>
      </c>
      <c r="L37" s="372">
        <v>0</v>
      </c>
      <c r="M37" s="372">
        <v>0</v>
      </c>
      <c r="N37" s="372">
        <v>0</v>
      </c>
      <c r="O37" s="372">
        <v>0</v>
      </c>
      <c r="P37" s="373">
        <f>SUM(D37:O37)</f>
        <v>0</v>
      </c>
    </row>
    <row r="38" spans="1:16" ht="15.6" x14ac:dyDescent="0.3">
      <c r="A38" s="250"/>
      <c r="B38" s="642"/>
      <c r="C38" s="359" t="s">
        <v>142</v>
      </c>
      <c r="D38" s="15">
        <f t="shared" ref="D38:F38" si="11">D37/(D9/1000)</f>
        <v>0</v>
      </c>
      <c r="E38" s="15">
        <f t="shared" si="11"/>
        <v>0</v>
      </c>
      <c r="F38" s="15">
        <f t="shared" si="11"/>
        <v>0</v>
      </c>
      <c r="G38" s="375">
        <f t="shared" ref="G38:P38" si="12">G37/(G9/1000)</f>
        <v>0</v>
      </c>
      <c r="H38" s="375">
        <f t="shared" si="12"/>
        <v>0</v>
      </c>
      <c r="I38" s="375">
        <f t="shared" si="12"/>
        <v>0</v>
      </c>
      <c r="J38" s="375">
        <f t="shared" si="12"/>
        <v>0</v>
      </c>
      <c r="K38" s="375">
        <f t="shared" si="12"/>
        <v>0</v>
      </c>
      <c r="L38" s="375">
        <f t="shared" si="12"/>
        <v>0</v>
      </c>
      <c r="M38" s="375">
        <f t="shared" si="12"/>
        <v>0</v>
      </c>
      <c r="N38" s="375">
        <f t="shared" si="12"/>
        <v>0</v>
      </c>
      <c r="O38" s="375">
        <v>0</v>
      </c>
      <c r="P38" s="376">
        <f t="shared" si="12"/>
        <v>0</v>
      </c>
    </row>
    <row r="39" spans="1:16" ht="15.6" x14ac:dyDescent="0.3">
      <c r="A39" s="249" t="s">
        <v>141</v>
      </c>
      <c r="B39" s="642">
        <v>1950</v>
      </c>
      <c r="C39" s="359" t="s">
        <v>140</v>
      </c>
      <c r="D39" s="43">
        <v>0</v>
      </c>
      <c r="E39" s="43">
        <v>0</v>
      </c>
      <c r="F39" s="43">
        <v>0</v>
      </c>
      <c r="G39" s="372">
        <v>0</v>
      </c>
      <c r="H39" s="372">
        <v>0</v>
      </c>
      <c r="I39" s="372">
        <v>0</v>
      </c>
      <c r="J39" s="372">
        <v>0</v>
      </c>
      <c r="K39" s="372">
        <v>0</v>
      </c>
      <c r="L39" s="372">
        <v>0</v>
      </c>
      <c r="M39" s="372">
        <v>0</v>
      </c>
      <c r="N39" s="372">
        <v>0</v>
      </c>
      <c r="O39" s="372">
        <v>0</v>
      </c>
      <c r="P39" s="373">
        <f>SUM(D39:O39)</f>
        <v>0</v>
      </c>
    </row>
    <row r="40" spans="1:16" ht="15.6" x14ac:dyDescent="0.3">
      <c r="A40" s="250"/>
      <c r="B40" s="642"/>
      <c r="C40" s="374" t="s">
        <v>139</v>
      </c>
      <c r="D40" s="15">
        <f t="shared" ref="D40:F40" si="13">D39/(D9/1000)</f>
        <v>0</v>
      </c>
      <c r="E40" s="15">
        <f t="shared" si="13"/>
        <v>0</v>
      </c>
      <c r="F40" s="15">
        <f t="shared" si="13"/>
        <v>0</v>
      </c>
      <c r="G40" s="375">
        <f t="shared" ref="G40:P40" si="14">G39/(G9/1000)</f>
        <v>0</v>
      </c>
      <c r="H40" s="375">
        <f t="shared" si="14"/>
        <v>0</v>
      </c>
      <c r="I40" s="375">
        <f t="shared" si="14"/>
        <v>0</v>
      </c>
      <c r="J40" s="375">
        <f t="shared" si="14"/>
        <v>0</v>
      </c>
      <c r="K40" s="375">
        <f t="shared" si="14"/>
        <v>0</v>
      </c>
      <c r="L40" s="375">
        <f t="shared" si="14"/>
        <v>0</v>
      </c>
      <c r="M40" s="375">
        <f t="shared" si="14"/>
        <v>0</v>
      </c>
      <c r="N40" s="375">
        <f t="shared" si="14"/>
        <v>0</v>
      </c>
      <c r="O40" s="375">
        <v>0</v>
      </c>
      <c r="P40" s="376">
        <f t="shared" si="14"/>
        <v>0</v>
      </c>
    </row>
    <row r="41" spans="1:16" ht="15.6" x14ac:dyDescent="0.3">
      <c r="A41" s="478" t="s">
        <v>138</v>
      </c>
      <c r="B41" s="479"/>
      <c r="C41" s="348" t="s">
        <v>31</v>
      </c>
      <c r="D41" s="378">
        <f>(D29*$B29)+(D31*$B31)+(D33*$B33)+(D35*$B35)+(D37*$B37)+(D39*$B39)</f>
        <v>255583.5</v>
      </c>
      <c r="E41" s="378">
        <f t="shared" ref="E41:N41" si="15">(E29*$B29)+(E31*$B31)+(E33*$B33)+(E35*$B35)+(E37*$B37)+(E39*$B39)</f>
        <v>255583.5</v>
      </c>
      <c r="F41" s="378">
        <f t="shared" si="15"/>
        <v>255583.5</v>
      </c>
      <c r="G41" s="378">
        <f t="shared" si="15"/>
        <v>250471.83000000002</v>
      </c>
      <c r="H41" s="378">
        <f t="shared" si="15"/>
        <v>199355.13</v>
      </c>
      <c r="I41" s="378">
        <f t="shared" si="15"/>
        <v>178908.45</v>
      </c>
      <c r="J41" s="378">
        <f t="shared" si="15"/>
        <v>214690.14</v>
      </c>
      <c r="K41" s="378">
        <f t="shared" si="15"/>
        <v>214690.14</v>
      </c>
      <c r="L41" s="378">
        <f t="shared" si="15"/>
        <v>204466.8</v>
      </c>
      <c r="M41" s="378">
        <f t="shared" si="15"/>
        <v>199355.13</v>
      </c>
      <c r="N41" s="378">
        <f t="shared" si="15"/>
        <v>209578.47</v>
      </c>
      <c r="O41" s="378">
        <v>204466.8</v>
      </c>
      <c r="P41" s="379">
        <f>SUM(D41:O41)</f>
        <v>2642733.39</v>
      </c>
    </row>
    <row r="42" spans="1:16" ht="15.6" x14ac:dyDescent="0.3">
      <c r="A42" s="535" t="s">
        <v>137</v>
      </c>
      <c r="B42" s="536"/>
      <c r="C42" s="374" t="s">
        <v>115</v>
      </c>
      <c r="D42" s="375">
        <f t="shared" ref="D42:P42" si="16">D41/D9</f>
        <v>17.544172158154861</v>
      </c>
      <c r="E42" s="375">
        <f t="shared" si="16"/>
        <v>18.021682414328023</v>
      </c>
      <c r="F42" s="375">
        <f t="shared" si="16"/>
        <v>15.444978245105149</v>
      </c>
      <c r="G42" s="375">
        <f t="shared" si="16"/>
        <v>14.91880576567991</v>
      </c>
      <c r="H42" s="375">
        <f t="shared" si="16"/>
        <v>10.995870380584666</v>
      </c>
      <c r="I42" s="375">
        <f t="shared" si="16"/>
        <v>10.524026470588236</v>
      </c>
      <c r="J42" s="375">
        <f t="shared" si="16"/>
        <v>11.237379743522638</v>
      </c>
      <c r="K42" s="375">
        <f t="shared" si="16"/>
        <v>12.268008</v>
      </c>
      <c r="L42" s="375">
        <f t="shared" si="16"/>
        <v>10.655417166084735</v>
      </c>
      <c r="M42" s="375">
        <f t="shared" si="16"/>
        <v>11.984077547339947</v>
      </c>
      <c r="N42" s="375">
        <f t="shared" si="16"/>
        <v>12.855208857265534</v>
      </c>
      <c r="O42" s="375">
        <v>12.963910727872177</v>
      </c>
      <c r="P42" s="380">
        <f t="shared" si="16"/>
        <v>13.100933417938638</v>
      </c>
    </row>
    <row r="43" spans="1:16" x14ac:dyDescent="0.3">
      <c r="A43" s="524" t="s">
        <v>136</v>
      </c>
      <c r="B43" s="525"/>
      <c r="C43" s="525"/>
      <c r="D43" s="525"/>
      <c r="E43" s="525"/>
      <c r="F43" s="525"/>
      <c r="G43" s="525"/>
      <c r="H43" s="525"/>
      <c r="I43" s="525"/>
      <c r="J43" s="525"/>
      <c r="K43" s="525"/>
      <c r="L43" s="525"/>
      <c r="M43" s="525"/>
      <c r="N43" s="525"/>
      <c r="O43" s="525"/>
      <c r="P43" s="526"/>
    </row>
    <row r="44" spans="1:16" ht="15.6" x14ac:dyDescent="0.3">
      <c r="A44" s="478" t="s">
        <v>135</v>
      </c>
      <c r="B44" s="479"/>
      <c r="C44" s="348" t="s">
        <v>134</v>
      </c>
      <c r="D44" s="4">
        <v>7392</v>
      </c>
      <c r="E44" s="43">
        <v>8345</v>
      </c>
      <c r="F44" s="43">
        <v>9368</v>
      </c>
      <c r="G44" s="43">
        <v>9345</v>
      </c>
      <c r="H44" s="43">
        <v>6080</v>
      </c>
      <c r="I44" s="43">
        <v>7251</v>
      </c>
      <c r="J44" s="43">
        <v>12487</v>
      </c>
      <c r="K44" s="43">
        <v>8789</v>
      </c>
      <c r="L44" s="372">
        <v>10886</v>
      </c>
      <c r="M44" s="372">
        <v>9473</v>
      </c>
      <c r="N44" s="372">
        <v>8766</v>
      </c>
      <c r="O44" s="372">
        <v>8157</v>
      </c>
      <c r="P44" s="379">
        <f>SUM(D44:O44)</f>
        <v>106339</v>
      </c>
    </row>
    <row r="45" spans="1:16" ht="15.6" x14ac:dyDescent="0.3">
      <c r="A45" s="535" t="s">
        <v>133</v>
      </c>
      <c r="B45" s="536"/>
      <c r="C45" s="374" t="s">
        <v>132</v>
      </c>
      <c r="D45" s="15">
        <f t="shared" ref="D45:F45" si="17">D44/D9</f>
        <v>0.5074135090609555</v>
      </c>
      <c r="E45" s="15">
        <f t="shared" si="17"/>
        <v>0.58842194330841913</v>
      </c>
      <c r="F45" s="15">
        <f t="shared" si="17"/>
        <v>0.56611070824268794</v>
      </c>
      <c r="G45" s="375">
        <f t="shared" ref="G45:P45" si="18">G44/G9</f>
        <v>0.55661444993745901</v>
      </c>
      <c r="H45" s="375">
        <f t="shared" si="18"/>
        <v>0.33535576392719252</v>
      </c>
      <c r="I45" s="15">
        <f t="shared" si="18"/>
        <v>0.42652941176470588</v>
      </c>
      <c r="J45" s="15">
        <f t="shared" si="18"/>
        <v>0.65359853441507454</v>
      </c>
      <c r="K45" s="375">
        <f t="shared" si="18"/>
        <v>0.50222857142857147</v>
      </c>
      <c r="L45" s="375">
        <v>0.56730418468914479</v>
      </c>
      <c r="M45" s="375">
        <f t="shared" si="18"/>
        <v>0.56946197775773966</v>
      </c>
      <c r="N45" s="375">
        <f t="shared" si="18"/>
        <v>0.53769244924247073</v>
      </c>
      <c r="O45" s="375">
        <v>0.51718234846563527</v>
      </c>
      <c r="P45" s="376">
        <f t="shared" si="18"/>
        <v>0.52715879853857561</v>
      </c>
    </row>
    <row r="46" spans="1:16" ht="15.6" x14ac:dyDescent="0.3">
      <c r="A46" s="490" t="s">
        <v>131</v>
      </c>
      <c r="B46" s="491"/>
      <c r="C46" s="359" t="s">
        <v>31</v>
      </c>
      <c r="D46" s="381">
        <f>1.165*(14100+(D44*119.1))</f>
        <v>1042077.588</v>
      </c>
      <c r="E46" s="381">
        <f t="shared" ref="E46:N46" si="19">1.165*(14100+(E44*119.1))</f>
        <v>1174307.7675000001</v>
      </c>
      <c r="F46" s="381">
        <f t="shared" si="19"/>
        <v>1316250.5520000001</v>
      </c>
      <c r="G46" s="381">
        <f t="shared" si="19"/>
        <v>1313059.2675000001</v>
      </c>
      <c r="H46" s="381">
        <f t="shared" si="19"/>
        <v>860035.62</v>
      </c>
      <c r="I46" s="381">
        <v>891292.92</v>
      </c>
      <c r="J46" s="381">
        <f t="shared" si="19"/>
        <v>1749016.4805000001</v>
      </c>
      <c r="K46" s="381">
        <f t="shared" si="19"/>
        <v>1235913.4335</v>
      </c>
      <c r="L46" s="381">
        <f t="shared" si="19"/>
        <v>1526875.3289999999</v>
      </c>
      <c r="M46" s="381">
        <f t="shared" si="19"/>
        <v>1330819.4595000001</v>
      </c>
      <c r="N46" s="381">
        <f t="shared" si="19"/>
        <v>1232722.1490000002</v>
      </c>
      <c r="O46" s="381">
        <v>1148222.4855</v>
      </c>
      <c r="P46" s="379">
        <f>SUM(D46:O46)</f>
        <v>14820593.052000001</v>
      </c>
    </row>
    <row r="47" spans="1:16" s="354" customFormat="1" ht="15.6" x14ac:dyDescent="0.3">
      <c r="A47" s="478" t="s">
        <v>130</v>
      </c>
      <c r="B47" s="479"/>
      <c r="C47" s="348" t="s">
        <v>115</v>
      </c>
      <c r="D47" s="15">
        <f t="shared" ref="D47:F47" si="20">D46/D9</f>
        <v>71.531959637561783</v>
      </c>
      <c r="E47" s="15">
        <f t="shared" si="20"/>
        <v>82.80269126357355</v>
      </c>
      <c r="F47" s="15">
        <f t="shared" si="20"/>
        <v>79.541367657723001</v>
      </c>
      <c r="G47" s="375">
        <f t="shared" ref="G47:P47" si="21">G46/G9</f>
        <v>78.209498332241353</v>
      </c>
      <c r="H47" s="375">
        <f t="shared" si="21"/>
        <v>47.437154991726423</v>
      </c>
      <c r="I47" s="15">
        <f t="shared" si="21"/>
        <v>52.428995294117648</v>
      </c>
      <c r="J47" s="15">
        <f t="shared" si="21"/>
        <v>91.547578147081921</v>
      </c>
      <c r="K47" s="375">
        <f t="shared" si="21"/>
        <v>70.623624771428581</v>
      </c>
      <c r="L47" s="375">
        <f t="shared" si="21"/>
        <v>79.570343894939811</v>
      </c>
      <c r="M47" s="375">
        <f t="shared" si="21"/>
        <v>80.001169792605964</v>
      </c>
      <c r="N47" s="375">
        <f t="shared" si="21"/>
        <v>75.613209163957563</v>
      </c>
      <c r="O47" s="375">
        <v>72.801324213796605</v>
      </c>
      <c r="P47" s="376">
        <f t="shared" si="21"/>
        <v>73.470749460889053</v>
      </c>
    </row>
    <row r="48" spans="1:16" x14ac:dyDescent="0.3">
      <c r="A48" s="524" t="s">
        <v>129</v>
      </c>
      <c r="B48" s="525"/>
      <c r="C48" s="525"/>
      <c r="D48" s="525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25"/>
      <c r="P48" s="526"/>
    </row>
    <row r="49" spans="1:16" ht="15.6" x14ac:dyDescent="0.3">
      <c r="A49" s="478" t="s">
        <v>128</v>
      </c>
      <c r="B49" s="479"/>
      <c r="C49" s="359" t="s">
        <v>127</v>
      </c>
      <c r="D49" s="4">
        <v>0</v>
      </c>
      <c r="E49" s="4">
        <v>0</v>
      </c>
      <c r="F49" s="4">
        <v>0</v>
      </c>
      <c r="G49" s="4">
        <v>0</v>
      </c>
      <c r="H49" s="382"/>
      <c r="I49" s="382"/>
      <c r="J49" s="382"/>
      <c r="K49" s="382"/>
      <c r="L49" s="382"/>
      <c r="M49" s="382"/>
      <c r="N49" s="382"/>
      <c r="O49" s="382"/>
      <c r="P49" s="379">
        <f>SUM(D49:O49)</f>
        <v>0</v>
      </c>
    </row>
    <row r="50" spans="1:16" ht="15.6" x14ac:dyDescent="0.3">
      <c r="A50" s="478" t="s">
        <v>187</v>
      </c>
      <c r="B50" s="479"/>
      <c r="C50" s="359" t="s">
        <v>126</v>
      </c>
      <c r="D50" s="4">
        <v>0</v>
      </c>
      <c r="E50" s="4">
        <v>0</v>
      </c>
      <c r="F50" s="4">
        <v>0</v>
      </c>
      <c r="G50" s="4">
        <v>0</v>
      </c>
      <c r="H50" s="382"/>
      <c r="I50" s="382"/>
      <c r="J50" s="382"/>
      <c r="K50" s="382"/>
      <c r="L50" s="382"/>
      <c r="M50" s="382"/>
      <c r="N50" s="382"/>
      <c r="O50" s="382"/>
      <c r="P50" s="379">
        <f>SUM(D50:O50)</f>
        <v>0</v>
      </c>
    </row>
    <row r="51" spans="1:16" ht="15.6" x14ac:dyDescent="0.3">
      <c r="A51" s="490" t="s">
        <v>125</v>
      </c>
      <c r="B51" s="491"/>
      <c r="C51" s="359" t="s">
        <v>31</v>
      </c>
      <c r="D51" s="13">
        <v>0</v>
      </c>
      <c r="E51" s="13">
        <v>0</v>
      </c>
      <c r="F51" s="13">
        <v>0</v>
      </c>
      <c r="G51" s="13">
        <v>0</v>
      </c>
      <c r="H51" s="377"/>
      <c r="I51" s="377"/>
      <c r="J51" s="377"/>
      <c r="K51" s="377"/>
      <c r="L51" s="377"/>
      <c r="M51" s="377"/>
      <c r="N51" s="377"/>
      <c r="O51" s="377"/>
      <c r="P51" s="383">
        <f>SUM(D51:O51)</f>
        <v>0</v>
      </c>
    </row>
    <row r="52" spans="1:16" ht="15.6" x14ac:dyDescent="0.3">
      <c r="A52" s="478" t="s">
        <v>124</v>
      </c>
      <c r="B52" s="479"/>
      <c r="C52" s="359" t="s">
        <v>31</v>
      </c>
      <c r="D52" s="13">
        <v>0</v>
      </c>
      <c r="E52" s="13">
        <v>0</v>
      </c>
      <c r="F52" s="13">
        <v>0</v>
      </c>
      <c r="G52" s="13">
        <v>0</v>
      </c>
      <c r="H52" s="377">
        <v>0</v>
      </c>
      <c r="I52" s="377">
        <v>0</v>
      </c>
      <c r="J52" s="377">
        <v>0</v>
      </c>
      <c r="K52" s="377">
        <v>0</v>
      </c>
      <c r="L52" s="377">
        <v>0</v>
      </c>
      <c r="M52" s="377">
        <v>0</v>
      </c>
      <c r="N52" s="377">
        <v>0</v>
      </c>
      <c r="O52" s="377">
        <v>0</v>
      </c>
      <c r="P52" s="383">
        <f>SUM(D52:O52)</f>
        <v>0</v>
      </c>
    </row>
    <row r="53" spans="1:16" x14ac:dyDescent="0.3">
      <c r="A53" s="524" t="s">
        <v>123</v>
      </c>
      <c r="B53" s="525"/>
      <c r="C53" s="525"/>
      <c r="D53" s="525"/>
      <c r="E53" s="525"/>
      <c r="F53" s="525"/>
      <c r="G53" s="525"/>
      <c r="H53" s="525"/>
      <c r="I53" s="525"/>
      <c r="J53" s="525"/>
      <c r="K53" s="525"/>
      <c r="L53" s="525"/>
      <c r="M53" s="525"/>
      <c r="N53" s="525"/>
      <c r="O53" s="525"/>
      <c r="P53" s="526"/>
    </row>
    <row r="54" spans="1:16" ht="15.6" x14ac:dyDescent="0.3">
      <c r="A54" s="478" t="s">
        <v>122</v>
      </c>
      <c r="B54" s="479"/>
      <c r="C54" s="348" t="s">
        <v>18</v>
      </c>
      <c r="D54" s="13">
        <v>3430711.59</v>
      </c>
      <c r="E54" s="13">
        <v>4211831.29</v>
      </c>
      <c r="F54" s="13">
        <v>3379844.53</v>
      </c>
      <c r="G54" s="13">
        <f>AVERAGE(D54:F54)</f>
        <v>3674129.1366666667</v>
      </c>
      <c r="H54" s="555">
        <v>3522179.23</v>
      </c>
      <c r="I54" s="13">
        <f>AVERAGE(D54:H54)</f>
        <v>3643739.1553333336</v>
      </c>
      <c r="J54" s="13">
        <v>3591772.43</v>
      </c>
      <c r="K54" s="13">
        <v>3684749.67</v>
      </c>
      <c r="L54" s="377">
        <v>3021763.22</v>
      </c>
      <c r="M54" s="377">
        <v>5899475.6299999999</v>
      </c>
      <c r="N54" s="377"/>
      <c r="O54" s="377">
        <v>4898086</v>
      </c>
      <c r="P54" s="379">
        <f>SUM(D54:O54)</f>
        <v>42958281.881999999</v>
      </c>
    </row>
    <row r="55" spans="1:16" ht="15.6" x14ac:dyDescent="0.3">
      <c r="A55" s="384" t="s">
        <v>121</v>
      </c>
      <c r="B55" s="358"/>
      <c r="C55" s="348" t="s">
        <v>18</v>
      </c>
      <c r="D55" s="13">
        <v>1207512.3600000001</v>
      </c>
      <c r="E55" s="13">
        <v>1287617.8600000001</v>
      </c>
      <c r="F55" s="13">
        <v>1218619.25</v>
      </c>
      <c r="G55" s="13">
        <f>AVERAGE(D55:F55)</f>
        <v>1237916.49</v>
      </c>
      <c r="H55" s="555">
        <v>1238975.45</v>
      </c>
      <c r="I55" s="13">
        <v>1199872.21</v>
      </c>
      <c r="J55" s="13">
        <v>1203875.94</v>
      </c>
      <c r="K55" s="13">
        <v>1218319.68</v>
      </c>
      <c r="L55" s="377">
        <v>1058794.68</v>
      </c>
      <c r="M55" s="377">
        <v>1170215.6274999999</v>
      </c>
      <c r="N55" s="377"/>
      <c r="O55" s="377">
        <v>1375759</v>
      </c>
      <c r="P55" s="379">
        <f>SUM(D55:O55)</f>
        <v>13417478.547499999</v>
      </c>
    </row>
    <row r="56" spans="1:16" ht="15.6" x14ac:dyDescent="0.3">
      <c r="A56" s="478" t="s">
        <v>120</v>
      </c>
      <c r="B56" s="479"/>
      <c r="C56" s="359" t="s">
        <v>18</v>
      </c>
      <c r="D56" s="13">
        <v>761702.12</v>
      </c>
      <c r="E56" s="13">
        <v>596817</v>
      </c>
      <c r="F56" s="13">
        <v>524678</v>
      </c>
      <c r="G56" s="13">
        <v>327821.34000000003</v>
      </c>
      <c r="H56" s="555">
        <f>AVERAGE(D56:G56)</f>
        <v>552754.61499999999</v>
      </c>
      <c r="I56" s="13">
        <v>491650.21</v>
      </c>
      <c r="J56" s="13">
        <v>411741.95</v>
      </c>
      <c r="K56" s="13">
        <v>395200</v>
      </c>
      <c r="L56" s="377">
        <v>695940</v>
      </c>
      <c r="M56" s="377">
        <v>498633.04000000004</v>
      </c>
      <c r="N56" s="377"/>
      <c r="O56" s="377">
        <v>429250</v>
      </c>
      <c r="P56" s="379">
        <f>SUM(D56:O56)</f>
        <v>5686188.2750000004</v>
      </c>
    </row>
    <row r="57" spans="1:16" x14ac:dyDescent="0.3">
      <c r="A57" s="524" t="s">
        <v>119</v>
      </c>
      <c r="B57" s="525"/>
      <c r="C57" s="525"/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525"/>
      <c r="O57" s="525"/>
      <c r="P57" s="526"/>
    </row>
    <row r="58" spans="1:16" ht="15.6" x14ac:dyDescent="0.3">
      <c r="A58" s="490" t="s">
        <v>118</v>
      </c>
      <c r="B58" s="491"/>
      <c r="C58" s="359" t="s">
        <v>18</v>
      </c>
      <c r="D58" s="13">
        <f>D41+D46+D51+D52+D54+D55+D56</f>
        <v>6697587.1579999998</v>
      </c>
      <c r="E58" s="13">
        <f t="shared" ref="E58:F58" si="22">E41+E46+E51+E52+E54+E55+E56</f>
        <v>7526157.4175000004</v>
      </c>
      <c r="F58" s="13">
        <f t="shared" si="22"/>
        <v>6694975.8320000004</v>
      </c>
      <c r="G58" s="377">
        <f t="shared" ref="G58:N58" si="23">G41+G46+G51+G52+G54+G55+G56</f>
        <v>6803398.0641666669</v>
      </c>
      <c r="H58" s="377">
        <f t="shared" si="23"/>
        <v>6373300.0450000009</v>
      </c>
      <c r="I58" s="13">
        <f t="shared" si="23"/>
        <v>6405462.9453333337</v>
      </c>
      <c r="J58" s="377">
        <f t="shared" si="23"/>
        <v>7171096.9404999996</v>
      </c>
      <c r="K58" s="377">
        <f t="shared" si="23"/>
        <v>6748872.9234999996</v>
      </c>
      <c r="L58" s="377">
        <f t="shared" si="23"/>
        <v>6507840.0290000001</v>
      </c>
      <c r="M58" s="377">
        <f t="shared" si="23"/>
        <v>9098498.8869999982</v>
      </c>
      <c r="N58" s="377">
        <f t="shared" si="23"/>
        <v>1442300.6190000002</v>
      </c>
      <c r="O58" s="377">
        <v>8055784.2855000002</v>
      </c>
      <c r="P58" s="385">
        <f>SUM(D58:O58)</f>
        <v>79525275.146500006</v>
      </c>
    </row>
    <row r="59" spans="1:16" ht="15.6" x14ac:dyDescent="0.3">
      <c r="A59" s="490" t="s">
        <v>117</v>
      </c>
      <c r="B59" s="491"/>
      <c r="C59" s="359" t="s">
        <v>115</v>
      </c>
      <c r="D59" s="15">
        <f t="shared" ref="D59:F59" si="24">D58/D9</f>
        <v>459.74651002196595</v>
      </c>
      <c r="E59" s="15">
        <f t="shared" si="24"/>
        <v>530.68378349316038</v>
      </c>
      <c r="F59" s="15">
        <f t="shared" si="24"/>
        <v>404.57915349286924</v>
      </c>
      <c r="G59" s="375">
        <f t="shared" ref="G59:P59" si="25">G58/G9</f>
        <v>405.22949932495487</v>
      </c>
      <c r="H59" s="375">
        <f t="shared" si="25"/>
        <v>351.53337258687264</v>
      </c>
      <c r="I59" s="15">
        <f t="shared" si="25"/>
        <v>376.79193796078431</v>
      </c>
      <c r="J59" s="375">
        <f t="shared" si="25"/>
        <v>375.35184195236849</v>
      </c>
      <c r="K59" s="375">
        <f t="shared" si="25"/>
        <v>385.6498813428571</v>
      </c>
      <c r="L59" s="375">
        <f t="shared" si="25"/>
        <v>339.1443029339726</v>
      </c>
      <c r="M59" s="375">
        <f t="shared" si="25"/>
        <v>546.94913657950099</v>
      </c>
      <c r="N59" s="375">
        <f t="shared" si="25"/>
        <v>88.468418021223101</v>
      </c>
      <c r="O59" s="375">
        <v>510.76491792416942</v>
      </c>
      <c r="P59" s="376">
        <f t="shared" si="25"/>
        <v>394.23399222936632</v>
      </c>
    </row>
    <row r="60" spans="1:16" ht="15.6" x14ac:dyDescent="0.3">
      <c r="A60" s="490" t="s">
        <v>116</v>
      </c>
      <c r="B60" s="491"/>
      <c r="C60" s="359" t="s">
        <v>115</v>
      </c>
      <c r="D60" s="15">
        <f>D58/D22</f>
        <v>601.05780831014988</v>
      </c>
      <c r="E60" s="15">
        <f t="shared" ref="E60:F60" si="26">E58/E22</f>
        <v>743.25078189808414</v>
      </c>
      <c r="F60" s="15">
        <f t="shared" si="26"/>
        <v>527.41262265637317</v>
      </c>
      <c r="G60" s="375">
        <f t="shared" ref="G60:N60" si="27">G58/G22</f>
        <v>551.68651185263275</v>
      </c>
      <c r="H60" s="375">
        <f t="shared" si="27"/>
        <v>477.47228386275106</v>
      </c>
      <c r="I60" s="15">
        <f t="shared" si="27"/>
        <v>497.43441370919732</v>
      </c>
      <c r="J60" s="375">
        <f t="shared" si="27"/>
        <v>544.70922449677175</v>
      </c>
      <c r="K60" s="375">
        <f t="shared" si="27"/>
        <v>515.96887794342501</v>
      </c>
      <c r="L60" s="375">
        <f t="shared" si="27"/>
        <v>505.38479684709171</v>
      </c>
      <c r="M60" s="375">
        <f t="shared" si="27"/>
        <v>831.67265877513694</v>
      </c>
      <c r="N60" s="375">
        <f t="shared" si="27"/>
        <v>108.23207406573617</v>
      </c>
      <c r="O60" s="375">
        <v>745.009182049385</v>
      </c>
      <c r="P60" s="386">
        <f>P58/P22</f>
        <v>542.016992431213</v>
      </c>
    </row>
    <row r="61" spans="1:16" ht="15.6" x14ac:dyDescent="0.3">
      <c r="A61" s="478" t="s">
        <v>114</v>
      </c>
      <c r="B61" s="479"/>
      <c r="C61" s="359" t="s">
        <v>3</v>
      </c>
      <c r="D61" s="4">
        <v>8</v>
      </c>
      <c r="E61" s="4">
        <v>8</v>
      </c>
      <c r="F61" s="4">
        <v>8</v>
      </c>
      <c r="G61" s="4">
        <v>8</v>
      </c>
      <c r="H61" s="4">
        <v>8</v>
      </c>
      <c r="I61" s="4">
        <v>8</v>
      </c>
      <c r="J61" s="4">
        <v>8</v>
      </c>
      <c r="K61" s="4">
        <v>8</v>
      </c>
      <c r="L61" s="382">
        <v>7</v>
      </c>
      <c r="M61" s="382">
        <v>7</v>
      </c>
      <c r="N61" s="382">
        <v>7</v>
      </c>
      <c r="O61" s="382">
        <v>8</v>
      </c>
      <c r="P61" s="387">
        <f>O61</f>
        <v>8</v>
      </c>
    </row>
    <row r="62" spans="1:16" ht="15.6" customHeight="1" x14ac:dyDescent="0.3">
      <c r="A62" s="490" t="s">
        <v>113</v>
      </c>
      <c r="B62" s="491"/>
      <c r="C62" s="359" t="s">
        <v>112</v>
      </c>
      <c r="D62" s="15">
        <f t="shared" ref="D62:F62" si="28">(D61*1000*31)/D9</f>
        <v>17.023613399231191</v>
      </c>
      <c r="E62" s="15">
        <f t="shared" si="28"/>
        <v>17.486955295444929</v>
      </c>
      <c r="F62" s="15">
        <f t="shared" si="28"/>
        <v>14.986705342035291</v>
      </c>
      <c r="G62" s="375">
        <f t="shared" ref="G62:P62" si="29">(G61*1000*31)/G9</f>
        <v>14.771576627553756</v>
      </c>
      <c r="H62" s="375">
        <f t="shared" si="29"/>
        <v>13.678985107556537</v>
      </c>
      <c r="I62" s="15">
        <f t="shared" si="29"/>
        <v>14.588235294117647</v>
      </c>
      <c r="J62" s="375">
        <f t="shared" si="29"/>
        <v>12.980895053650876</v>
      </c>
      <c r="K62" s="375">
        <f t="shared" si="29"/>
        <v>14.171428571428571</v>
      </c>
      <c r="L62" s="375">
        <v>11.308562197092083</v>
      </c>
      <c r="M62" s="375">
        <f t="shared" si="29"/>
        <v>13.04478509167418</v>
      </c>
      <c r="N62" s="375">
        <f t="shared" si="29"/>
        <v>13.310433662516102</v>
      </c>
      <c r="O62" s="375">
        <v>15.724067968551864</v>
      </c>
      <c r="P62" s="376">
        <f t="shared" si="29"/>
        <v>1.2294208337257895</v>
      </c>
    </row>
    <row r="63" spans="1:16" ht="15.6" x14ac:dyDescent="0.3">
      <c r="A63" s="519" t="s">
        <v>111</v>
      </c>
      <c r="B63" s="520"/>
      <c r="C63" s="388" t="s">
        <v>3</v>
      </c>
      <c r="D63" s="4">
        <v>12</v>
      </c>
      <c r="E63" s="4">
        <v>12</v>
      </c>
      <c r="F63" s="4">
        <v>17</v>
      </c>
      <c r="G63" s="4">
        <v>17</v>
      </c>
      <c r="H63" s="4">
        <v>17</v>
      </c>
      <c r="I63" s="4">
        <v>17</v>
      </c>
      <c r="J63" s="4">
        <v>13</v>
      </c>
      <c r="K63" s="4">
        <v>13</v>
      </c>
      <c r="L63" s="382">
        <v>13</v>
      </c>
      <c r="M63" s="382">
        <v>13</v>
      </c>
      <c r="N63" s="382">
        <v>13</v>
      </c>
      <c r="O63" s="382">
        <v>13</v>
      </c>
      <c r="P63" s="387">
        <f>SUM(D63:O63)</f>
        <v>170</v>
      </c>
    </row>
    <row r="64" spans="1:16" x14ac:dyDescent="0.3">
      <c r="A64" s="521"/>
      <c r="B64" s="522"/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522"/>
      <c r="N64" s="522"/>
      <c r="O64" s="522"/>
      <c r="P64" s="523"/>
    </row>
    <row r="65" spans="1:16" ht="14.4" customHeight="1" x14ac:dyDescent="0.3">
      <c r="A65" s="524" t="s">
        <v>110</v>
      </c>
      <c r="B65" s="525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6"/>
    </row>
    <row r="66" spans="1:16" ht="15.6" x14ac:dyDescent="0.3">
      <c r="A66" s="470" t="s">
        <v>109</v>
      </c>
      <c r="B66" s="359" t="s">
        <v>85</v>
      </c>
      <c r="C66" s="359" t="s">
        <v>3</v>
      </c>
      <c r="D66" s="4">
        <v>10</v>
      </c>
      <c r="E66" s="4">
        <f>D71</f>
        <v>16</v>
      </c>
      <c r="F66" s="4">
        <f>E71</f>
        <v>27</v>
      </c>
      <c r="G66" s="4">
        <f t="shared" ref="G66:K66" si="30">F71</f>
        <v>26</v>
      </c>
      <c r="H66" s="4">
        <f t="shared" si="30"/>
        <v>30</v>
      </c>
      <c r="I66" s="4">
        <f t="shared" si="30"/>
        <v>45</v>
      </c>
      <c r="J66" s="132">
        <f t="shared" si="30"/>
        <v>38</v>
      </c>
      <c r="K66" s="132">
        <f t="shared" si="30"/>
        <v>51</v>
      </c>
      <c r="L66" s="389">
        <v>36</v>
      </c>
      <c r="M66" s="372">
        <v>46</v>
      </c>
      <c r="N66" s="372">
        <v>44</v>
      </c>
      <c r="O66" s="372">
        <v>42</v>
      </c>
      <c r="P66" s="390">
        <f>D66</f>
        <v>10</v>
      </c>
    </row>
    <row r="67" spans="1:16" ht="15.6" x14ac:dyDescent="0.3">
      <c r="A67" s="471"/>
      <c r="B67" s="348" t="s">
        <v>104</v>
      </c>
      <c r="C67" s="359" t="s">
        <v>3</v>
      </c>
      <c r="D67" s="4">
        <v>15</v>
      </c>
      <c r="E67" s="4">
        <v>20</v>
      </c>
      <c r="F67" s="4">
        <v>8</v>
      </c>
      <c r="G67" s="4">
        <v>20</v>
      </c>
      <c r="H67" s="4">
        <v>30</v>
      </c>
      <c r="I67" s="4">
        <v>20</v>
      </c>
      <c r="J67" s="132">
        <v>25</v>
      </c>
      <c r="K67" s="132">
        <v>0</v>
      </c>
      <c r="L67" s="391">
        <v>20</v>
      </c>
      <c r="M67" s="391">
        <v>8</v>
      </c>
      <c r="N67" s="391">
        <v>10</v>
      </c>
      <c r="O67" s="391">
        <v>15</v>
      </c>
      <c r="P67" s="390">
        <f>SUM(D67:O67)</f>
        <v>191</v>
      </c>
    </row>
    <row r="68" spans="1:16" ht="15.6" x14ac:dyDescent="0.3">
      <c r="A68" s="471"/>
      <c r="B68" s="348" t="s">
        <v>103</v>
      </c>
      <c r="C68" s="359" t="s">
        <v>3</v>
      </c>
      <c r="D68" s="4">
        <v>9</v>
      </c>
      <c r="E68" s="4">
        <v>9</v>
      </c>
      <c r="F68" s="4">
        <v>9</v>
      </c>
      <c r="G68" s="4">
        <v>16</v>
      </c>
      <c r="H68" s="4">
        <v>15</v>
      </c>
      <c r="I68" s="4">
        <v>27</v>
      </c>
      <c r="J68" s="132">
        <v>12</v>
      </c>
      <c r="K68" s="132">
        <v>15</v>
      </c>
      <c r="L68" s="391">
        <v>10</v>
      </c>
      <c r="M68" s="382">
        <v>10</v>
      </c>
      <c r="N68" s="382">
        <v>12</v>
      </c>
      <c r="O68" s="382">
        <v>12</v>
      </c>
      <c r="P68" s="390">
        <f t="shared" ref="P68:P69" si="31">SUM(D68:O68)</f>
        <v>156</v>
      </c>
    </row>
    <row r="69" spans="1:16" s="354" customFormat="1" ht="15.6" x14ac:dyDescent="0.3">
      <c r="A69" s="471"/>
      <c r="B69" s="348" t="s">
        <v>102</v>
      </c>
      <c r="C69" s="348" t="s">
        <v>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391"/>
      <c r="K69" s="132">
        <v>0</v>
      </c>
      <c r="L69" s="391">
        <v>0</v>
      </c>
      <c r="M69" s="391">
        <v>0</v>
      </c>
      <c r="N69" s="391">
        <v>0</v>
      </c>
      <c r="O69" s="391">
        <v>0</v>
      </c>
      <c r="P69" s="392">
        <f t="shared" si="31"/>
        <v>0</v>
      </c>
    </row>
    <row r="70" spans="1:16" s="354" customFormat="1" ht="15.6" x14ac:dyDescent="0.3">
      <c r="A70" s="471"/>
      <c r="B70" s="348" t="s">
        <v>188</v>
      </c>
      <c r="C70" s="348" t="s">
        <v>3</v>
      </c>
      <c r="D70" s="4">
        <f>D68+D69</f>
        <v>9</v>
      </c>
      <c r="E70" s="4">
        <f t="shared" ref="E70:I70" si="32">E68+E69</f>
        <v>9</v>
      </c>
      <c r="F70" s="4">
        <f t="shared" si="32"/>
        <v>9</v>
      </c>
      <c r="G70" s="4">
        <f t="shared" si="32"/>
        <v>16</v>
      </c>
      <c r="H70" s="4">
        <f t="shared" si="32"/>
        <v>15</v>
      </c>
      <c r="I70" s="4">
        <f t="shared" si="32"/>
        <v>27</v>
      </c>
      <c r="J70" s="391">
        <f t="shared" ref="J70:K70" si="33">J68+J69</f>
        <v>12</v>
      </c>
      <c r="K70" s="132">
        <f t="shared" si="33"/>
        <v>15</v>
      </c>
      <c r="L70" s="391">
        <v>10</v>
      </c>
      <c r="M70" s="391">
        <v>10</v>
      </c>
      <c r="N70" s="391">
        <v>12</v>
      </c>
      <c r="O70" s="391">
        <v>12</v>
      </c>
      <c r="P70" s="396">
        <f t="shared" ref="P70" si="34">P68+P69</f>
        <v>156</v>
      </c>
    </row>
    <row r="71" spans="1:16" ht="15.6" x14ac:dyDescent="0.3">
      <c r="A71" s="472"/>
      <c r="B71" s="359" t="s">
        <v>81</v>
      </c>
      <c r="C71" s="359" t="s">
        <v>3</v>
      </c>
      <c r="D71" s="26">
        <f>D66+D67-D70</f>
        <v>16</v>
      </c>
      <c r="E71" s="26">
        <f t="shared" ref="E71:I71" si="35">E66+E67-E70</f>
        <v>27</v>
      </c>
      <c r="F71" s="26">
        <f t="shared" si="35"/>
        <v>26</v>
      </c>
      <c r="G71" s="26">
        <f t="shared" si="35"/>
        <v>30</v>
      </c>
      <c r="H71" s="26">
        <f t="shared" si="35"/>
        <v>45</v>
      </c>
      <c r="I71" s="26">
        <f t="shared" si="35"/>
        <v>38</v>
      </c>
      <c r="J71" s="394">
        <f t="shared" ref="J71:K71" si="36">J66+J67-J70</f>
        <v>51</v>
      </c>
      <c r="K71" s="141">
        <f t="shared" si="36"/>
        <v>36</v>
      </c>
      <c r="L71" s="394">
        <v>46</v>
      </c>
      <c r="M71" s="394">
        <v>44</v>
      </c>
      <c r="N71" s="394">
        <v>42</v>
      </c>
      <c r="O71" s="394">
        <v>45</v>
      </c>
      <c r="P71" s="397">
        <f>P66+P67-P70</f>
        <v>45</v>
      </c>
    </row>
    <row r="72" spans="1:16" ht="15.6" x14ac:dyDescent="0.3">
      <c r="A72" s="470" t="s">
        <v>108</v>
      </c>
      <c r="B72" s="359" t="s">
        <v>85</v>
      </c>
      <c r="C72" s="359" t="s">
        <v>3</v>
      </c>
      <c r="D72" s="4">
        <v>0</v>
      </c>
      <c r="E72" s="4">
        <f>D77</f>
        <v>1</v>
      </c>
      <c r="F72" s="4">
        <f t="shared" ref="F72:K72" si="37">E77</f>
        <v>0</v>
      </c>
      <c r="G72" s="4">
        <f t="shared" si="37"/>
        <v>1</v>
      </c>
      <c r="H72" s="4">
        <f t="shared" si="37"/>
        <v>1</v>
      </c>
      <c r="I72" s="4">
        <f t="shared" si="37"/>
        <v>1</v>
      </c>
      <c r="J72" s="132">
        <f t="shared" si="37"/>
        <v>1</v>
      </c>
      <c r="K72" s="132">
        <f t="shared" si="37"/>
        <v>1</v>
      </c>
      <c r="L72" s="389">
        <v>1</v>
      </c>
      <c r="M72" s="389">
        <v>1</v>
      </c>
      <c r="N72" s="389">
        <v>1</v>
      </c>
      <c r="O72" s="389">
        <v>1</v>
      </c>
      <c r="P72" s="390">
        <f>D72</f>
        <v>0</v>
      </c>
    </row>
    <row r="73" spans="1:16" ht="15.6" x14ac:dyDescent="0.3">
      <c r="A73" s="471"/>
      <c r="B73" s="348" t="s">
        <v>104</v>
      </c>
      <c r="C73" s="359" t="s">
        <v>3</v>
      </c>
      <c r="D73" s="4">
        <v>1</v>
      </c>
      <c r="E73" s="4">
        <v>0</v>
      </c>
      <c r="F73" s="4">
        <v>1</v>
      </c>
      <c r="G73" s="4">
        <v>1</v>
      </c>
      <c r="H73" s="4">
        <v>0</v>
      </c>
      <c r="I73" s="391"/>
      <c r="J73" s="391"/>
      <c r="K73" s="391"/>
      <c r="L73" s="391">
        <v>0</v>
      </c>
      <c r="M73" s="391">
        <v>0</v>
      </c>
      <c r="N73" s="391">
        <v>0</v>
      </c>
      <c r="O73" s="391">
        <v>0</v>
      </c>
      <c r="P73" s="390">
        <f>SUM(D73:O73)</f>
        <v>3</v>
      </c>
    </row>
    <row r="74" spans="1:16" ht="15.6" x14ac:dyDescent="0.3">
      <c r="A74" s="471"/>
      <c r="B74" s="348" t="s">
        <v>103</v>
      </c>
      <c r="C74" s="359" t="s">
        <v>3</v>
      </c>
      <c r="D74" s="4">
        <v>0</v>
      </c>
      <c r="E74" s="4">
        <v>0</v>
      </c>
      <c r="F74" s="4">
        <v>1</v>
      </c>
      <c r="G74" s="4">
        <v>0</v>
      </c>
      <c r="H74" s="4">
        <v>0</v>
      </c>
      <c r="I74" s="391"/>
      <c r="J74" s="391"/>
      <c r="K74" s="391"/>
      <c r="L74" s="391">
        <v>0</v>
      </c>
      <c r="M74" s="391">
        <v>0</v>
      </c>
      <c r="N74" s="391">
        <v>0</v>
      </c>
      <c r="O74" s="391">
        <v>1</v>
      </c>
      <c r="P74" s="390">
        <f>SUM(D74:O74)</f>
        <v>2</v>
      </c>
    </row>
    <row r="75" spans="1:16" s="354" customFormat="1" ht="15.6" x14ac:dyDescent="0.3">
      <c r="A75" s="471"/>
      <c r="B75" s="348" t="s">
        <v>102</v>
      </c>
      <c r="C75" s="348" t="s">
        <v>3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391"/>
      <c r="J75" s="391"/>
      <c r="K75" s="391"/>
      <c r="L75" s="391">
        <v>0</v>
      </c>
      <c r="M75" s="391">
        <v>0</v>
      </c>
      <c r="N75" s="391">
        <v>0</v>
      </c>
      <c r="O75" s="391">
        <v>0</v>
      </c>
      <c r="P75" s="390">
        <f>SUM(D75:O75)</f>
        <v>1</v>
      </c>
    </row>
    <row r="76" spans="1:16" s="354" customFormat="1" ht="15.6" x14ac:dyDescent="0.3">
      <c r="A76" s="471"/>
      <c r="B76" s="348" t="s">
        <v>188</v>
      </c>
      <c r="C76" s="348" t="s">
        <v>3</v>
      </c>
      <c r="D76" s="4">
        <f>D74+D75</f>
        <v>0</v>
      </c>
      <c r="E76" s="4">
        <f t="shared" ref="E76:H76" si="38">E74+E75</f>
        <v>0</v>
      </c>
      <c r="F76" s="4">
        <f t="shared" si="38"/>
        <v>1</v>
      </c>
      <c r="G76" s="4">
        <f t="shared" si="38"/>
        <v>0</v>
      </c>
      <c r="H76" s="4">
        <f t="shared" si="38"/>
        <v>1</v>
      </c>
      <c r="I76" s="391">
        <f t="shared" ref="I76" si="39">I74+I75</f>
        <v>0</v>
      </c>
      <c r="J76" s="391">
        <f t="shared" ref="J76:K76" si="40">J74+J75</f>
        <v>0</v>
      </c>
      <c r="K76" s="391">
        <f t="shared" si="40"/>
        <v>0</v>
      </c>
      <c r="L76" s="391">
        <v>0</v>
      </c>
      <c r="M76" s="391">
        <v>0</v>
      </c>
      <c r="N76" s="391">
        <v>0</v>
      </c>
      <c r="O76" s="391">
        <v>1</v>
      </c>
      <c r="P76" s="396">
        <f t="shared" ref="P76" si="41">P74+P75</f>
        <v>3</v>
      </c>
    </row>
    <row r="77" spans="1:16" ht="15.6" x14ac:dyDescent="0.3">
      <c r="A77" s="472"/>
      <c r="B77" s="359" t="s">
        <v>81</v>
      </c>
      <c r="C77" s="359" t="s">
        <v>3</v>
      </c>
      <c r="D77" s="26">
        <f>D73+D74-D76</f>
        <v>1</v>
      </c>
      <c r="E77" s="26">
        <f t="shared" ref="E77:G77" si="42">E73+E74-E76</f>
        <v>0</v>
      </c>
      <c r="F77" s="26">
        <f t="shared" si="42"/>
        <v>1</v>
      </c>
      <c r="G77" s="26">
        <f t="shared" si="42"/>
        <v>1</v>
      </c>
      <c r="H77" s="26">
        <v>1</v>
      </c>
      <c r="I77" s="394">
        <f t="shared" ref="I77" si="43">I72+I73-I76</f>
        <v>1</v>
      </c>
      <c r="J77" s="394">
        <f t="shared" ref="J77:P77" si="44">J72+J73-J76</f>
        <v>1</v>
      </c>
      <c r="K77" s="394">
        <f t="shared" si="44"/>
        <v>1</v>
      </c>
      <c r="L77" s="394">
        <v>1</v>
      </c>
      <c r="M77" s="394">
        <v>1</v>
      </c>
      <c r="N77" s="394">
        <v>1</v>
      </c>
      <c r="O77" s="394">
        <v>0</v>
      </c>
      <c r="P77" s="394">
        <f t="shared" si="44"/>
        <v>0</v>
      </c>
    </row>
    <row r="78" spans="1:16" ht="15.6" customHeight="1" x14ac:dyDescent="0.3">
      <c r="A78" s="470" t="s">
        <v>107</v>
      </c>
      <c r="B78" s="359" t="s">
        <v>85</v>
      </c>
      <c r="C78" s="359" t="s">
        <v>3</v>
      </c>
      <c r="D78" s="4">
        <v>0</v>
      </c>
      <c r="E78" s="4">
        <f>D83</f>
        <v>0</v>
      </c>
      <c r="F78" s="4">
        <f t="shared" ref="F78:H78" si="45">E83</f>
        <v>0</v>
      </c>
      <c r="G78" s="4">
        <f t="shared" si="45"/>
        <v>0</v>
      </c>
      <c r="H78" s="4">
        <f t="shared" si="45"/>
        <v>0</v>
      </c>
      <c r="I78" s="389"/>
      <c r="J78" s="389"/>
      <c r="K78" s="389"/>
      <c r="L78" s="389">
        <v>0</v>
      </c>
      <c r="M78" s="389">
        <v>0</v>
      </c>
      <c r="N78" s="389"/>
      <c r="O78" s="389"/>
      <c r="P78" s="390">
        <f>D78</f>
        <v>0</v>
      </c>
    </row>
    <row r="79" spans="1:16" ht="15.6" x14ac:dyDescent="0.3">
      <c r="A79" s="471"/>
      <c r="B79" s="348" t="s">
        <v>104</v>
      </c>
      <c r="C79" s="359" t="s">
        <v>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391"/>
      <c r="J79" s="391"/>
      <c r="K79" s="391"/>
      <c r="L79" s="391">
        <v>0</v>
      </c>
      <c r="M79" s="391">
        <v>0</v>
      </c>
      <c r="N79" s="391"/>
      <c r="O79" s="391"/>
      <c r="P79" s="390">
        <f>SUM(D79:O79)</f>
        <v>0</v>
      </c>
    </row>
    <row r="80" spans="1:16" ht="15.6" x14ac:dyDescent="0.3">
      <c r="A80" s="471"/>
      <c r="B80" s="348" t="s">
        <v>103</v>
      </c>
      <c r="C80" s="359" t="s">
        <v>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391"/>
      <c r="J80" s="391"/>
      <c r="K80" s="391"/>
      <c r="L80" s="391">
        <v>0</v>
      </c>
      <c r="M80" s="391">
        <v>0</v>
      </c>
      <c r="N80" s="391"/>
      <c r="O80" s="391"/>
      <c r="P80" s="390">
        <f>SUM(D80:O80)</f>
        <v>0</v>
      </c>
    </row>
    <row r="81" spans="1:16" s="354" customFormat="1" ht="15.6" x14ac:dyDescent="0.3">
      <c r="A81" s="471"/>
      <c r="B81" s="348" t="s">
        <v>102</v>
      </c>
      <c r="C81" s="348" t="s">
        <v>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391"/>
      <c r="J81" s="391"/>
      <c r="K81" s="391"/>
      <c r="L81" s="391">
        <v>0</v>
      </c>
      <c r="M81" s="391">
        <v>0</v>
      </c>
      <c r="N81" s="391"/>
      <c r="O81" s="391"/>
      <c r="P81" s="392">
        <f>SUM(D81:O81)</f>
        <v>0</v>
      </c>
    </row>
    <row r="82" spans="1:16" s="354" customFormat="1" ht="15.6" x14ac:dyDescent="0.3">
      <c r="A82" s="471"/>
      <c r="B82" s="348" t="s">
        <v>188</v>
      </c>
      <c r="C82" s="348" t="s">
        <v>3</v>
      </c>
      <c r="D82" s="4">
        <f>D81+D80</f>
        <v>0</v>
      </c>
      <c r="E82" s="4">
        <f t="shared" ref="E82:H82" si="46">E81+E80</f>
        <v>0</v>
      </c>
      <c r="F82" s="4">
        <f t="shared" si="46"/>
        <v>0</v>
      </c>
      <c r="G82" s="4">
        <f t="shared" si="46"/>
        <v>0</v>
      </c>
      <c r="H82" s="4">
        <f t="shared" si="46"/>
        <v>0</v>
      </c>
      <c r="I82" s="391">
        <f t="shared" ref="I82" si="47">I81+I80</f>
        <v>0</v>
      </c>
      <c r="J82" s="391">
        <f t="shared" ref="J82:K82" si="48">J81+J80</f>
        <v>0</v>
      </c>
      <c r="K82" s="391">
        <f t="shared" si="48"/>
        <v>0</v>
      </c>
      <c r="L82" s="391">
        <v>0</v>
      </c>
      <c r="M82" s="391">
        <v>0</v>
      </c>
      <c r="N82" s="391">
        <f t="shared" ref="N82:P82" si="49">N81+N80</f>
        <v>0</v>
      </c>
      <c r="O82" s="391">
        <v>0</v>
      </c>
      <c r="P82" s="396">
        <f t="shared" si="49"/>
        <v>0</v>
      </c>
    </row>
    <row r="83" spans="1:16" ht="15.6" x14ac:dyDescent="0.3">
      <c r="A83" s="472"/>
      <c r="B83" s="359" t="s">
        <v>81</v>
      </c>
      <c r="C83" s="359" t="s">
        <v>3</v>
      </c>
      <c r="D83" s="26">
        <f>D78+D79-D82</f>
        <v>0</v>
      </c>
      <c r="E83" s="26">
        <f t="shared" ref="E83:H83" si="50">E78+E79-E82</f>
        <v>0</v>
      </c>
      <c r="F83" s="26">
        <f t="shared" si="50"/>
        <v>0</v>
      </c>
      <c r="G83" s="26">
        <f t="shared" si="50"/>
        <v>0</v>
      </c>
      <c r="H83" s="26">
        <f t="shared" si="50"/>
        <v>0</v>
      </c>
      <c r="I83" s="394">
        <f t="shared" ref="I83" si="51">I78+I79-I82</f>
        <v>0</v>
      </c>
      <c r="J83" s="394">
        <f t="shared" ref="J83:N83" si="52">J78+J79-J82</f>
        <v>0</v>
      </c>
      <c r="K83" s="394">
        <f t="shared" si="52"/>
        <v>0</v>
      </c>
      <c r="L83" s="394">
        <v>0</v>
      </c>
      <c r="M83" s="394">
        <v>0</v>
      </c>
      <c r="N83" s="394">
        <f t="shared" si="52"/>
        <v>0</v>
      </c>
      <c r="O83" s="394">
        <v>0</v>
      </c>
      <c r="P83" s="397">
        <f t="shared" ref="P83" si="53">P78+P79-P82</f>
        <v>0</v>
      </c>
    </row>
    <row r="84" spans="1:16" ht="15.6" x14ac:dyDescent="0.3">
      <c r="A84" s="527" t="s">
        <v>106</v>
      </c>
      <c r="B84" s="359" t="s">
        <v>85</v>
      </c>
      <c r="C84" s="359" t="s">
        <v>3</v>
      </c>
      <c r="D84" s="4">
        <v>0</v>
      </c>
      <c r="E84" s="4">
        <f>D89</f>
        <v>0</v>
      </c>
      <c r="F84" s="4">
        <f t="shared" ref="F84:H84" si="54">E89</f>
        <v>0</v>
      </c>
      <c r="G84" s="4">
        <f t="shared" si="54"/>
        <v>0</v>
      </c>
      <c r="H84" s="4">
        <f t="shared" si="54"/>
        <v>0</v>
      </c>
      <c r="I84" s="389"/>
      <c r="J84" s="389"/>
      <c r="K84" s="389"/>
      <c r="L84" s="389">
        <v>0</v>
      </c>
      <c r="M84" s="389">
        <v>0</v>
      </c>
      <c r="N84" s="389"/>
      <c r="O84" s="389"/>
      <c r="P84" s="390">
        <f>D84</f>
        <v>0</v>
      </c>
    </row>
    <row r="85" spans="1:16" ht="15.6" x14ac:dyDescent="0.3">
      <c r="A85" s="528"/>
      <c r="B85" s="359" t="s">
        <v>104</v>
      </c>
      <c r="C85" s="359" t="s">
        <v>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391"/>
      <c r="J85" s="391"/>
      <c r="K85" s="391"/>
      <c r="L85" s="391">
        <v>0</v>
      </c>
      <c r="M85" s="391">
        <v>0</v>
      </c>
      <c r="N85" s="391"/>
      <c r="O85" s="391"/>
      <c r="P85" s="390">
        <f>SUM(D85:O85)</f>
        <v>0</v>
      </c>
    </row>
    <row r="86" spans="1:16" ht="15.6" x14ac:dyDescent="0.3">
      <c r="A86" s="528"/>
      <c r="B86" s="359" t="s">
        <v>103</v>
      </c>
      <c r="C86" s="359" t="s">
        <v>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391"/>
      <c r="J86" s="391"/>
      <c r="K86" s="391"/>
      <c r="L86" s="391">
        <v>0</v>
      </c>
      <c r="M86" s="391">
        <v>0</v>
      </c>
      <c r="N86" s="391"/>
      <c r="O86" s="391"/>
      <c r="P86" s="390">
        <f>SUM(D86:O86)</f>
        <v>0</v>
      </c>
    </row>
    <row r="87" spans="1:16" s="354" customFormat="1" ht="15.6" x14ac:dyDescent="0.3">
      <c r="A87" s="528"/>
      <c r="B87" s="348" t="s">
        <v>102</v>
      </c>
      <c r="C87" s="348" t="s">
        <v>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391"/>
      <c r="J87" s="391"/>
      <c r="K87" s="391"/>
      <c r="L87" s="391">
        <v>0</v>
      </c>
      <c r="M87" s="391">
        <v>0</v>
      </c>
      <c r="N87" s="391"/>
      <c r="O87" s="391"/>
      <c r="P87" s="392">
        <f>SUM(D87:O87)</f>
        <v>0</v>
      </c>
    </row>
    <row r="88" spans="1:16" s="354" customFormat="1" ht="15.6" x14ac:dyDescent="0.3">
      <c r="A88" s="528"/>
      <c r="B88" s="348" t="s">
        <v>188</v>
      </c>
      <c r="C88" s="348" t="s">
        <v>3</v>
      </c>
      <c r="D88" s="4">
        <f>D86+D87</f>
        <v>0</v>
      </c>
      <c r="E88" s="4">
        <f t="shared" ref="E88:H88" si="55">E86+E87</f>
        <v>0</v>
      </c>
      <c r="F88" s="4">
        <f t="shared" si="55"/>
        <v>0</v>
      </c>
      <c r="G88" s="4">
        <f t="shared" si="55"/>
        <v>0</v>
      </c>
      <c r="H88" s="4">
        <f t="shared" si="55"/>
        <v>0</v>
      </c>
      <c r="I88" s="391">
        <f t="shared" ref="I88" si="56">I87+I86</f>
        <v>0</v>
      </c>
      <c r="J88" s="391">
        <f t="shared" ref="J88:K88" si="57">J87+J86</f>
        <v>0</v>
      </c>
      <c r="K88" s="391">
        <f t="shared" si="57"/>
        <v>0</v>
      </c>
      <c r="L88" s="391">
        <v>0</v>
      </c>
      <c r="M88" s="391">
        <v>0</v>
      </c>
      <c r="N88" s="391">
        <f t="shared" ref="N88" si="58">N87+N86</f>
        <v>0</v>
      </c>
      <c r="O88" s="391">
        <v>0</v>
      </c>
      <c r="P88" s="392">
        <f>SUM(D88:O88)</f>
        <v>0</v>
      </c>
    </row>
    <row r="89" spans="1:16" ht="15.6" x14ac:dyDescent="0.3">
      <c r="A89" s="529"/>
      <c r="B89" s="398" t="s">
        <v>81</v>
      </c>
      <c r="C89" s="359" t="s">
        <v>3</v>
      </c>
      <c r="D89" s="26">
        <f>D84+D85-D88</f>
        <v>0</v>
      </c>
      <c r="E89" s="26">
        <f t="shared" ref="E89:H89" si="59">E84+E85-E88</f>
        <v>0</v>
      </c>
      <c r="F89" s="26">
        <f t="shared" si="59"/>
        <v>0</v>
      </c>
      <c r="G89" s="26">
        <f t="shared" si="59"/>
        <v>0</v>
      </c>
      <c r="H89" s="26">
        <f t="shared" si="59"/>
        <v>0</v>
      </c>
      <c r="I89" s="394">
        <f t="shared" ref="I89" si="60">I84+I85-I88</f>
        <v>0</v>
      </c>
      <c r="J89" s="394">
        <f t="shared" ref="J89:N89" si="61">J84+J85-J88</f>
        <v>0</v>
      </c>
      <c r="K89" s="394">
        <f t="shared" si="61"/>
        <v>0</v>
      </c>
      <c r="L89" s="394">
        <v>0</v>
      </c>
      <c r="M89" s="394">
        <v>0</v>
      </c>
      <c r="N89" s="394">
        <f t="shared" si="61"/>
        <v>0</v>
      </c>
      <c r="O89" s="394">
        <v>0</v>
      </c>
      <c r="P89" s="397">
        <f t="shared" ref="P89" si="62">P84+P85-P86-P87</f>
        <v>0</v>
      </c>
    </row>
    <row r="90" spans="1:16" ht="15.6" x14ac:dyDescent="0.3">
      <c r="A90" s="530" t="s">
        <v>105</v>
      </c>
      <c r="B90" s="348" t="s">
        <v>85</v>
      </c>
      <c r="C90" s="348" t="s">
        <v>3</v>
      </c>
      <c r="D90" s="399">
        <f t="shared" ref="D90:I90" si="63">D66+D72+D78+D84</f>
        <v>10</v>
      </c>
      <c r="E90" s="399">
        <f t="shared" si="63"/>
        <v>17</v>
      </c>
      <c r="F90" s="399">
        <f t="shared" si="63"/>
        <v>27</v>
      </c>
      <c r="G90" s="399">
        <f t="shared" si="63"/>
        <v>27</v>
      </c>
      <c r="H90" s="399">
        <f>H66+H72+H78+H84</f>
        <v>31</v>
      </c>
      <c r="I90" s="399">
        <f t="shared" si="63"/>
        <v>46</v>
      </c>
      <c r="J90" s="399">
        <f t="shared" ref="J90:K90" si="64">J66+J72+J78+J84</f>
        <v>39</v>
      </c>
      <c r="K90" s="399">
        <f t="shared" si="64"/>
        <v>52</v>
      </c>
      <c r="L90" s="399">
        <f t="shared" ref="L90:N90" si="65">L66+L72+L78+L84</f>
        <v>37</v>
      </c>
      <c r="M90" s="399">
        <f t="shared" si="65"/>
        <v>47</v>
      </c>
      <c r="N90" s="399">
        <f t="shared" si="65"/>
        <v>45</v>
      </c>
      <c r="O90" s="399">
        <v>43</v>
      </c>
      <c r="P90" s="390">
        <f>D90</f>
        <v>10</v>
      </c>
    </row>
    <row r="91" spans="1:16" ht="15.6" x14ac:dyDescent="0.3">
      <c r="A91" s="531"/>
      <c r="B91" s="348" t="s">
        <v>104</v>
      </c>
      <c r="C91" s="348" t="s">
        <v>3</v>
      </c>
      <c r="D91" s="399">
        <f t="shared" ref="D91:E93" si="66">D67+D73+D79+D85</f>
        <v>16</v>
      </c>
      <c r="E91" s="399">
        <f t="shared" si="66"/>
        <v>20</v>
      </c>
      <c r="F91" s="399">
        <f t="shared" ref="F91:G91" si="67">F67+F73+F79+F85</f>
        <v>9</v>
      </c>
      <c r="G91" s="399">
        <f t="shared" si="67"/>
        <v>21</v>
      </c>
      <c r="H91" s="399">
        <f t="shared" ref="H91:I91" si="68">H67+H73+H79+H85</f>
        <v>30</v>
      </c>
      <c r="I91" s="399">
        <f t="shared" si="68"/>
        <v>20</v>
      </c>
      <c r="J91" s="399">
        <f t="shared" ref="J91:K91" si="69">J67+J73+J79+J85</f>
        <v>25</v>
      </c>
      <c r="K91" s="399">
        <f t="shared" si="69"/>
        <v>0</v>
      </c>
      <c r="L91" s="399">
        <f t="shared" ref="L91:N91" si="70">L67+L73+L79+L85</f>
        <v>20</v>
      </c>
      <c r="M91" s="399">
        <f t="shared" si="70"/>
        <v>8</v>
      </c>
      <c r="N91" s="399">
        <f t="shared" si="70"/>
        <v>10</v>
      </c>
      <c r="O91" s="399">
        <v>15</v>
      </c>
      <c r="P91" s="390">
        <f>SUM(D91:O91)</f>
        <v>194</v>
      </c>
    </row>
    <row r="92" spans="1:16" ht="15.6" x14ac:dyDescent="0.3">
      <c r="A92" s="531"/>
      <c r="B92" s="348" t="s">
        <v>103</v>
      </c>
      <c r="C92" s="348" t="s">
        <v>3</v>
      </c>
      <c r="D92" s="399">
        <f t="shared" si="66"/>
        <v>9</v>
      </c>
      <c r="E92" s="399">
        <f t="shared" si="66"/>
        <v>9</v>
      </c>
      <c r="F92" s="399">
        <f t="shared" ref="F92:G92" si="71">F68+F74+F80+F86</f>
        <v>10</v>
      </c>
      <c r="G92" s="399">
        <f t="shared" si="71"/>
        <v>16</v>
      </c>
      <c r="H92" s="399">
        <f t="shared" ref="H92:I92" si="72">H68+H74+H80+H86</f>
        <v>15</v>
      </c>
      <c r="I92" s="399">
        <f t="shared" si="72"/>
        <v>27</v>
      </c>
      <c r="J92" s="399">
        <f t="shared" ref="J92:K92" si="73">J68+J74+J80+J86</f>
        <v>12</v>
      </c>
      <c r="K92" s="399">
        <f t="shared" si="73"/>
        <v>15</v>
      </c>
      <c r="L92" s="399">
        <f t="shared" ref="L92:N92" si="74">L68+L74+L80+L86</f>
        <v>10</v>
      </c>
      <c r="M92" s="399">
        <f t="shared" si="74"/>
        <v>10</v>
      </c>
      <c r="N92" s="399">
        <f t="shared" si="74"/>
        <v>12</v>
      </c>
      <c r="O92" s="399">
        <v>13</v>
      </c>
      <c r="P92" s="390">
        <f>SUM(D92:O92)</f>
        <v>158</v>
      </c>
    </row>
    <row r="93" spans="1:16" s="354" customFormat="1" ht="15.6" x14ac:dyDescent="0.3">
      <c r="A93" s="531"/>
      <c r="B93" s="348" t="s">
        <v>102</v>
      </c>
      <c r="C93" s="348"/>
      <c r="D93" s="399">
        <f t="shared" si="66"/>
        <v>0</v>
      </c>
      <c r="E93" s="399">
        <f t="shared" si="66"/>
        <v>0</v>
      </c>
      <c r="F93" s="399">
        <f t="shared" ref="F93:G93" si="75">F69+F75+F81+F87</f>
        <v>0</v>
      </c>
      <c r="G93" s="399">
        <f t="shared" si="75"/>
        <v>0</v>
      </c>
      <c r="H93" s="399">
        <f t="shared" ref="H93:I93" si="76">H69+H75+H81+H87</f>
        <v>1</v>
      </c>
      <c r="I93" s="399">
        <f t="shared" si="76"/>
        <v>0</v>
      </c>
      <c r="J93" s="399">
        <f t="shared" ref="J93:K93" si="77">J69+J75+J81+J87</f>
        <v>0</v>
      </c>
      <c r="K93" s="399">
        <f t="shared" si="77"/>
        <v>0</v>
      </c>
      <c r="L93" s="399">
        <f t="shared" ref="L93:N93" si="78">L69+L75+L81+L87</f>
        <v>0</v>
      </c>
      <c r="M93" s="399">
        <f t="shared" si="78"/>
        <v>0</v>
      </c>
      <c r="N93" s="399">
        <f t="shared" si="78"/>
        <v>0</v>
      </c>
      <c r="O93" s="399">
        <v>0</v>
      </c>
      <c r="P93" s="390">
        <f>SUM(D93:O93)</f>
        <v>1</v>
      </c>
    </row>
    <row r="94" spans="1:16" s="354" customFormat="1" ht="15.6" x14ac:dyDescent="0.3">
      <c r="A94" s="531"/>
      <c r="B94" s="348" t="s">
        <v>188</v>
      </c>
      <c r="C94" s="348" t="s">
        <v>3</v>
      </c>
      <c r="D94" s="401">
        <f>D93+D92</f>
        <v>9</v>
      </c>
      <c r="E94" s="401">
        <f t="shared" ref="E94:P94" si="79">E93+E92</f>
        <v>9</v>
      </c>
      <c r="F94" s="401">
        <f t="shared" si="79"/>
        <v>10</v>
      </c>
      <c r="G94" s="401">
        <f t="shared" ref="G94:H94" si="80">G93+G92</f>
        <v>16</v>
      </c>
      <c r="H94" s="401">
        <f t="shared" si="80"/>
        <v>16</v>
      </c>
      <c r="I94" s="401">
        <f t="shared" ref="I94:J94" si="81">I93+I92</f>
        <v>27</v>
      </c>
      <c r="J94" s="401">
        <f t="shared" si="81"/>
        <v>12</v>
      </c>
      <c r="K94" s="401">
        <f t="shared" ref="K94" si="82">K93+K92</f>
        <v>15</v>
      </c>
      <c r="L94" s="401">
        <f t="shared" ref="L94:N94" si="83">L93+L92</f>
        <v>10</v>
      </c>
      <c r="M94" s="401">
        <f t="shared" si="83"/>
        <v>10</v>
      </c>
      <c r="N94" s="401">
        <f t="shared" si="83"/>
        <v>12</v>
      </c>
      <c r="O94" s="401">
        <v>13</v>
      </c>
      <c r="P94" s="410">
        <f t="shared" si="79"/>
        <v>159</v>
      </c>
    </row>
    <row r="95" spans="1:16" ht="16.2" thickBot="1" x14ac:dyDescent="0.35">
      <c r="A95" s="532"/>
      <c r="B95" s="348" t="s">
        <v>81</v>
      </c>
      <c r="C95" s="348" t="s">
        <v>3</v>
      </c>
      <c r="D95" s="404">
        <f>D90+D91-D94</f>
        <v>17</v>
      </c>
      <c r="E95" s="404">
        <f t="shared" ref="E95:P95" si="84">E90+E91-E94</f>
        <v>28</v>
      </c>
      <c r="F95" s="404">
        <f t="shared" si="84"/>
        <v>26</v>
      </c>
      <c r="G95" s="404">
        <f t="shared" ref="G95:H95" si="85">G90+G91-G94</f>
        <v>32</v>
      </c>
      <c r="H95" s="404">
        <f t="shared" si="85"/>
        <v>45</v>
      </c>
      <c r="I95" s="404">
        <f t="shared" ref="I95:J95" si="86">I90+I91-I94</f>
        <v>39</v>
      </c>
      <c r="J95" s="404">
        <f t="shared" si="86"/>
        <v>52</v>
      </c>
      <c r="K95" s="404">
        <f t="shared" ref="K95" si="87">K90+K91-K94</f>
        <v>37</v>
      </c>
      <c r="L95" s="404">
        <f t="shared" ref="L95:N95" si="88">L90+L91-L94</f>
        <v>47</v>
      </c>
      <c r="M95" s="404">
        <f t="shared" si="88"/>
        <v>45</v>
      </c>
      <c r="N95" s="404">
        <f t="shared" si="88"/>
        <v>43</v>
      </c>
      <c r="O95" s="404">
        <v>45</v>
      </c>
      <c r="P95" s="406">
        <f t="shared" si="84"/>
        <v>45</v>
      </c>
    </row>
    <row r="96" spans="1:16" ht="16.2" thickBot="1" x14ac:dyDescent="0.35">
      <c r="A96" s="407"/>
      <c r="B96" s="408"/>
      <c r="C96" s="408"/>
      <c r="D96" s="402"/>
      <c r="E96" s="402"/>
      <c r="F96" s="402"/>
      <c r="G96" s="402"/>
      <c r="H96" s="402"/>
      <c r="I96" s="402"/>
      <c r="J96" s="409"/>
      <c r="K96" s="409"/>
      <c r="L96" s="409"/>
      <c r="M96" s="409"/>
      <c r="N96" s="409"/>
      <c r="O96" s="409"/>
      <c r="P96" s="410"/>
    </row>
    <row r="97" spans="1:16" s="354" customFormat="1" ht="15.75" customHeight="1" thickBot="1" x14ac:dyDescent="0.35">
      <c r="A97" s="492" t="s">
        <v>189</v>
      </c>
      <c r="B97" s="493"/>
      <c r="C97" s="493"/>
      <c r="D97" s="493"/>
      <c r="E97" s="493"/>
      <c r="F97" s="493"/>
      <c r="G97" s="493"/>
      <c r="H97" s="493"/>
      <c r="I97" s="493"/>
      <c r="J97" s="493"/>
      <c r="K97" s="493"/>
      <c r="L97" s="493"/>
      <c r="M97" s="493"/>
      <c r="N97" s="493"/>
      <c r="O97" s="493"/>
      <c r="P97" s="494"/>
    </row>
    <row r="98" spans="1:16" ht="15.6" x14ac:dyDescent="0.3">
      <c r="A98" s="411" t="s">
        <v>190</v>
      </c>
      <c r="B98" s="412"/>
      <c r="C98" s="348" t="s">
        <v>3</v>
      </c>
      <c r="D98" s="553"/>
      <c r="E98" s="553"/>
      <c r="F98" s="553"/>
      <c r="G98" s="413"/>
      <c r="H98" s="553">
        <v>1</v>
      </c>
      <c r="I98" s="553">
        <v>10</v>
      </c>
      <c r="J98" s="553">
        <v>1</v>
      </c>
      <c r="K98" s="414"/>
      <c r="L98" s="414">
        <v>1</v>
      </c>
      <c r="M98" s="414"/>
      <c r="N98" s="414"/>
      <c r="O98" s="414"/>
      <c r="P98" s="415">
        <f>SUM(D98:O98)</f>
        <v>13</v>
      </c>
    </row>
    <row r="99" spans="1:16" ht="15.6" x14ac:dyDescent="0.3">
      <c r="A99" s="411"/>
      <c r="B99" s="348"/>
      <c r="C99" s="348"/>
      <c r="D99" s="402"/>
      <c r="E99" s="402"/>
      <c r="F99" s="402"/>
      <c r="G99" s="402"/>
      <c r="H99" s="402"/>
      <c r="I99" s="402"/>
      <c r="J99" s="409"/>
      <c r="K99" s="409"/>
      <c r="L99" s="409"/>
      <c r="M99" s="409"/>
      <c r="N99" s="409"/>
      <c r="O99" s="409"/>
      <c r="P99" s="410"/>
    </row>
    <row r="100" spans="1:16" s="354" customFormat="1" x14ac:dyDescent="0.3">
      <c r="A100" s="516" t="s">
        <v>101</v>
      </c>
      <c r="B100" s="517"/>
      <c r="C100" s="517"/>
      <c r="D100" s="517"/>
      <c r="E100" s="517"/>
      <c r="F100" s="517"/>
      <c r="G100" s="517"/>
      <c r="H100" s="517"/>
      <c r="I100" s="517"/>
      <c r="J100" s="517"/>
      <c r="K100" s="517"/>
      <c r="L100" s="517"/>
      <c r="M100" s="517"/>
      <c r="N100" s="517"/>
      <c r="O100" s="517"/>
      <c r="P100" s="518"/>
    </row>
    <row r="101" spans="1:16" ht="15.6" x14ac:dyDescent="0.3">
      <c r="A101" s="478" t="s">
        <v>100</v>
      </c>
      <c r="B101" s="479"/>
      <c r="C101" s="348" t="s">
        <v>3</v>
      </c>
      <c r="D101" s="4">
        <v>984</v>
      </c>
      <c r="E101" s="4">
        <v>978</v>
      </c>
      <c r="F101" s="4">
        <v>941</v>
      </c>
      <c r="G101" s="4">
        <v>961</v>
      </c>
      <c r="H101" s="4">
        <v>976</v>
      </c>
      <c r="I101" s="4">
        <v>986</v>
      </c>
      <c r="J101" s="382">
        <v>967</v>
      </c>
      <c r="K101" s="4">
        <v>966</v>
      </c>
      <c r="L101" s="382">
        <v>1012</v>
      </c>
      <c r="M101" s="382">
        <v>1100</v>
      </c>
      <c r="N101" s="382">
        <v>1094</v>
      </c>
      <c r="O101" s="382">
        <v>1068</v>
      </c>
      <c r="P101" s="416">
        <f t="shared" ref="P101:P116" si="89">O101</f>
        <v>1068</v>
      </c>
    </row>
    <row r="102" spans="1:16" ht="15.6" x14ac:dyDescent="0.3">
      <c r="A102" s="478" t="s">
        <v>99</v>
      </c>
      <c r="B102" s="479"/>
      <c r="C102" s="348" t="s">
        <v>3</v>
      </c>
      <c r="D102" s="4">
        <v>12</v>
      </c>
      <c r="E102" s="4">
        <v>12</v>
      </c>
      <c r="F102" s="4">
        <v>12</v>
      </c>
      <c r="G102" s="4">
        <v>12</v>
      </c>
      <c r="H102" s="4">
        <v>12</v>
      </c>
      <c r="I102" s="4">
        <v>12</v>
      </c>
      <c r="J102" s="382">
        <v>12</v>
      </c>
      <c r="K102" s="4">
        <v>12</v>
      </c>
      <c r="L102" s="382">
        <v>12</v>
      </c>
      <c r="M102" s="382">
        <v>12</v>
      </c>
      <c r="N102" s="382">
        <v>12</v>
      </c>
      <c r="O102" s="382">
        <v>12</v>
      </c>
      <c r="P102" s="416">
        <f t="shared" si="89"/>
        <v>12</v>
      </c>
    </row>
    <row r="103" spans="1:16" ht="15.6" customHeight="1" x14ac:dyDescent="0.3">
      <c r="A103" s="485" t="s">
        <v>98</v>
      </c>
      <c r="B103" s="486"/>
      <c r="C103" s="348" t="s">
        <v>3</v>
      </c>
      <c r="D103" s="4">
        <v>29</v>
      </c>
      <c r="E103" s="4">
        <v>29</v>
      </c>
      <c r="F103" s="4">
        <v>29</v>
      </c>
      <c r="G103" s="4">
        <v>35</v>
      </c>
      <c r="H103" s="4">
        <v>35</v>
      </c>
      <c r="I103" s="4">
        <v>35</v>
      </c>
      <c r="J103" s="382">
        <v>35</v>
      </c>
      <c r="K103" s="4">
        <v>35</v>
      </c>
      <c r="L103" s="382">
        <v>35</v>
      </c>
      <c r="M103" s="382">
        <v>35</v>
      </c>
      <c r="N103" s="382">
        <v>35</v>
      </c>
      <c r="O103" s="382">
        <v>35</v>
      </c>
      <c r="P103" s="416">
        <f t="shared" si="89"/>
        <v>35</v>
      </c>
    </row>
    <row r="104" spans="1:16" ht="15.6" x14ac:dyDescent="0.3">
      <c r="A104" s="485" t="s">
        <v>97</v>
      </c>
      <c r="B104" s="486"/>
      <c r="C104" s="348" t="s">
        <v>3</v>
      </c>
      <c r="D104" s="4">
        <v>9</v>
      </c>
      <c r="E104" s="4">
        <v>16</v>
      </c>
      <c r="F104" s="4">
        <v>16</v>
      </c>
      <c r="G104" s="4">
        <v>16</v>
      </c>
      <c r="H104" s="4">
        <v>16</v>
      </c>
      <c r="I104" s="4">
        <v>21</v>
      </c>
      <c r="J104" s="382">
        <v>21</v>
      </c>
      <c r="K104" s="4">
        <v>21</v>
      </c>
      <c r="L104" s="382">
        <v>22</v>
      </c>
      <c r="M104" s="382">
        <v>22</v>
      </c>
      <c r="N104" s="382">
        <v>22</v>
      </c>
      <c r="O104" s="382">
        <v>20</v>
      </c>
      <c r="P104" s="416">
        <f t="shared" si="89"/>
        <v>20</v>
      </c>
    </row>
    <row r="105" spans="1:16" ht="15.6" x14ac:dyDescent="0.3">
      <c r="A105" s="533" t="s">
        <v>96</v>
      </c>
      <c r="B105" s="534"/>
      <c r="C105" s="348" t="s">
        <v>3</v>
      </c>
      <c r="D105" s="417">
        <f>SUM(D101:D104)</f>
        <v>1034</v>
      </c>
      <c r="E105" s="417">
        <f t="shared" ref="E105:N105" si="90">SUM(E101:E104)</f>
        <v>1035</v>
      </c>
      <c r="F105" s="417">
        <f t="shared" si="90"/>
        <v>998</v>
      </c>
      <c r="G105" s="417">
        <f t="shared" si="90"/>
        <v>1024</v>
      </c>
      <c r="H105" s="417">
        <f t="shared" si="90"/>
        <v>1039</v>
      </c>
      <c r="I105" s="417">
        <f t="shared" si="90"/>
        <v>1054</v>
      </c>
      <c r="J105" s="417">
        <f t="shared" si="90"/>
        <v>1035</v>
      </c>
      <c r="K105" s="417">
        <f t="shared" si="90"/>
        <v>1034</v>
      </c>
      <c r="L105" s="417">
        <f t="shared" si="90"/>
        <v>1081</v>
      </c>
      <c r="M105" s="417">
        <f t="shared" si="90"/>
        <v>1169</v>
      </c>
      <c r="N105" s="417">
        <f t="shared" si="90"/>
        <v>1163</v>
      </c>
      <c r="O105" s="417">
        <v>1135</v>
      </c>
      <c r="P105" s="416">
        <f t="shared" si="89"/>
        <v>1135</v>
      </c>
    </row>
    <row r="106" spans="1:16" s="354" customFormat="1" ht="15.6" customHeight="1" x14ac:dyDescent="0.3">
      <c r="A106" s="513" t="s">
        <v>210</v>
      </c>
      <c r="B106" s="514"/>
      <c r="C106" s="514"/>
      <c r="D106" s="514"/>
      <c r="E106" s="514"/>
      <c r="F106" s="514"/>
      <c r="G106" s="514"/>
      <c r="H106" s="514"/>
      <c r="I106" s="514"/>
      <c r="J106" s="514"/>
      <c r="K106" s="514"/>
      <c r="L106" s="514"/>
      <c r="M106" s="514"/>
      <c r="N106" s="514"/>
      <c r="O106" s="514"/>
      <c r="P106" s="515"/>
    </row>
    <row r="107" spans="1:16" ht="15.6" x14ac:dyDescent="0.3">
      <c r="A107" s="478" t="s">
        <v>193</v>
      </c>
      <c r="B107" s="479"/>
      <c r="C107" s="348" t="s">
        <v>3</v>
      </c>
      <c r="D107" s="4">
        <v>1129</v>
      </c>
      <c r="E107" s="4">
        <v>1076</v>
      </c>
      <c r="F107" s="4">
        <v>1136</v>
      </c>
      <c r="G107" s="4">
        <v>1115</v>
      </c>
      <c r="H107" s="4">
        <v>1115</v>
      </c>
      <c r="I107" s="4">
        <v>1064</v>
      </c>
      <c r="J107" s="382">
        <v>1094</v>
      </c>
      <c r="K107" s="382">
        <v>1108</v>
      </c>
      <c r="L107" s="382">
        <v>1071</v>
      </c>
      <c r="M107" s="382">
        <v>924</v>
      </c>
      <c r="N107" s="382">
        <v>942</v>
      </c>
      <c r="O107" s="382">
        <v>980</v>
      </c>
      <c r="P107" s="416">
        <f t="shared" si="89"/>
        <v>980</v>
      </c>
    </row>
    <row r="108" spans="1:16" ht="15.6" x14ac:dyDescent="0.3">
      <c r="A108" s="478" t="s">
        <v>194</v>
      </c>
      <c r="B108" s="479"/>
      <c r="C108" s="348" t="s">
        <v>3</v>
      </c>
      <c r="D108" s="4">
        <v>17</v>
      </c>
      <c r="E108" s="4">
        <v>17</v>
      </c>
      <c r="F108" s="4">
        <v>17</v>
      </c>
      <c r="G108" s="4">
        <v>17</v>
      </c>
      <c r="H108" s="4">
        <v>17</v>
      </c>
      <c r="I108" s="4">
        <v>17</v>
      </c>
      <c r="J108" s="382">
        <v>17</v>
      </c>
      <c r="K108" s="382">
        <v>17</v>
      </c>
      <c r="L108" s="382">
        <v>17</v>
      </c>
      <c r="M108" s="382">
        <v>9</v>
      </c>
      <c r="N108" s="382">
        <v>9</v>
      </c>
      <c r="O108" s="382">
        <v>9</v>
      </c>
      <c r="P108" s="416">
        <f t="shared" si="89"/>
        <v>9</v>
      </c>
    </row>
    <row r="109" spans="1:16" ht="15.6" x14ac:dyDescent="0.3">
      <c r="A109" s="478" t="s">
        <v>195</v>
      </c>
      <c r="B109" s="479"/>
      <c r="C109" s="348" t="s">
        <v>3</v>
      </c>
      <c r="D109" s="4">
        <v>33</v>
      </c>
      <c r="E109" s="4">
        <v>33</v>
      </c>
      <c r="F109" s="4">
        <v>33</v>
      </c>
      <c r="G109" s="4">
        <v>36</v>
      </c>
      <c r="H109" s="4">
        <v>36</v>
      </c>
      <c r="I109" s="4">
        <v>36</v>
      </c>
      <c r="J109" s="382">
        <v>36</v>
      </c>
      <c r="K109" s="382">
        <v>36</v>
      </c>
      <c r="L109" s="382">
        <v>36</v>
      </c>
      <c r="M109" s="382">
        <v>17</v>
      </c>
      <c r="N109" s="382">
        <v>17</v>
      </c>
      <c r="O109" s="382">
        <v>19</v>
      </c>
      <c r="P109" s="416">
        <f t="shared" si="89"/>
        <v>19</v>
      </c>
    </row>
    <row r="110" spans="1:16" ht="15.6" x14ac:dyDescent="0.3">
      <c r="A110" s="478" t="s">
        <v>196</v>
      </c>
      <c r="B110" s="479"/>
      <c r="C110" s="348" t="s">
        <v>3</v>
      </c>
      <c r="D110" s="4">
        <v>13</v>
      </c>
      <c r="E110" s="4">
        <v>13</v>
      </c>
      <c r="F110" s="4"/>
      <c r="G110" s="4">
        <v>2</v>
      </c>
      <c r="H110" s="4">
        <v>2</v>
      </c>
      <c r="I110" s="4">
        <v>2</v>
      </c>
      <c r="J110" s="382">
        <v>2</v>
      </c>
      <c r="K110" s="382">
        <v>2</v>
      </c>
      <c r="L110" s="382">
        <v>1</v>
      </c>
      <c r="M110" s="382">
        <v>2</v>
      </c>
      <c r="N110" s="382">
        <v>2</v>
      </c>
      <c r="O110" s="382">
        <v>2</v>
      </c>
      <c r="P110" s="416">
        <f t="shared" si="89"/>
        <v>2</v>
      </c>
    </row>
    <row r="111" spans="1:16" ht="15.6" x14ac:dyDescent="0.3">
      <c r="A111" s="495" t="s">
        <v>95</v>
      </c>
      <c r="B111" s="496"/>
      <c r="C111" s="348" t="s">
        <v>3</v>
      </c>
      <c r="D111" s="417">
        <f>SUM(D107:D110)</f>
        <v>1192</v>
      </c>
      <c r="E111" s="417">
        <f t="shared" ref="E111:N111" si="91">SUM(E107:E110)</f>
        <v>1139</v>
      </c>
      <c r="F111" s="417">
        <f t="shared" si="91"/>
        <v>1186</v>
      </c>
      <c r="G111" s="417">
        <f t="shared" si="91"/>
        <v>1170</v>
      </c>
      <c r="H111" s="417">
        <f t="shared" si="91"/>
        <v>1170</v>
      </c>
      <c r="I111" s="417">
        <f t="shared" si="91"/>
        <v>1119</v>
      </c>
      <c r="J111" s="417">
        <f t="shared" si="91"/>
        <v>1149</v>
      </c>
      <c r="K111" s="417">
        <f t="shared" si="91"/>
        <v>1163</v>
      </c>
      <c r="L111" s="417">
        <f t="shared" si="91"/>
        <v>1125</v>
      </c>
      <c r="M111" s="417">
        <f t="shared" si="91"/>
        <v>952</v>
      </c>
      <c r="N111" s="417">
        <f t="shared" si="91"/>
        <v>970</v>
      </c>
      <c r="O111" s="417">
        <v>1010</v>
      </c>
      <c r="P111" s="416">
        <f t="shared" si="89"/>
        <v>1010</v>
      </c>
    </row>
    <row r="112" spans="1:16" s="354" customFormat="1" ht="15.6" customHeight="1" x14ac:dyDescent="0.3">
      <c r="A112" s="516" t="s">
        <v>216</v>
      </c>
      <c r="B112" s="517"/>
      <c r="C112" s="517"/>
      <c r="D112" s="517"/>
      <c r="E112" s="517"/>
      <c r="F112" s="517"/>
      <c r="G112" s="517"/>
      <c r="H112" s="517"/>
      <c r="I112" s="517"/>
      <c r="J112" s="517"/>
      <c r="K112" s="517"/>
      <c r="L112" s="517"/>
      <c r="M112" s="517"/>
      <c r="N112" s="517"/>
      <c r="O112" s="517"/>
      <c r="P112" s="518"/>
    </row>
    <row r="113" spans="1:16" ht="15.6" x14ac:dyDescent="0.3">
      <c r="A113" s="478" t="s">
        <v>197</v>
      </c>
      <c r="B113" s="479"/>
      <c r="C113" s="348" t="s">
        <v>3</v>
      </c>
      <c r="D113" s="127">
        <v>166</v>
      </c>
      <c r="E113" s="33">
        <v>227</v>
      </c>
      <c r="F113" s="33">
        <v>227</v>
      </c>
      <c r="G113" s="33">
        <v>227</v>
      </c>
      <c r="H113" s="33">
        <v>227</v>
      </c>
      <c r="I113" s="33">
        <v>288</v>
      </c>
      <c r="J113" s="419">
        <v>289</v>
      </c>
      <c r="K113" s="33">
        <v>289</v>
      </c>
      <c r="L113" s="419">
        <v>289</v>
      </c>
      <c r="M113" s="419">
        <v>289</v>
      </c>
      <c r="N113" s="419">
        <v>288</v>
      </c>
      <c r="O113" s="419">
        <v>288</v>
      </c>
      <c r="P113" s="416">
        <f t="shared" si="89"/>
        <v>288</v>
      </c>
    </row>
    <row r="114" spans="1:16" ht="15.6" x14ac:dyDescent="0.3">
      <c r="A114" s="478" t="s">
        <v>198</v>
      </c>
      <c r="B114" s="479"/>
      <c r="C114" s="348" t="s">
        <v>3</v>
      </c>
      <c r="D114" s="127">
        <v>12</v>
      </c>
      <c r="E114" s="33">
        <v>12</v>
      </c>
      <c r="F114" s="33">
        <v>12</v>
      </c>
      <c r="G114" s="33">
        <v>12</v>
      </c>
      <c r="H114" s="33">
        <v>13</v>
      </c>
      <c r="I114" s="33">
        <v>13</v>
      </c>
      <c r="J114" s="419">
        <v>13</v>
      </c>
      <c r="K114" s="33">
        <v>13</v>
      </c>
      <c r="L114" s="419">
        <v>13</v>
      </c>
      <c r="M114" s="419">
        <v>13</v>
      </c>
      <c r="N114" s="419">
        <v>13</v>
      </c>
      <c r="O114" s="419">
        <v>13</v>
      </c>
      <c r="P114" s="416">
        <f t="shared" si="89"/>
        <v>13</v>
      </c>
    </row>
    <row r="115" spans="1:16" ht="15.6" x14ac:dyDescent="0.3">
      <c r="A115" s="478" t="s">
        <v>199</v>
      </c>
      <c r="B115" s="479"/>
      <c r="C115" s="348" t="s">
        <v>3</v>
      </c>
      <c r="D115" s="127">
        <v>52</v>
      </c>
      <c r="E115" s="33">
        <v>52</v>
      </c>
      <c r="F115" s="33">
        <v>52</v>
      </c>
      <c r="G115" s="33">
        <v>52</v>
      </c>
      <c r="H115" s="33">
        <v>52</v>
      </c>
      <c r="I115" s="33">
        <v>52</v>
      </c>
      <c r="J115" s="419">
        <v>52</v>
      </c>
      <c r="K115" s="33">
        <v>52</v>
      </c>
      <c r="L115" s="419">
        <v>53</v>
      </c>
      <c r="M115" s="419">
        <v>52</v>
      </c>
      <c r="N115" s="419">
        <v>52</v>
      </c>
      <c r="O115" s="419">
        <v>52</v>
      </c>
      <c r="P115" s="416">
        <f t="shared" si="89"/>
        <v>52</v>
      </c>
    </row>
    <row r="116" spans="1:16" ht="15.6" x14ac:dyDescent="0.3">
      <c r="A116" s="478" t="s">
        <v>200</v>
      </c>
      <c r="B116" s="479"/>
      <c r="C116" s="348" t="s">
        <v>3</v>
      </c>
      <c r="D116" s="127">
        <v>0</v>
      </c>
      <c r="E116" s="33">
        <v>0</v>
      </c>
      <c r="F116" s="33">
        <v>0</v>
      </c>
      <c r="G116" s="33">
        <v>0</v>
      </c>
      <c r="H116" s="33">
        <v>0</v>
      </c>
      <c r="I116" s="419"/>
      <c r="J116" s="419"/>
      <c r="K116" s="419"/>
      <c r="L116" s="419"/>
      <c r="M116" s="419">
        <v>0</v>
      </c>
      <c r="N116" s="419">
        <v>0</v>
      </c>
      <c r="O116" s="419"/>
      <c r="P116" s="416">
        <f t="shared" si="89"/>
        <v>0</v>
      </c>
    </row>
    <row r="117" spans="1:16" ht="15.6" x14ac:dyDescent="0.3">
      <c r="A117" s="495" t="s">
        <v>94</v>
      </c>
      <c r="B117" s="496"/>
      <c r="C117" s="348" t="s">
        <v>3</v>
      </c>
      <c r="D117" s="417">
        <f>SUM(D113:D116)</f>
        <v>230</v>
      </c>
      <c r="E117" s="417">
        <f t="shared" ref="E117:P117" si="92">SUM(E113:E116)</f>
        <v>291</v>
      </c>
      <c r="F117" s="417">
        <f t="shared" si="92"/>
        <v>291</v>
      </c>
      <c r="G117" s="417">
        <f t="shared" si="92"/>
        <v>291</v>
      </c>
      <c r="H117" s="417">
        <f t="shared" ref="H117:I117" si="93">SUM(H113:H116)</f>
        <v>292</v>
      </c>
      <c r="I117" s="417">
        <f t="shared" si="93"/>
        <v>353</v>
      </c>
      <c r="J117" s="417">
        <f t="shared" ref="J117:K117" si="94">SUM(J113:J116)</f>
        <v>354</v>
      </c>
      <c r="K117" s="417">
        <f t="shared" si="94"/>
        <v>354</v>
      </c>
      <c r="L117" s="417">
        <f t="shared" si="92"/>
        <v>355</v>
      </c>
      <c r="M117" s="417">
        <f t="shared" ref="M117" si="95">SUM(M113:M116)</f>
        <v>354</v>
      </c>
      <c r="N117" s="417">
        <f t="shared" si="92"/>
        <v>353</v>
      </c>
      <c r="O117" s="417">
        <v>353</v>
      </c>
      <c r="P117" s="350">
        <f t="shared" si="92"/>
        <v>353</v>
      </c>
    </row>
    <row r="118" spans="1:16" s="354" customFormat="1" ht="15.6" x14ac:dyDescent="0.3">
      <c r="A118" s="420" t="s">
        <v>191</v>
      </c>
      <c r="B118" s="421"/>
      <c r="C118" s="348" t="s">
        <v>3</v>
      </c>
      <c r="D118" s="417">
        <f t="shared" ref="D118:I118" si="96">D111+D117</f>
        <v>1422</v>
      </c>
      <c r="E118" s="417">
        <f t="shared" si="96"/>
        <v>1430</v>
      </c>
      <c r="F118" s="417">
        <f t="shared" si="96"/>
        <v>1477</v>
      </c>
      <c r="G118" s="417">
        <f t="shared" si="96"/>
        <v>1461</v>
      </c>
      <c r="H118" s="417">
        <f t="shared" si="96"/>
        <v>1462</v>
      </c>
      <c r="I118" s="417">
        <f t="shared" si="96"/>
        <v>1472</v>
      </c>
      <c r="J118" s="417">
        <f t="shared" ref="J118:K118" si="97">J111+J117</f>
        <v>1503</v>
      </c>
      <c r="K118" s="417">
        <f t="shared" si="97"/>
        <v>1517</v>
      </c>
      <c r="L118" s="417">
        <f t="shared" ref="L118:M118" si="98">L111+L117</f>
        <v>1480</v>
      </c>
      <c r="M118" s="417">
        <f t="shared" si="98"/>
        <v>1306</v>
      </c>
      <c r="N118" s="417">
        <f t="shared" ref="N118:P118" si="99">N111+N117</f>
        <v>1323</v>
      </c>
      <c r="O118" s="417">
        <v>1363</v>
      </c>
      <c r="P118" s="417">
        <f t="shared" si="99"/>
        <v>1363</v>
      </c>
    </row>
    <row r="119" spans="1:16" ht="15.6" x14ac:dyDescent="0.3">
      <c r="A119" s="495" t="s">
        <v>192</v>
      </c>
      <c r="B119" s="496"/>
      <c r="C119" s="348" t="s">
        <v>3</v>
      </c>
      <c r="D119" s="417">
        <f t="shared" ref="D119:I119" si="100">D105+D118</f>
        <v>2456</v>
      </c>
      <c r="E119" s="417">
        <f t="shared" si="100"/>
        <v>2465</v>
      </c>
      <c r="F119" s="417">
        <f t="shared" si="100"/>
        <v>2475</v>
      </c>
      <c r="G119" s="417">
        <f t="shared" si="100"/>
        <v>2485</v>
      </c>
      <c r="H119" s="417">
        <f t="shared" si="100"/>
        <v>2501</v>
      </c>
      <c r="I119" s="417">
        <f t="shared" si="100"/>
        <v>2526</v>
      </c>
      <c r="J119" s="417">
        <f t="shared" ref="J119:K119" si="101">J105+J118</f>
        <v>2538</v>
      </c>
      <c r="K119" s="417">
        <f t="shared" si="101"/>
        <v>2551</v>
      </c>
      <c r="L119" s="417">
        <f t="shared" ref="L119:M119" si="102">L105+L118</f>
        <v>2561</v>
      </c>
      <c r="M119" s="417">
        <f t="shared" si="102"/>
        <v>2475</v>
      </c>
      <c r="N119" s="417">
        <f t="shared" ref="N119:P119" si="103">N105+N118</f>
        <v>2486</v>
      </c>
      <c r="O119" s="417">
        <v>2498</v>
      </c>
      <c r="P119" s="417">
        <f t="shared" si="103"/>
        <v>2498</v>
      </c>
    </row>
    <row r="120" spans="1:16" x14ac:dyDescent="0.3">
      <c r="A120" s="475" t="s">
        <v>201</v>
      </c>
      <c r="B120" s="476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7"/>
    </row>
    <row r="121" spans="1:16" ht="17.399999999999999" x14ac:dyDescent="0.3">
      <c r="A121" s="478" t="s">
        <v>93</v>
      </c>
      <c r="B121" s="479"/>
      <c r="C121" s="359" t="s">
        <v>3</v>
      </c>
      <c r="D121" s="554">
        <f>17838+21</f>
        <v>17859</v>
      </c>
      <c r="E121" s="4">
        <v>17871</v>
      </c>
      <c r="F121" s="4">
        <v>17885</v>
      </c>
      <c r="G121" s="4">
        <v>17927</v>
      </c>
      <c r="H121" s="4">
        <v>17956</v>
      </c>
      <c r="I121" s="4">
        <v>17993</v>
      </c>
      <c r="J121" s="4">
        <f>17993+12</f>
        <v>18005</v>
      </c>
      <c r="K121" s="4">
        <f>18025</f>
        <v>18025</v>
      </c>
      <c r="L121" s="423">
        <v>18051</v>
      </c>
      <c r="M121" s="423">
        <v>18063</v>
      </c>
      <c r="N121" s="423">
        <v>18091</v>
      </c>
      <c r="O121" s="423">
        <v>18155</v>
      </c>
      <c r="P121" s="424">
        <f>O121</f>
        <v>18155</v>
      </c>
    </row>
    <row r="122" spans="1:16" ht="17.399999999999999" x14ac:dyDescent="0.3">
      <c r="A122" s="478" t="s">
        <v>92</v>
      </c>
      <c r="B122" s="479"/>
      <c r="C122" s="359" t="s">
        <v>3</v>
      </c>
      <c r="D122" s="554">
        <f>15736+9*5</f>
        <v>15781</v>
      </c>
      <c r="E122" s="4">
        <f>15781+9*5</f>
        <v>15826</v>
      </c>
      <c r="F122" s="4">
        <f>15826+50</f>
        <v>15876</v>
      </c>
      <c r="G122" s="4">
        <f>15876+16*4</f>
        <v>15940</v>
      </c>
      <c r="H122" s="4">
        <f>15940+16*3</f>
        <v>15988</v>
      </c>
      <c r="I122" s="4">
        <f>15988+27</f>
        <v>16015</v>
      </c>
      <c r="J122" s="4">
        <f>16015+12</f>
        <v>16027</v>
      </c>
      <c r="K122" s="4">
        <f>16027</f>
        <v>16027</v>
      </c>
      <c r="L122" s="423">
        <v>16037</v>
      </c>
      <c r="M122" s="423">
        <v>16047</v>
      </c>
      <c r="N122" s="423">
        <v>16077</v>
      </c>
      <c r="O122" s="423">
        <v>16077</v>
      </c>
      <c r="P122" s="424">
        <f>O122</f>
        <v>16077</v>
      </c>
    </row>
    <row r="123" spans="1:16" ht="15.6" x14ac:dyDescent="0.3">
      <c r="A123" s="511" t="s">
        <v>91</v>
      </c>
      <c r="B123" s="512"/>
      <c r="C123" s="425" t="s">
        <v>6</v>
      </c>
      <c r="D123" s="29">
        <f>D122/D121</f>
        <v>0.88364410101349455</v>
      </c>
      <c r="E123" s="29">
        <f t="shared" ref="E123:F123" si="104">E122/E121</f>
        <v>0.88556879861227689</v>
      </c>
      <c r="F123" s="29">
        <f t="shared" si="104"/>
        <v>0.88767123287671235</v>
      </c>
      <c r="G123" s="426">
        <f t="shared" ref="G123:P123" si="105">G122/G121</f>
        <v>0.88916159982149834</v>
      </c>
      <c r="H123" s="426">
        <f t="shared" si="105"/>
        <v>0.8903987525061261</v>
      </c>
      <c r="I123" s="426">
        <f t="shared" si="105"/>
        <v>0.8900683599177458</v>
      </c>
      <c r="J123" s="426">
        <f t="shared" si="105"/>
        <v>0.89014162732574287</v>
      </c>
      <c r="K123" s="426">
        <f t="shared" si="105"/>
        <v>0.88915395284327325</v>
      </c>
      <c r="L123" s="426">
        <f t="shared" si="105"/>
        <v>0.88842723394825773</v>
      </c>
      <c r="M123" s="426">
        <f t="shared" si="105"/>
        <v>0.88839063278525165</v>
      </c>
      <c r="N123" s="426">
        <f t="shared" si="105"/>
        <v>0.88867392626167707</v>
      </c>
      <c r="O123" s="426">
        <v>0.88554117323051496</v>
      </c>
      <c r="P123" s="427">
        <f t="shared" si="105"/>
        <v>0.88554117323051496</v>
      </c>
    </row>
    <row r="124" spans="1:16" x14ac:dyDescent="0.3">
      <c r="A124" s="503" t="s">
        <v>90</v>
      </c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5"/>
    </row>
    <row r="125" spans="1:16" ht="15.6" x14ac:dyDescent="0.3">
      <c r="A125" s="249" t="s">
        <v>230</v>
      </c>
      <c r="B125" s="348" t="s">
        <v>85</v>
      </c>
      <c r="C125" s="348" t="s">
        <v>3</v>
      </c>
      <c r="D125" s="132">
        <v>0</v>
      </c>
      <c r="E125" s="132">
        <f>D129</f>
        <v>0</v>
      </c>
      <c r="F125" s="132">
        <f t="shared" ref="F125:H125" si="106">E129</f>
        <v>0</v>
      </c>
      <c r="G125" s="132">
        <f t="shared" si="106"/>
        <v>0</v>
      </c>
      <c r="H125" s="132">
        <f t="shared" si="106"/>
        <v>0</v>
      </c>
      <c r="I125" s="389"/>
      <c r="J125" s="389"/>
      <c r="K125" s="389"/>
      <c r="L125" s="389">
        <v>0</v>
      </c>
      <c r="M125" s="389">
        <v>0</v>
      </c>
      <c r="N125" s="389"/>
      <c r="O125" s="389"/>
      <c r="P125" s="428">
        <f>D125</f>
        <v>0</v>
      </c>
    </row>
    <row r="126" spans="1:16" ht="15.6" x14ac:dyDescent="0.3">
      <c r="A126" s="487"/>
      <c r="B126" s="348" t="s">
        <v>84</v>
      </c>
      <c r="C126" s="348" t="s">
        <v>3</v>
      </c>
      <c r="D126" s="132">
        <v>0</v>
      </c>
      <c r="E126" s="132">
        <v>0</v>
      </c>
      <c r="F126" s="132">
        <v>0</v>
      </c>
      <c r="G126" s="132">
        <v>0</v>
      </c>
      <c r="H126" s="132">
        <v>0</v>
      </c>
      <c r="I126" s="391"/>
      <c r="J126" s="391"/>
      <c r="K126" s="391"/>
      <c r="L126" s="391">
        <v>0</v>
      </c>
      <c r="M126" s="391">
        <v>0</v>
      </c>
      <c r="N126" s="391"/>
      <c r="O126" s="391"/>
      <c r="P126" s="429">
        <f>SUM(D126:O126)</f>
        <v>0</v>
      </c>
    </row>
    <row r="127" spans="1:16" ht="15.6" x14ac:dyDescent="0.3">
      <c r="A127" s="487"/>
      <c r="B127" s="430" t="s">
        <v>88</v>
      </c>
      <c r="C127" s="348" t="s">
        <v>3</v>
      </c>
      <c r="D127" s="132">
        <v>0</v>
      </c>
      <c r="E127" s="132">
        <v>0</v>
      </c>
      <c r="F127" s="132">
        <v>0</v>
      </c>
      <c r="G127" s="132">
        <v>0</v>
      </c>
      <c r="H127" s="132">
        <v>0</v>
      </c>
      <c r="I127" s="391"/>
      <c r="J127" s="391"/>
      <c r="K127" s="391"/>
      <c r="L127" s="391">
        <v>0</v>
      </c>
      <c r="M127" s="391">
        <v>0</v>
      </c>
      <c r="N127" s="391"/>
      <c r="O127" s="391"/>
      <c r="P127" s="429">
        <f>SUM(D127:O127)</f>
        <v>0</v>
      </c>
    </row>
    <row r="128" spans="1:16" ht="15.6" x14ac:dyDescent="0.3">
      <c r="A128" s="487"/>
      <c r="B128" s="348" t="s">
        <v>82</v>
      </c>
      <c r="C128" s="348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391"/>
      <c r="J128" s="391"/>
      <c r="K128" s="391"/>
      <c r="L128" s="391">
        <v>0</v>
      </c>
      <c r="M128" s="391">
        <v>0</v>
      </c>
      <c r="N128" s="391"/>
      <c r="O128" s="391"/>
      <c r="P128" s="429">
        <f>SUM(D128:O128)</f>
        <v>0</v>
      </c>
    </row>
    <row r="129" spans="1:16" ht="15.6" x14ac:dyDescent="0.3">
      <c r="A129" s="250"/>
      <c r="B129" s="348" t="s">
        <v>81</v>
      </c>
      <c r="C129" s="348" t="s">
        <v>3</v>
      </c>
      <c r="D129" s="132">
        <f>D125+D126-D127-D128</f>
        <v>0</v>
      </c>
      <c r="E129" s="132">
        <f t="shared" ref="E129:H129" si="107">E125+E126-E127-E128</f>
        <v>0</v>
      </c>
      <c r="F129" s="132">
        <f t="shared" si="107"/>
        <v>0</v>
      </c>
      <c r="G129" s="132">
        <f t="shared" si="107"/>
        <v>0</v>
      </c>
      <c r="H129" s="132">
        <f t="shared" si="107"/>
        <v>0</v>
      </c>
      <c r="I129" s="389">
        <f t="shared" ref="I129" si="108">I125+I126-I127-I128</f>
        <v>0</v>
      </c>
      <c r="J129" s="389">
        <f t="shared" ref="J129:K129" si="109">J125+J126-J127-J128</f>
        <v>0</v>
      </c>
      <c r="K129" s="389">
        <f t="shared" si="109"/>
        <v>0</v>
      </c>
      <c r="L129" s="389">
        <v>0</v>
      </c>
      <c r="M129" s="389">
        <v>0</v>
      </c>
      <c r="N129" s="389">
        <f t="shared" ref="N129" si="110">N125+N126-N127-N128</f>
        <v>0</v>
      </c>
      <c r="O129" s="389">
        <v>0</v>
      </c>
      <c r="P129" s="428">
        <f>P125+P126-P127-P128</f>
        <v>0</v>
      </c>
    </row>
    <row r="130" spans="1:16" ht="15.6" x14ac:dyDescent="0.3">
      <c r="A130" s="249" t="s">
        <v>231</v>
      </c>
      <c r="B130" s="431" t="s">
        <v>85</v>
      </c>
      <c r="C130" s="431" t="s">
        <v>3</v>
      </c>
      <c r="D130" s="132">
        <v>0</v>
      </c>
      <c r="E130" s="132">
        <f>D134</f>
        <v>0</v>
      </c>
      <c r="F130" s="132">
        <f t="shared" ref="F130:H130" si="111">E134</f>
        <v>0</v>
      </c>
      <c r="G130" s="132">
        <f t="shared" si="111"/>
        <v>0</v>
      </c>
      <c r="H130" s="132">
        <f t="shared" si="111"/>
        <v>0</v>
      </c>
      <c r="I130" s="389"/>
      <c r="J130" s="389"/>
      <c r="K130" s="389"/>
      <c r="L130" s="389">
        <v>0</v>
      </c>
      <c r="M130" s="389">
        <v>0</v>
      </c>
      <c r="N130" s="389"/>
      <c r="O130" s="389"/>
      <c r="P130" s="428">
        <f>D130</f>
        <v>0</v>
      </c>
    </row>
    <row r="131" spans="1:16" ht="15.6" x14ac:dyDescent="0.3">
      <c r="A131" s="487"/>
      <c r="B131" s="348" t="s">
        <v>84</v>
      </c>
      <c r="C131" s="348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391"/>
      <c r="J131" s="391"/>
      <c r="K131" s="391"/>
      <c r="L131" s="391">
        <v>0</v>
      </c>
      <c r="M131" s="391">
        <v>0</v>
      </c>
      <c r="N131" s="391"/>
      <c r="O131" s="391"/>
      <c r="P131" s="429">
        <f>SUM(D131:O131)</f>
        <v>0</v>
      </c>
    </row>
    <row r="132" spans="1:16" ht="15.6" x14ac:dyDescent="0.3">
      <c r="A132" s="487"/>
      <c r="B132" s="430" t="s">
        <v>88</v>
      </c>
      <c r="C132" s="348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391"/>
      <c r="J132" s="391"/>
      <c r="K132" s="391"/>
      <c r="L132" s="391">
        <v>0</v>
      </c>
      <c r="M132" s="391">
        <v>0</v>
      </c>
      <c r="N132" s="391"/>
      <c r="O132" s="391"/>
      <c r="P132" s="429">
        <f>SUM(D132:O132)</f>
        <v>0</v>
      </c>
    </row>
    <row r="133" spans="1:16" ht="15.6" x14ac:dyDescent="0.3">
      <c r="A133" s="487"/>
      <c r="B133" s="348" t="s">
        <v>82</v>
      </c>
      <c r="C133" s="348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391"/>
      <c r="J133" s="391"/>
      <c r="K133" s="391"/>
      <c r="L133" s="391">
        <v>0</v>
      </c>
      <c r="M133" s="391">
        <v>0</v>
      </c>
      <c r="N133" s="391"/>
      <c r="O133" s="391"/>
      <c r="P133" s="429">
        <f>SUM(D133:O133)</f>
        <v>0</v>
      </c>
    </row>
    <row r="134" spans="1:16" ht="15.6" x14ac:dyDescent="0.3">
      <c r="A134" s="250"/>
      <c r="B134" s="348" t="s">
        <v>81</v>
      </c>
      <c r="C134" s="348" t="s">
        <v>3</v>
      </c>
      <c r="D134" s="132">
        <f>D130+D131-D132-D133</f>
        <v>0</v>
      </c>
      <c r="E134" s="132">
        <f t="shared" ref="E134:H134" si="112">E130+E131-E132-E133</f>
        <v>0</v>
      </c>
      <c r="F134" s="132">
        <f t="shared" si="112"/>
        <v>0</v>
      </c>
      <c r="G134" s="132">
        <f t="shared" si="112"/>
        <v>0</v>
      </c>
      <c r="H134" s="132">
        <f t="shared" si="112"/>
        <v>0</v>
      </c>
      <c r="I134" s="389">
        <f t="shared" ref="I134" si="113">I130+I131-I132-I133</f>
        <v>0</v>
      </c>
      <c r="J134" s="389">
        <f t="shared" ref="J134:K134" si="114">J130+J131-J132-J133</f>
        <v>0</v>
      </c>
      <c r="K134" s="389">
        <f t="shared" si="114"/>
        <v>0</v>
      </c>
      <c r="L134" s="389">
        <v>0</v>
      </c>
      <c r="M134" s="389">
        <v>0</v>
      </c>
      <c r="N134" s="389">
        <f t="shared" ref="N134" si="115">N130+N131-N132-N133</f>
        <v>0</v>
      </c>
      <c r="O134" s="389">
        <v>0</v>
      </c>
      <c r="P134" s="428">
        <f>P130+P131-P132-P133</f>
        <v>0</v>
      </c>
    </row>
    <row r="135" spans="1:16" ht="15.6" x14ac:dyDescent="0.3">
      <c r="A135" s="249" t="s">
        <v>89</v>
      </c>
      <c r="B135" s="348" t="s">
        <v>85</v>
      </c>
      <c r="C135" s="348" t="s">
        <v>3</v>
      </c>
      <c r="D135" s="132">
        <v>0</v>
      </c>
      <c r="E135" s="132">
        <f>D139</f>
        <v>0</v>
      </c>
      <c r="F135" s="132">
        <f t="shared" ref="F135:H135" si="116">E139</f>
        <v>0</v>
      </c>
      <c r="G135" s="132">
        <f t="shared" si="116"/>
        <v>0</v>
      </c>
      <c r="H135" s="132">
        <f t="shared" si="116"/>
        <v>0</v>
      </c>
      <c r="I135" s="389"/>
      <c r="J135" s="389"/>
      <c r="K135" s="389"/>
      <c r="L135" s="389">
        <v>0</v>
      </c>
      <c r="M135" s="389">
        <v>0</v>
      </c>
      <c r="N135" s="389"/>
      <c r="O135" s="389"/>
      <c r="P135" s="428">
        <f>D135</f>
        <v>0</v>
      </c>
    </row>
    <row r="136" spans="1:16" ht="15.6" x14ac:dyDescent="0.3">
      <c r="A136" s="487"/>
      <c r="B136" s="348" t="s">
        <v>84</v>
      </c>
      <c r="C136" s="348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391"/>
      <c r="J136" s="391"/>
      <c r="K136" s="391"/>
      <c r="L136" s="391">
        <v>0</v>
      </c>
      <c r="M136" s="391">
        <v>0</v>
      </c>
      <c r="N136" s="391"/>
      <c r="O136" s="391"/>
      <c r="P136" s="429">
        <f>SUM(D136:O136)</f>
        <v>0</v>
      </c>
    </row>
    <row r="137" spans="1:16" ht="15.6" x14ac:dyDescent="0.3">
      <c r="A137" s="487"/>
      <c r="B137" s="430" t="s">
        <v>88</v>
      </c>
      <c r="C137" s="348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391"/>
      <c r="J137" s="391"/>
      <c r="K137" s="391"/>
      <c r="L137" s="391">
        <v>0</v>
      </c>
      <c r="M137" s="391">
        <v>0</v>
      </c>
      <c r="N137" s="391"/>
      <c r="O137" s="391"/>
      <c r="P137" s="429">
        <f>SUM(D137:O137)</f>
        <v>0</v>
      </c>
    </row>
    <row r="138" spans="1:16" ht="15.6" x14ac:dyDescent="0.3">
      <c r="A138" s="487"/>
      <c r="B138" s="348" t="s">
        <v>82</v>
      </c>
      <c r="C138" s="348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391"/>
      <c r="J138" s="391"/>
      <c r="K138" s="391"/>
      <c r="L138" s="391">
        <v>0</v>
      </c>
      <c r="M138" s="391">
        <v>0</v>
      </c>
      <c r="N138" s="391"/>
      <c r="O138" s="391"/>
      <c r="P138" s="429">
        <f>SUM(D138:O138)</f>
        <v>0</v>
      </c>
    </row>
    <row r="139" spans="1:16" ht="15.6" x14ac:dyDescent="0.3">
      <c r="A139" s="250"/>
      <c r="B139" s="348" t="s">
        <v>81</v>
      </c>
      <c r="C139" s="348" t="s">
        <v>3</v>
      </c>
      <c r="D139" s="132">
        <f>D135+D136-D137-D138</f>
        <v>0</v>
      </c>
      <c r="E139" s="132">
        <f t="shared" ref="E139:H139" si="117">E135+E136-E137-E138</f>
        <v>0</v>
      </c>
      <c r="F139" s="132">
        <f t="shared" si="117"/>
        <v>0</v>
      </c>
      <c r="G139" s="132">
        <f t="shared" si="117"/>
        <v>0</v>
      </c>
      <c r="H139" s="132">
        <f t="shared" si="117"/>
        <v>0</v>
      </c>
      <c r="I139" s="389">
        <f t="shared" ref="I139" si="118">I135+I136-I137-I138</f>
        <v>0</v>
      </c>
      <c r="J139" s="389">
        <f t="shared" ref="J139:K139" si="119">J135+J136-J137-J138</f>
        <v>0</v>
      </c>
      <c r="K139" s="389">
        <f t="shared" si="119"/>
        <v>0</v>
      </c>
      <c r="L139" s="389">
        <v>0</v>
      </c>
      <c r="M139" s="389">
        <v>0</v>
      </c>
      <c r="N139" s="389">
        <f t="shared" ref="N139" si="120">N135+N136-N137-N138</f>
        <v>0</v>
      </c>
      <c r="O139" s="389">
        <v>0</v>
      </c>
      <c r="P139" s="428">
        <f>P135+P136-P137-P138</f>
        <v>0</v>
      </c>
    </row>
    <row r="140" spans="1:16" ht="15.6" x14ac:dyDescent="0.3">
      <c r="A140" s="249" t="s">
        <v>87</v>
      </c>
      <c r="B140" s="348" t="s">
        <v>85</v>
      </c>
      <c r="C140" s="348" t="s">
        <v>3</v>
      </c>
      <c r="D140" s="132">
        <v>19</v>
      </c>
      <c r="E140" s="132">
        <f>D144</f>
        <v>47</v>
      </c>
      <c r="F140" s="132">
        <f t="shared" ref="F140:K140" si="121">E144</f>
        <v>33</v>
      </c>
      <c r="G140" s="132">
        <f t="shared" si="121"/>
        <v>24</v>
      </c>
      <c r="H140" s="132">
        <f t="shared" si="121"/>
        <v>17</v>
      </c>
      <c r="I140" s="132">
        <f t="shared" si="121"/>
        <v>14</v>
      </c>
      <c r="J140" s="132">
        <f t="shared" si="121"/>
        <v>36</v>
      </c>
      <c r="K140" s="132">
        <f t="shared" si="121"/>
        <v>36</v>
      </c>
      <c r="L140" s="389">
        <v>39</v>
      </c>
      <c r="M140" s="389">
        <v>22</v>
      </c>
      <c r="N140" s="389">
        <v>3</v>
      </c>
      <c r="O140" s="389">
        <v>8</v>
      </c>
      <c r="P140" s="428">
        <f>D140</f>
        <v>19</v>
      </c>
    </row>
    <row r="141" spans="1:16" ht="15.6" x14ac:dyDescent="0.3">
      <c r="A141" s="487"/>
      <c r="B141" s="348" t="s">
        <v>84</v>
      </c>
      <c r="C141" s="348" t="s">
        <v>3</v>
      </c>
      <c r="D141" s="560">
        <v>28</v>
      </c>
      <c r="E141" s="132">
        <v>13</v>
      </c>
      <c r="F141" s="132">
        <v>8</v>
      </c>
      <c r="G141" s="132">
        <v>10</v>
      </c>
      <c r="H141" s="132">
        <v>7</v>
      </c>
      <c r="I141" s="132">
        <v>44</v>
      </c>
      <c r="J141" s="132">
        <v>23</v>
      </c>
      <c r="K141" s="132">
        <v>15</v>
      </c>
      <c r="L141" s="391">
        <v>12</v>
      </c>
      <c r="M141" s="391">
        <v>68</v>
      </c>
      <c r="N141" s="391">
        <v>33</v>
      </c>
      <c r="O141" s="391">
        <v>10</v>
      </c>
      <c r="P141" s="429">
        <f>SUM(D141:O141)</f>
        <v>271</v>
      </c>
    </row>
    <row r="142" spans="1:16" ht="15.6" x14ac:dyDescent="0.3">
      <c r="A142" s="487"/>
      <c r="B142" s="348" t="s">
        <v>83</v>
      </c>
      <c r="C142" s="348" t="s">
        <v>3</v>
      </c>
      <c r="D142" s="560">
        <v>0</v>
      </c>
      <c r="E142" s="132">
        <v>17</v>
      </c>
      <c r="F142" s="132">
        <v>15</v>
      </c>
      <c r="G142" s="132">
        <v>17</v>
      </c>
      <c r="H142" s="132">
        <v>10</v>
      </c>
      <c r="I142" s="132">
        <v>15</v>
      </c>
      <c r="J142" s="132">
        <v>18</v>
      </c>
      <c r="K142" s="132">
        <v>10</v>
      </c>
      <c r="L142" s="391">
        <v>0</v>
      </c>
      <c r="M142" s="391">
        <v>14</v>
      </c>
      <c r="N142" s="391">
        <v>0</v>
      </c>
      <c r="O142" s="391">
        <v>0</v>
      </c>
      <c r="P142" s="429">
        <f>SUM(D142:O142)</f>
        <v>116</v>
      </c>
    </row>
    <row r="143" spans="1:16" ht="15.6" x14ac:dyDescent="0.3">
      <c r="A143" s="487"/>
      <c r="B143" s="348" t="s">
        <v>82</v>
      </c>
      <c r="C143" s="348" t="s">
        <v>3</v>
      </c>
      <c r="D143" s="560">
        <v>0</v>
      </c>
      <c r="E143" s="132">
        <v>10</v>
      </c>
      <c r="F143" s="132">
        <v>2</v>
      </c>
      <c r="G143" s="132">
        <v>0</v>
      </c>
      <c r="H143" s="132">
        <v>0</v>
      </c>
      <c r="I143" s="132">
        <v>7</v>
      </c>
      <c r="J143" s="132">
        <v>5</v>
      </c>
      <c r="K143" s="132">
        <v>2</v>
      </c>
      <c r="L143" s="391">
        <v>29</v>
      </c>
      <c r="M143" s="391">
        <v>73</v>
      </c>
      <c r="N143" s="391">
        <v>28</v>
      </c>
      <c r="O143" s="391">
        <v>13</v>
      </c>
      <c r="P143" s="429">
        <f>SUM(D143:O143)</f>
        <v>169</v>
      </c>
    </row>
    <row r="144" spans="1:16" ht="15.6" x14ac:dyDescent="0.3">
      <c r="A144" s="250"/>
      <c r="B144" s="348" t="s">
        <v>81</v>
      </c>
      <c r="C144" s="348" t="s">
        <v>3</v>
      </c>
      <c r="D144" s="132">
        <f>D140+D141-D142-D143</f>
        <v>47</v>
      </c>
      <c r="E144" s="132">
        <f t="shared" ref="E144:H144" si="122">E140+E141-E142-E143</f>
        <v>33</v>
      </c>
      <c r="F144" s="132">
        <f t="shared" si="122"/>
        <v>24</v>
      </c>
      <c r="G144" s="132">
        <f t="shared" si="122"/>
        <v>17</v>
      </c>
      <c r="H144" s="132">
        <f t="shared" si="122"/>
        <v>14</v>
      </c>
      <c r="I144" s="389">
        <f t="shared" ref="I144:K144" si="123">I140+I141-I142-I143</f>
        <v>36</v>
      </c>
      <c r="J144" s="132">
        <f t="shared" si="123"/>
        <v>36</v>
      </c>
      <c r="K144" s="132">
        <f t="shared" si="123"/>
        <v>39</v>
      </c>
      <c r="L144" s="389">
        <v>22</v>
      </c>
      <c r="M144" s="389">
        <v>3</v>
      </c>
      <c r="N144" s="389">
        <v>8</v>
      </c>
      <c r="O144" s="389">
        <v>5</v>
      </c>
      <c r="P144" s="428">
        <f>P140+P141-P142-P143</f>
        <v>5</v>
      </c>
    </row>
    <row r="145" spans="1:16" s="354" customFormat="1" ht="15.6" x14ac:dyDescent="0.3">
      <c r="A145" s="249" t="s">
        <v>86</v>
      </c>
      <c r="B145" s="348" t="s">
        <v>85</v>
      </c>
      <c r="C145" s="348" t="s">
        <v>3</v>
      </c>
      <c r="D145" s="394">
        <f t="shared" ref="D145:I145" si="124">D125+D130+D135+D140</f>
        <v>19</v>
      </c>
      <c r="E145" s="394">
        <f t="shared" si="124"/>
        <v>47</v>
      </c>
      <c r="F145" s="394">
        <f t="shared" si="124"/>
        <v>33</v>
      </c>
      <c r="G145" s="394">
        <f t="shared" si="124"/>
        <v>24</v>
      </c>
      <c r="H145" s="394">
        <f t="shared" si="124"/>
        <v>17</v>
      </c>
      <c r="I145" s="394">
        <f t="shared" si="124"/>
        <v>14</v>
      </c>
      <c r="J145" s="394">
        <f t="shared" ref="J145:K145" si="125">J125+J130+J135+J140</f>
        <v>36</v>
      </c>
      <c r="K145" s="394">
        <f t="shared" si="125"/>
        <v>36</v>
      </c>
      <c r="L145" s="394">
        <f t="shared" ref="L145:M145" si="126">L125+L130+L135+L140</f>
        <v>39</v>
      </c>
      <c r="M145" s="394">
        <f t="shared" si="126"/>
        <v>22</v>
      </c>
      <c r="N145" s="394">
        <f t="shared" ref="N145" si="127">N125+N130+N135+N140</f>
        <v>3</v>
      </c>
      <c r="O145" s="394">
        <v>8</v>
      </c>
      <c r="P145" s="433">
        <f t="shared" ref="P145:P149" si="128">P125+P130+P135+P140</f>
        <v>19</v>
      </c>
    </row>
    <row r="146" spans="1:16" ht="15.6" x14ac:dyDescent="0.3">
      <c r="A146" s="487"/>
      <c r="B146" s="348" t="s">
        <v>84</v>
      </c>
      <c r="C146" s="348" t="s">
        <v>3</v>
      </c>
      <c r="D146" s="394">
        <f t="shared" ref="D146:E148" si="129">D126+D131+D136+D141</f>
        <v>28</v>
      </c>
      <c r="E146" s="394">
        <f t="shared" si="129"/>
        <v>13</v>
      </c>
      <c r="F146" s="394">
        <f t="shared" ref="F146:G146" si="130">F126+F131+F136+F141</f>
        <v>8</v>
      </c>
      <c r="G146" s="394">
        <f t="shared" si="130"/>
        <v>10</v>
      </c>
      <c r="H146" s="394">
        <f t="shared" ref="H146:I146" si="131">H126+H131+H136+H141</f>
        <v>7</v>
      </c>
      <c r="I146" s="394">
        <f t="shared" si="131"/>
        <v>44</v>
      </c>
      <c r="J146" s="394">
        <f t="shared" ref="J146:K146" si="132">J126+J131+J136+J141</f>
        <v>23</v>
      </c>
      <c r="K146" s="394">
        <f t="shared" si="132"/>
        <v>15</v>
      </c>
      <c r="L146" s="394">
        <f t="shared" ref="L146:M146" si="133">L126+L131+L136+L141</f>
        <v>12</v>
      </c>
      <c r="M146" s="394">
        <f t="shared" si="133"/>
        <v>68</v>
      </c>
      <c r="N146" s="394">
        <f t="shared" ref="N146" si="134">N126+N131+N136+N141</f>
        <v>33</v>
      </c>
      <c r="O146" s="394">
        <v>10</v>
      </c>
      <c r="P146" s="433">
        <f t="shared" si="128"/>
        <v>271</v>
      </c>
    </row>
    <row r="147" spans="1:16" ht="15.6" x14ac:dyDescent="0.3">
      <c r="A147" s="487"/>
      <c r="B147" s="348" t="s">
        <v>83</v>
      </c>
      <c r="C147" s="348" t="s">
        <v>3</v>
      </c>
      <c r="D147" s="394">
        <f t="shared" si="129"/>
        <v>0</v>
      </c>
      <c r="E147" s="394">
        <f t="shared" si="129"/>
        <v>17</v>
      </c>
      <c r="F147" s="394">
        <f t="shared" ref="F147:G147" si="135">F127+F132+F137+F142</f>
        <v>15</v>
      </c>
      <c r="G147" s="394">
        <f t="shared" si="135"/>
        <v>17</v>
      </c>
      <c r="H147" s="394">
        <f t="shared" ref="H147:I147" si="136">H127+H132+H137+H142</f>
        <v>10</v>
      </c>
      <c r="I147" s="394">
        <f t="shared" si="136"/>
        <v>15</v>
      </c>
      <c r="J147" s="394">
        <f t="shared" ref="J147:K147" si="137">J127+J132+J137+J142</f>
        <v>18</v>
      </c>
      <c r="K147" s="394">
        <f t="shared" si="137"/>
        <v>10</v>
      </c>
      <c r="L147" s="394">
        <f t="shared" ref="L147:M147" si="138">L127+L132+L137+L142</f>
        <v>0</v>
      </c>
      <c r="M147" s="394">
        <f t="shared" si="138"/>
        <v>14</v>
      </c>
      <c r="N147" s="394">
        <f t="shared" ref="N147" si="139">N127+N132+N137+N142</f>
        <v>0</v>
      </c>
      <c r="O147" s="394">
        <v>0</v>
      </c>
      <c r="P147" s="433">
        <f t="shared" si="128"/>
        <v>116</v>
      </c>
    </row>
    <row r="148" spans="1:16" ht="15.6" x14ac:dyDescent="0.3">
      <c r="A148" s="487"/>
      <c r="B148" s="348" t="s">
        <v>82</v>
      </c>
      <c r="C148" s="348" t="s">
        <v>3</v>
      </c>
      <c r="D148" s="394">
        <f t="shared" si="129"/>
        <v>0</v>
      </c>
      <c r="E148" s="394">
        <f t="shared" si="129"/>
        <v>10</v>
      </c>
      <c r="F148" s="394">
        <f t="shared" ref="F148:G148" si="140">F128+F133+F138+F143</f>
        <v>2</v>
      </c>
      <c r="G148" s="394">
        <f t="shared" si="140"/>
        <v>0</v>
      </c>
      <c r="H148" s="394">
        <f t="shared" ref="H148:I148" si="141">H128+H133+H138+H143</f>
        <v>0</v>
      </c>
      <c r="I148" s="394">
        <f t="shared" si="141"/>
        <v>7</v>
      </c>
      <c r="J148" s="394">
        <f t="shared" ref="J148:K148" si="142">J128+J133+J138+J143</f>
        <v>5</v>
      </c>
      <c r="K148" s="394">
        <f t="shared" si="142"/>
        <v>2</v>
      </c>
      <c r="L148" s="394">
        <f t="shared" ref="L148:M148" si="143">L128+L133+L138+L143</f>
        <v>29</v>
      </c>
      <c r="M148" s="394">
        <f t="shared" si="143"/>
        <v>73</v>
      </c>
      <c r="N148" s="394">
        <f t="shared" ref="N148" si="144">N128+N133+N138+N143</f>
        <v>28</v>
      </c>
      <c r="O148" s="394">
        <v>13</v>
      </c>
      <c r="P148" s="433">
        <f t="shared" si="128"/>
        <v>169</v>
      </c>
    </row>
    <row r="149" spans="1:16" ht="15.6" x14ac:dyDescent="0.3">
      <c r="A149" s="250"/>
      <c r="B149" s="348" t="s">
        <v>81</v>
      </c>
      <c r="C149" s="348" t="s">
        <v>3</v>
      </c>
      <c r="D149" s="389">
        <f t="shared" ref="D149:I149" si="145">D145+D146-D147-D148</f>
        <v>47</v>
      </c>
      <c r="E149" s="389">
        <f t="shared" si="145"/>
        <v>33</v>
      </c>
      <c r="F149" s="389">
        <f t="shared" si="145"/>
        <v>24</v>
      </c>
      <c r="G149" s="389">
        <f t="shared" si="145"/>
        <v>17</v>
      </c>
      <c r="H149" s="389">
        <f t="shared" si="145"/>
        <v>14</v>
      </c>
      <c r="I149" s="389">
        <f t="shared" si="145"/>
        <v>36</v>
      </c>
      <c r="J149" s="389">
        <f t="shared" ref="J149:K149" si="146">J145+J146-J147-J148</f>
        <v>36</v>
      </c>
      <c r="K149" s="389">
        <f t="shared" si="146"/>
        <v>39</v>
      </c>
      <c r="L149" s="389">
        <f t="shared" ref="L149:M149" si="147">L145+L146-L147-L148</f>
        <v>22</v>
      </c>
      <c r="M149" s="389">
        <f t="shared" si="147"/>
        <v>3</v>
      </c>
      <c r="N149" s="389">
        <f t="shared" ref="N149" si="148">N145+N146-N147-N148</f>
        <v>8</v>
      </c>
      <c r="O149" s="389">
        <v>5</v>
      </c>
      <c r="P149" s="433">
        <f t="shared" si="128"/>
        <v>5</v>
      </c>
    </row>
    <row r="150" spans="1:16" x14ac:dyDescent="0.3">
      <c r="A150" s="475" t="s">
        <v>80</v>
      </c>
      <c r="B150" s="476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7"/>
    </row>
    <row r="151" spans="1:16" ht="15.6" x14ac:dyDescent="0.3">
      <c r="A151" s="478" t="s">
        <v>79</v>
      </c>
      <c r="B151" s="479"/>
      <c r="C151" s="348"/>
      <c r="D151" s="375"/>
      <c r="E151" s="375"/>
      <c r="F151" s="375"/>
      <c r="G151" s="375"/>
      <c r="H151" s="375"/>
      <c r="I151" s="375"/>
      <c r="J151" s="434"/>
      <c r="K151" s="434"/>
      <c r="L151" s="434"/>
      <c r="M151" s="434"/>
      <c r="N151" s="434"/>
      <c r="O151" s="434"/>
      <c r="P151" s="387"/>
    </row>
    <row r="152" spans="1:16" ht="15.6" x14ac:dyDescent="0.3">
      <c r="A152" s="506" t="s">
        <v>78</v>
      </c>
      <c r="B152" s="435" t="s">
        <v>63</v>
      </c>
      <c r="C152" s="348"/>
      <c r="D152" s="375"/>
      <c r="E152" s="375"/>
      <c r="F152" s="375"/>
      <c r="G152" s="375"/>
      <c r="H152" s="375"/>
      <c r="I152" s="375"/>
      <c r="J152" s="434"/>
      <c r="K152" s="434"/>
      <c r="L152" s="434"/>
      <c r="M152" s="434"/>
      <c r="N152" s="434"/>
      <c r="O152" s="434"/>
      <c r="P152" s="387"/>
    </row>
    <row r="153" spans="1:16" ht="15.6" x14ac:dyDescent="0.3">
      <c r="A153" s="507"/>
      <c r="B153" s="20" t="s">
        <v>73</v>
      </c>
      <c r="C153" s="348" t="s">
        <v>57</v>
      </c>
      <c r="D153" s="4">
        <v>56</v>
      </c>
      <c r="E153" s="4">
        <v>78</v>
      </c>
      <c r="F153" s="4">
        <v>76</v>
      </c>
      <c r="G153" s="4">
        <v>86</v>
      </c>
      <c r="H153" s="563">
        <v>98</v>
      </c>
      <c r="I153" s="4">
        <v>87</v>
      </c>
      <c r="J153" s="4">
        <v>110</v>
      </c>
      <c r="K153" s="4">
        <v>91</v>
      </c>
      <c r="L153" s="391">
        <v>81</v>
      </c>
      <c r="M153" s="391">
        <v>98</v>
      </c>
      <c r="N153" s="391">
        <v>85</v>
      </c>
      <c r="O153" s="391">
        <v>89</v>
      </c>
      <c r="P153" s="429">
        <f t="shared" ref="P153:P165" si="149">SUM(D153:O153)</f>
        <v>1035</v>
      </c>
    </row>
    <row r="154" spans="1:16" ht="15.6" x14ac:dyDescent="0.3">
      <c r="A154" s="507"/>
      <c r="B154" s="20" t="s">
        <v>72</v>
      </c>
      <c r="C154" s="348" t="s">
        <v>57</v>
      </c>
      <c r="D154" s="4">
        <v>28</v>
      </c>
      <c r="E154" s="4">
        <v>33</v>
      </c>
      <c r="F154" s="4">
        <v>34</v>
      </c>
      <c r="G154" s="4">
        <v>40</v>
      </c>
      <c r="H154" s="563">
        <v>35</v>
      </c>
      <c r="I154" s="4">
        <v>33</v>
      </c>
      <c r="J154" s="4">
        <v>40</v>
      </c>
      <c r="K154" s="4">
        <v>37</v>
      </c>
      <c r="L154" s="391">
        <v>48</v>
      </c>
      <c r="M154" s="391">
        <v>59</v>
      </c>
      <c r="N154" s="391">
        <v>58</v>
      </c>
      <c r="O154" s="391">
        <v>66</v>
      </c>
      <c r="P154" s="429">
        <f t="shared" si="149"/>
        <v>511</v>
      </c>
    </row>
    <row r="155" spans="1:16" ht="15.6" x14ac:dyDescent="0.3">
      <c r="A155" s="507"/>
      <c r="B155" s="20" t="s">
        <v>53</v>
      </c>
      <c r="C155" s="348" t="s">
        <v>57</v>
      </c>
      <c r="D155" s="4">
        <v>11</v>
      </c>
      <c r="E155" s="4">
        <v>6</v>
      </c>
      <c r="F155" s="4">
        <v>11</v>
      </c>
      <c r="G155" s="4">
        <v>5</v>
      </c>
      <c r="H155" s="563">
        <v>15</v>
      </c>
      <c r="I155" s="4">
        <v>23</v>
      </c>
      <c r="J155" s="4">
        <v>17</v>
      </c>
      <c r="K155" s="4">
        <v>13</v>
      </c>
      <c r="L155" s="391">
        <v>11</v>
      </c>
      <c r="M155" s="391">
        <v>11</v>
      </c>
      <c r="N155" s="391">
        <v>8</v>
      </c>
      <c r="O155" s="391">
        <v>15</v>
      </c>
      <c r="P155" s="429">
        <f t="shared" si="149"/>
        <v>146</v>
      </c>
    </row>
    <row r="156" spans="1:16" ht="15.6" x14ac:dyDescent="0.3">
      <c r="A156" s="507"/>
      <c r="B156" s="20" t="s">
        <v>71</v>
      </c>
      <c r="C156" s="348" t="s">
        <v>57</v>
      </c>
      <c r="D156" s="4">
        <v>4</v>
      </c>
      <c r="E156" s="4">
        <v>0</v>
      </c>
      <c r="F156" s="4">
        <v>1</v>
      </c>
      <c r="G156" s="4">
        <v>3</v>
      </c>
      <c r="H156" s="563">
        <v>1</v>
      </c>
      <c r="I156" s="4">
        <v>0</v>
      </c>
      <c r="J156" s="4">
        <v>1</v>
      </c>
      <c r="K156" s="4">
        <v>0</v>
      </c>
      <c r="L156" s="391">
        <v>1</v>
      </c>
      <c r="M156" s="391">
        <v>3</v>
      </c>
      <c r="N156" s="391">
        <v>2</v>
      </c>
      <c r="O156" s="391">
        <v>0</v>
      </c>
      <c r="P156" s="429">
        <f t="shared" si="149"/>
        <v>16</v>
      </c>
    </row>
    <row r="157" spans="1:16" ht="15.6" x14ac:dyDescent="0.3">
      <c r="A157" s="507"/>
      <c r="B157" s="20" t="s">
        <v>52</v>
      </c>
      <c r="C157" s="348" t="s">
        <v>57</v>
      </c>
      <c r="D157" s="4">
        <v>1</v>
      </c>
      <c r="E157" s="4">
        <v>2</v>
      </c>
      <c r="F157" s="4">
        <v>3</v>
      </c>
      <c r="G157" s="4">
        <v>2</v>
      </c>
      <c r="H157" s="563">
        <v>5</v>
      </c>
      <c r="I157" s="4">
        <v>2</v>
      </c>
      <c r="J157" s="4">
        <v>2</v>
      </c>
      <c r="K157" s="4">
        <v>4</v>
      </c>
      <c r="L157" s="391">
        <v>1</v>
      </c>
      <c r="M157" s="391">
        <v>3</v>
      </c>
      <c r="N157" s="391">
        <v>1</v>
      </c>
      <c r="O157" s="391">
        <v>2</v>
      </c>
      <c r="P157" s="429">
        <f t="shared" si="149"/>
        <v>28</v>
      </c>
    </row>
    <row r="158" spans="1:16" ht="15.6" x14ac:dyDescent="0.3">
      <c r="A158" s="507"/>
      <c r="B158" s="20" t="s">
        <v>51</v>
      </c>
      <c r="C158" s="348" t="s">
        <v>57</v>
      </c>
      <c r="D158" s="4">
        <v>1</v>
      </c>
      <c r="E158" s="4">
        <v>1</v>
      </c>
      <c r="F158" s="4">
        <v>3</v>
      </c>
      <c r="G158" s="4">
        <v>4</v>
      </c>
      <c r="H158" s="563">
        <v>2</v>
      </c>
      <c r="I158" s="4">
        <v>1</v>
      </c>
      <c r="J158" s="4">
        <v>2</v>
      </c>
      <c r="K158" s="4"/>
      <c r="L158" s="391">
        <v>3</v>
      </c>
      <c r="M158" s="391">
        <v>5</v>
      </c>
      <c r="N158" s="391">
        <v>3</v>
      </c>
      <c r="O158" s="391">
        <v>2</v>
      </c>
      <c r="P158" s="429">
        <f t="shared" si="149"/>
        <v>27</v>
      </c>
    </row>
    <row r="159" spans="1:16" ht="15.6" x14ac:dyDescent="0.3">
      <c r="A159" s="507"/>
      <c r="B159" s="20" t="s">
        <v>62</v>
      </c>
      <c r="C159" s="348" t="s">
        <v>57</v>
      </c>
      <c r="D159" s="4">
        <v>0</v>
      </c>
      <c r="E159" s="4">
        <v>0</v>
      </c>
      <c r="F159" s="4">
        <v>0</v>
      </c>
      <c r="G159" s="4">
        <v>0</v>
      </c>
      <c r="H159" s="563">
        <v>0</v>
      </c>
      <c r="I159" s="4">
        <v>0</v>
      </c>
      <c r="J159" s="4">
        <v>0</v>
      </c>
      <c r="K159" s="4"/>
      <c r="L159" s="391"/>
      <c r="M159" s="391"/>
      <c r="N159" s="391"/>
      <c r="O159" s="391"/>
      <c r="P159" s="429">
        <f t="shared" si="149"/>
        <v>0</v>
      </c>
    </row>
    <row r="160" spans="1:16" ht="15.6" x14ac:dyDescent="0.3">
      <c r="A160" s="507"/>
      <c r="B160" s="20" t="s">
        <v>50</v>
      </c>
      <c r="C160" s="348" t="s">
        <v>57</v>
      </c>
      <c r="D160" s="4">
        <v>0</v>
      </c>
      <c r="E160" s="4">
        <v>0</v>
      </c>
      <c r="F160" s="4">
        <v>1</v>
      </c>
      <c r="G160" s="4">
        <v>1</v>
      </c>
      <c r="H160" s="563">
        <v>1</v>
      </c>
      <c r="I160" s="4">
        <v>0</v>
      </c>
      <c r="J160" s="4">
        <v>3</v>
      </c>
      <c r="K160" s="4">
        <v>1</v>
      </c>
      <c r="L160" s="391"/>
      <c r="M160" s="391"/>
      <c r="N160" s="391"/>
      <c r="O160" s="391"/>
      <c r="P160" s="429">
        <f t="shared" si="149"/>
        <v>7</v>
      </c>
    </row>
    <row r="161" spans="1:16" ht="15.6" x14ac:dyDescent="0.3">
      <c r="A161" s="507"/>
      <c r="B161" s="20" t="s">
        <v>49</v>
      </c>
      <c r="C161" s="348" t="s">
        <v>57</v>
      </c>
      <c r="D161" s="4">
        <v>3</v>
      </c>
      <c r="E161" s="4">
        <v>1</v>
      </c>
      <c r="F161" s="4">
        <v>1</v>
      </c>
      <c r="G161" s="4">
        <v>0</v>
      </c>
      <c r="H161" s="563"/>
      <c r="I161" s="4">
        <v>0</v>
      </c>
      <c r="J161" s="4">
        <v>2</v>
      </c>
      <c r="K161" s="4">
        <v>6</v>
      </c>
      <c r="L161" s="391">
        <v>4</v>
      </c>
      <c r="M161" s="391">
        <v>2</v>
      </c>
      <c r="N161" s="391">
        <v>1</v>
      </c>
      <c r="O161" s="391">
        <v>1</v>
      </c>
      <c r="P161" s="429">
        <f t="shared" si="149"/>
        <v>21</v>
      </c>
    </row>
    <row r="162" spans="1:16" ht="15.6" x14ac:dyDescent="0.3">
      <c r="A162" s="507"/>
      <c r="B162" s="20" t="s">
        <v>77</v>
      </c>
      <c r="C162" s="348" t="s">
        <v>57</v>
      </c>
      <c r="D162" s="4">
        <v>6</v>
      </c>
      <c r="E162" s="4">
        <v>0</v>
      </c>
      <c r="F162" s="4">
        <v>0</v>
      </c>
      <c r="G162" s="4">
        <v>1</v>
      </c>
      <c r="H162" s="563"/>
      <c r="I162" s="4">
        <v>0</v>
      </c>
      <c r="J162" s="391"/>
      <c r="K162" s="4">
        <v>1</v>
      </c>
      <c r="L162" s="391"/>
      <c r="M162" s="391"/>
      <c r="N162" s="391"/>
      <c r="O162" s="391"/>
      <c r="P162" s="429">
        <f t="shared" si="149"/>
        <v>8</v>
      </c>
    </row>
    <row r="163" spans="1:16" ht="15.6" x14ac:dyDescent="0.3">
      <c r="A163" s="507"/>
      <c r="B163" s="20" t="s">
        <v>69</v>
      </c>
      <c r="C163" s="348" t="s">
        <v>57</v>
      </c>
      <c r="D163" s="4"/>
      <c r="E163" s="4"/>
      <c r="F163" s="4">
        <v>1</v>
      </c>
      <c r="G163" s="4">
        <v>1</v>
      </c>
      <c r="H163" s="563"/>
      <c r="I163" s="4">
        <v>1</v>
      </c>
      <c r="J163" s="391"/>
      <c r="K163" s="391"/>
      <c r="L163" s="391">
        <v>1</v>
      </c>
      <c r="M163" s="391"/>
      <c r="N163" s="391"/>
      <c r="O163" s="391"/>
      <c r="P163" s="429">
        <f t="shared" si="149"/>
        <v>4</v>
      </c>
    </row>
    <row r="164" spans="1:16" ht="15.6" x14ac:dyDescent="0.3">
      <c r="A164" s="507"/>
      <c r="B164" s="20" t="s">
        <v>68</v>
      </c>
      <c r="C164" s="348" t="s">
        <v>57</v>
      </c>
      <c r="D164" s="4"/>
      <c r="E164" s="4"/>
      <c r="F164" s="4"/>
      <c r="G164" s="4"/>
      <c r="H164" s="563"/>
      <c r="I164" s="391"/>
      <c r="J164" s="391"/>
      <c r="K164" s="391"/>
      <c r="L164" s="391"/>
      <c r="M164" s="391"/>
      <c r="N164" s="391"/>
      <c r="O164" s="391"/>
      <c r="P164" s="429">
        <f t="shared" si="149"/>
        <v>0</v>
      </c>
    </row>
    <row r="165" spans="1:16" ht="15.6" x14ac:dyDescent="0.3">
      <c r="A165" s="508"/>
      <c r="B165" s="20" t="s">
        <v>76</v>
      </c>
      <c r="C165" s="348" t="s">
        <v>57</v>
      </c>
      <c r="D165" s="4"/>
      <c r="E165" s="4"/>
      <c r="F165" s="4"/>
      <c r="G165" s="4"/>
      <c r="H165" s="563"/>
      <c r="I165" s="391"/>
      <c r="J165" s="391"/>
      <c r="K165" s="391"/>
      <c r="L165" s="391"/>
      <c r="M165" s="391"/>
      <c r="N165" s="391"/>
      <c r="O165" s="391"/>
      <c r="P165" s="429">
        <f t="shared" si="149"/>
        <v>0</v>
      </c>
    </row>
    <row r="166" spans="1:16" ht="15.6" x14ac:dyDescent="0.3">
      <c r="A166" s="506" t="s">
        <v>75</v>
      </c>
      <c r="B166" s="436" t="s">
        <v>63</v>
      </c>
      <c r="C166" s="348"/>
      <c r="D166" s="391"/>
      <c r="E166" s="391"/>
      <c r="F166" s="391"/>
      <c r="G166" s="391"/>
      <c r="H166" s="391"/>
      <c r="I166" s="391"/>
      <c r="J166" s="391"/>
      <c r="K166" s="391"/>
      <c r="L166" s="391"/>
      <c r="M166" s="391"/>
      <c r="N166" s="391"/>
      <c r="O166" s="391"/>
      <c r="P166" s="429"/>
    </row>
    <row r="167" spans="1:16" ht="15.6" x14ac:dyDescent="0.3">
      <c r="A167" s="507"/>
      <c r="B167" s="20" t="s">
        <v>74</v>
      </c>
      <c r="C167" s="348" t="s">
        <v>57</v>
      </c>
      <c r="D167" s="4"/>
      <c r="E167" s="4"/>
      <c r="F167" s="4"/>
      <c r="G167" s="391"/>
      <c r="H167" s="4"/>
      <c r="I167" s="391"/>
      <c r="J167" s="391"/>
      <c r="K167" s="391"/>
      <c r="L167" s="391"/>
      <c r="M167" s="391"/>
      <c r="N167" s="391"/>
      <c r="O167" s="391"/>
      <c r="P167" s="429">
        <f t="shared" ref="P167:P175" si="150">SUM(D167:O167)</f>
        <v>0</v>
      </c>
    </row>
    <row r="168" spans="1:16" ht="15.6" x14ac:dyDescent="0.3">
      <c r="A168" s="507"/>
      <c r="B168" s="20" t="s">
        <v>73</v>
      </c>
      <c r="C168" s="348" t="s">
        <v>57</v>
      </c>
      <c r="D168" s="4"/>
      <c r="E168" s="4"/>
      <c r="F168" s="4"/>
      <c r="G168" s="391"/>
      <c r="H168" s="4"/>
      <c r="I168" s="391"/>
      <c r="J168" s="391"/>
      <c r="K168" s="391"/>
      <c r="L168" s="391"/>
      <c r="M168" s="391"/>
      <c r="N168" s="391"/>
      <c r="O168" s="391"/>
      <c r="P168" s="429">
        <f t="shared" si="150"/>
        <v>0</v>
      </c>
    </row>
    <row r="169" spans="1:16" ht="15.6" x14ac:dyDescent="0.3">
      <c r="A169" s="507"/>
      <c r="B169" s="20" t="s">
        <v>72</v>
      </c>
      <c r="C169" s="348" t="s">
        <v>57</v>
      </c>
      <c r="D169" s="4"/>
      <c r="E169" s="4"/>
      <c r="F169" s="4"/>
      <c r="G169" s="391"/>
      <c r="H169" s="4"/>
      <c r="I169" s="391"/>
      <c r="J169" s="391"/>
      <c r="K169" s="391"/>
      <c r="L169" s="391"/>
      <c r="M169" s="391"/>
      <c r="N169" s="391"/>
      <c r="O169" s="391"/>
      <c r="P169" s="429">
        <f t="shared" si="150"/>
        <v>0</v>
      </c>
    </row>
    <row r="170" spans="1:16" ht="15.6" x14ac:dyDescent="0.3">
      <c r="A170" s="507"/>
      <c r="B170" s="20" t="s">
        <v>71</v>
      </c>
      <c r="C170" s="348" t="s">
        <v>57</v>
      </c>
      <c r="D170" s="4"/>
      <c r="E170" s="4"/>
      <c r="F170" s="4"/>
      <c r="G170" s="391"/>
      <c r="H170" s="4"/>
      <c r="I170" s="391"/>
      <c r="J170" s="391"/>
      <c r="K170" s="391"/>
      <c r="L170" s="391"/>
      <c r="M170" s="391"/>
      <c r="N170" s="391"/>
      <c r="O170" s="391"/>
      <c r="P170" s="429">
        <f t="shared" si="150"/>
        <v>0</v>
      </c>
    </row>
    <row r="171" spans="1:16" ht="15.6" x14ac:dyDescent="0.3">
      <c r="A171" s="507"/>
      <c r="B171" s="20" t="s">
        <v>52</v>
      </c>
      <c r="C171" s="348" t="s">
        <v>57</v>
      </c>
      <c r="D171" s="4"/>
      <c r="E171" s="4"/>
      <c r="F171" s="4"/>
      <c r="G171" s="391"/>
      <c r="H171" s="4"/>
      <c r="I171" s="391"/>
      <c r="J171" s="391"/>
      <c r="K171" s="391"/>
      <c r="L171" s="391"/>
      <c r="M171" s="391"/>
      <c r="N171" s="391"/>
      <c r="O171" s="391"/>
      <c r="P171" s="429">
        <f t="shared" si="150"/>
        <v>0</v>
      </c>
    </row>
    <row r="172" spans="1:16" ht="15.6" x14ac:dyDescent="0.3">
      <c r="A172" s="507"/>
      <c r="B172" s="20" t="s">
        <v>62</v>
      </c>
      <c r="C172" s="348" t="s">
        <v>57</v>
      </c>
      <c r="D172" s="4"/>
      <c r="E172" s="4"/>
      <c r="F172" s="4"/>
      <c r="G172" s="391"/>
      <c r="H172" s="4"/>
      <c r="I172" s="391"/>
      <c r="J172" s="391"/>
      <c r="K172" s="391"/>
      <c r="L172" s="391"/>
      <c r="M172" s="391"/>
      <c r="N172" s="391"/>
      <c r="O172" s="391"/>
      <c r="P172" s="429">
        <f t="shared" si="150"/>
        <v>0</v>
      </c>
    </row>
    <row r="173" spans="1:16" ht="15.6" x14ac:dyDescent="0.3">
      <c r="A173" s="507"/>
      <c r="B173" s="20" t="s">
        <v>61</v>
      </c>
      <c r="C173" s="348" t="s">
        <v>57</v>
      </c>
      <c r="D173" s="4"/>
      <c r="E173" s="4"/>
      <c r="F173" s="4"/>
      <c r="G173" s="391"/>
      <c r="H173" s="4"/>
      <c r="I173" s="391"/>
      <c r="J173" s="391"/>
      <c r="K173" s="391"/>
      <c r="L173" s="391"/>
      <c r="M173" s="391"/>
      <c r="N173" s="391"/>
      <c r="O173" s="391"/>
      <c r="P173" s="429">
        <f t="shared" si="150"/>
        <v>0</v>
      </c>
    </row>
    <row r="174" spans="1:16" ht="15.6" x14ac:dyDescent="0.3">
      <c r="A174" s="507"/>
      <c r="B174" s="20" t="s">
        <v>60</v>
      </c>
      <c r="C174" s="348" t="s">
        <v>57</v>
      </c>
      <c r="D174" s="4"/>
      <c r="E174" s="4"/>
      <c r="F174" s="4"/>
      <c r="G174" s="391"/>
      <c r="H174" s="4"/>
      <c r="I174" s="391"/>
      <c r="J174" s="391"/>
      <c r="K174" s="391"/>
      <c r="L174" s="391"/>
      <c r="M174" s="391"/>
      <c r="N174" s="391"/>
      <c r="O174" s="391"/>
      <c r="P174" s="429">
        <f t="shared" si="150"/>
        <v>0</v>
      </c>
    </row>
    <row r="175" spans="1:16" ht="15.6" x14ac:dyDescent="0.3">
      <c r="A175" s="508"/>
      <c r="B175" s="20" t="s">
        <v>69</v>
      </c>
      <c r="C175" s="348" t="s">
        <v>57</v>
      </c>
      <c r="D175" s="4"/>
      <c r="E175" s="4"/>
      <c r="F175" s="4"/>
      <c r="G175" s="391"/>
      <c r="H175" s="4"/>
      <c r="I175" s="391"/>
      <c r="J175" s="391"/>
      <c r="K175" s="391"/>
      <c r="L175" s="391"/>
      <c r="M175" s="391"/>
      <c r="N175" s="391"/>
      <c r="O175" s="391"/>
      <c r="P175" s="429">
        <f t="shared" si="150"/>
        <v>0</v>
      </c>
    </row>
    <row r="176" spans="1:16" ht="15.6" x14ac:dyDescent="0.3">
      <c r="A176" s="506" t="s">
        <v>70</v>
      </c>
      <c r="B176" s="436" t="s">
        <v>63</v>
      </c>
      <c r="C176" s="348"/>
      <c r="D176" s="391"/>
      <c r="E176" s="391"/>
      <c r="F176" s="391"/>
      <c r="G176" s="391"/>
      <c r="H176" s="391"/>
      <c r="I176" s="391"/>
      <c r="J176" s="391"/>
      <c r="K176" s="391"/>
      <c r="L176" s="391"/>
      <c r="M176" s="391"/>
      <c r="N176" s="391"/>
      <c r="O176" s="391"/>
      <c r="P176" s="429"/>
    </row>
    <row r="177" spans="1:16" ht="15.6" x14ac:dyDescent="0.3">
      <c r="A177" s="507"/>
      <c r="B177" s="20" t="s">
        <v>60</v>
      </c>
      <c r="C177" s="348" t="s">
        <v>57</v>
      </c>
      <c r="D177" s="4"/>
      <c r="E177" s="4"/>
      <c r="F177" s="4"/>
      <c r="G177" s="391"/>
      <c r="H177" s="4"/>
      <c r="I177" s="391"/>
      <c r="J177" s="391"/>
      <c r="K177" s="391"/>
      <c r="L177" s="391"/>
      <c r="M177" s="391"/>
      <c r="N177" s="391"/>
      <c r="O177" s="391"/>
      <c r="P177" s="429">
        <f t="shared" ref="P177:P182" si="151">SUM(D177:O177)</f>
        <v>0</v>
      </c>
    </row>
    <row r="178" spans="1:16" ht="15.6" x14ac:dyDescent="0.3">
      <c r="A178" s="507"/>
      <c r="B178" s="20" t="s">
        <v>69</v>
      </c>
      <c r="C178" s="348" t="s">
        <v>57</v>
      </c>
      <c r="D178" s="4"/>
      <c r="E178" s="4"/>
      <c r="F178" s="4"/>
      <c r="G178" s="391"/>
      <c r="H178" s="4"/>
      <c r="I178" s="391"/>
      <c r="J178" s="391"/>
      <c r="K178" s="391"/>
      <c r="L178" s="391"/>
      <c r="M178" s="391"/>
      <c r="N178" s="391"/>
      <c r="O178" s="391"/>
      <c r="P178" s="429">
        <f t="shared" si="151"/>
        <v>0</v>
      </c>
    </row>
    <row r="179" spans="1:16" ht="15.6" x14ac:dyDescent="0.3">
      <c r="A179" s="507"/>
      <c r="B179" s="20" t="s">
        <v>68</v>
      </c>
      <c r="C179" s="348" t="s">
        <v>57</v>
      </c>
      <c r="D179" s="4"/>
      <c r="E179" s="4"/>
      <c r="F179" s="4"/>
      <c r="G179" s="391"/>
      <c r="H179" s="4"/>
      <c r="I179" s="391"/>
      <c r="J179" s="391"/>
      <c r="K179" s="391"/>
      <c r="L179" s="391"/>
      <c r="M179" s="391"/>
      <c r="N179" s="391"/>
      <c r="O179" s="391"/>
      <c r="P179" s="429">
        <f t="shared" si="151"/>
        <v>0</v>
      </c>
    </row>
    <row r="180" spans="1:16" ht="15.6" x14ac:dyDescent="0.3">
      <c r="A180" s="507"/>
      <c r="B180" s="20" t="s">
        <v>67</v>
      </c>
      <c r="C180" s="348" t="s">
        <v>57</v>
      </c>
      <c r="D180" s="4"/>
      <c r="E180" s="4"/>
      <c r="F180" s="4"/>
      <c r="G180" s="391"/>
      <c r="H180" s="4"/>
      <c r="I180" s="391"/>
      <c r="J180" s="391"/>
      <c r="K180" s="391"/>
      <c r="L180" s="391"/>
      <c r="M180" s="391"/>
      <c r="N180" s="391"/>
      <c r="O180" s="391"/>
      <c r="P180" s="429">
        <f t="shared" si="151"/>
        <v>0</v>
      </c>
    </row>
    <row r="181" spans="1:16" ht="15.6" x14ac:dyDescent="0.3">
      <c r="A181" s="507"/>
      <c r="B181" s="20" t="s">
        <v>66</v>
      </c>
      <c r="C181" s="348" t="s">
        <v>57</v>
      </c>
      <c r="D181" s="4"/>
      <c r="E181" s="4"/>
      <c r="F181" s="4"/>
      <c r="G181" s="391"/>
      <c r="H181" s="4"/>
      <c r="I181" s="391"/>
      <c r="J181" s="391"/>
      <c r="K181" s="391"/>
      <c r="L181" s="391"/>
      <c r="M181" s="391"/>
      <c r="N181" s="391"/>
      <c r="O181" s="391"/>
      <c r="P181" s="429">
        <f t="shared" si="151"/>
        <v>0</v>
      </c>
    </row>
    <row r="182" spans="1:16" ht="15.6" x14ac:dyDescent="0.3">
      <c r="A182" s="508"/>
      <c r="B182" s="20" t="s">
        <v>65</v>
      </c>
      <c r="C182" s="348" t="s">
        <v>57</v>
      </c>
      <c r="D182" s="4"/>
      <c r="E182" s="4"/>
      <c r="F182" s="4"/>
      <c r="G182" s="391"/>
      <c r="H182" s="4"/>
      <c r="I182" s="391"/>
      <c r="J182" s="391"/>
      <c r="K182" s="391"/>
      <c r="L182" s="391"/>
      <c r="M182" s="391"/>
      <c r="N182" s="391"/>
      <c r="O182" s="391"/>
      <c r="P182" s="429">
        <f t="shared" si="151"/>
        <v>0</v>
      </c>
    </row>
    <row r="183" spans="1:16" ht="15.6" x14ac:dyDescent="0.3">
      <c r="A183" s="506" t="s">
        <v>209</v>
      </c>
      <c r="B183" s="436" t="s">
        <v>63</v>
      </c>
      <c r="C183" s="348"/>
      <c r="D183" s="391"/>
      <c r="E183" s="391"/>
      <c r="F183" s="391"/>
      <c r="G183" s="391"/>
      <c r="H183" s="391"/>
      <c r="I183" s="391"/>
      <c r="J183" s="391"/>
      <c r="K183" s="391"/>
      <c r="L183" s="391"/>
      <c r="M183" s="391"/>
      <c r="N183" s="391"/>
      <c r="O183" s="391"/>
      <c r="P183" s="429"/>
    </row>
    <row r="184" spans="1:16" ht="15.6" x14ac:dyDescent="0.3">
      <c r="A184" s="507"/>
      <c r="B184" s="20" t="s">
        <v>73</v>
      </c>
      <c r="C184" s="348"/>
      <c r="D184" s="391"/>
      <c r="E184" s="391"/>
      <c r="F184" s="391"/>
      <c r="G184" s="391"/>
      <c r="H184" s="391"/>
      <c r="I184" s="391"/>
      <c r="J184" s="391"/>
      <c r="K184" s="391"/>
      <c r="L184" s="391"/>
      <c r="M184" s="391"/>
      <c r="N184" s="391"/>
      <c r="O184" s="391"/>
      <c r="P184" s="429">
        <f>SUM(D184:O184)</f>
        <v>0</v>
      </c>
    </row>
    <row r="185" spans="1:16" ht="15.6" x14ac:dyDescent="0.3">
      <c r="A185" s="507"/>
      <c r="B185" s="20" t="s">
        <v>72</v>
      </c>
      <c r="C185" s="348"/>
      <c r="D185" s="391"/>
      <c r="E185" s="391"/>
      <c r="F185" s="391"/>
      <c r="G185" s="391"/>
      <c r="H185" s="391"/>
      <c r="I185" s="391"/>
      <c r="J185" s="391"/>
      <c r="K185" s="391"/>
      <c r="L185" s="391"/>
      <c r="M185" s="391"/>
      <c r="N185" s="391"/>
      <c r="O185" s="391"/>
      <c r="P185" s="429">
        <f>SUM(D185:O185)</f>
        <v>0</v>
      </c>
    </row>
    <row r="186" spans="1:16" ht="15.6" x14ac:dyDescent="0.3">
      <c r="A186" s="507"/>
      <c r="B186" s="20" t="s">
        <v>53</v>
      </c>
      <c r="C186" s="348"/>
      <c r="D186" s="391"/>
      <c r="E186" s="391"/>
      <c r="F186" s="391"/>
      <c r="G186" s="391"/>
      <c r="H186" s="391"/>
      <c r="I186" s="391"/>
      <c r="J186" s="391"/>
      <c r="K186" s="391"/>
      <c r="L186" s="391"/>
      <c r="M186" s="391"/>
      <c r="N186" s="391"/>
      <c r="O186" s="391"/>
      <c r="P186" s="429">
        <f>SUM(D186:O186)</f>
        <v>0</v>
      </c>
    </row>
    <row r="187" spans="1:16" ht="15.6" x14ac:dyDescent="0.3">
      <c r="A187" s="508"/>
      <c r="B187" s="20" t="s">
        <v>52</v>
      </c>
      <c r="C187" s="348"/>
      <c r="D187" s="391"/>
      <c r="E187" s="391"/>
      <c r="F187" s="391"/>
      <c r="G187" s="391"/>
      <c r="H187" s="391"/>
      <c r="I187" s="391"/>
      <c r="J187" s="391"/>
      <c r="K187" s="391"/>
      <c r="L187" s="391"/>
      <c r="M187" s="391"/>
      <c r="N187" s="391"/>
      <c r="O187" s="391"/>
      <c r="P187" s="429">
        <f>SUM(D187:O187)</f>
        <v>0</v>
      </c>
    </row>
    <row r="188" spans="1:16" ht="15.6" x14ac:dyDescent="0.3">
      <c r="A188" s="506" t="s">
        <v>64</v>
      </c>
      <c r="B188" s="436" t="s">
        <v>63</v>
      </c>
      <c r="C188" s="348"/>
      <c r="D188" s="391"/>
      <c r="E188" s="391"/>
      <c r="F188" s="391"/>
      <c r="G188" s="391"/>
      <c r="H188" s="391"/>
      <c r="I188" s="391"/>
      <c r="J188" s="391"/>
      <c r="K188" s="391"/>
      <c r="L188" s="391"/>
      <c r="M188" s="391"/>
      <c r="N188" s="391"/>
      <c r="O188" s="391"/>
      <c r="P188" s="429"/>
    </row>
    <row r="189" spans="1:16" ht="15.6" x14ac:dyDescent="0.3">
      <c r="A189" s="507"/>
      <c r="B189" s="20" t="s">
        <v>52</v>
      </c>
      <c r="C189" s="348" t="s">
        <v>57</v>
      </c>
      <c r="D189" s="391"/>
      <c r="E189" s="391"/>
      <c r="F189" s="391"/>
      <c r="G189" s="391"/>
      <c r="H189" s="4"/>
      <c r="I189" s="391"/>
      <c r="J189" s="391"/>
      <c r="K189" s="391"/>
      <c r="L189" s="391"/>
      <c r="M189" s="391"/>
      <c r="N189" s="391"/>
      <c r="O189" s="391"/>
      <c r="P189" s="429">
        <f>SUM(D189:O189)</f>
        <v>0</v>
      </c>
    </row>
    <row r="190" spans="1:16" ht="15.6" x14ac:dyDescent="0.3">
      <c r="A190" s="507"/>
      <c r="B190" s="20" t="s">
        <v>62</v>
      </c>
      <c r="C190" s="348" t="s">
        <v>57</v>
      </c>
      <c r="D190" s="391"/>
      <c r="E190" s="391"/>
      <c r="F190" s="391"/>
      <c r="G190" s="391"/>
      <c r="H190" s="4"/>
      <c r="I190" s="391"/>
      <c r="J190" s="391"/>
      <c r="K190" s="391"/>
      <c r="L190" s="391"/>
      <c r="M190" s="391"/>
      <c r="N190" s="391"/>
      <c r="O190" s="391"/>
      <c r="P190" s="429">
        <f>SUM(D190:O190)</f>
        <v>0</v>
      </c>
    </row>
    <row r="191" spans="1:16" ht="15.6" x14ac:dyDescent="0.3">
      <c r="A191" s="507"/>
      <c r="B191" s="20" t="s">
        <v>61</v>
      </c>
      <c r="C191" s="348" t="s">
        <v>57</v>
      </c>
      <c r="D191" s="391"/>
      <c r="E191" s="391"/>
      <c r="F191" s="391"/>
      <c r="G191" s="391"/>
      <c r="H191" s="4"/>
      <c r="I191" s="391"/>
      <c r="J191" s="391"/>
      <c r="K191" s="391"/>
      <c r="L191" s="391"/>
      <c r="M191" s="391"/>
      <c r="N191" s="391"/>
      <c r="O191" s="391"/>
      <c r="P191" s="429">
        <f>SUM(D191:O191)</f>
        <v>0</v>
      </c>
    </row>
    <row r="192" spans="1:16" ht="15.6" x14ac:dyDescent="0.3">
      <c r="A192" s="508"/>
      <c r="B192" s="20" t="s">
        <v>60</v>
      </c>
      <c r="C192" s="348" t="s">
        <v>57</v>
      </c>
      <c r="D192" s="391"/>
      <c r="E192" s="391"/>
      <c r="F192" s="391"/>
      <c r="G192" s="391"/>
      <c r="H192" s="4"/>
      <c r="I192" s="391"/>
      <c r="J192" s="391"/>
      <c r="K192" s="391"/>
      <c r="L192" s="391"/>
      <c r="M192" s="391"/>
      <c r="N192" s="391"/>
      <c r="O192" s="391"/>
      <c r="P192" s="429">
        <f>SUM(D192:O192)</f>
        <v>0</v>
      </c>
    </row>
    <row r="193" spans="1:16" ht="15.6" x14ac:dyDescent="0.3">
      <c r="A193" s="437" t="s">
        <v>59</v>
      </c>
      <c r="B193" s="438"/>
      <c r="C193" s="348"/>
      <c r="D193" s="394">
        <f>SUM(D153:D192)</f>
        <v>110</v>
      </c>
      <c r="E193" s="394">
        <f t="shared" ref="E193:I193" si="152">SUM(E153:E192)</f>
        <v>121</v>
      </c>
      <c r="F193" s="394">
        <f t="shared" si="152"/>
        <v>131</v>
      </c>
      <c r="G193" s="394">
        <f t="shared" si="152"/>
        <v>143</v>
      </c>
      <c r="H193" s="394">
        <f t="shared" si="152"/>
        <v>157</v>
      </c>
      <c r="I193" s="394">
        <f t="shared" si="152"/>
        <v>147</v>
      </c>
      <c r="J193" s="394">
        <f>SUM(J153:J192)</f>
        <v>177</v>
      </c>
      <c r="K193" s="394">
        <f t="shared" ref="K193:N193" si="153">SUM(K153:K192)</f>
        <v>153</v>
      </c>
      <c r="L193" s="394">
        <f t="shared" si="153"/>
        <v>150</v>
      </c>
      <c r="M193" s="394">
        <f t="shared" si="153"/>
        <v>181</v>
      </c>
      <c r="N193" s="394">
        <f t="shared" si="153"/>
        <v>158</v>
      </c>
      <c r="O193" s="394">
        <v>175</v>
      </c>
      <c r="P193" s="376">
        <f>SUM(P153:P192)</f>
        <v>1803</v>
      </c>
    </row>
    <row r="194" spans="1:16" ht="15.6" x14ac:dyDescent="0.3">
      <c r="A194" s="482" t="s">
        <v>58</v>
      </c>
      <c r="B194" s="509"/>
      <c r="C194" s="348" t="s">
        <v>57</v>
      </c>
      <c r="D194" s="4">
        <v>0</v>
      </c>
      <c r="E194" s="4">
        <v>0</v>
      </c>
      <c r="F194" s="4">
        <v>0</v>
      </c>
      <c r="G194" s="4"/>
      <c r="H194" s="563">
        <v>1</v>
      </c>
      <c r="I194" s="382"/>
      <c r="J194" s="382"/>
      <c r="K194" s="382"/>
      <c r="L194" s="382"/>
      <c r="M194" s="382"/>
      <c r="N194" s="382"/>
      <c r="O194" s="382"/>
      <c r="P194" s="387">
        <f>SUM(D194:O194)</f>
        <v>1</v>
      </c>
    </row>
    <row r="195" spans="1:16" ht="15.6" x14ac:dyDescent="0.3">
      <c r="A195" s="484"/>
      <c r="B195" s="510"/>
      <c r="C195" s="440" t="s">
        <v>55</v>
      </c>
      <c r="D195" s="4">
        <v>0</v>
      </c>
      <c r="E195" s="4">
        <v>0</v>
      </c>
      <c r="F195" s="4">
        <v>0</v>
      </c>
      <c r="G195" s="4"/>
      <c r="H195" s="563">
        <v>698</v>
      </c>
      <c r="I195" s="382"/>
      <c r="J195" s="382"/>
      <c r="K195" s="382"/>
      <c r="L195" s="382"/>
      <c r="M195" s="382"/>
      <c r="N195" s="382"/>
      <c r="O195" s="382"/>
      <c r="P195" s="387">
        <f>SUM(D195:O195)</f>
        <v>698</v>
      </c>
    </row>
    <row r="196" spans="1:16" ht="15.6" x14ac:dyDescent="0.3">
      <c r="A196" s="441" t="s">
        <v>202</v>
      </c>
      <c r="B196" s="442"/>
      <c r="C196" s="440" t="s">
        <v>55</v>
      </c>
      <c r="D196" s="4">
        <v>10</v>
      </c>
      <c r="E196" s="4">
        <v>9</v>
      </c>
      <c r="F196" s="4">
        <v>10</v>
      </c>
      <c r="G196" s="4">
        <v>10</v>
      </c>
      <c r="H196" s="563">
        <v>7</v>
      </c>
      <c r="I196" s="4">
        <v>6</v>
      </c>
      <c r="J196" s="4">
        <v>6</v>
      </c>
      <c r="K196" s="4">
        <v>7</v>
      </c>
      <c r="L196" s="4">
        <v>6</v>
      </c>
      <c r="M196" s="382">
        <v>5</v>
      </c>
      <c r="N196" s="382">
        <v>6</v>
      </c>
      <c r="O196" s="382">
        <v>6</v>
      </c>
      <c r="P196" s="387">
        <f>SUM(D196:O196)/12</f>
        <v>7.333333333333333</v>
      </c>
    </row>
    <row r="197" spans="1:16" ht="15.6" x14ac:dyDescent="0.3">
      <c r="A197" s="478" t="s">
        <v>56</v>
      </c>
      <c r="B197" s="479"/>
      <c r="C197" s="440" t="s">
        <v>55</v>
      </c>
      <c r="D197" s="4">
        <v>40</v>
      </c>
      <c r="E197" s="4">
        <v>48</v>
      </c>
      <c r="F197" s="4">
        <v>11</v>
      </c>
      <c r="G197" s="4">
        <v>12</v>
      </c>
      <c r="H197" s="563">
        <v>14</v>
      </c>
      <c r="I197" s="4">
        <v>11</v>
      </c>
      <c r="J197" s="4">
        <v>29</v>
      </c>
      <c r="K197" s="4">
        <v>24</v>
      </c>
      <c r="L197" s="4">
        <v>8</v>
      </c>
      <c r="M197" s="382">
        <v>12</v>
      </c>
      <c r="N197" s="382">
        <v>14</v>
      </c>
      <c r="O197" s="382">
        <v>12</v>
      </c>
      <c r="P197" s="387">
        <f>SUM(D197:O197)</f>
        <v>235</v>
      </c>
    </row>
    <row r="198" spans="1:16" x14ac:dyDescent="0.3">
      <c r="A198" s="475" t="s">
        <v>203</v>
      </c>
      <c r="B198" s="476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7"/>
    </row>
    <row r="199" spans="1:16" ht="15.6" x14ac:dyDescent="0.3">
      <c r="A199" s="482" t="s">
        <v>54</v>
      </c>
      <c r="B199" s="358" t="s">
        <v>53</v>
      </c>
      <c r="C199" s="348" t="s">
        <v>47</v>
      </c>
      <c r="D199" s="382"/>
      <c r="E199" s="382"/>
      <c r="F199" s="382"/>
      <c r="G199" s="4">
        <v>0</v>
      </c>
      <c r="H199" s="563">
        <v>0</v>
      </c>
      <c r="I199" s="382"/>
      <c r="J199" s="382"/>
      <c r="K199" s="382"/>
      <c r="L199" s="382"/>
      <c r="M199" s="382"/>
      <c r="N199" s="382"/>
      <c r="O199" s="382"/>
      <c r="P199" s="387">
        <f t="shared" ref="P199:P204" si="154">SUM(D199:O199)</f>
        <v>0</v>
      </c>
    </row>
    <row r="200" spans="1:16" ht="15.6" x14ac:dyDescent="0.3">
      <c r="A200" s="483"/>
      <c r="B200" s="358" t="s">
        <v>52</v>
      </c>
      <c r="C200" s="348" t="s">
        <v>47</v>
      </c>
      <c r="D200" s="382"/>
      <c r="E200" s="382"/>
      <c r="F200" s="382"/>
      <c r="G200" s="4">
        <v>0</v>
      </c>
      <c r="H200" s="563">
        <v>0</v>
      </c>
      <c r="I200" s="382"/>
      <c r="J200" s="382"/>
      <c r="K200" s="382"/>
      <c r="L200" s="382"/>
      <c r="M200" s="382"/>
      <c r="N200" s="382"/>
      <c r="O200" s="382"/>
      <c r="P200" s="387">
        <f t="shared" si="154"/>
        <v>0</v>
      </c>
    </row>
    <row r="201" spans="1:16" ht="15.6" x14ac:dyDescent="0.3">
      <c r="A201" s="483"/>
      <c r="B201" s="358" t="s">
        <v>51</v>
      </c>
      <c r="C201" s="348" t="s">
        <v>47</v>
      </c>
      <c r="D201" s="382"/>
      <c r="E201" s="382"/>
      <c r="F201" s="382"/>
      <c r="G201" s="4">
        <v>0</v>
      </c>
      <c r="H201" s="563">
        <v>0</v>
      </c>
      <c r="I201" s="382"/>
      <c r="J201" s="382"/>
      <c r="K201" s="382"/>
      <c r="L201" s="382"/>
      <c r="M201" s="382"/>
      <c r="N201" s="382"/>
      <c r="O201" s="382"/>
      <c r="P201" s="387">
        <f t="shared" si="154"/>
        <v>0</v>
      </c>
    </row>
    <row r="202" spans="1:16" ht="15.6" x14ac:dyDescent="0.3">
      <c r="A202" s="483"/>
      <c r="B202" s="358" t="s">
        <v>50</v>
      </c>
      <c r="C202" s="348" t="s">
        <v>47</v>
      </c>
      <c r="D202" s="382"/>
      <c r="E202" s="382"/>
      <c r="F202" s="382"/>
      <c r="G202" s="4">
        <v>0</v>
      </c>
      <c r="H202" s="563">
        <v>0</v>
      </c>
      <c r="I202" s="382"/>
      <c r="J202" s="382"/>
      <c r="K202" s="382"/>
      <c r="L202" s="382"/>
      <c r="M202" s="382"/>
      <c r="N202" s="382"/>
      <c r="O202" s="382"/>
      <c r="P202" s="387">
        <f t="shared" si="154"/>
        <v>0</v>
      </c>
    </row>
    <row r="203" spans="1:16" ht="15.6" x14ac:dyDescent="0.3">
      <c r="A203" s="484"/>
      <c r="B203" s="358" t="s">
        <v>49</v>
      </c>
      <c r="C203" s="348" t="s">
        <v>47</v>
      </c>
      <c r="D203" s="382"/>
      <c r="E203" s="382"/>
      <c r="F203" s="382"/>
      <c r="G203" s="4">
        <v>0</v>
      </c>
      <c r="H203" s="563">
        <v>0</v>
      </c>
      <c r="I203" s="382"/>
      <c r="J203" s="382"/>
      <c r="K203" s="382"/>
      <c r="L203" s="382"/>
      <c r="M203" s="382"/>
      <c r="N203" s="382"/>
      <c r="O203" s="382"/>
      <c r="P203" s="387">
        <f t="shared" si="154"/>
        <v>0</v>
      </c>
    </row>
    <row r="204" spans="1:16" ht="15.6" x14ac:dyDescent="0.3">
      <c r="A204" s="443" t="s">
        <v>48</v>
      </c>
      <c r="B204" s="358"/>
      <c r="C204" s="348" t="s">
        <v>47</v>
      </c>
      <c r="D204" s="375">
        <f t="shared" ref="D204:N204" si="155">SUM(D199:D203)</f>
        <v>0</v>
      </c>
      <c r="E204" s="375">
        <f t="shared" si="155"/>
        <v>0</v>
      </c>
      <c r="F204" s="375">
        <f t="shared" si="155"/>
        <v>0</v>
      </c>
      <c r="G204" s="15">
        <f t="shared" ref="G204" si="156">SUM(G199:G203)</f>
        <v>0</v>
      </c>
      <c r="H204" s="375">
        <f t="shared" si="155"/>
        <v>0</v>
      </c>
      <c r="I204" s="375">
        <f t="shared" si="155"/>
        <v>0</v>
      </c>
      <c r="J204" s="375">
        <f t="shared" si="155"/>
        <v>0</v>
      </c>
      <c r="K204" s="375">
        <f t="shared" si="155"/>
        <v>0</v>
      </c>
      <c r="L204" s="375">
        <f t="shared" si="155"/>
        <v>0</v>
      </c>
      <c r="M204" s="375">
        <f t="shared" si="155"/>
        <v>0</v>
      </c>
      <c r="N204" s="375">
        <f t="shared" si="155"/>
        <v>0</v>
      </c>
      <c r="O204" s="375">
        <v>0</v>
      </c>
      <c r="P204" s="444">
        <f t="shared" si="154"/>
        <v>0</v>
      </c>
    </row>
    <row r="205" spans="1:16" s="354" customFormat="1" x14ac:dyDescent="0.3">
      <c r="A205" s="475" t="s">
        <v>46</v>
      </c>
      <c r="B205" s="476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7"/>
    </row>
    <row r="206" spans="1:16" ht="15.6" x14ac:dyDescent="0.3">
      <c r="A206" s="478" t="s">
        <v>43</v>
      </c>
      <c r="B206" s="479"/>
      <c r="C206" s="348" t="s">
        <v>31</v>
      </c>
      <c r="D206" s="13">
        <f>242200+834685.86+1674394.58</f>
        <v>2751280.44</v>
      </c>
      <c r="E206" s="13">
        <f>457326.98+831700+3278886.58</f>
        <v>4567913.5600000005</v>
      </c>
      <c r="F206" s="13">
        <f>745535+1004794.87+5366874.17</f>
        <v>7117204.04</v>
      </c>
      <c r="G206" s="13">
        <f>444540+1406580+4353638.28</f>
        <v>6204758.2800000003</v>
      </c>
      <c r="H206" s="13">
        <f>532100+490743+2637344</f>
        <v>3660187</v>
      </c>
      <c r="I206" s="13">
        <f>625070+972473.53+4389126.33</f>
        <v>5986669.8600000003</v>
      </c>
      <c r="J206" s="13">
        <f>296100+853093+2628819</f>
        <v>3778012</v>
      </c>
      <c r="K206" s="13">
        <f>948630+2514145.32+8554880.94</f>
        <v>12017656.26</v>
      </c>
      <c r="L206" s="377">
        <v>2352563</v>
      </c>
      <c r="M206" s="377">
        <v>9838927</v>
      </c>
      <c r="N206" s="377">
        <v>5468143.4399999995</v>
      </c>
      <c r="O206" s="377">
        <v>5463516</v>
      </c>
      <c r="P206" s="387">
        <f>SUM(D206:O206)</f>
        <v>69206830.879999995</v>
      </c>
    </row>
    <row r="207" spans="1:16" ht="15.6" x14ac:dyDescent="0.3">
      <c r="A207" s="478" t="s">
        <v>42</v>
      </c>
      <c r="B207" s="479"/>
      <c r="C207" s="348" t="s">
        <v>31</v>
      </c>
      <c r="D207" s="13">
        <v>0</v>
      </c>
      <c r="E207" s="13">
        <v>4000</v>
      </c>
      <c r="F207" s="13">
        <v>0</v>
      </c>
      <c r="G207" s="13">
        <v>8000</v>
      </c>
      <c r="H207" s="13">
        <v>0</v>
      </c>
      <c r="I207" s="377"/>
      <c r="J207" s="13">
        <v>0</v>
      </c>
      <c r="K207" s="13">
        <v>10000</v>
      </c>
      <c r="L207" s="377">
        <v>6000</v>
      </c>
      <c r="M207" s="377">
        <v>0</v>
      </c>
      <c r="N207" s="377">
        <v>0</v>
      </c>
      <c r="O207" s="377">
        <v>0</v>
      </c>
      <c r="P207" s="387">
        <f>SUM(D207:O207)</f>
        <v>28000</v>
      </c>
    </row>
    <row r="208" spans="1:16" ht="15.6" x14ac:dyDescent="0.3">
      <c r="A208" s="485" t="s">
        <v>41</v>
      </c>
      <c r="B208" s="486"/>
      <c r="C208" s="348" t="s">
        <v>31</v>
      </c>
      <c r="D208" s="13">
        <v>314746.03000000003</v>
      </c>
      <c r="E208" s="13">
        <v>363228.62</v>
      </c>
      <c r="F208" s="13">
        <v>429942.93</v>
      </c>
      <c r="G208" s="13">
        <v>75000</v>
      </c>
      <c r="H208" s="13">
        <v>267800</v>
      </c>
      <c r="I208" s="377"/>
      <c r="J208" s="13">
        <v>464243</v>
      </c>
      <c r="K208" s="13">
        <v>518277.62</v>
      </c>
      <c r="L208" s="377">
        <v>232000</v>
      </c>
      <c r="M208" s="377">
        <v>674245</v>
      </c>
      <c r="N208" s="377">
        <v>374500</v>
      </c>
      <c r="O208" s="377">
        <v>121500</v>
      </c>
      <c r="P208" s="387">
        <f>SUM(D208:O208)</f>
        <v>3835483.2</v>
      </c>
    </row>
    <row r="209" spans="1:16" ht="15.6" x14ac:dyDescent="0.3">
      <c r="A209" s="478" t="s">
        <v>40</v>
      </c>
      <c r="B209" s="479"/>
      <c r="C209" s="348" t="s">
        <v>31</v>
      </c>
      <c r="D209" s="13">
        <v>33313.339999999997</v>
      </c>
      <c r="E209" s="13">
        <v>75500</v>
      </c>
      <c r="F209" s="13">
        <v>4522756.42</v>
      </c>
      <c r="G209" s="13">
        <v>264757.07</v>
      </c>
      <c r="H209" s="13">
        <v>10030000</v>
      </c>
      <c r="I209" s="377"/>
      <c r="J209" s="13">
        <v>75000</v>
      </c>
      <c r="K209" s="13">
        <v>8070000</v>
      </c>
      <c r="L209" s="377">
        <v>100000</v>
      </c>
      <c r="M209" s="377">
        <v>43315269</v>
      </c>
      <c r="N209" s="377">
        <v>145528.24</v>
      </c>
      <c r="O209" s="377">
        <v>25000</v>
      </c>
      <c r="P209" s="387">
        <f>SUM(D209:O209)</f>
        <v>66657124.07</v>
      </c>
    </row>
    <row r="210" spans="1:16" ht="15.6" x14ac:dyDescent="0.3">
      <c r="A210" s="480" t="s">
        <v>45</v>
      </c>
      <c r="B210" s="481"/>
      <c r="C210" s="348" t="s">
        <v>31</v>
      </c>
      <c r="D210" s="439">
        <f t="shared" ref="D210:N210" si="157">SUM(D206:D209)</f>
        <v>3099339.8099999996</v>
      </c>
      <c r="E210" s="439">
        <f t="shared" si="157"/>
        <v>5010642.1800000006</v>
      </c>
      <c r="F210" s="439">
        <f t="shared" si="157"/>
        <v>12069903.390000001</v>
      </c>
      <c r="G210" s="439">
        <f t="shared" si="157"/>
        <v>6552515.3500000006</v>
      </c>
      <c r="H210" s="439">
        <f t="shared" si="157"/>
        <v>13957987</v>
      </c>
      <c r="I210" s="439">
        <f t="shared" si="157"/>
        <v>5986669.8600000003</v>
      </c>
      <c r="J210" s="439">
        <f t="shared" si="157"/>
        <v>4317255</v>
      </c>
      <c r="K210" s="439">
        <f t="shared" si="157"/>
        <v>20615933.879999999</v>
      </c>
      <c r="L210" s="439">
        <f t="shared" si="157"/>
        <v>2690563</v>
      </c>
      <c r="M210" s="439">
        <f t="shared" si="157"/>
        <v>53828441</v>
      </c>
      <c r="N210" s="439">
        <f t="shared" si="157"/>
        <v>5988171.6799999997</v>
      </c>
      <c r="O210" s="439">
        <v>5610016</v>
      </c>
      <c r="P210" s="387">
        <f>SUM(D210:O210)</f>
        <v>139727438.15000001</v>
      </c>
    </row>
    <row r="211" spans="1:16" s="354" customFormat="1" x14ac:dyDescent="0.3">
      <c r="A211" s="475" t="s">
        <v>44</v>
      </c>
      <c r="B211" s="476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7"/>
    </row>
    <row r="212" spans="1:16" ht="15.6" x14ac:dyDescent="0.3">
      <c r="A212" s="478" t="s">
        <v>43</v>
      </c>
      <c r="B212" s="479"/>
      <c r="C212" s="348" t="s">
        <v>31</v>
      </c>
      <c r="D212" s="13">
        <v>1439200</v>
      </c>
      <c r="E212" s="13">
        <v>1395671</v>
      </c>
      <c r="F212" s="13">
        <v>1212540</v>
      </c>
      <c r="G212" s="13">
        <v>1788122</v>
      </c>
      <c r="H212" s="13">
        <f>1076.44+3980973.21</f>
        <v>3982049.65</v>
      </c>
      <c r="I212" s="13">
        <v>1201000</v>
      </c>
      <c r="J212" s="13">
        <f>283.27+1815729+5000</f>
        <v>1821012.27</v>
      </c>
      <c r="K212" s="13">
        <f>2203435.27-834242.22</f>
        <v>1369193.05</v>
      </c>
      <c r="L212" s="377">
        <v>1293400.3</v>
      </c>
      <c r="M212" s="377">
        <v>1185621</v>
      </c>
      <c r="N212" s="13">
        <v>1874831</v>
      </c>
      <c r="O212" s="377">
        <v>1161946.27</v>
      </c>
      <c r="P212" s="387">
        <f>SUM(D212:O212)</f>
        <v>19724586.540000003</v>
      </c>
    </row>
    <row r="213" spans="1:16" ht="15.6" x14ac:dyDescent="0.3">
      <c r="A213" s="478" t="s">
        <v>42</v>
      </c>
      <c r="B213" s="479"/>
      <c r="C213" s="348" t="s">
        <v>31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377"/>
      <c r="J213" s="13">
        <v>0</v>
      </c>
      <c r="K213" s="13">
        <v>0</v>
      </c>
      <c r="L213" s="377">
        <v>0</v>
      </c>
      <c r="M213" s="377">
        <v>0</v>
      </c>
      <c r="N213" s="13">
        <v>0</v>
      </c>
      <c r="O213" s="377">
        <v>0</v>
      </c>
      <c r="P213" s="387">
        <f>SUM(D213:O213)</f>
        <v>0</v>
      </c>
    </row>
    <row r="214" spans="1:16" ht="15.6" x14ac:dyDescent="0.3">
      <c r="A214" s="485" t="s">
        <v>41</v>
      </c>
      <c r="B214" s="486"/>
      <c r="C214" s="348" t="s">
        <v>31</v>
      </c>
      <c r="D214" s="13">
        <v>597763</v>
      </c>
      <c r="E214" s="13">
        <v>652000</v>
      </c>
      <c r="F214" s="13">
        <v>689567</v>
      </c>
      <c r="G214" s="13">
        <v>456000</v>
      </c>
      <c r="H214" s="13">
        <v>789441.26</v>
      </c>
      <c r="I214" s="13">
        <f>2555399-2201000</f>
        <v>354399</v>
      </c>
      <c r="J214" s="13">
        <v>294516.2</v>
      </c>
      <c r="K214" s="13">
        <v>302431.34999999998</v>
      </c>
      <c r="L214" s="377">
        <v>298600</v>
      </c>
      <c r="M214" s="377">
        <v>383977.4</v>
      </c>
      <c r="N214" s="13">
        <v>652340</v>
      </c>
      <c r="O214" s="377">
        <v>293120</v>
      </c>
      <c r="P214" s="387">
        <f>SUM(D214:O214)</f>
        <v>5764155.2100000009</v>
      </c>
    </row>
    <row r="215" spans="1:16" ht="15.6" x14ac:dyDescent="0.3">
      <c r="A215" s="478" t="s">
        <v>40</v>
      </c>
      <c r="B215" s="479"/>
      <c r="C215" s="348" t="s">
        <v>31</v>
      </c>
      <c r="D215" s="13">
        <f>3788122-2036963</f>
        <v>1751159</v>
      </c>
      <c r="E215" s="13">
        <f>2850095-2047671</f>
        <v>802424</v>
      </c>
      <c r="F215" s="13">
        <f>2330818-1902107</f>
        <v>428711</v>
      </c>
      <c r="G215" s="13">
        <f>3788122-2244122</f>
        <v>1544000</v>
      </c>
      <c r="H215" s="13">
        <f>6771714.73-4770414.47+2763.09</f>
        <v>2004063.3500000008</v>
      </c>
      <c r="I215" s="13">
        <v>1004154.75</v>
      </c>
      <c r="J215" s="13">
        <f>2623685+283.27-2110528.47</f>
        <v>513439.79999999981</v>
      </c>
      <c r="K215" s="13">
        <f>2628968.27-2097157.4</f>
        <v>531810.87000000011</v>
      </c>
      <c r="L215" s="377">
        <v>790497.97</v>
      </c>
      <c r="M215" s="377">
        <v>997301.60000000009</v>
      </c>
      <c r="N215" s="13">
        <f>5988171.68-2527171</f>
        <v>3461000.6799999997</v>
      </c>
      <c r="O215" s="377">
        <v>256204</v>
      </c>
      <c r="P215" s="387">
        <f>SUM(D215:O215)</f>
        <v>14084767.02</v>
      </c>
    </row>
    <row r="216" spans="1:16" ht="15.6" x14ac:dyDescent="0.3">
      <c r="A216" s="480" t="s">
        <v>39</v>
      </c>
      <c r="B216" s="481"/>
      <c r="C216" s="348" t="s">
        <v>31</v>
      </c>
      <c r="D216" s="439">
        <f t="shared" ref="D216:N216" si="158">SUM(D212:D215)</f>
        <v>3788122</v>
      </c>
      <c r="E216" s="439">
        <f t="shared" si="158"/>
        <v>2850095</v>
      </c>
      <c r="F216" s="439">
        <f t="shared" si="158"/>
        <v>2330818</v>
      </c>
      <c r="G216" s="439">
        <f>SUM(G212:G215)</f>
        <v>3788122</v>
      </c>
      <c r="H216" s="439">
        <f t="shared" si="158"/>
        <v>6775554.2600000007</v>
      </c>
      <c r="I216" s="439">
        <f>SUM(I212:I215)</f>
        <v>2559553.75</v>
      </c>
      <c r="J216" s="439">
        <f t="shared" si="158"/>
        <v>2628968.27</v>
      </c>
      <c r="K216" s="439">
        <f t="shared" si="158"/>
        <v>2203435.27</v>
      </c>
      <c r="L216" s="439">
        <f t="shared" si="158"/>
        <v>2382498.27</v>
      </c>
      <c r="M216" s="439">
        <f t="shared" si="158"/>
        <v>2566900</v>
      </c>
      <c r="N216" s="439">
        <f t="shared" si="158"/>
        <v>5988171.6799999997</v>
      </c>
      <c r="O216" s="439">
        <v>1711270.27</v>
      </c>
      <c r="P216" s="387">
        <f>SUM(D216:O216)</f>
        <v>39573508.770000003</v>
      </c>
    </row>
    <row r="217" spans="1:16" s="354" customFormat="1" ht="15.6" x14ac:dyDescent="0.3">
      <c r="A217" s="445" t="s">
        <v>38</v>
      </c>
      <c r="B217" s="446"/>
      <c r="C217" s="348" t="s">
        <v>31</v>
      </c>
      <c r="D217" s="439">
        <f>D210+D216</f>
        <v>6887461.8099999996</v>
      </c>
      <c r="E217" s="439">
        <f t="shared" ref="E217:P217" si="159">E210+E216</f>
        <v>7860737.1800000006</v>
      </c>
      <c r="F217" s="439">
        <f t="shared" si="159"/>
        <v>14400721.390000001</v>
      </c>
      <c r="G217" s="439">
        <f t="shared" si="159"/>
        <v>10340637.350000001</v>
      </c>
      <c r="H217" s="439">
        <f t="shared" si="159"/>
        <v>20733541.260000002</v>
      </c>
      <c r="I217" s="439">
        <f t="shared" si="159"/>
        <v>8546223.6099999994</v>
      </c>
      <c r="J217" s="439">
        <f t="shared" si="159"/>
        <v>6946223.2699999996</v>
      </c>
      <c r="K217" s="439">
        <f t="shared" si="159"/>
        <v>22819369.149999999</v>
      </c>
      <c r="L217" s="439">
        <f t="shared" si="159"/>
        <v>5073061.2699999996</v>
      </c>
      <c r="M217" s="439">
        <f t="shared" si="159"/>
        <v>56395341</v>
      </c>
      <c r="N217" s="439">
        <f t="shared" si="159"/>
        <v>11976343.359999999</v>
      </c>
      <c r="O217" s="439">
        <v>7321286.2699999996</v>
      </c>
      <c r="P217" s="383">
        <f t="shared" si="159"/>
        <v>179300946.92000002</v>
      </c>
    </row>
    <row r="218" spans="1:16" s="354" customFormat="1" x14ac:dyDescent="0.3">
      <c r="A218" s="475" t="s">
        <v>37</v>
      </c>
      <c r="B218" s="476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7"/>
    </row>
    <row r="219" spans="1:16" ht="15.6" x14ac:dyDescent="0.3">
      <c r="A219" s="478" t="s">
        <v>35</v>
      </c>
      <c r="B219" s="479"/>
      <c r="C219" s="348" t="s">
        <v>31</v>
      </c>
      <c r="D219" s="13">
        <f>403417.96+672475.06+2902873.97</f>
        <v>3978766.99</v>
      </c>
      <c r="E219" s="13">
        <f>475986.84+1121224.16+3853789.01</f>
        <v>5451000.0099999998</v>
      </c>
      <c r="F219" s="13">
        <f>519757.33+1026800.43+4087909.78</f>
        <v>5634467.54</v>
      </c>
      <c r="G219" s="13">
        <f>502599.54+968974.17+4096719.68</f>
        <v>5568293.3900000006</v>
      </c>
      <c r="H219" s="13">
        <f>542199.01+756724.83+3712182.84</f>
        <v>5011106.68</v>
      </c>
      <c r="I219" s="13">
        <f>537407.22+894250.38+4631520.86</f>
        <v>6063178.4600000009</v>
      </c>
      <c r="J219" s="585">
        <f>704756+940002+4664397</f>
        <v>6309155</v>
      </c>
      <c r="K219" s="585">
        <f>620541.71+1002837.07+4333916.64</f>
        <v>5957295.4199999999</v>
      </c>
      <c r="L219" s="377">
        <v>6335453</v>
      </c>
      <c r="M219" s="377">
        <v>6458024.9399999995</v>
      </c>
      <c r="N219" s="377">
        <v>5944615.9400000004</v>
      </c>
      <c r="O219" s="377">
        <v>5515202</v>
      </c>
      <c r="P219" s="387">
        <f>SUM(D219:O219)</f>
        <v>68226559.370000005</v>
      </c>
    </row>
    <row r="220" spans="1:16" ht="15.6" x14ac:dyDescent="0.3">
      <c r="A220" s="478" t="s">
        <v>34</v>
      </c>
      <c r="B220" s="479"/>
      <c r="C220" s="348" t="s">
        <v>31</v>
      </c>
      <c r="D220" s="13">
        <v>3477.8</v>
      </c>
      <c r="E220" s="13">
        <v>3999.47</v>
      </c>
      <c r="F220" s="13">
        <v>3999.47</v>
      </c>
      <c r="G220" s="13">
        <v>5564.48</v>
      </c>
      <c r="H220" s="13">
        <v>1912.79</v>
      </c>
      <c r="I220" s="13">
        <v>1738.9</v>
      </c>
      <c r="J220" s="13">
        <v>2087</v>
      </c>
      <c r="K220" s="13">
        <v>2434.46</v>
      </c>
      <c r="L220" s="377">
        <v>2434</v>
      </c>
      <c r="M220" s="377">
        <v>1217.23</v>
      </c>
      <c r="N220" s="377">
        <v>1043.3399999999999</v>
      </c>
      <c r="O220" s="377">
        <v>1217</v>
      </c>
      <c r="P220" s="387">
        <f>SUM(D220:O220)</f>
        <v>31125.940000000002</v>
      </c>
    </row>
    <row r="221" spans="1:16" ht="15.6" x14ac:dyDescent="0.3">
      <c r="A221" s="478" t="s">
        <v>33</v>
      </c>
      <c r="B221" s="479"/>
      <c r="C221" s="348" t="s">
        <v>31</v>
      </c>
      <c r="D221" s="13">
        <v>2252316.4500000002</v>
      </c>
      <c r="E221" s="13">
        <v>3866528.94</v>
      </c>
      <c r="F221" s="13">
        <v>12383287.18</v>
      </c>
      <c r="G221" s="13">
        <v>11207448.24</v>
      </c>
      <c r="H221" s="13">
        <v>10488025.91</v>
      </c>
      <c r="I221" s="13">
        <v>11915122</v>
      </c>
      <c r="J221" s="13">
        <v>12072617</v>
      </c>
      <c r="K221" s="13">
        <v>9501472.6799999997</v>
      </c>
      <c r="L221" s="377">
        <v>10882009</v>
      </c>
      <c r="M221" s="377">
        <v>4540482.82</v>
      </c>
      <c r="N221" s="377">
        <v>7079838.0800000001</v>
      </c>
      <c r="O221" s="377">
        <v>8472094</v>
      </c>
      <c r="P221" s="387">
        <f>SUM(D221:O221)</f>
        <v>104661242.3</v>
      </c>
    </row>
    <row r="222" spans="1:16" ht="15.6" x14ac:dyDescent="0.3">
      <c r="A222" s="478" t="s">
        <v>32</v>
      </c>
      <c r="B222" s="479"/>
      <c r="C222" s="348" t="s">
        <v>31</v>
      </c>
      <c r="D222" s="13">
        <v>136071.25</v>
      </c>
      <c r="E222" s="13">
        <v>230057.81</v>
      </c>
      <c r="F222" s="13">
        <v>425729.04</v>
      </c>
      <c r="G222" s="13">
        <v>481064.47</v>
      </c>
      <c r="H222" s="13">
        <v>897643.48</v>
      </c>
      <c r="I222" s="13">
        <v>533669.75</v>
      </c>
      <c r="J222" s="13">
        <v>540576</v>
      </c>
      <c r="K222" s="13">
        <v>266781.55</v>
      </c>
      <c r="L222" s="377">
        <v>526967</v>
      </c>
      <c r="M222" s="377">
        <v>414526.55</v>
      </c>
      <c r="N222" s="377">
        <v>231557.17</v>
      </c>
      <c r="O222" s="377">
        <v>578094</v>
      </c>
      <c r="P222" s="387">
        <f>SUM(D222:O222)</f>
        <v>5262738.0699999994</v>
      </c>
    </row>
    <row r="223" spans="1:16" ht="15.6" x14ac:dyDescent="0.3">
      <c r="A223" s="480" t="s">
        <v>36</v>
      </c>
      <c r="B223" s="481"/>
      <c r="C223" s="348" t="s">
        <v>31</v>
      </c>
      <c r="D223" s="555">
        <f>SUM(D219:D222)</f>
        <v>6370632.4900000002</v>
      </c>
      <c r="E223" s="555">
        <f t="shared" ref="E223:F223" si="160">SUM(E219:E222)</f>
        <v>9551586.2300000004</v>
      </c>
      <c r="F223" s="555">
        <f t="shared" si="160"/>
        <v>18447483.229999997</v>
      </c>
      <c r="G223" s="439">
        <f t="shared" ref="G223:N223" si="161">SUM(G219:G222)</f>
        <v>17262370.579999998</v>
      </c>
      <c r="H223" s="439">
        <f t="shared" si="161"/>
        <v>16398688.859999999</v>
      </c>
      <c r="I223" s="439">
        <f>SUM(I219:I222)</f>
        <v>18513709.109999999</v>
      </c>
      <c r="J223" s="448">
        <f t="shared" si="161"/>
        <v>18924435</v>
      </c>
      <c r="K223" s="448">
        <f t="shared" si="161"/>
        <v>15727984.109999999</v>
      </c>
      <c r="L223" s="448">
        <f t="shared" si="161"/>
        <v>17746863</v>
      </c>
      <c r="M223" s="448">
        <f t="shared" si="161"/>
        <v>11414251.540000001</v>
      </c>
      <c r="N223" s="448">
        <f t="shared" si="161"/>
        <v>13257054.529999999</v>
      </c>
      <c r="O223" s="448">
        <v>14566607</v>
      </c>
      <c r="P223" s="387">
        <f>SUM(D223:O223)</f>
        <v>178181665.67999998</v>
      </c>
    </row>
    <row r="224" spans="1:16" x14ac:dyDescent="0.3">
      <c r="A224" s="475" t="s">
        <v>211</v>
      </c>
      <c r="B224" s="476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7"/>
    </row>
    <row r="225" spans="1:16" ht="15.6" x14ac:dyDescent="0.3">
      <c r="A225" s="478" t="s">
        <v>35</v>
      </c>
      <c r="B225" s="479"/>
      <c r="C225" s="348" t="s">
        <v>31</v>
      </c>
      <c r="D225" s="377">
        <v>0</v>
      </c>
      <c r="E225" s="377">
        <v>0</v>
      </c>
      <c r="F225" s="377">
        <v>0</v>
      </c>
      <c r="G225" s="377"/>
      <c r="H225" s="377"/>
      <c r="I225" s="377"/>
      <c r="J225" s="377"/>
      <c r="K225" s="377"/>
      <c r="L225" s="377"/>
      <c r="M225" s="377"/>
      <c r="N225" s="377"/>
      <c r="O225" s="377"/>
      <c r="P225" s="387">
        <f t="shared" ref="P225:P230" si="162">SUM(D225:O225)</f>
        <v>0</v>
      </c>
    </row>
    <row r="226" spans="1:16" ht="15.6" x14ac:dyDescent="0.3">
      <c r="A226" s="478" t="s">
        <v>34</v>
      </c>
      <c r="B226" s="479"/>
      <c r="C226" s="348" t="s">
        <v>31</v>
      </c>
      <c r="D226" s="377">
        <v>0</v>
      </c>
      <c r="E226" s="377">
        <v>0</v>
      </c>
      <c r="F226" s="377">
        <v>0</v>
      </c>
      <c r="G226" s="377"/>
      <c r="H226" s="377"/>
      <c r="I226" s="377"/>
      <c r="J226" s="377"/>
      <c r="K226" s="377"/>
      <c r="L226" s="377"/>
      <c r="M226" s="377"/>
      <c r="N226" s="377"/>
      <c r="O226" s="377"/>
      <c r="P226" s="387">
        <f t="shared" si="162"/>
        <v>0</v>
      </c>
    </row>
    <row r="227" spans="1:16" ht="15.6" x14ac:dyDescent="0.3">
      <c r="A227" s="478" t="s">
        <v>33</v>
      </c>
      <c r="B227" s="479"/>
      <c r="C227" s="348" t="s">
        <v>31</v>
      </c>
      <c r="D227" s="377">
        <v>0</v>
      </c>
      <c r="E227" s="377">
        <v>0</v>
      </c>
      <c r="F227" s="377">
        <v>0</v>
      </c>
      <c r="G227" s="377"/>
      <c r="H227" s="377"/>
      <c r="I227" s="377"/>
      <c r="J227" s="377"/>
      <c r="K227" s="377"/>
      <c r="L227" s="377"/>
      <c r="M227" s="377"/>
      <c r="N227" s="377"/>
      <c r="O227" s="377"/>
      <c r="P227" s="387">
        <f t="shared" si="162"/>
        <v>0</v>
      </c>
    </row>
    <row r="228" spans="1:16" ht="15.6" x14ac:dyDescent="0.3">
      <c r="A228" s="478" t="s">
        <v>32</v>
      </c>
      <c r="B228" s="479"/>
      <c r="C228" s="348" t="s">
        <v>31</v>
      </c>
      <c r="D228" s="377">
        <v>0</v>
      </c>
      <c r="E228" s="377">
        <v>0</v>
      </c>
      <c r="F228" s="377">
        <v>0</v>
      </c>
      <c r="G228" s="377"/>
      <c r="H228" s="377"/>
      <c r="I228" s="377"/>
      <c r="J228" s="377"/>
      <c r="K228" s="377"/>
      <c r="L228" s="377"/>
      <c r="M228" s="377"/>
      <c r="N228" s="377"/>
      <c r="O228" s="377"/>
      <c r="P228" s="387">
        <f t="shared" si="162"/>
        <v>0</v>
      </c>
    </row>
    <row r="229" spans="1:16" ht="15.6" x14ac:dyDescent="0.3">
      <c r="A229" s="480" t="s">
        <v>212</v>
      </c>
      <c r="B229" s="481"/>
      <c r="C229" s="348" t="s">
        <v>31</v>
      </c>
      <c r="D229" s="555">
        <v>3397154.88</v>
      </c>
      <c r="E229" s="13">
        <v>2416009.5299999998</v>
      </c>
      <c r="F229" s="13">
        <v>1952093.64</v>
      </c>
      <c r="G229" s="13">
        <v>3301783.07</v>
      </c>
      <c r="H229" s="13">
        <f>906.48+2763.09+6495191.64</f>
        <v>6498861.21</v>
      </c>
      <c r="I229" s="13">
        <v>2337623.4300000002</v>
      </c>
      <c r="J229" s="584">
        <v>2282802.41</v>
      </c>
      <c r="K229" s="584">
        <v>2001145.24</v>
      </c>
      <c r="L229" s="448">
        <v>17746864</v>
      </c>
      <c r="M229" s="448">
        <v>2419357.56</v>
      </c>
      <c r="N229" s="448">
        <v>5298847.34</v>
      </c>
      <c r="O229" s="448">
        <v>1636172.95</v>
      </c>
      <c r="P229" s="387">
        <f t="shared" si="162"/>
        <v>51288715.260000005</v>
      </c>
    </row>
    <row r="230" spans="1:16" ht="15.6" x14ac:dyDescent="0.3">
      <c r="A230" s="445" t="s">
        <v>213</v>
      </c>
      <c r="B230" s="449"/>
      <c r="C230" s="348" t="s">
        <v>31</v>
      </c>
      <c r="D230" s="447">
        <f>D223+D229</f>
        <v>9767787.370000001</v>
      </c>
      <c r="E230" s="447">
        <f t="shared" ref="E230:N230" si="163">E223+E229</f>
        <v>11967595.76</v>
      </c>
      <c r="F230" s="447">
        <f t="shared" si="163"/>
        <v>20399576.869999997</v>
      </c>
      <c r="G230" s="447">
        <f>G223+G229</f>
        <v>20564153.649999999</v>
      </c>
      <c r="H230" s="447">
        <f t="shared" si="163"/>
        <v>22897550.07</v>
      </c>
      <c r="I230" s="447">
        <f t="shared" si="163"/>
        <v>20851332.539999999</v>
      </c>
      <c r="J230" s="447">
        <f t="shared" si="163"/>
        <v>21207237.41</v>
      </c>
      <c r="K230" s="447">
        <f t="shared" si="163"/>
        <v>17729129.349999998</v>
      </c>
      <c r="L230" s="447">
        <f t="shared" si="163"/>
        <v>35493727</v>
      </c>
      <c r="M230" s="447">
        <f t="shared" si="163"/>
        <v>13833609.100000001</v>
      </c>
      <c r="N230" s="447">
        <f t="shared" si="163"/>
        <v>18555901.869999997</v>
      </c>
      <c r="O230" s="447">
        <v>16202779.949999999</v>
      </c>
      <c r="P230" s="387">
        <f t="shared" si="162"/>
        <v>229470380.93999997</v>
      </c>
    </row>
    <row r="231" spans="1:16" x14ac:dyDescent="0.3">
      <c r="A231" s="475" t="s">
        <v>30</v>
      </c>
      <c r="B231" s="476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7"/>
    </row>
    <row r="232" spans="1:16" ht="15.6" x14ac:dyDescent="0.3">
      <c r="A232" s="478" t="s">
        <v>29</v>
      </c>
      <c r="B232" s="479"/>
      <c r="C232" s="348" t="s">
        <v>18</v>
      </c>
      <c r="D232" s="13">
        <f>18476.8+65782.14+223916.28</f>
        <v>308175.21999999997</v>
      </c>
      <c r="E232" s="13">
        <f>27715.2+104271.69+348754.56</f>
        <v>480741.45</v>
      </c>
      <c r="F232" s="13">
        <f>27715.2+104971.5+353708.46</f>
        <v>486395.16000000003</v>
      </c>
      <c r="G232" s="13">
        <f>28061.64+97273.59+350736.12</f>
        <v>476071.35</v>
      </c>
      <c r="H232" s="13">
        <f>28408.08+95174.16+361139.31</f>
        <v>484721.55</v>
      </c>
      <c r="I232" s="13">
        <f>28408.08+98673.21+377487.18</f>
        <v>504568.47</v>
      </c>
      <c r="J232" s="13">
        <f>27022+100073+373524</f>
        <v>500619</v>
      </c>
      <c r="K232" s="13">
        <f>26675.88+102172.26+382936.47</f>
        <v>511784.61</v>
      </c>
      <c r="L232" s="377">
        <v>502198</v>
      </c>
      <c r="M232" s="377">
        <v>473441.61</v>
      </c>
      <c r="N232" s="377">
        <v>483758.25</v>
      </c>
      <c r="O232" s="377">
        <v>502317</v>
      </c>
      <c r="P232" s="387">
        <f>SUM(D232:O232)</f>
        <v>5714791.6700000009</v>
      </c>
    </row>
    <row r="233" spans="1:16" ht="15.6" x14ac:dyDescent="0.3">
      <c r="A233" s="478" t="s">
        <v>28</v>
      </c>
      <c r="B233" s="479"/>
      <c r="C233" s="348" t="s">
        <v>18</v>
      </c>
      <c r="D233" s="13">
        <v>347.78</v>
      </c>
      <c r="E233" s="13">
        <v>521.66999999999996</v>
      </c>
      <c r="F233" s="13">
        <v>521.66999999999996</v>
      </c>
      <c r="G233" s="13">
        <v>521.66999999999996</v>
      </c>
      <c r="H233" s="13">
        <v>521.66999999999996</v>
      </c>
      <c r="I233" s="13">
        <v>521.66999999999996</v>
      </c>
      <c r="J233" s="13">
        <v>522</v>
      </c>
      <c r="K233" s="13">
        <v>521.66999999999996</v>
      </c>
      <c r="L233" s="377">
        <v>522</v>
      </c>
      <c r="M233" s="377">
        <v>347.78</v>
      </c>
      <c r="N233" s="377">
        <v>347.78</v>
      </c>
      <c r="O233" s="377">
        <v>348</v>
      </c>
      <c r="P233" s="387">
        <f>SUM(D233:O233)</f>
        <v>5565.36</v>
      </c>
    </row>
    <row r="234" spans="1:16" ht="15.6" x14ac:dyDescent="0.3">
      <c r="A234" s="478" t="s">
        <v>27</v>
      </c>
      <c r="B234" s="479"/>
      <c r="C234" s="348" t="s">
        <v>18</v>
      </c>
      <c r="D234" s="13">
        <v>16454</v>
      </c>
      <c r="E234" s="13">
        <v>27766.17</v>
      </c>
      <c r="F234" s="13">
        <v>30851.3</v>
      </c>
      <c r="G234" s="13">
        <v>30851.3</v>
      </c>
      <c r="H234" s="13">
        <v>27766.17</v>
      </c>
      <c r="I234" s="13">
        <v>27766.17</v>
      </c>
      <c r="J234" s="13">
        <v>27766</v>
      </c>
      <c r="K234" s="13">
        <v>27766.17</v>
      </c>
      <c r="L234" s="377">
        <v>27766</v>
      </c>
      <c r="M234" s="377">
        <v>24681.040000000001</v>
      </c>
      <c r="N234" s="377">
        <v>27766.17</v>
      </c>
      <c r="O234" s="377">
        <v>27766</v>
      </c>
      <c r="P234" s="387">
        <f>SUM(D234:O234)</f>
        <v>324966.48999999993</v>
      </c>
    </row>
    <row r="235" spans="1:16" ht="15.6" x14ac:dyDescent="0.3">
      <c r="A235" s="478" t="s">
        <v>26</v>
      </c>
      <c r="B235" s="479"/>
      <c r="C235" s="348" t="s">
        <v>18</v>
      </c>
      <c r="D235" s="13">
        <v>42157.65</v>
      </c>
      <c r="E235" s="13">
        <v>67452.320000000007</v>
      </c>
      <c r="F235" s="13">
        <v>75883.86</v>
      </c>
      <c r="G235" s="13">
        <v>96962.71</v>
      </c>
      <c r="H235" s="13">
        <v>96962.71</v>
      </c>
      <c r="I235" s="13">
        <v>92746.94</v>
      </c>
      <c r="J235" s="13">
        <v>92747</v>
      </c>
      <c r="K235" s="13">
        <v>84315.4</v>
      </c>
      <c r="L235" s="377">
        <v>71668</v>
      </c>
      <c r="M235" s="377">
        <v>67452.320000000007</v>
      </c>
      <c r="N235" s="377">
        <v>71668.09</v>
      </c>
      <c r="O235" s="377">
        <v>80100</v>
      </c>
      <c r="P235" s="387">
        <f>SUM(D235:O235)</f>
        <v>940117.00000000012</v>
      </c>
    </row>
    <row r="236" spans="1:16" ht="15.6" x14ac:dyDescent="0.3">
      <c r="A236" s="480" t="s">
        <v>25</v>
      </c>
      <c r="B236" s="481"/>
      <c r="C236" s="348" t="s">
        <v>18</v>
      </c>
      <c r="D236" s="447">
        <f t="shared" ref="D236:N236" si="164">SUM(D232:D235)</f>
        <v>367134.65</v>
      </c>
      <c r="E236" s="447">
        <f t="shared" si="164"/>
        <v>576481.61</v>
      </c>
      <c r="F236" s="447">
        <f t="shared" si="164"/>
        <v>593651.99</v>
      </c>
      <c r="G236" s="447">
        <f t="shared" si="164"/>
        <v>604407.02999999991</v>
      </c>
      <c r="H236" s="447">
        <f t="shared" si="164"/>
        <v>609972.1</v>
      </c>
      <c r="I236" s="447">
        <f t="shared" si="164"/>
        <v>625603.25</v>
      </c>
      <c r="J236" s="447">
        <f t="shared" si="164"/>
        <v>621654</v>
      </c>
      <c r="K236" s="447">
        <f t="shared" si="164"/>
        <v>624387.85</v>
      </c>
      <c r="L236" s="447">
        <f t="shared" si="164"/>
        <v>602154</v>
      </c>
      <c r="M236" s="447">
        <f t="shared" si="164"/>
        <v>565922.75</v>
      </c>
      <c r="N236" s="447">
        <f t="shared" si="164"/>
        <v>583540.29</v>
      </c>
      <c r="O236" s="447">
        <v>610531</v>
      </c>
      <c r="P236" s="383">
        <f t="shared" ref="P236" si="165">SUM(P232:P235)</f>
        <v>6985440.5200000014</v>
      </c>
    </row>
    <row r="237" spans="1:16" x14ac:dyDescent="0.3">
      <c r="A237" s="475" t="s">
        <v>24</v>
      </c>
      <c r="B237" s="476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7"/>
    </row>
    <row r="238" spans="1:16" ht="15.6" x14ac:dyDescent="0.3">
      <c r="A238" s="478" t="s">
        <v>23</v>
      </c>
      <c r="B238" s="479"/>
      <c r="C238" s="348" t="s">
        <v>18</v>
      </c>
      <c r="D238" s="13">
        <f>71440+125913+605454</f>
        <v>802807</v>
      </c>
      <c r="E238" s="13">
        <f>71440+133057+628672</f>
        <v>833169</v>
      </c>
      <c r="F238" s="13">
        <f>71440+133950+637602</f>
        <v>842992</v>
      </c>
      <c r="G238" s="13">
        <f>72333+124127+632244</f>
        <v>828704</v>
      </c>
      <c r="H238" s="13">
        <f>73226+121448+650997</f>
        <v>845671</v>
      </c>
      <c r="I238" s="13">
        <f>73226+125913+680466</f>
        <v>879605</v>
      </c>
      <c r="J238" s="13">
        <f>69654+127699+673322</f>
        <v>870675</v>
      </c>
      <c r="K238" s="13">
        <f>68761+130378+690289</f>
        <v>889428</v>
      </c>
      <c r="L238" s="377">
        <v>873354</v>
      </c>
      <c r="M238" s="377">
        <v>825132</v>
      </c>
      <c r="N238" s="377">
        <v>842992</v>
      </c>
      <c r="O238" s="377">
        <v>875140</v>
      </c>
      <c r="P238" s="387">
        <f>SUM(D238:O238)</f>
        <v>10209669</v>
      </c>
    </row>
    <row r="239" spans="1:16" ht="15.6" x14ac:dyDescent="0.3">
      <c r="A239" s="478" t="s">
        <v>22</v>
      </c>
      <c r="B239" s="479"/>
      <c r="C239" s="348" t="s">
        <v>18</v>
      </c>
      <c r="D239" s="15">
        <v>1786</v>
      </c>
      <c r="E239" s="15">
        <v>2679</v>
      </c>
      <c r="F239" s="15">
        <v>2679</v>
      </c>
      <c r="G239" s="15">
        <v>2679</v>
      </c>
      <c r="H239" s="15">
        <v>2679</v>
      </c>
      <c r="I239" s="15">
        <v>2679</v>
      </c>
      <c r="J239" s="15">
        <v>2679</v>
      </c>
      <c r="K239" s="15">
        <v>2679</v>
      </c>
      <c r="L239" s="375">
        <v>2679</v>
      </c>
      <c r="M239" s="375">
        <v>1786</v>
      </c>
      <c r="N239" s="375">
        <v>1786</v>
      </c>
      <c r="O239" s="375">
        <v>1786</v>
      </c>
      <c r="P239" s="387">
        <f>SUM(D239:O239)</f>
        <v>28576</v>
      </c>
    </row>
    <row r="240" spans="1:16" ht="15.6" x14ac:dyDescent="0.3">
      <c r="A240" s="478" t="s">
        <v>21</v>
      </c>
      <c r="B240" s="479"/>
      <c r="C240" s="348" t="s">
        <v>18</v>
      </c>
      <c r="D240" s="15">
        <v>7144</v>
      </c>
      <c r="E240" s="15">
        <v>8037</v>
      </c>
      <c r="F240" s="15">
        <v>8930</v>
      </c>
      <c r="G240" s="15">
        <v>8930</v>
      </c>
      <c r="H240" s="15">
        <v>8037</v>
      </c>
      <c r="I240" s="15">
        <v>8037</v>
      </c>
      <c r="J240" s="15">
        <v>8037</v>
      </c>
      <c r="K240" s="15">
        <v>8037</v>
      </c>
      <c r="L240" s="375">
        <v>8037</v>
      </c>
      <c r="M240" s="375">
        <v>7144</v>
      </c>
      <c r="N240" s="375">
        <v>8037</v>
      </c>
      <c r="O240" s="375">
        <v>8037</v>
      </c>
      <c r="P240" s="387">
        <f>SUM(D240:O240)</f>
        <v>96444</v>
      </c>
    </row>
    <row r="241" spans="1:16" ht="15.6" x14ac:dyDescent="0.3">
      <c r="A241" s="478" t="s">
        <v>20</v>
      </c>
      <c r="B241" s="479"/>
      <c r="C241" s="348" t="s">
        <v>18</v>
      </c>
      <c r="D241" s="15">
        <v>13395</v>
      </c>
      <c r="E241" s="15">
        <v>363228.62</v>
      </c>
      <c r="F241" s="15">
        <v>16074</v>
      </c>
      <c r="G241" s="15">
        <v>20539</v>
      </c>
      <c r="H241" s="15">
        <v>20539</v>
      </c>
      <c r="I241" s="15">
        <v>19646</v>
      </c>
      <c r="J241" s="15">
        <v>19646</v>
      </c>
      <c r="K241" s="15">
        <v>17860</v>
      </c>
      <c r="L241" s="375">
        <v>15181</v>
      </c>
      <c r="M241" s="375">
        <v>14288</v>
      </c>
      <c r="N241" s="375">
        <v>15181</v>
      </c>
      <c r="O241" s="375">
        <v>16967</v>
      </c>
      <c r="P241" s="387">
        <f>SUM(D241:O241)</f>
        <v>552544.62</v>
      </c>
    </row>
    <row r="242" spans="1:16" ht="15.6" x14ac:dyDescent="0.3">
      <c r="A242" s="480" t="s">
        <v>19</v>
      </c>
      <c r="B242" s="481"/>
      <c r="C242" s="348" t="s">
        <v>18</v>
      </c>
      <c r="D242" s="447">
        <f t="shared" ref="D242:P242" si="166">SUM(D238:D241)</f>
        <v>825132</v>
      </c>
      <c r="E242" s="447">
        <f t="shared" si="166"/>
        <v>1207113.6200000001</v>
      </c>
      <c r="F242" s="447">
        <f t="shared" si="166"/>
        <v>870675</v>
      </c>
      <c r="G242" s="447">
        <f t="shared" si="166"/>
        <v>860852</v>
      </c>
      <c r="H242" s="447">
        <f t="shared" si="166"/>
        <v>876926</v>
      </c>
      <c r="I242" s="447">
        <f t="shared" si="166"/>
        <v>909967</v>
      </c>
      <c r="J242" s="447">
        <f t="shared" si="166"/>
        <v>901037</v>
      </c>
      <c r="K242" s="447">
        <f t="shared" si="166"/>
        <v>918004</v>
      </c>
      <c r="L242" s="447">
        <f t="shared" si="166"/>
        <v>899251</v>
      </c>
      <c r="M242" s="447">
        <f t="shared" si="166"/>
        <v>848350</v>
      </c>
      <c r="N242" s="447">
        <f t="shared" si="166"/>
        <v>867996</v>
      </c>
      <c r="O242" s="447">
        <v>901930</v>
      </c>
      <c r="P242" s="383">
        <f t="shared" si="166"/>
        <v>10887233.619999999</v>
      </c>
    </row>
    <row r="243" spans="1:16" ht="15.6" x14ac:dyDescent="0.3">
      <c r="A243" s="480" t="s">
        <v>214</v>
      </c>
      <c r="B243" s="481"/>
      <c r="C243" s="348" t="s">
        <v>18</v>
      </c>
      <c r="D243" s="439">
        <f>D230+D236+D242</f>
        <v>10960054.020000001</v>
      </c>
      <c r="E243" s="439">
        <f t="shared" ref="E243:N243" si="167">E230+E236+E242</f>
        <v>13751190.989999998</v>
      </c>
      <c r="F243" s="439">
        <f>F230+F236+F242</f>
        <v>21863903.859999996</v>
      </c>
      <c r="G243" s="439">
        <f t="shared" si="167"/>
        <v>22029412.68</v>
      </c>
      <c r="H243" s="439">
        <f t="shared" si="167"/>
        <v>24384448.170000002</v>
      </c>
      <c r="I243" s="439">
        <f t="shared" si="167"/>
        <v>22386902.789999999</v>
      </c>
      <c r="J243" s="439">
        <f t="shared" si="167"/>
        <v>22729928.41</v>
      </c>
      <c r="K243" s="439">
        <f t="shared" si="167"/>
        <v>19271521.199999999</v>
      </c>
      <c r="L243" s="439">
        <f t="shared" si="167"/>
        <v>36995132</v>
      </c>
      <c r="M243" s="439">
        <f t="shared" si="167"/>
        <v>15247881.850000001</v>
      </c>
      <c r="N243" s="439">
        <f t="shared" si="167"/>
        <v>20007438.159999996</v>
      </c>
      <c r="O243" s="439">
        <v>17715240.949999999</v>
      </c>
      <c r="P243" s="383">
        <f t="shared" ref="P243" si="168">P216+P223+P236+P242</f>
        <v>235627848.59</v>
      </c>
    </row>
    <row r="244" spans="1:16" x14ac:dyDescent="0.3">
      <c r="A244" s="475" t="s">
        <v>204</v>
      </c>
      <c r="B244" s="476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7"/>
    </row>
    <row r="245" spans="1:16" ht="15.6" x14ac:dyDescent="0.3">
      <c r="A245" s="499" t="s">
        <v>205</v>
      </c>
      <c r="B245" s="500"/>
      <c r="C245" s="348" t="s">
        <v>18</v>
      </c>
      <c r="D245" s="556">
        <f>138251633.09-D246</f>
        <v>96833398.010000005</v>
      </c>
      <c r="E245" s="154">
        <f>144154231.75-E246</f>
        <v>109250926.28</v>
      </c>
      <c r="F245" s="154">
        <v>29313956.829999998</v>
      </c>
      <c r="G245" s="154">
        <v>99523630.409999996</v>
      </c>
      <c r="H245" s="154">
        <v>98578914.370000005</v>
      </c>
      <c r="I245" s="154">
        <f>181742866.33-I246</f>
        <v>139520961.10000002</v>
      </c>
      <c r="J245" s="154">
        <v>152815893.53</v>
      </c>
      <c r="K245" s="154">
        <f>193051799.77-K246</f>
        <v>102446143.08000001</v>
      </c>
      <c r="L245" s="451">
        <v>166039836.12</v>
      </c>
      <c r="M245" s="451">
        <v>106164404.48</v>
      </c>
      <c r="N245" s="154">
        <v>108239951.5</v>
      </c>
      <c r="O245" s="451">
        <v>109066257.01000001</v>
      </c>
      <c r="P245" s="452">
        <f>O245</f>
        <v>109066257.01000001</v>
      </c>
    </row>
    <row r="246" spans="1:16" ht="15.6" x14ac:dyDescent="0.3">
      <c r="A246" s="499" t="s">
        <v>206</v>
      </c>
      <c r="B246" s="500"/>
      <c r="C246" s="348" t="s">
        <v>18</v>
      </c>
      <c r="D246" s="556">
        <f>41418235.08</f>
        <v>41418235.079999998</v>
      </c>
      <c r="E246" s="154">
        <v>34903305.469999999</v>
      </c>
      <c r="F246" s="154">
        <v>50880748.700000003</v>
      </c>
      <c r="G246" s="154">
        <v>64058939.960000001</v>
      </c>
      <c r="H246" s="154">
        <v>79274762.459999993</v>
      </c>
      <c r="I246" s="154">
        <v>42221905.229999997</v>
      </c>
      <c r="J246" s="154">
        <v>43492464.159999996</v>
      </c>
      <c r="K246" s="154">
        <v>90605656.689999998</v>
      </c>
      <c r="L246" s="451">
        <v>42920356.57</v>
      </c>
      <c r="M246" s="451">
        <v>61777754.170000002</v>
      </c>
      <c r="N246" s="154">
        <v>68422626.290000007</v>
      </c>
      <c r="O246" s="451">
        <v>78065373.120000005</v>
      </c>
      <c r="P246" s="452">
        <f>O246</f>
        <v>78065373.120000005</v>
      </c>
    </row>
    <row r="247" spans="1:16" ht="15.6" x14ac:dyDescent="0.3">
      <c r="A247" s="497" t="s">
        <v>207</v>
      </c>
      <c r="B247" s="498"/>
      <c r="C247" s="348" t="s">
        <v>18</v>
      </c>
      <c r="D247" s="453">
        <f>D245+D246</f>
        <v>138251633.09</v>
      </c>
      <c r="E247" s="453">
        <f t="shared" ref="E247:G247" si="169">E245+E246</f>
        <v>144154231.75</v>
      </c>
      <c r="F247" s="453">
        <f t="shared" si="169"/>
        <v>80194705.530000001</v>
      </c>
      <c r="G247" s="453">
        <f t="shared" si="169"/>
        <v>163582570.37</v>
      </c>
      <c r="H247" s="453">
        <f t="shared" ref="H247:P247" si="170">H245+H246</f>
        <v>177853676.82999998</v>
      </c>
      <c r="I247" s="453">
        <f t="shared" si="170"/>
        <v>181742866.33000001</v>
      </c>
      <c r="J247" s="453">
        <f t="shared" si="170"/>
        <v>196308357.69</v>
      </c>
      <c r="K247" s="453">
        <f t="shared" si="170"/>
        <v>193051799.77000001</v>
      </c>
      <c r="L247" s="453">
        <f t="shared" si="170"/>
        <v>208960192.69</v>
      </c>
      <c r="M247" s="453">
        <f t="shared" si="170"/>
        <v>167942158.65000001</v>
      </c>
      <c r="N247" s="454">
        <f t="shared" si="170"/>
        <v>176662577.79000002</v>
      </c>
      <c r="O247" s="454">
        <v>187131630.13</v>
      </c>
      <c r="P247" s="452">
        <f t="shared" si="170"/>
        <v>187131630.13</v>
      </c>
    </row>
    <row r="248" spans="1:16" x14ac:dyDescent="0.3">
      <c r="A248" s="475" t="s">
        <v>17</v>
      </c>
      <c r="B248" s="476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7"/>
    </row>
    <row r="249" spans="1:16" ht="15.6" x14ac:dyDescent="0.3">
      <c r="A249" s="490" t="s">
        <v>16</v>
      </c>
      <c r="B249" s="491"/>
      <c r="C249" s="359" t="s">
        <v>6</v>
      </c>
      <c r="D249" s="8">
        <f>D58/D243</f>
        <v>0.61109070683211819</v>
      </c>
      <c r="E249" s="8">
        <f t="shared" ref="E249:F249" si="171">E58/E243</f>
        <v>0.54730949653547079</v>
      </c>
      <c r="F249" s="8">
        <f t="shared" si="171"/>
        <v>0.30621136439629415</v>
      </c>
      <c r="G249" s="455">
        <f t="shared" ref="G249:P249" si="172">G58/G243%</f>
        <v>30.883247606248336</v>
      </c>
      <c r="H249" s="455">
        <f t="shared" si="172"/>
        <v>26.136740928347205</v>
      </c>
      <c r="I249" s="455">
        <f t="shared" si="172"/>
        <v>28.612546386696192</v>
      </c>
      <c r="J249" s="455">
        <f t="shared" si="172"/>
        <v>31.549140019926707</v>
      </c>
      <c r="K249" s="455">
        <f t="shared" si="172"/>
        <v>35.01992838790536</v>
      </c>
      <c r="L249" s="455">
        <f t="shared" si="172"/>
        <v>17.591071249590353</v>
      </c>
      <c r="M249" s="455">
        <f t="shared" si="172"/>
        <v>59.670575733114021</v>
      </c>
      <c r="N249" s="455">
        <f t="shared" si="172"/>
        <v>7.2088220763992128</v>
      </c>
      <c r="O249" s="455">
        <v>45.473749458090218</v>
      </c>
      <c r="P249" s="456">
        <f t="shared" si="172"/>
        <v>33.75037187767925</v>
      </c>
    </row>
    <row r="250" spans="1:16" ht="15.6" x14ac:dyDescent="0.3">
      <c r="A250" s="490" t="s">
        <v>208</v>
      </c>
      <c r="B250" s="491"/>
      <c r="C250" s="359" t="s">
        <v>6</v>
      </c>
      <c r="D250" s="29">
        <f>D210/(D223+D245)</f>
        <v>3.0031189624905197E-2</v>
      </c>
      <c r="E250" s="29">
        <f t="shared" ref="E250:F250" si="173">E210/(E223+E245)</f>
        <v>4.2176230739044668E-2</v>
      </c>
      <c r="F250" s="29">
        <f t="shared" si="173"/>
        <v>0.25271230044230791</v>
      </c>
      <c r="G250" s="426">
        <f t="shared" ref="G250:P250" si="174">G210/(G223+G245)%</f>
        <v>5.6107027335931052</v>
      </c>
      <c r="H250" s="426">
        <f t="shared" si="174"/>
        <v>12.139744270089356</v>
      </c>
      <c r="I250" s="426">
        <f t="shared" si="174"/>
        <v>3.788200305695439</v>
      </c>
      <c r="J250" s="426">
        <f t="shared" si="174"/>
        <v>2.513827146456082</v>
      </c>
      <c r="K250" s="426">
        <f t="shared" si="174"/>
        <v>17.445387048938183</v>
      </c>
      <c r="L250" s="426">
        <f t="shared" si="174"/>
        <v>1.4639595862392896</v>
      </c>
      <c r="M250" s="426">
        <f t="shared" si="174"/>
        <v>45.780792893944827</v>
      </c>
      <c r="N250" s="426">
        <f t="shared" si="174"/>
        <v>4.9286578127870921</v>
      </c>
      <c r="O250" s="426">
        <v>4.5376413827525957</v>
      </c>
      <c r="P250" s="427">
        <f t="shared" si="174"/>
        <v>48.643498216275994</v>
      </c>
    </row>
    <row r="251" spans="1:16" ht="16.2" thickBot="1" x14ac:dyDescent="0.35">
      <c r="A251" s="501" t="s">
        <v>15</v>
      </c>
      <c r="B251" s="502"/>
      <c r="C251" s="359" t="s">
        <v>6</v>
      </c>
      <c r="D251" s="7">
        <f>D210/D223</f>
        <v>0.48650425446218126</v>
      </c>
      <c r="E251" s="7">
        <f t="shared" ref="E251:F251" si="175">E210/E223</f>
        <v>0.52458744122126832</v>
      </c>
      <c r="F251" s="7">
        <f t="shared" si="175"/>
        <v>0.65428455684250009</v>
      </c>
      <c r="G251" s="457">
        <f t="shared" ref="G251:P251" si="176">G210/G223%</f>
        <v>37.958374949913747</v>
      </c>
      <c r="H251" s="457">
        <f t="shared" si="176"/>
        <v>85.116481684377774</v>
      </c>
      <c r="I251" s="457">
        <f t="shared" si="176"/>
        <v>32.336415271677566</v>
      </c>
      <c r="J251" s="457">
        <f t="shared" si="176"/>
        <v>22.813124936094525</v>
      </c>
      <c r="K251" s="457">
        <f t="shared" si="176"/>
        <v>131.07804366925953</v>
      </c>
      <c r="L251" s="457">
        <f t="shared" si="176"/>
        <v>15.160780809543635</v>
      </c>
      <c r="M251" s="457">
        <f t="shared" si="176"/>
        <v>471.58975611641375</v>
      </c>
      <c r="N251" s="457">
        <f t="shared" si="176"/>
        <v>45.169699396265514</v>
      </c>
      <c r="O251" s="457">
        <v>38.5128534050517</v>
      </c>
      <c r="P251" s="458">
        <f t="shared" si="176"/>
        <v>78.4185273028816</v>
      </c>
    </row>
    <row r="252" spans="1:16" x14ac:dyDescent="0.3">
      <c r="A252" s="503" t="s">
        <v>14</v>
      </c>
      <c r="B252" s="504"/>
      <c r="C252" s="504"/>
      <c r="D252" s="504"/>
      <c r="E252" s="504"/>
      <c r="F252" s="504"/>
      <c r="G252" s="504"/>
      <c r="H252" s="504"/>
      <c r="I252" s="504"/>
      <c r="J252" s="504"/>
      <c r="K252" s="504"/>
      <c r="L252" s="504"/>
      <c r="M252" s="504"/>
      <c r="N252" s="504"/>
      <c r="O252" s="504"/>
      <c r="P252" s="505"/>
    </row>
    <row r="253" spans="1:16" s="354" customFormat="1" ht="15" customHeight="1" x14ac:dyDescent="0.3">
      <c r="A253" s="490" t="s">
        <v>13</v>
      </c>
      <c r="B253" s="491"/>
      <c r="C253" s="359" t="s">
        <v>3</v>
      </c>
      <c r="D253" s="4">
        <f>D103</f>
        <v>29</v>
      </c>
      <c r="E253" s="4">
        <f>E103</f>
        <v>29</v>
      </c>
      <c r="F253" s="4">
        <f t="shared" ref="F253" si="177">F103</f>
        <v>29</v>
      </c>
      <c r="G253" s="4">
        <f>G103</f>
        <v>35</v>
      </c>
      <c r="H253" s="4">
        <f t="shared" ref="H253" si="178">H103</f>
        <v>35</v>
      </c>
      <c r="I253" s="4">
        <v>20</v>
      </c>
      <c r="J253" s="4">
        <f t="shared" ref="J253" si="179">J103</f>
        <v>35</v>
      </c>
      <c r="K253" s="4">
        <v>30</v>
      </c>
      <c r="L253" s="382">
        <v>20</v>
      </c>
      <c r="M253" s="382">
        <v>8</v>
      </c>
      <c r="N253" s="382">
        <v>10</v>
      </c>
      <c r="O253" s="382">
        <v>15</v>
      </c>
      <c r="P253" s="459">
        <f>SUM(D253:O253)</f>
        <v>295</v>
      </c>
    </row>
    <row r="254" spans="1:16" s="354" customFormat="1" ht="15.6" x14ac:dyDescent="0.3">
      <c r="A254" s="490" t="s">
        <v>12</v>
      </c>
      <c r="B254" s="491"/>
      <c r="C254" s="359" t="s">
        <v>3</v>
      </c>
      <c r="D254" s="4">
        <v>1</v>
      </c>
      <c r="E254" s="4">
        <v>7</v>
      </c>
      <c r="F254" s="4">
        <v>3</v>
      </c>
      <c r="G254" s="4">
        <v>12</v>
      </c>
      <c r="H254" s="4">
        <v>3</v>
      </c>
      <c r="I254" s="4">
        <v>13</v>
      </c>
      <c r="J254" s="4">
        <v>11</v>
      </c>
      <c r="K254" s="4">
        <v>7</v>
      </c>
      <c r="L254" s="382">
        <v>8</v>
      </c>
      <c r="M254" s="382">
        <v>3</v>
      </c>
      <c r="N254" s="382">
        <v>6</v>
      </c>
      <c r="O254" s="382">
        <v>9</v>
      </c>
      <c r="P254" s="459">
        <f>SUM(D254:O254)</f>
        <v>83</v>
      </c>
    </row>
    <row r="255" spans="1:16" ht="15.75" customHeight="1" x14ac:dyDescent="0.3">
      <c r="A255" s="490" t="s">
        <v>11</v>
      </c>
      <c r="B255" s="491"/>
      <c r="C255" s="359" t="s">
        <v>3</v>
      </c>
      <c r="D255" s="4">
        <v>17</v>
      </c>
      <c r="E255" s="4">
        <v>20</v>
      </c>
      <c r="F255" s="4">
        <v>30</v>
      </c>
      <c r="G255" s="382">
        <f t="shared" ref="G255" si="180">G95</f>
        <v>32</v>
      </c>
      <c r="H255" s="4">
        <v>30</v>
      </c>
      <c r="I255" s="4">
        <v>30</v>
      </c>
      <c r="J255" s="4">
        <v>30</v>
      </c>
      <c r="K255" s="4">
        <v>30</v>
      </c>
      <c r="L255" s="382">
        <v>20</v>
      </c>
      <c r="M255" s="382">
        <f t="shared" ref="M255" si="181">M95</f>
        <v>45</v>
      </c>
      <c r="N255" s="382">
        <f t="shared" ref="N255" si="182">N95</f>
        <v>43</v>
      </c>
      <c r="O255" s="382">
        <v>45</v>
      </c>
      <c r="P255" s="459">
        <f>SUM(D255:O255)</f>
        <v>372</v>
      </c>
    </row>
    <row r="256" spans="1:16" ht="15.6" x14ac:dyDescent="0.3">
      <c r="A256" s="490" t="s">
        <v>10</v>
      </c>
      <c r="B256" s="491"/>
      <c r="C256" s="359" t="s">
        <v>3</v>
      </c>
      <c r="D256" s="4">
        <f>D102+D103</f>
        <v>41</v>
      </c>
      <c r="E256" s="4">
        <f>E102+E103</f>
        <v>41</v>
      </c>
      <c r="F256" s="4">
        <f>F102+F103</f>
        <v>41</v>
      </c>
      <c r="G256" s="382">
        <f t="shared" ref="G256" si="183">G91</f>
        <v>21</v>
      </c>
      <c r="H256" s="4">
        <f t="shared" ref="H256" si="184">H102+H103</f>
        <v>47</v>
      </c>
      <c r="I256" s="4">
        <v>66</v>
      </c>
      <c r="J256" s="4">
        <v>64</v>
      </c>
      <c r="K256" s="4">
        <v>52</v>
      </c>
      <c r="L256" s="382">
        <v>57</v>
      </c>
      <c r="M256" s="382">
        <f t="shared" ref="M256" si="185">M91</f>
        <v>8</v>
      </c>
      <c r="N256" s="382">
        <f t="shared" ref="N256" si="186">N91</f>
        <v>10</v>
      </c>
      <c r="O256" s="382">
        <v>15</v>
      </c>
      <c r="P256" s="459">
        <f>SUM(D256:O256)</f>
        <v>463</v>
      </c>
    </row>
    <row r="257" spans="1:16" ht="15.6" customHeight="1" x14ac:dyDescent="0.3">
      <c r="A257" s="490" t="s">
        <v>9</v>
      </c>
      <c r="B257" s="491"/>
      <c r="C257" s="359" t="s">
        <v>3</v>
      </c>
      <c r="D257" s="4">
        <v>21</v>
      </c>
      <c r="E257" s="4">
        <v>9</v>
      </c>
      <c r="F257" s="4">
        <v>6</v>
      </c>
      <c r="G257" s="4">
        <v>10</v>
      </c>
      <c r="H257" s="4">
        <v>31</v>
      </c>
      <c r="I257" s="4">
        <v>30</v>
      </c>
      <c r="J257" s="4">
        <v>31</v>
      </c>
      <c r="K257" s="382">
        <v>28</v>
      </c>
      <c r="L257" s="382">
        <v>25</v>
      </c>
      <c r="M257" s="382">
        <v>30</v>
      </c>
      <c r="N257" s="382">
        <v>21</v>
      </c>
      <c r="O257" s="382">
        <v>31</v>
      </c>
      <c r="P257" s="459">
        <f>SUM(D257:O257)</f>
        <v>273</v>
      </c>
    </row>
    <row r="258" spans="1:16" ht="15.6" x14ac:dyDescent="0.3">
      <c r="A258" s="480" t="s">
        <v>8</v>
      </c>
      <c r="B258" s="481"/>
      <c r="C258" s="359" t="s">
        <v>3</v>
      </c>
      <c r="D258" s="460">
        <f>D257/D256</f>
        <v>0.51219512195121952</v>
      </c>
      <c r="E258" s="460">
        <f t="shared" ref="E258:P258" si="187">E257/E256</f>
        <v>0.21951219512195122</v>
      </c>
      <c r="F258" s="460">
        <f t="shared" si="187"/>
        <v>0.14634146341463414</v>
      </c>
      <c r="G258" s="460">
        <f t="shared" si="187"/>
        <v>0.47619047619047616</v>
      </c>
      <c r="H258" s="460">
        <f t="shared" si="187"/>
        <v>0.65957446808510634</v>
      </c>
      <c r="I258" s="381">
        <f t="shared" si="187"/>
        <v>0.45454545454545453</v>
      </c>
      <c r="J258" s="381">
        <f t="shared" si="187"/>
        <v>0.484375</v>
      </c>
      <c r="K258" s="381">
        <f t="shared" si="187"/>
        <v>0.53846153846153844</v>
      </c>
      <c r="L258" s="381">
        <f t="shared" si="187"/>
        <v>0.43859649122807015</v>
      </c>
      <c r="M258" s="381">
        <f t="shared" si="187"/>
        <v>3.75</v>
      </c>
      <c r="N258" s="381">
        <f t="shared" si="187"/>
        <v>2.1</v>
      </c>
      <c r="O258" s="381">
        <v>2.0666666666666669</v>
      </c>
      <c r="P258" s="459">
        <f t="shared" si="187"/>
        <v>0.58963282937365014</v>
      </c>
    </row>
    <row r="259" spans="1:16" ht="15.6" x14ac:dyDescent="0.3">
      <c r="A259" s="480" t="s">
        <v>7</v>
      </c>
      <c r="B259" s="481"/>
      <c r="C259" s="359" t="s">
        <v>6</v>
      </c>
      <c r="D259" s="460">
        <f>D92/D255*100</f>
        <v>52.941176470588239</v>
      </c>
      <c r="E259" s="460">
        <f t="shared" ref="E259:F259" si="188">E92/E255*100</f>
        <v>45</v>
      </c>
      <c r="F259" s="460">
        <f t="shared" si="188"/>
        <v>33.333333333333329</v>
      </c>
      <c r="G259" s="461">
        <f t="shared" ref="G259:P259" si="189">G92/G255*100</f>
        <v>50</v>
      </c>
      <c r="H259" s="461">
        <f t="shared" si="189"/>
        <v>50</v>
      </c>
      <c r="I259" s="461">
        <f t="shared" si="189"/>
        <v>90</v>
      </c>
      <c r="J259" s="551">
        <f t="shared" si="189"/>
        <v>40</v>
      </c>
      <c r="K259" s="551">
        <f t="shared" si="189"/>
        <v>50</v>
      </c>
      <c r="L259" s="551">
        <f t="shared" si="189"/>
        <v>50</v>
      </c>
      <c r="M259" s="551">
        <f t="shared" si="189"/>
        <v>22.222222222222221</v>
      </c>
      <c r="N259" s="551">
        <f t="shared" si="189"/>
        <v>27.906976744186046</v>
      </c>
      <c r="O259" s="551">
        <v>28.888888888888886</v>
      </c>
      <c r="P259" s="552">
        <f t="shared" si="189"/>
        <v>42.473118279569896</v>
      </c>
    </row>
    <row r="260" spans="1:16" x14ac:dyDescent="0.3">
      <c r="A260" s="475" t="s">
        <v>5</v>
      </c>
      <c r="B260" s="476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7"/>
    </row>
    <row r="261" spans="1:16" s="354" customFormat="1" ht="15" customHeight="1" x14ac:dyDescent="0.3">
      <c r="A261" s="490" t="s">
        <v>4</v>
      </c>
      <c r="B261" s="491"/>
      <c r="C261" s="359" t="s">
        <v>3</v>
      </c>
      <c r="D261" s="4">
        <v>10</v>
      </c>
      <c r="E261" s="4">
        <v>15</v>
      </c>
      <c r="F261" s="4">
        <v>14</v>
      </c>
      <c r="G261" s="4">
        <v>19</v>
      </c>
      <c r="H261" s="4">
        <v>15</v>
      </c>
      <c r="I261" s="4">
        <v>20</v>
      </c>
      <c r="J261" s="4">
        <v>25</v>
      </c>
      <c r="K261" s="4">
        <v>15</v>
      </c>
      <c r="L261" s="382">
        <v>20</v>
      </c>
      <c r="M261" s="382">
        <v>26</v>
      </c>
      <c r="N261" s="382">
        <v>20</v>
      </c>
      <c r="O261" s="382">
        <v>20</v>
      </c>
      <c r="P261" s="383">
        <f>SUM(D261:O261)</f>
        <v>219</v>
      </c>
    </row>
    <row r="262" spans="1:16" s="354" customFormat="1" ht="15.75" customHeight="1" x14ac:dyDescent="0.3">
      <c r="A262" s="490" t="s">
        <v>2</v>
      </c>
      <c r="B262" s="491"/>
      <c r="C262" s="359" t="s">
        <v>0</v>
      </c>
      <c r="D262" s="4">
        <v>30</v>
      </c>
      <c r="E262" s="4">
        <v>30</v>
      </c>
      <c r="F262" s="4">
        <v>30</v>
      </c>
      <c r="G262" s="4">
        <v>31</v>
      </c>
      <c r="H262" s="4">
        <v>30</v>
      </c>
      <c r="I262" s="4">
        <v>30</v>
      </c>
      <c r="J262" s="4">
        <v>30</v>
      </c>
      <c r="K262" s="4">
        <v>30</v>
      </c>
      <c r="L262" s="382">
        <v>30</v>
      </c>
      <c r="M262" s="382">
        <v>31</v>
      </c>
      <c r="N262" s="382">
        <v>30</v>
      </c>
      <c r="O262" s="382">
        <v>30</v>
      </c>
      <c r="P262" s="383">
        <f>SUM(D262:O262)</f>
        <v>362</v>
      </c>
    </row>
    <row r="263" spans="1:16" ht="16.2" thickBot="1" x14ac:dyDescent="0.35">
      <c r="A263" s="488" t="s">
        <v>1</v>
      </c>
      <c r="B263" s="489"/>
      <c r="C263" s="464" t="s">
        <v>0</v>
      </c>
      <c r="D263" s="561">
        <f>D261/D262</f>
        <v>0.33333333333333331</v>
      </c>
      <c r="E263" s="561">
        <f t="shared" ref="E263:F263" si="190">E261/E262</f>
        <v>0.5</v>
      </c>
      <c r="F263" s="561">
        <f t="shared" si="190"/>
        <v>0.46666666666666667</v>
      </c>
      <c r="G263" s="465">
        <f t="shared" ref="G263:J263" si="191">G261/G262</f>
        <v>0.61290322580645162</v>
      </c>
      <c r="H263" s="465">
        <f t="shared" si="191"/>
        <v>0.5</v>
      </c>
      <c r="I263" s="561">
        <f t="shared" si="191"/>
        <v>0.66666666666666663</v>
      </c>
      <c r="J263" s="465">
        <f t="shared" si="191"/>
        <v>0.83333333333333337</v>
      </c>
      <c r="K263" s="465">
        <f t="shared" ref="K263:N263" si="192">K261/K262</f>
        <v>0.5</v>
      </c>
      <c r="L263" s="465">
        <f t="shared" si="192"/>
        <v>0.66666666666666663</v>
      </c>
      <c r="M263" s="465">
        <f t="shared" si="192"/>
        <v>0.83870967741935487</v>
      </c>
      <c r="N263" s="465">
        <f t="shared" si="192"/>
        <v>0.66666666666666663</v>
      </c>
      <c r="O263" s="465">
        <v>0.66666666666666663</v>
      </c>
      <c r="P263" s="466">
        <f t="shared" ref="P263" si="193">P261/P262</f>
        <v>0.60497237569060769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263"/>
  <sheetViews>
    <sheetView workbookViewId="0">
      <pane xSplit="3" topLeftCell="N1" activePane="topRight" state="frozen"/>
      <selection pane="top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57">
        <v>25590</v>
      </c>
      <c r="E9" s="57">
        <v>26150</v>
      </c>
      <c r="F9" s="57">
        <v>24640</v>
      </c>
      <c r="G9" s="57">
        <v>25540</v>
      </c>
      <c r="H9" s="57">
        <v>21660</v>
      </c>
      <c r="I9" s="57">
        <v>20110</v>
      </c>
      <c r="J9" s="57">
        <v>20310</v>
      </c>
      <c r="K9" s="57">
        <v>19870</v>
      </c>
      <c r="L9" s="57">
        <v>19380</v>
      </c>
      <c r="M9" s="57">
        <v>20340</v>
      </c>
      <c r="N9" s="57">
        <v>26980</v>
      </c>
      <c r="O9" s="57">
        <v>23260</v>
      </c>
      <c r="P9" s="56">
        <f>SUM(D9:O9)</f>
        <v>273830</v>
      </c>
    </row>
    <row r="10" spans="1:16" x14ac:dyDescent="0.3">
      <c r="A10" s="649" t="s">
        <v>177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f>1935+1375+3536</f>
        <v>6846</v>
      </c>
      <c r="E11" s="26">
        <f>2383+1663+4047</f>
        <v>8093</v>
      </c>
      <c r="F11" s="26">
        <f>2444+1749+4501</f>
        <v>8694</v>
      </c>
      <c r="G11" s="26">
        <f>2286+1623+4149</f>
        <v>8058</v>
      </c>
      <c r="H11" s="26">
        <v>7825</v>
      </c>
      <c r="I11" s="26">
        <f>2165+1712+4109</f>
        <v>7986</v>
      </c>
      <c r="J11" s="26">
        <f>1831+1140+3358</f>
        <v>6329</v>
      </c>
      <c r="K11" s="26">
        <f>2104+1428+3829</f>
        <v>7361</v>
      </c>
      <c r="L11" s="26">
        <v>7548</v>
      </c>
      <c r="M11" s="26">
        <v>7070</v>
      </c>
      <c r="N11" s="26">
        <v>7437</v>
      </c>
      <c r="O11" s="26">
        <v>6813</v>
      </c>
      <c r="P11" s="55">
        <f>SUM(D11:O11)</f>
        <v>90060</v>
      </c>
    </row>
    <row r="12" spans="1:16" ht="15.6" x14ac:dyDescent="0.3">
      <c r="A12" s="663" t="s">
        <v>156</v>
      </c>
      <c r="B12" s="664"/>
      <c r="C12" s="11" t="s">
        <v>152</v>
      </c>
      <c r="D12" s="26">
        <v>16</v>
      </c>
      <c r="E12" s="26">
        <v>22</v>
      </c>
      <c r="F12" s="26">
        <v>17</v>
      </c>
      <c r="G12" s="26">
        <v>23</v>
      </c>
      <c r="H12" s="26">
        <v>21</v>
      </c>
      <c r="I12" s="26">
        <v>23</v>
      </c>
      <c r="J12" s="26">
        <v>17</v>
      </c>
      <c r="K12" s="26">
        <v>20</v>
      </c>
      <c r="L12" s="26">
        <v>25</v>
      </c>
      <c r="M12" s="26">
        <v>16</v>
      </c>
      <c r="N12" s="26">
        <v>16</v>
      </c>
      <c r="O12" s="26">
        <v>16</v>
      </c>
      <c r="P12" s="55">
        <f>SUM(D12:O12)</f>
        <v>232</v>
      </c>
    </row>
    <row r="13" spans="1:16" ht="15.6" x14ac:dyDescent="0.3">
      <c r="A13" s="663" t="s">
        <v>155</v>
      </c>
      <c r="B13" s="664"/>
      <c r="C13" s="11" t="s">
        <v>152</v>
      </c>
      <c r="D13" s="26">
        <v>1427</v>
      </c>
      <c r="E13" s="26">
        <v>1303</v>
      </c>
      <c r="F13" s="26">
        <v>2262</v>
      </c>
      <c r="G13" s="26">
        <v>1099</v>
      </c>
      <c r="H13" s="26">
        <v>77</v>
      </c>
      <c r="I13" s="26">
        <v>85</v>
      </c>
      <c r="J13" s="26">
        <v>77</v>
      </c>
      <c r="K13" s="26">
        <v>84</v>
      </c>
      <c r="L13" s="26">
        <v>89</v>
      </c>
      <c r="M13" s="26">
        <v>53</v>
      </c>
      <c r="N13" s="26">
        <v>41</v>
      </c>
      <c r="O13" s="26">
        <v>33</v>
      </c>
      <c r="P13" s="55">
        <f>SUM(D13:O13)</f>
        <v>6630</v>
      </c>
    </row>
    <row r="14" spans="1:16" ht="15.6" x14ac:dyDescent="0.3">
      <c r="A14" s="661" t="s">
        <v>154</v>
      </c>
      <c r="B14" s="662"/>
      <c r="C14" s="11" t="s">
        <v>152</v>
      </c>
      <c r="D14" s="26">
        <v>278</v>
      </c>
      <c r="E14" s="26">
        <v>321</v>
      </c>
      <c r="F14" s="26">
        <v>366</v>
      </c>
      <c r="G14" s="26">
        <v>231</v>
      </c>
      <c r="H14" s="26">
        <v>230</v>
      </c>
      <c r="I14" s="26">
        <v>270</v>
      </c>
      <c r="J14" s="26">
        <v>218</v>
      </c>
      <c r="K14" s="26">
        <v>217</v>
      </c>
      <c r="L14" s="26">
        <v>211</v>
      </c>
      <c r="M14" s="26">
        <v>215</v>
      </c>
      <c r="N14" s="26">
        <v>227</v>
      </c>
      <c r="O14" s="26">
        <v>202</v>
      </c>
      <c r="P14" s="55">
        <f>SUM(D14:O14)</f>
        <v>2986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P15" si="0">SUM(D11:D14)</f>
        <v>8567</v>
      </c>
      <c r="E15" s="34">
        <f t="shared" si="0"/>
        <v>9739</v>
      </c>
      <c r="F15" s="34">
        <f t="shared" si="0"/>
        <v>11339</v>
      </c>
      <c r="G15" s="34">
        <f t="shared" si="0"/>
        <v>9411</v>
      </c>
      <c r="H15" s="34">
        <f t="shared" si="0"/>
        <v>8153</v>
      </c>
      <c r="I15" s="34">
        <f t="shared" si="0"/>
        <v>8364</v>
      </c>
      <c r="J15" s="34">
        <f t="shared" si="0"/>
        <v>6641</v>
      </c>
      <c r="K15" s="34">
        <f t="shared" si="0"/>
        <v>7682</v>
      </c>
      <c r="L15" s="34">
        <f t="shared" si="0"/>
        <v>7873</v>
      </c>
      <c r="M15" s="34">
        <f t="shared" si="0"/>
        <v>7354</v>
      </c>
      <c r="N15" s="34">
        <f t="shared" si="0"/>
        <v>7721</v>
      </c>
      <c r="O15" s="34">
        <v>7064</v>
      </c>
      <c r="P15" s="55">
        <f t="shared" si="0"/>
        <v>99908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v>1208</v>
      </c>
      <c r="E17" s="26">
        <v>1102</v>
      </c>
      <c r="F17" s="26">
        <v>1875</v>
      </c>
      <c r="G17" s="26">
        <v>1086</v>
      </c>
      <c r="H17" s="26">
        <f>3925-1372-240</f>
        <v>2313</v>
      </c>
      <c r="I17" s="26">
        <f>1308</f>
        <v>1308</v>
      </c>
      <c r="J17" s="26">
        <v>1294</v>
      </c>
      <c r="K17" s="26">
        <v>1383</v>
      </c>
      <c r="L17" s="26">
        <v>1482</v>
      </c>
      <c r="M17" s="26">
        <v>2094</v>
      </c>
      <c r="N17" s="26">
        <v>1219</v>
      </c>
      <c r="O17" s="26">
        <v>3173</v>
      </c>
      <c r="P17" s="55">
        <f>SUM(D17:O17)</f>
        <v>19537</v>
      </c>
      <c r="Q17" s="172"/>
    </row>
    <row r="18" spans="1:17" s="2" customFormat="1" ht="15.6" x14ac:dyDescent="0.3">
      <c r="A18" s="663" t="s">
        <v>181</v>
      </c>
      <c r="B18" s="664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55">
        <f>SUM(D18:O18)</f>
        <v>0</v>
      </c>
      <c r="Q18" s="172"/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v>1384</v>
      </c>
      <c r="E19" s="26">
        <f>193+1329</f>
        <v>1522</v>
      </c>
      <c r="F19" s="26">
        <v>2262</v>
      </c>
      <c r="G19" s="26">
        <f>2341-1357</f>
        <v>984</v>
      </c>
      <c r="H19" s="26">
        <f>240+988</f>
        <v>1228</v>
      </c>
      <c r="I19" s="26">
        <f>2441-1544</f>
        <v>897</v>
      </c>
      <c r="J19" s="26">
        <v>1361</v>
      </c>
      <c r="K19" s="26">
        <f>2788-1758</f>
        <v>1030</v>
      </c>
      <c r="L19" s="26">
        <v>1637</v>
      </c>
      <c r="M19" s="26">
        <v>3186</v>
      </c>
      <c r="N19" s="26">
        <v>720</v>
      </c>
      <c r="O19" s="26">
        <v>829</v>
      </c>
      <c r="P19" s="55">
        <f>SUM(D19:O19)</f>
        <v>17040</v>
      </c>
      <c r="Q19" s="172"/>
    </row>
    <row r="20" spans="1:17" s="2" customFormat="1" ht="15.6" x14ac:dyDescent="0.3">
      <c r="A20" s="661" t="s">
        <v>183</v>
      </c>
      <c r="B20" s="662"/>
      <c r="C20" s="11" t="s">
        <v>152</v>
      </c>
      <c r="D20" s="26">
        <f>2755-2592</f>
        <v>163</v>
      </c>
      <c r="E20" s="26">
        <v>229</v>
      </c>
      <c r="F20" s="26">
        <v>366</v>
      </c>
      <c r="G20" s="26">
        <v>271</v>
      </c>
      <c r="H20" s="26">
        <v>388</v>
      </c>
      <c r="I20" s="26">
        <v>236</v>
      </c>
      <c r="J20" s="26">
        <f>2836-2655</f>
        <v>181</v>
      </c>
      <c r="K20" s="26">
        <v>375</v>
      </c>
      <c r="L20" s="26">
        <v>223</v>
      </c>
      <c r="M20" s="26">
        <v>474</v>
      </c>
      <c r="N20" s="26">
        <v>281</v>
      </c>
      <c r="O20" s="26">
        <v>471</v>
      </c>
      <c r="P20" s="55">
        <f>SUM(D20:O20)</f>
        <v>3658</v>
      </c>
      <c r="Q20" s="172"/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2755</v>
      </c>
      <c r="E21" s="34">
        <f t="shared" ref="E21:P21" si="1">SUM(E17:E20)</f>
        <v>2853</v>
      </c>
      <c r="F21" s="34">
        <f t="shared" si="1"/>
        <v>4503</v>
      </c>
      <c r="G21" s="34">
        <f t="shared" si="1"/>
        <v>2341</v>
      </c>
      <c r="H21" s="34">
        <f t="shared" si="1"/>
        <v>3929</v>
      </c>
      <c r="I21" s="34">
        <f t="shared" si="1"/>
        <v>2441</v>
      </c>
      <c r="J21" s="34">
        <f t="shared" si="1"/>
        <v>2836</v>
      </c>
      <c r="K21" s="34">
        <f t="shared" si="1"/>
        <v>2788</v>
      </c>
      <c r="L21" s="34">
        <f t="shared" si="1"/>
        <v>3342</v>
      </c>
      <c r="M21" s="34">
        <f t="shared" si="1"/>
        <v>5754</v>
      </c>
      <c r="N21" s="34">
        <f t="shared" si="1"/>
        <v>2220</v>
      </c>
      <c r="O21" s="34">
        <v>4473</v>
      </c>
      <c r="P21" s="55">
        <f t="shared" si="1"/>
        <v>40235</v>
      </c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11322</v>
      </c>
      <c r="E22" s="34">
        <f t="shared" ref="E22:P22" si="2">E21+E15</f>
        <v>12592</v>
      </c>
      <c r="F22" s="34">
        <f t="shared" si="2"/>
        <v>15842</v>
      </c>
      <c r="G22" s="34">
        <f t="shared" si="2"/>
        <v>11752</v>
      </c>
      <c r="H22" s="34">
        <f t="shared" si="2"/>
        <v>12082</v>
      </c>
      <c r="I22" s="34">
        <f t="shared" si="2"/>
        <v>10805</v>
      </c>
      <c r="J22" s="34">
        <f t="shared" si="2"/>
        <v>9477</v>
      </c>
      <c r="K22" s="34">
        <f t="shared" si="2"/>
        <v>10470</v>
      </c>
      <c r="L22" s="34">
        <f t="shared" si="2"/>
        <v>11215</v>
      </c>
      <c r="M22" s="34">
        <f t="shared" si="2"/>
        <v>13108</v>
      </c>
      <c r="N22" s="34">
        <f t="shared" si="2"/>
        <v>9941</v>
      </c>
      <c r="O22" s="34">
        <v>11537</v>
      </c>
      <c r="P22" s="55">
        <f t="shared" si="2"/>
        <v>140143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54">
        <f>D9-D22</f>
        <v>14268</v>
      </c>
      <c r="E24" s="54">
        <f t="shared" ref="E24:P24" si="3">E9-E22</f>
        <v>13558</v>
      </c>
      <c r="F24" s="54">
        <f t="shared" si="3"/>
        <v>8798</v>
      </c>
      <c r="G24" s="54">
        <f t="shared" si="3"/>
        <v>13788</v>
      </c>
      <c r="H24" s="54">
        <f t="shared" si="3"/>
        <v>9578</v>
      </c>
      <c r="I24" s="54">
        <f t="shared" si="3"/>
        <v>9305</v>
      </c>
      <c r="J24" s="54">
        <f t="shared" si="3"/>
        <v>10833</v>
      </c>
      <c r="K24" s="54">
        <f t="shared" si="3"/>
        <v>9400</v>
      </c>
      <c r="L24" s="54">
        <f t="shared" si="3"/>
        <v>8165</v>
      </c>
      <c r="M24" s="54">
        <f t="shared" si="3"/>
        <v>7232</v>
      </c>
      <c r="N24" s="54">
        <f t="shared" si="3"/>
        <v>17039</v>
      </c>
      <c r="O24" s="54">
        <v>11723</v>
      </c>
      <c r="P24" s="99">
        <f t="shared" si="3"/>
        <v>133687</v>
      </c>
    </row>
    <row r="25" spans="1:17" ht="15.6" x14ac:dyDescent="0.3">
      <c r="A25" s="716"/>
      <c r="B25" s="53" t="s">
        <v>151</v>
      </c>
      <c r="C25" s="52" t="s">
        <v>6</v>
      </c>
      <c r="D25" s="51">
        <f t="shared" ref="D25:P25" si="4">D24/D9</f>
        <v>0.55756154747948417</v>
      </c>
      <c r="E25" s="51">
        <f t="shared" si="4"/>
        <v>0.51847036328871898</v>
      </c>
      <c r="F25" s="51">
        <f t="shared" si="4"/>
        <v>0.35706168831168833</v>
      </c>
      <c r="G25" s="51">
        <f t="shared" si="4"/>
        <v>0.53985904463586531</v>
      </c>
      <c r="H25" s="51">
        <f t="shared" si="4"/>
        <v>0.44219759926131119</v>
      </c>
      <c r="I25" s="51">
        <f t="shared" si="4"/>
        <v>0.46270512182993534</v>
      </c>
      <c r="J25" s="51">
        <f t="shared" si="4"/>
        <v>0.53338257016248158</v>
      </c>
      <c r="K25" s="51">
        <f t="shared" si="4"/>
        <v>0.47307498741821841</v>
      </c>
      <c r="L25" s="51">
        <f t="shared" si="4"/>
        <v>0.4213106295149639</v>
      </c>
      <c r="M25" s="51">
        <f t="shared" si="4"/>
        <v>0.35555555555555557</v>
      </c>
      <c r="N25" s="51">
        <f t="shared" si="4"/>
        <v>0.63154188287620461</v>
      </c>
      <c r="O25" s="51">
        <v>0.5039982803095443</v>
      </c>
      <c r="P25" s="100">
        <f t="shared" si="4"/>
        <v>0.4882116641712011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3">
        <v>82</v>
      </c>
      <c r="E29" s="43">
        <v>86</v>
      </c>
      <c r="F29" s="43">
        <v>76</v>
      </c>
      <c r="G29" s="43">
        <v>100</v>
      </c>
      <c r="H29" s="43">
        <v>88</v>
      </c>
      <c r="I29" s="43">
        <v>100</v>
      </c>
      <c r="J29" s="43">
        <v>75</v>
      </c>
      <c r="K29" s="43">
        <v>73</v>
      </c>
      <c r="L29" s="43">
        <v>80</v>
      </c>
      <c r="M29" s="43">
        <v>70</v>
      </c>
      <c r="N29" s="43">
        <v>84</v>
      </c>
      <c r="O29" s="43">
        <v>74</v>
      </c>
      <c r="P29" s="45">
        <f>SUM(D29:O29)</f>
        <v>988</v>
      </c>
    </row>
    <row r="30" spans="1:17" ht="15.6" x14ac:dyDescent="0.3">
      <c r="A30" s="711"/>
      <c r="B30" s="642"/>
      <c r="C30" s="42" t="s">
        <v>139</v>
      </c>
      <c r="D30" s="15">
        <f t="shared" ref="D30:F30" si="5">D29/(D9/1000)</f>
        <v>3.204376709652208</v>
      </c>
      <c r="E30" s="15">
        <f t="shared" si="5"/>
        <v>3.2887189292543022</v>
      </c>
      <c r="F30" s="15">
        <f t="shared" si="5"/>
        <v>3.0844155844155843</v>
      </c>
      <c r="G30" s="15">
        <f t="shared" ref="G30:P30" si="6">G29/(G9/1000)</f>
        <v>3.9154267815191859</v>
      </c>
      <c r="H30" s="15">
        <f t="shared" si="6"/>
        <v>4.0627885503231767</v>
      </c>
      <c r="I30" s="15">
        <f t="shared" si="6"/>
        <v>4.9726504226752857</v>
      </c>
      <c r="J30" s="15">
        <f t="shared" si="6"/>
        <v>3.6927621861152145</v>
      </c>
      <c r="K30" s="15">
        <f t="shared" si="6"/>
        <v>3.6738802214393558</v>
      </c>
      <c r="L30" s="15">
        <v>4.1279669762641902</v>
      </c>
      <c r="M30" s="15">
        <f t="shared" si="6"/>
        <v>3.4414945919370696</v>
      </c>
      <c r="N30" s="15">
        <f t="shared" si="6"/>
        <v>3.1134173461823571</v>
      </c>
      <c r="O30" s="15">
        <v>3.1814273430782456</v>
      </c>
      <c r="P30" s="102">
        <f t="shared" si="6"/>
        <v>3.6080780046013952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>
        <v>0</v>
      </c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>
        <f t="shared" ref="D32:F32" si="7">D31/(D9/1000)</f>
        <v>0</v>
      </c>
      <c r="E32" s="15">
        <f t="shared" si="7"/>
        <v>0</v>
      </c>
      <c r="F32" s="15">
        <f t="shared" si="7"/>
        <v>0</v>
      </c>
      <c r="G32" s="15">
        <f t="shared" ref="G32:P32" si="8">G31/(G9/1000)</f>
        <v>0</v>
      </c>
      <c r="H32" s="15">
        <f t="shared" si="8"/>
        <v>0</v>
      </c>
      <c r="I32" s="15">
        <f t="shared" si="8"/>
        <v>0</v>
      </c>
      <c r="J32" s="15">
        <f t="shared" si="8"/>
        <v>0</v>
      </c>
      <c r="K32" s="15">
        <f t="shared" si="8"/>
        <v>0</v>
      </c>
      <c r="L32" s="15">
        <f t="shared" si="8"/>
        <v>0</v>
      </c>
      <c r="M32" s="15">
        <f t="shared" si="8"/>
        <v>0</v>
      </c>
      <c r="N32" s="15">
        <f t="shared" si="8"/>
        <v>0</v>
      </c>
      <c r="O32" s="15">
        <v>0</v>
      </c>
      <c r="P32" s="102">
        <f t="shared" si="8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>
        <v>0</v>
      </c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>
        <f t="shared" ref="D34:F34" si="9">D33/(D9/1000)</f>
        <v>0</v>
      </c>
      <c r="E34" s="15">
        <f t="shared" si="9"/>
        <v>0</v>
      </c>
      <c r="F34" s="15">
        <f t="shared" si="9"/>
        <v>0</v>
      </c>
      <c r="G34" s="15">
        <f t="shared" ref="G34:P34" si="10">G33/(G9/1000)</f>
        <v>0</v>
      </c>
      <c r="H34" s="15">
        <f t="shared" si="10"/>
        <v>0</v>
      </c>
      <c r="I34" s="15">
        <f t="shared" si="10"/>
        <v>0</v>
      </c>
      <c r="J34" s="15">
        <f t="shared" si="10"/>
        <v>0</v>
      </c>
      <c r="K34" s="15">
        <f t="shared" si="10"/>
        <v>0</v>
      </c>
      <c r="L34" s="15">
        <f t="shared" si="10"/>
        <v>0</v>
      </c>
      <c r="M34" s="15">
        <f t="shared" si="10"/>
        <v>0</v>
      </c>
      <c r="N34" s="15">
        <f t="shared" si="10"/>
        <v>0</v>
      </c>
      <c r="O34" s="15">
        <v>0</v>
      </c>
      <c r="P34" s="102">
        <f t="shared" si="10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>
        <v>72</v>
      </c>
      <c r="E35" s="13">
        <v>84</v>
      </c>
      <c r="F35" s="13">
        <v>72</v>
      </c>
      <c r="G35" s="13">
        <v>78</v>
      </c>
      <c r="H35" s="13">
        <v>78</v>
      </c>
      <c r="I35" s="13">
        <v>79</v>
      </c>
      <c r="J35" s="13">
        <v>79</v>
      </c>
      <c r="K35" s="13">
        <v>86</v>
      </c>
      <c r="L35" s="13">
        <v>118</v>
      </c>
      <c r="M35" s="13">
        <v>65</v>
      </c>
      <c r="N35" s="13"/>
      <c r="O35" s="13">
        <v>117</v>
      </c>
      <c r="P35" s="102"/>
    </row>
    <row r="36" spans="1:16" ht="15.6" x14ac:dyDescent="0.3">
      <c r="A36" s="675"/>
      <c r="B36" s="642"/>
      <c r="C36" s="5" t="s">
        <v>142</v>
      </c>
      <c r="D36" s="15">
        <f>D35/(D15/1000)</f>
        <v>8.4043422434924704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>
        <f t="shared" ref="D38:F38" si="11">D37/(D9/1000)</f>
        <v>0</v>
      </c>
      <c r="E38" s="15">
        <f t="shared" si="11"/>
        <v>0</v>
      </c>
      <c r="F38" s="15">
        <f t="shared" si="11"/>
        <v>0</v>
      </c>
      <c r="G38" s="15">
        <f t="shared" ref="G38:P38" si="12">G37/(G9/1000)</f>
        <v>0</v>
      </c>
      <c r="H38" s="15">
        <f t="shared" si="12"/>
        <v>0</v>
      </c>
      <c r="I38" s="15">
        <f t="shared" si="12"/>
        <v>0</v>
      </c>
      <c r="J38" s="15">
        <f t="shared" si="12"/>
        <v>0</v>
      </c>
      <c r="K38" s="15">
        <f t="shared" si="12"/>
        <v>0</v>
      </c>
      <c r="L38" s="15">
        <f t="shared" si="12"/>
        <v>0</v>
      </c>
      <c r="M38" s="15">
        <f t="shared" si="12"/>
        <v>0</v>
      </c>
      <c r="N38" s="15">
        <f t="shared" si="12"/>
        <v>0</v>
      </c>
      <c r="O38" s="15">
        <v>0</v>
      </c>
      <c r="P38" s="102">
        <f t="shared" si="12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>
        <f t="shared" ref="D40:F40" si="13">D39/(D9/1000)</f>
        <v>0</v>
      </c>
      <c r="E40" s="15">
        <f t="shared" si="13"/>
        <v>0</v>
      </c>
      <c r="F40" s="15">
        <f t="shared" si="13"/>
        <v>0</v>
      </c>
      <c r="G40" s="15">
        <f t="shared" ref="G40:P40" si="14">G39/(G9/1000)</f>
        <v>0</v>
      </c>
      <c r="H40" s="15">
        <f t="shared" si="14"/>
        <v>0</v>
      </c>
      <c r="I40" s="15">
        <f t="shared" si="14"/>
        <v>0</v>
      </c>
      <c r="J40" s="15">
        <f t="shared" si="14"/>
        <v>0</v>
      </c>
      <c r="K40" s="15">
        <f t="shared" si="14"/>
        <v>0</v>
      </c>
      <c r="L40" s="15">
        <f t="shared" si="14"/>
        <v>0</v>
      </c>
      <c r="M40" s="15">
        <f t="shared" si="14"/>
        <v>0</v>
      </c>
      <c r="N40" s="15">
        <f t="shared" si="14"/>
        <v>0</v>
      </c>
      <c r="O40" s="15">
        <v>0</v>
      </c>
      <c r="P40" s="102">
        <f t="shared" si="14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849713.34</v>
      </c>
      <c r="E41" s="41">
        <f t="shared" ref="E41:N41" si="15">(E29*$B29)+(E31*$B31)+(E33*$B33)+(E35*$B35)+(E37*$B37)+(E39*$B39)</f>
        <v>941919.41999999993</v>
      </c>
      <c r="F41" s="41">
        <f t="shared" si="15"/>
        <v>819043.32</v>
      </c>
      <c r="G41" s="41">
        <f t="shared" si="15"/>
        <v>977603.1</v>
      </c>
      <c r="H41" s="41">
        <f t="shared" si="15"/>
        <v>916263.06</v>
      </c>
      <c r="I41" s="41">
        <f t="shared" si="15"/>
        <v>983583.05</v>
      </c>
      <c r="J41" s="41">
        <f t="shared" si="15"/>
        <v>855791.3</v>
      </c>
      <c r="K41" s="41">
        <f t="shared" si="15"/>
        <v>887427.6100000001</v>
      </c>
      <c r="L41" s="41">
        <f t="shared" si="15"/>
        <v>1114567.7</v>
      </c>
      <c r="M41" s="41">
        <f t="shared" si="15"/>
        <v>746513.65</v>
      </c>
      <c r="N41" s="41">
        <f t="shared" si="15"/>
        <v>429380.28</v>
      </c>
      <c r="O41" s="41">
        <v>1077917.73</v>
      </c>
      <c r="P41" s="39">
        <f>SUM(D41:O41)</f>
        <v>10599723.560000001</v>
      </c>
    </row>
    <row r="42" spans="1:16" ht="15.6" x14ac:dyDescent="0.3">
      <c r="A42" s="708" t="s">
        <v>137</v>
      </c>
      <c r="B42" s="709"/>
      <c r="C42" s="42" t="s">
        <v>115</v>
      </c>
      <c r="D42" s="15">
        <f t="shared" ref="D42:P42" si="16">D41/D9</f>
        <v>33.204898007033997</v>
      </c>
      <c r="E42" s="15">
        <f t="shared" si="16"/>
        <v>36.019863097514339</v>
      </c>
      <c r="F42" s="15">
        <f t="shared" si="16"/>
        <v>33.240394480519477</v>
      </c>
      <c r="G42" s="15">
        <f t="shared" si="16"/>
        <v>38.277333594361785</v>
      </c>
      <c r="H42" s="15">
        <f t="shared" si="16"/>
        <v>42.302080332409972</v>
      </c>
      <c r="I42" s="15">
        <f t="shared" si="16"/>
        <v>48.910146693187471</v>
      </c>
      <c r="J42" s="15">
        <f t="shared" si="16"/>
        <v>42.136450024618419</v>
      </c>
      <c r="K42" s="15">
        <f t="shared" si="16"/>
        <v>44.66168142929039</v>
      </c>
      <c r="L42" s="15">
        <f t="shared" si="16"/>
        <v>57.51123323013416</v>
      </c>
      <c r="M42" s="15">
        <f t="shared" si="16"/>
        <v>36.701752704031463</v>
      </c>
      <c r="N42" s="15">
        <f t="shared" si="16"/>
        <v>15.914762045959971</v>
      </c>
      <c r="O42" s="15">
        <v>46.342120808254514</v>
      </c>
      <c r="P42" s="44">
        <f t="shared" si="16"/>
        <v>38.709139100902021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">
        <v>150</v>
      </c>
      <c r="E44" s="4">
        <v>214</v>
      </c>
      <c r="F44" s="43">
        <v>1180</v>
      </c>
      <c r="G44" s="43">
        <v>6196</v>
      </c>
      <c r="H44" s="43">
        <v>5349</v>
      </c>
      <c r="I44" s="43">
        <v>4964</v>
      </c>
      <c r="J44" s="43">
        <v>5149</v>
      </c>
      <c r="K44" s="43">
        <v>6629</v>
      </c>
      <c r="L44" s="43">
        <v>7250</v>
      </c>
      <c r="M44" s="43">
        <v>6413</v>
      </c>
      <c r="N44" s="43">
        <v>8448</v>
      </c>
      <c r="O44" s="43">
        <v>7092</v>
      </c>
      <c r="P44" s="39">
        <f>SUM(D44:O44)</f>
        <v>59034</v>
      </c>
    </row>
    <row r="45" spans="1:16" ht="15.6" x14ac:dyDescent="0.3">
      <c r="A45" s="708" t="s">
        <v>133</v>
      </c>
      <c r="B45" s="709"/>
      <c r="C45" s="42" t="s">
        <v>132</v>
      </c>
      <c r="D45" s="15">
        <f t="shared" ref="D45:F45" si="17">D44/D9</f>
        <v>5.8616647127784291E-3</v>
      </c>
      <c r="E45" s="15">
        <f t="shared" si="17"/>
        <v>8.1835564053537278E-3</v>
      </c>
      <c r="F45" s="15">
        <f t="shared" si="17"/>
        <v>4.7889610389610392E-2</v>
      </c>
      <c r="G45" s="15">
        <f t="shared" ref="G45:P45" si="18">G44/G9</f>
        <v>0.24259984338292873</v>
      </c>
      <c r="H45" s="15">
        <f t="shared" si="18"/>
        <v>0.24695290858725763</v>
      </c>
      <c r="I45" s="15">
        <f t="shared" si="18"/>
        <v>0.2468423669816012</v>
      </c>
      <c r="J45" s="15">
        <f t="shared" si="18"/>
        <v>0.25352043328409651</v>
      </c>
      <c r="K45" s="15">
        <f t="shared" si="18"/>
        <v>0.33361852038248618</v>
      </c>
      <c r="L45" s="15">
        <v>0.37409700722394224</v>
      </c>
      <c r="M45" s="15">
        <f t="shared" si="18"/>
        <v>0.31529006882989186</v>
      </c>
      <c r="N45" s="15">
        <f t="shared" si="18"/>
        <v>0.31312083024462567</v>
      </c>
      <c r="O45" s="15">
        <v>0.3049011177987962</v>
      </c>
      <c r="P45" s="102">
        <f t="shared" si="18"/>
        <v>0.21558631267574774</v>
      </c>
    </row>
    <row r="46" spans="1:16" ht="15.6" x14ac:dyDescent="0.3">
      <c r="A46" s="643" t="s">
        <v>131</v>
      </c>
      <c r="B46" s="644"/>
      <c r="C46" s="5" t="s">
        <v>31</v>
      </c>
      <c r="D46" s="3">
        <f>1.165*(14100+(D44*119.1))</f>
        <v>37239.224999999999</v>
      </c>
      <c r="E46" s="3">
        <f t="shared" ref="E46:N46" si="19">1.165*(14100+(E44*119.1))</f>
        <v>46119.320999999996</v>
      </c>
      <c r="F46" s="3">
        <f t="shared" si="19"/>
        <v>180153.27000000002</v>
      </c>
      <c r="G46" s="3">
        <f t="shared" si="19"/>
        <v>876130.79399999999</v>
      </c>
      <c r="H46" s="3">
        <f t="shared" si="19"/>
        <v>758608.27350000001</v>
      </c>
      <c r="I46" s="3">
        <f t="shared" si="19"/>
        <v>705188.946</v>
      </c>
      <c r="J46" s="3">
        <f t="shared" si="19"/>
        <v>730857.97350000008</v>
      </c>
      <c r="K46" s="3">
        <f t="shared" si="19"/>
        <v>936210.19349999994</v>
      </c>
      <c r="L46" s="3">
        <f t="shared" si="19"/>
        <v>1022374.875</v>
      </c>
      <c r="M46" s="3">
        <f t="shared" si="19"/>
        <v>906239.86949999991</v>
      </c>
      <c r="N46" s="3">
        <f t="shared" si="19"/>
        <v>1188599.172</v>
      </c>
      <c r="O46" s="3">
        <v>1000452.1379999999</v>
      </c>
      <c r="P46" s="39">
        <f>SUM(D46:O46)</f>
        <v>8388174.0510000009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>
        <f>D46/D9</f>
        <v>1.455225674091442</v>
      </c>
      <c r="E47" s="15">
        <f t="shared" ref="E47:P47" si="20">E46/E9</f>
        <v>1.7636451625239005</v>
      </c>
      <c r="F47" s="15">
        <f t="shared" si="20"/>
        <v>7.311415178571429</v>
      </c>
      <c r="G47" s="15">
        <f t="shared" si="20"/>
        <v>34.304259749412687</v>
      </c>
      <c r="H47" s="15">
        <f t="shared" si="20"/>
        <v>35.02346599722992</v>
      </c>
      <c r="I47" s="15">
        <f t="shared" si="20"/>
        <v>35.066581103928392</v>
      </c>
      <c r="J47" s="15">
        <f t="shared" si="20"/>
        <v>35.985129172821274</v>
      </c>
      <c r="K47" s="15">
        <f t="shared" si="20"/>
        <v>47.116768671363864</v>
      </c>
      <c r="L47" s="15">
        <f t="shared" si="20"/>
        <v>52.754121517027862</v>
      </c>
      <c r="M47" s="15">
        <f t="shared" si="20"/>
        <v>44.55456585545722</v>
      </c>
      <c r="N47" s="15">
        <f t="shared" si="20"/>
        <v>44.054824759080802</v>
      </c>
      <c r="O47" s="15">
        <v>43.011699828030949</v>
      </c>
      <c r="P47" s="102">
        <f t="shared" si="20"/>
        <v>30.632779647956763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>
        <v>1686</v>
      </c>
      <c r="E49" s="4">
        <v>1493</v>
      </c>
      <c r="F49" s="4">
        <v>2108</v>
      </c>
      <c r="G49" s="4">
        <v>1120</v>
      </c>
      <c r="H49" s="4">
        <v>1223</v>
      </c>
      <c r="I49" s="4">
        <v>1522</v>
      </c>
      <c r="J49" s="4">
        <v>1894</v>
      </c>
      <c r="K49" s="4">
        <v>1234</v>
      </c>
      <c r="L49" s="4">
        <v>1134</v>
      </c>
      <c r="M49" s="4">
        <v>1322</v>
      </c>
      <c r="N49" s="4">
        <v>1640</v>
      </c>
      <c r="O49" s="4">
        <v>1444.8</v>
      </c>
      <c r="P49" s="39">
        <f>SUM(D49:O49)</f>
        <v>17820.8</v>
      </c>
    </row>
    <row r="50" spans="1:16" ht="15.6" x14ac:dyDescent="0.3">
      <c r="A50" s="661" t="s">
        <v>187</v>
      </c>
      <c r="B50" s="662"/>
      <c r="C50" s="5" t="s">
        <v>126</v>
      </c>
      <c r="D50" s="4">
        <v>171</v>
      </c>
      <c r="E50" s="4">
        <v>141</v>
      </c>
      <c r="F50" s="4">
        <v>202</v>
      </c>
      <c r="G50" s="4">
        <v>132</v>
      </c>
      <c r="H50" s="4">
        <v>141</v>
      </c>
      <c r="I50" s="4">
        <v>158</v>
      </c>
      <c r="J50" s="4">
        <v>194</v>
      </c>
      <c r="K50" s="4">
        <f>1234/7.3</f>
        <v>169.04109589041096</v>
      </c>
      <c r="L50" s="4">
        <v>162</v>
      </c>
      <c r="M50" s="4">
        <v>148</v>
      </c>
      <c r="N50" s="4">
        <v>159</v>
      </c>
      <c r="O50" s="4">
        <v>166.40821917808219</v>
      </c>
      <c r="P50" s="39">
        <f>SUM(D50:O50)</f>
        <v>1943.4493150684932</v>
      </c>
    </row>
    <row r="51" spans="1:16" ht="15.6" x14ac:dyDescent="0.3">
      <c r="A51" s="643" t="s">
        <v>125</v>
      </c>
      <c r="B51" s="644"/>
      <c r="C51" s="5" t="s">
        <v>31</v>
      </c>
      <c r="D51" s="13">
        <f>D50*1920</f>
        <v>328320</v>
      </c>
      <c r="E51" s="13">
        <f>141*1920</f>
        <v>270720</v>
      </c>
      <c r="F51" s="13">
        <f>202*1920</f>
        <v>387840</v>
      </c>
      <c r="G51" s="13">
        <f>132*1920</f>
        <v>253440</v>
      </c>
      <c r="H51" s="13">
        <f>141*1920</f>
        <v>270720</v>
      </c>
      <c r="I51" s="13">
        <f>1920*I50</f>
        <v>303360</v>
      </c>
      <c r="J51" s="13">
        <f>194*1920</f>
        <v>372480</v>
      </c>
      <c r="K51" s="13">
        <f>169*2734</f>
        <v>462046</v>
      </c>
      <c r="L51" s="13">
        <v>425200</v>
      </c>
      <c r="M51" s="13">
        <v>404632</v>
      </c>
      <c r="N51" s="13">
        <v>434706</v>
      </c>
      <c r="O51" s="13">
        <v>454960.07123287674</v>
      </c>
      <c r="P51" s="40">
        <f>SUM(D51:O51)</f>
        <v>4368424.0712328767</v>
      </c>
    </row>
    <row r="52" spans="1:16" ht="15.6" x14ac:dyDescent="0.3">
      <c r="A52" s="661" t="s">
        <v>124</v>
      </c>
      <c r="B52" s="662"/>
      <c r="C52" s="5" t="s">
        <v>31</v>
      </c>
      <c r="D52" s="13">
        <v>20000</v>
      </c>
      <c r="E52" s="13">
        <v>38920</v>
      </c>
      <c r="F52" s="13">
        <v>272332</v>
      </c>
      <c r="G52" s="13">
        <v>185000</v>
      </c>
      <c r="H52" s="13">
        <v>79830</v>
      </c>
      <c r="I52" s="13">
        <v>261245</v>
      </c>
      <c r="J52" s="13">
        <v>0</v>
      </c>
      <c r="K52" s="13">
        <f>200*2734</f>
        <v>546800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1404127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>
        <v>3969141.5</v>
      </c>
      <c r="E54" s="13">
        <v>4682119.28</v>
      </c>
      <c r="F54" s="13">
        <v>3681524.63</v>
      </c>
      <c r="G54" s="13">
        <f>AVERAGE(D54:F54)</f>
        <v>4110928.47</v>
      </c>
      <c r="H54" s="13">
        <v>4081739.63</v>
      </c>
      <c r="I54" s="13">
        <f>4784883.8</f>
        <v>4784883.8</v>
      </c>
      <c r="J54" s="13">
        <v>4463146</v>
      </c>
      <c r="K54" s="13">
        <v>4352197.24</v>
      </c>
      <c r="L54" s="13">
        <v>5263372.1800000006</v>
      </c>
      <c r="M54" s="13">
        <v>8789469.2599999998</v>
      </c>
      <c r="N54" s="13"/>
      <c r="O54" s="13">
        <v>12048609.140000001</v>
      </c>
      <c r="P54" s="39">
        <f>SUM(D54:O54)</f>
        <v>60227131.130000003</v>
      </c>
    </row>
    <row r="55" spans="1:16" ht="15.6" x14ac:dyDescent="0.3">
      <c r="A55" s="78" t="s">
        <v>121</v>
      </c>
      <c r="B55" s="79"/>
      <c r="C55" s="11" t="s">
        <v>18</v>
      </c>
      <c r="D55" s="13">
        <v>1150644.6299999999</v>
      </c>
      <c r="E55" s="13">
        <v>1106932</v>
      </c>
      <c r="F55" s="13">
        <v>1009631</v>
      </c>
      <c r="G55" s="13">
        <f>AVERAGE(D55:F55)</f>
        <v>1089069.21</v>
      </c>
      <c r="H55" s="13">
        <v>1810669.27</v>
      </c>
      <c r="I55" s="13">
        <v>913463</v>
      </c>
      <c r="J55" s="13">
        <v>915386.08</v>
      </c>
      <c r="K55" s="13">
        <v>988463.02</v>
      </c>
      <c r="L55" s="13">
        <v>1292309.76</v>
      </c>
      <c r="M55" s="13">
        <v>1681021.73</v>
      </c>
      <c r="N55" s="13">
        <v>1117549.8700000001</v>
      </c>
      <c r="O55" s="13">
        <v>2719942</v>
      </c>
      <c r="P55" s="39">
        <f>SUM(D55:O55)</f>
        <v>15795081.57</v>
      </c>
    </row>
    <row r="56" spans="1:16" ht="15.6" x14ac:dyDescent="0.3">
      <c r="A56" s="661" t="s">
        <v>120</v>
      </c>
      <c r="B56" s="662"/>
      <c r="C56" s="5" t="s">
        <v>18</v>
      </c>
      <c r="D56" s="13">
        <v>753026.09</v>
      </c>
      <c r="E56" s="13">
        <v>237289</v>
      </c>
      <c r="F56" s="13">
        <v>197000</v>
      </c>
      <c r="G56" s="13">
        <f>AVERAGE(D56:F56)</f>
        <v>395771.6966666666</v>
      </c>
      <c r="H56" s="13">
        <v>487619.86</v>
      </c>
      <c r="I56" s="13">
        <v>308270</v>
      </c>
      <c r="J56" s="13">
        <v>291800</v>
      </c>
      <c r="K56" s="13">
        <f>AVERAGE(F56:J56)</f>
        <v>336092.31133333332</v>
      </c>
      <c r="L56" s="13">
        <v>396874.22</v>
      </c>
      <c r="M56" s="13">
        <v>341588.8437777778</v>
      </c>
      <c r="N56" s="13">
        <v>738463.06377777783</v>
      </c>
      <c r="O56" s="13">
        <v>497750</v>
      </c>
      <c r="P56" s="39">
        <f>SUM(D56:O56)</f>
        <v>4981545.0855555553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7108084.7849999992</v>
      </c>
      <c r="E58" s="13">
        <f t="shared" ref="E58:F58" si="21">E41+E46+E51+E52+E54+E55+E56</f>
        <v>7324019.0209999997</v>
      </c>
      <c r="F58" s="13">
        <f t="shared" si="21"/>
        <v>6547524.2199999997</v>
      </c>
      <c r="G58" s="13">
        <f t="shared" ref="G58:N58" si="22">G41+G46+G51+G52+G54+G55+G56</f>
        <v>7887943.2706666663</v>
      </c>
      <c r="H58" s="13">
        <f t="shared" si="22"/>
        <v>8405450.0934999995</v>
      </c>
      <c r="I58" s="13">
        <f t="shared" si="22"/>
        <v>8259993.7960000001</v>
      </c>
      <c r="J58" s="13">
        <f t="shared" si="22"/>
        <v>7629461.3535000002</v>
      </c>
      <c r="K58" s="13">
        <f t="shared" si="22"/>
        <v>8509236.3748333342</v>
      </c>
      <c r="L58" s="13">
        <f t="shared" si="22"/>
        <v>9514698.7350000013</v>
      </c>
      <c r="M58" s="13">
        <f t="shared" si="22"/>
        <v>12869465.353277778</v>
      </c>
      <c r="N58" s="13">
        <f t="shared" si="22"/>
        <v>3908698.385777778</v>
      </c>
      <c r="O58" s="13">
        <v>17799631.079232879</v>
      </c>
      <c r="P58" s="64">
        <f>SUM(D58:O58)</f>
        <v>105764206.46778843</v>
      </c>
    </row>
    <row r="59" spans="1:16" ht="15.6" x14ac:dyDescent="0.3">
      <c r="A59" s="643" t="s">
        <v>117</v>
      </c>
      <c r="B59" s="644"/>
      <c r="C59" s="5" t="s">
        <v>115</v>
      </c>
      <c r="D59" s="15">
        <f t="shared" ref="D59:F59" si="23">D58/D9</f>
        <v>277.76806506447826</v>
      </c>
      <c r="E59" s="15">
        <f t="shared" si="23"/>
        <v>280.07720921606119</v>
      </c>
      <c r="F59" s="15">
        <f t="shared" si="23"/>
        <v>265.72744399350648</v>
      </c>
      <c r="G59" s="15">
        <f t="shared" ref="G59:P59" si="24">G58/G9</f>
        <v>308.84664333072305</v>
      </c>
      <c r="H59" s="15">
        <f t="shared" si="24"/>
        <v>388.06325454755307</v>
      </c>
      <c r="I59" s="15">
        <f t="shared" si="24"/>
        <v>410.74061640974639</v>
      </c>
      <c r="J59" s="15">
        <f t="shared" si="24"/>
        <v>375.65048515509602</v>
      </c>
      <c r="K59" s="15">
        <f t="shared" si="24"/>
        <v>428.2454139322262</v>
      </c>
      <c r="L59" s="15">
        <f t="shared" si="24"/>
        <v>490.95452708978337</v>
      </c>
      <c r="M59" s="15">
        <f t="shared" si="24"/>
        <v>632.71707734895665</v>
      </c>
      <c r="N59" s="15">
        <f t="shared" si="24"/>
        <v>144.87392089613707</v>
      </c>
      <c r="O59" s="15">
        <v>765.2463920564436</v>
      </c>
      <c r="P59" s="102">
        <f t="shared" si="24"/>
        <v>386.24039173132394</v>
      </c>
    </row>
    <row r="60" spans="1:16" ht="15.6" x14ac:dyDescent="0.3">
      <c r="A60" s="643" t="s">
        <v>116</v>
      </c>
      <c r="B60" s="644"/>
      <c r="C60" s="5" t="s">
        <v>115</v>
      </c>
      <c r="D60" s="15">
        <f>D58/D22</f>
        <v>627.81176338102807</v>
      </c>
      <c r="E60" s="15">
        <f t="shared" ref="E60:F60" si="25">E58/E22</f>
        <v>581.64064652160096</v>
      </c>
      <c r="F60" s="15">
        <f t="shared" si="25"/>
        <v>413.30161722004794</v>
      </c>
      <c r="G60" s="15">
        <f t="shared" ref="G60:N60" si="26">G58/G22</f>
        <v>671.20007408668027</v>
      </c>
      <c r="H60" s="15">
        <f t="shared" si="26"/>
        <v>695.70022293494446</v>
      </c>
      <c r="I60" s="15">
        <f t="shared" si="26"/>
        <v>764.46032355391026</v>
      </c>
      <c r="J60" s="15">
        <f t="shared" si="26"/>
        <v>805.05026416587532</v>
      </c>
      <c r="K60" s="15">
        <f t="shared" si="26"/>
        <v>812.72553723336523</v>
      </c>
      <c r="L60" s="15">
        <f t="shared" si="26"/>
        <v>848.39043557735192</v>
      </c>
      <c r="M60" s="15">
        <f t="shared" si="26"/>
        <v>981.80236140355339</v>
      </c>
      <c r="N60" s="15">
        <f t="shared" si="26"/>
        <v>393.18965755736627</v>
      </c>
      <c r="O60" s="15">
        <v>1542.8301186818826</v>
      </c>
      <c r="P60" s="103">
        <f>P58/P22</f>
        <v>754.68775798854335</v>
      </c>
    </row>
    <row r="61" spans="1:16" ht="15.6" x14ac:dyDescent="0.3">
      <c r="A61" s="661" t="s">
        <v>114</v>
      </c>
      <c r="B61" s="662"/>
      <c r="C61" s="5" t="s">
        <v>3</v>
      </c>
      <c r="D61" s="4">
        <v>10</v>
      </c>
      <c r="E61" s="4">
        <v>10</v>
      </c>
      <c r="F61" s="4">
        <v>10</v>
      </c>
      <c r="G61" s="4">
        <v>10</v>
      </c>
      <c r="H61" s="4">
        <v>10</v>
      </c>
      <c r="I61" s="4">
        <v>10</v>
      </c>
      <c r="J61" s="4">
        <v>10</v>
      </c>
      <c r="K61" s="4">
        <v>10</v>
      </c>
      <c r="L61" s="4">
        <v>9</v>
      </c>
      <c r="M61" s="4">
        <v>10</v>
      </c>
      <c r="N61" s="4">
        <v>10</v>
      </c>
      <c r="O61" s="4">
        <v>18</v>
      </c>
      <c r="P61" s="9">
        <f>O61</f>
        <v>18</v>
      </c>
    </row>
    <row r="62" spans="1:16" ht="15.6" customHeight="1" x14ac:dyDescent="0.3">
      <c r="A62" s="643" t="s">
        <v>113</v>
      </c>
      <c r="B62" s="644"/>
      <c r="C62" s="5" t="s">
        <v>112</v>
      </c>
      <c r="D62" s="15">
        <f t="shared" ref="D62:I62" si="27">(D61*1000*31)/D9</f>
        <v>12.11410707307542</v>
      </c>
      <c r="E62" s="15">
        <f t="shared" si="27"/>
        <v>11.854684512428298</v>
      </c>
      <c r="F62" s="15">
        <f t="shared" si="27"/>
        <v>12.581168831168831</v>
      </c>
      <c r="G62" s="15">
        <f t="shared" si="27"/>
        <v>12.137823022709476</v>
      </c>
      <c r="H62" s="15">
        <f t="shared" si="27"/>
        <v>14.312096029547552</v>
      </c>
      <c r="I62" s="15">
        <f t="shared" si="27"/>
        <v>15.415216310293387</v>
      </c>
      <c r="J62" s="15">
        <f t="shared" ref="J62:P62" si="28">(J61*1000*31)/J9</f>
        <v>15.263417035942885</v>
      </c>
      <c r="K62" s="15">
        <f t="shared" si="28"/>
        <v>15.60140915953699</v>
      </c>
      <c r="L62" s="15">
        <v>14.396284829721361</v>
      </c>
      <c r="M62" s="15">
        <f t="shared" si="28"/>
        <v>15.240904621435595</v>
      </c>
      <c r="N62" s="15">
        <f t="shared" si="28"/>
        <v>11.489992587101558</v>
      </c>
      <c r="O62" s="15">
        <v>23.98968185726569</v>
      </c>
      <c r="P62" s="102">
        <f t="shared" si="28"/>
        <v>2.0377606544206261</v>
      </c>
    </row>
    <row r="63" spans="1:16" ht="15.6" x14ac:dyDescent="0.3">
      <c r="A63" s="700" t="s">
        <v>111</v>
      </c>
      <c r="B63" s="701"/>
      <c r="C63" s="38" t="s">
        <v>3</v>
      </c>
      <c r="D63" s="4">
        <v>16</v>
      </c>
      <c r="E63" s="4">
        <v>14</v>
      </c>
      <c r="F63" s="4">
        <v>14</v>
      </c>
      <c r="G63" s="4">
        <v>14</v>
      </c>
      <c r="H63" s="4">
        <v>15</v>
      </c>
      <c r="I63" s="4">
        <v>15</v>
      </c>
      <c r="J63" s="4">
        <v>15</v>
      </c>
      <c r="K63" s="4">
        <v>15</v>
      </c>
      <c r="L63" s="4">
        <v>27</v>
      </c>
      <c r="M63" s="4">
        <v>27</v>
      </c>
      <c r="N63" s="4">
        <v>27</v>
      </c>
      <c r="O63" s="4">
        <v>27</v>
      </c>
      <c r="P63" s="9">
        <f>SUM(D63:O63)</f>
        <v>226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11</v>
      </c>
      <c r="E66" s="4">
        <f>D71</f>
        <v>9</v>
      </c>
      <c r="F66" s="4">
        <f t="shared" ref="F66:K66" si="29">E71</f>
        <v>10</v>
      </c>
      <c r="G66" s="4">
        <f t="shared" si="29"/>
        <v>17</v>
      </c>
      <c r="H66" s="4">
        <f t="shared" si="29"/>
        <v>15</v>
      </c>
      <c r="I66" s="4">
        <f t="shared" si="29"/>
        <v>11</v>
      </c>
      <c r="J66" s="4">
        <f t="shared" si="29"/>
        <v>7</v>
      </c>
      <c r="K66" s="4">
        <f t="shared" si="29"/>
        <v>15</v>
      </c>
      <c r="L66" s="157">
        <v>18</v>
      </c>
      <c r="M66" s="157">
        <v>14</v>
      </c>
      <c r="N66" s="157">
        <v>13</v>
      </c>
      <c r="O66" s="157">
        <v>12</v>
      </c>
      <c r="P66" s="35">
        <f>D66</f>
        <v>11</v>
      </c>
    </row>
    <row r="67" spans="1:16" ht="15.6" x14ac:dyDescent="0.3">
      <c r="A67" s="689"/>
      <c r="B67" s="24" t="s">
        <v>104</v>
      </c>
      <c r="C67" s="5" t="s">
        <v>3</v>
      </c>
      <c r="D67" s="4">
        <v>5</v>
      </c>
      <c r="E67" s="4">
        <v>5</v>
      </c>
      <c r="F67" s="4">
        <v>18</v>
      </c>
      <c r="G67" s="563">
        <v>8</v>
      </c>
      <c r="H67" s="4">
        <v>9</v>
      </c>
      <c r="I67" s="4">
        <v>7</v>
      </c>
      <c r="J67" s="4">
        <v>20</v>
      </c>
      <c r="K67" s="4">
        <v>11</v>
      </c>
      <c r="L67" s="155">
        <v>5</v>
      </c>
      <c r="M67" s="155">
        <v>5</v>
      </c>
      <c r="N67" s="155">
        <v>5</v>
      </c>
      <c r="O67" s="155">
        <v>10</v>
      </c>
      <c r="P67" s="35">
        <f>SUM(D67:O67)</f>
        <v>108</v>
      </c>
    </row>
    <row r="68" spans="1:16" ht="27" x14ac:dyDescent="0.3">
      <c r="A68" s="689"/>
      <c r="B68" s="24" t="s">
        <v>103</v>
      </c>
      <c r="C68" s="5" t="s">
        <v>3</v>
      </c>
      <c r="D68" s="4">
        <v>7</v>
      </c>
      <c r="E68" s="4">
        <v>4</v>
      </c>
      <c r="F68" s="4">
        <v>11</v>
      </c>
      <c r="G68" s="563">
        <v>10</v>
      </c>
      <c r="H68" s="4">
        <v>13</v>
      </c>
      <c r="I68" s="4">
        <v>11</v>
      </c>
      <c r="J68" s="4">
        <v>12</v>
      </c>
      <c r="K68" s="4">
        <v>8</v>
      </c>
      <c r="L68" s="155">
        <v>8</v>
      </c>
      <c r="M68" s="155">
        <v>6</v>
      </c>
      <c r="N68" s="155">
        <v>6</v>
      </c>
      <c r="O68" s="155">
        <v>19</v>
      </c>
      <c r="P68" s="35">
        <f t="shared" ref="P68:P69" si="30">SUM(D68:O68)</f>
        <v>115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0</v>
      </c>
      <c r="F69" s="4">
        <v>0</v>
      </c>
      <c r="G69" s="563">
        <v>0</v>
      </c>
      <c r="H69" s="4">
        <v>0</v>
      </c>
      <c r="I69" s="4">
        <v>0</v>
      </c>
      <c r="J69" s="4">
        <v>0</v>
      </c>
      <c r="K69" s="4">
        <v>0</v>
      </c>
      <c r="L69" s="155">
        <v>1</v>
      </c>
      <c r="M69" s="155">
        <v>0</v>
      </c>
      <c r="N69" s="155">
        <v>0</v>
      </c>
      <c r="O69" s="155">
        <v>1</v>
      </c>
      <c r="P69" s="74">
        <f t="shared" si="30"/>
        <v>2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7</v>
      </c>
      <c r="E70" s="4">
        <f t="shared" ref="E70:K70" si="31">E68+E69</f>
        <v>4</v>
      </c>
      <c r="F70" s="4">
        <f t="shared" si="31"/>
        <v>11</v>
      </c>
      <c r="G70" s="4">
        <f t="shared" si="31"/>
        <v>10</v>
      </c>
      <c r="H70" s="4">
        <f t="shared" si="31"/>
        <v>13</v>
      </c>
      <c r="I70" s="4">
        <f t="shared" si="31"/>
        <v>11</v>
      </c>
      <c r="J70" s="4">
        <f t="shared" si="31"/>
        <v>12</v>
      </c>
      <c r="K70" s="4">
        <f t="shared" si="31"/>
        <v>8</v>
      </c>
      <c r="L70" s="155">
        <v>9</v>
      </c>
      <c r="M70" s="155">
        <v>6</v>
      </c>
      <c r="N70" s="155">
        <v>6</v>
      </c>
      <c r="O70" s="155">
        <v>20</v>
      </c>
      <c r="P70" s="104">
        <f t="shared" ref="P70" si="32">P68+P69</f>
        <v>117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9</v>
      </c>
      <c r="E71" s="26">
        <f t="shared" ref="E71:K71" si="33">E66+E67-E70</f>
        <v>10</v>
      </c>
      <c r="F71" s="26">
        <f t="shared" si="33"/>
        <v>17</v>
      </c>
      <c r="G71" s="26">
        <f t="shared" si="33"/>
        <v>15</v>
      </c>
      <c r="H71" s="26">
        <f t="shared" si="33"/>
        <v>11</v>
      </c>
      <c r="I71" s="26">
        <f t="shared" si="33"/>
        <v>7</v>
      </c>
      <c r="J71" s="26">
        <f t="shared" si="33"/>
        <v>15</v>
      </c>
      <c r="K71" s="26">
        <f t="shared" si="33"/>
        <v>18</v>
      </c>
      <c r="L71" s="158">
        <v>14</v>
      </c>
      <c r="M71" s="158">
        <v>13</v>
      </c>
      <c r="N71" s="158">
        <v>12</v>
      </c>
      <c r="O71" s="158">
        <v>2</v>
      </c>
      <c r="P71" s="158">
        <f t="shared" ref="P71" si="34">P66+P67-P70</f>
        <v>2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4">
        <v>0</v>
      </c>
      <c r="E72" s="4">
        <f>D77</f>
        <v>0</v>
      </c>
      <c r="F72" s="4">
        <f t="shared" ref="F72:H72" si="35">E77</f>
        <v>0</v>
      </c>
      <c r="G72" s="4">
        <f t="shared" si="35"/>
        <v>0</v>
      </c>
      <c r="H72" s="4">
        <f t="shared" si="35"/>
        <v>0</v>
      </c>
      <c r="I72" s="157"/>
      <c r="J72" s="157"/>
      <c r="K72" s="157"/>
      <c r="L72" s="157"/>
      <c r="M72" s="157"/>
      <c r="N72" s="157"/>
      <c r="O72" s="157"/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155"/>
      <c r="J73" s="155"/>
      <c r="K73" s="155"/>
      <c r="L73" s="155"/>
      <c r="M73" s="155"/>
      <c r="N73" s="155"/>
      <c r="O73" s="155"/>
      <c r="P73" s="35">
        <f>SUM(D73:O73)</f>
        <v>0</v>
      </c>
    </row>
    <row r="74" spans="1:16" ht="27" x14ac:dyDescent="0.3">
      <c r="A74" s="689"/>
      <c r="B74" s="24" t="s">
        <v>103</v>
      </c>
      <c r="C74" s="5" t="s">
        <v>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155"/>
      <c r="J74" s="155"/>
      <c r="K74" s="155"/>
      <c r="L74" s="155"/>
      <c r="M74" s="155"/>
      <c r="N74" s="155"/>
      <c r="O74" s="155"/>
      <c r="P74" s="35">
        <f>SUM(D74:O74)</f>
        <v>0</v>
      </c>
    </row>
    <row r="75" spans="1:16" s="2" customFormat="1" ht="27" x14ac:dyDescent="0.3">
      <c r="A75" s="689"/>
      <c r="B75" s="24" t="s">
        <v>102</v>
      </c>
      <c r="C75" s="11" t="s">
        <v>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155"/>
      <c r="J75" s="155"/>
      <c r="K75" s="155"/>
      <c r="L75" s="155"/>
      <c r="M75" s="155"/>
      <c r="N75" s="155"/>
      <c r="O75" s="155"/>
      <c r="P75" s="35">
        <f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H76" si="36">E74+E75</f>
        <v>0</v>
      </c>
      <c r="F76" s="4">
        <f t="shared" si="36"/>
        <v>0</v>
      </c>
      <c r="G76" s="4">
        <f t="shared" si="36"/>
        <v>0</v>
      </c>
      <c r="H76" s="4">
        <f t="shared" si="36"/>
        <v>0</v>
      </c>
      <c r="I76" s="155">
        <f t="shared" ref="I76" si="37">I74+I75</f>
        <v>0</v>
      </c>
      <c r="J76" s="155">
        <f t="shared" ref="J76:K76" si="38">J74+J75</f>
        <v>0</v>
      </c>
      <c r="K76" s="155">
        <f t="shared" si="38"/>
        <v>0</v>
      </c>
      <c r="L76" s="155">
        <f t="shared" ref="L76:M76" si="39">L74+L75</f>
        <v>0</v>
      </c>
      <c r="M76" s="155">
        <f t="shared" si="39"/>
        <v>0</v>
      </c>
      <c r="N76" s="155">
        <f t="shared" ref="N76" si="40">N74+N75</f>
        <v>0</v>
      </c>
      <c r="O76" s="155">
        <v>0</v>
      </c>
      <c r="P76" s="104">
        <f t="shared" ref="P76" si="41">P74+P75</f>
        <v>0</v>
      </c>
    </row>
    <row r="77" spans="1:16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H77" si="42">E73+E74-E76</f>
        <v>0</v>
      </c>
      <c r="F77" s="26">
        <f t="shared" si="42"/>
        <v>0</v>
      </c>
      <c r="G77" s="26">
        <f t="shared" si="42"/>
        <v>0</v>
      </c>
      <c r="H77" s="26">
        <f t="shared" si="42"/>
        <v>0</v>
      </c>
      <c r="I77" s="158">
        <f t="shared" ref="I77:L77" si="43">I72+I73-I76</f>
        <v>0</v>
      </c>
      <c r="J77" s="158">
        <f t="shared" si="43"/>
        <v>0</v>
      </c>
      <c r="K77" s="158">
        <f t="shared" si="43"/>
        <v>0</v>
      </c>
      <c r="L77" s="158">
        <f t="shared" si="43"/>
        <v>0</v>
      </c>
      <c r="M77" s="158">
        <f t="shared" ref="M77" si="44">M72+M73-M76</f>
        <v>0</v>
      </c>
      <c r="N77" s="158">
        <f t="shared" ref="N77:P77" si="45">N72+N73-N76</f>
        <v>0</v>
      </c>
      <c r="O77" s="158">
        <v>0</v>
      </c>
      <c r="P77" s="158">
        <f t="shared" si="45"/>
        <v>0</v>
      </c>
    </row>
    <row r="78" spans="1:16" ht="15.6" customHeight="1" x14ac:dyDescent="0.3">
      <c r="A78" s="688" t="s">
        <v>107</v>
      </c>
      <c r="B78" s="37" t="s">
        <v>85</v>
      </c>
      <c r="C78" s="5" t="s">
        <v>3</v>
      </c>
      <c r="D78" s="4">
        <v>0</v>
      </c>
      <c r="E78" s="4">
        <f>D83</f>
        <v>0</v>
      </c>
      <c r="F78" s="4">
        <f t="shared" ref="F78:H78" si="46">E83</f>
        <v>1</v>
      </c>
      <c r="G78" s="4">
        <f t="shared" si="46"/>
        <v>0</v>
      </c>
      <c r="H78" s="4">
        <f t="shared" si="46"/>
        <v>0</v>
      </c>
      <c r="I78" s="157"/>
      <c r="J78" s="157"/>
      <c r="K78" s="4">
        <f t="shared" ref="K78" si="47">J83</f>
        <v>1</v>
      </c>
      <c r="L78" s="157"/>
      <c r="M78" s="157"/>
      <c r="N78" s="157"/>
      <c r="O78" s="157"/>
      <c r="P78" s="35">
        <f>D78</f>
        <v>0</v>
      </c>
    </row>
    <row r="79" spans="1:16" ht="15.6" x14ac:dyDescent="0.3">
      <c r="A79" s="689"/>
      <c r="B79" s="24" t="s">
        <v>104</v>
      </c>
      <c r="C79" s="5" t="s">
        <v>3</v>
      </c>
      <c r="D79" s="4">
        <v>0</v>
      </c>
      <c r="E79" s="4">
        <v>1</v>
      </c>
      <c r="F79" s="4">
        <v>0</v>
      </c>
      <c r="G79" s="4">
        <v>0</v>
      </c>
      <c r="H79" s="4">
        <v>0</v>
      </c>
      <c r="I79" s="155"/>
      <c r="J79" s="4">
        <v>1</v>
      </c>
      <c r="K79" s="155"/>
      <c r="L79" s="155"/>
      <c r="M79" s="155"/>
      <c r="N79" s="155"/>
      <c r="O79" s="155"/>
      <c r="P79" s="35">
        <f>SUM(D79:O79)</f>
        <v>2</v>
      </c>
    </row>
    <row r="80" spans="1:16" ht="27" x14ac:dyDescent="0.3">
      <c r="A80" s="689"/>
      <c r="B80" s="24" t="s">
        <v>103</v>
      </c>
      <c r="C80" s="5" t="s">
        <v>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155"/>
      <c r="J80" s="155"/>
      <c r="K80" s="4">
        <v>1</v>
      </c>
      <c r="L80" s="155"/>
      <c r="M80" s="155"/>
      <c r="N80" s="155"/>
      <c r="O80" s="155"/>
      <c r="P80" s="35">
        <f>SUM(D80:O80)</f>
        <v>1</v>
      </c>
    </row>
    <row r="81" spans="1:16" s="2" customFormat="1" ht="27" x14ac:dyDescent="0.3">
      <c r="A81" s="689"/>
      <c r="B81" s="24" t="s">
        <v>102</v>
      </c>
      <c r="C81" s="11" t="s">
        <v>3</v>
      </c>
      <c r="D81" s="4">
        <v>0</v>
      </c>
      <c r="E81" s="4">
        <v>0</v>
      </c>
      <c r="F81" s="4">
        <v>1</v>
      </c>
      <c r="G81" s="4">
        <v>0</v>
      </c>
      <c r="H81" s="4">
        <v>0</v>
      </c>
      <c r="I81" s="155"/>
      <c r="J81" s="155"/>
      <c r="K81" s="155"/>
      <c r="L81" s="155"/>
      <c r="M81" s="155"/>
      <c r="N81" s="155"/>
      <c r="O81" s="155"/>
      <c r="P81" s="74">
        <f>SUM(D81:O81)</f>
        <v>1</v>
      </c>
    </row>
    <row r="82" spans="1:16" s="2" customFormat="1" ht="15.6" x14ac:dyDescent="0.3">
      <c r="A82" s="689"/>
      <c r="B82" s="24" t="s">
        <v>188</v>
      </c>
      <c r="C82" s="11" t="s">
        <v>3</v>
      </c>
      <c r="D82" s="4">
        <f>D81+D80</f>
        <v>0</v>
      </c>
      <c r="E82" s="4">
        <f t="shared" ref="E82:H82" si="48">E81+E80</f>
        <v>0</v>
      </c>
      <c r="F82" s="4">
        <f t="shared" si="48"/>
        <v>1</v>
      </c>
      <c r="G82" s="4">
        <f t="shared" si="48"/>
        <v>0</v>
      </c>
      <c r="H82" s="4">
        <f t="shared" si="48"/>
        <v>0</v>
      </c>
      <c r="I82" s="155">
        <f t="shared" ref="I82" si="49">I81+I80</f>
        <v>0</v>
      </c>
      <c r="J82" s="155">
        <f t="shared" ref="J82:K82" si="50">J81+J80</f>
        <v>0</v>
      </c>
      <c r="K82" s="155">
        <f t="shared" si="50"/>
        <v>1</v>
      </c>
      <c r="L82" s="155">
        <f t="shared" ref="L82:M82" si="51">L81+L80</f>
        <v>0</v>
      </c>
      <c r="M82" s="155">
        <f t="shared" si="51"/>
        <v>0</v>
      </c>
      <c r="N82" s="155">
        <f t="shared" ref="N82" si="52">N81+N80</f>
        <v>0</v>
      </c>
      <c r="O82" s="155">
        <v>0</v>
      </c>
      <c r="P82" s="104">
        <f t="shared" ref="P82" si="53">P81+P80</f>
        <v>2</v>
      </c>
    </row>
    <row r="83" spans="1:16" ht="15.6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 t="shared" ref="E83:H83" si="54">E78+E79-E82</f>
        <v>1</v>
      </c>
      <c r="F83" s="26">
        <f t="shared" si="54"/>
        <v>0</v>
      </c>
      <c r="G83" s="26">
        <f t="shared" si="54"/>
        <v>0</v>
      </c>
      <c r="H83" s="26">
        <f t="shared" si="54"/>
        <v>0</v>
      </c>
      <c r="I83" s="158">
        <f t="shared" ref="I83:J83" si="55">I78+I79-I82</f>
        <v>0</v>
      </c>
      <c r="J83" s="158">
        <f t="shared" si="55"/>
        <v>1</v>
      </c>
      <c r="K83" s="158">
        <f t="shared" ref="K83:L83" si="56">K78+K79-K82</f>
        <v>0</v>
      </c>
      <c r="L83" s="158">
        <f t="shared" si="56"/>
        <v>0</v>
      </c>
      <c r="M83" s="158">
        <f t="shared" ref="M83:N83" si="57">M78+M79-M82</f>
        <v>0</v>
      </c>
      <c r="N83" s="158">
        <f t="shared" si="57"/>
        <v>0</v>
      </c>
      <c r="O83" s="158">
        <v>0</v>
      </c>
      <c r="P83" s="158">
        <f t="shared" ref="P83" si="58">P78+P79-P82</f>
        <v>0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4">
        <v>0</v>
      </c>
      <c r="E84" s="4">
        <f>D89</f>
        <v>0</v>
      </c>
      <c r="F84" s="4">
        <f t="shared" ref="F84:H84" si="59">E89</f>
        <v>0</v>
      </c>
      <c r="G84" s="4">
        <f t="shared" si="59"/>
        <v>0</v>
      </c>
      <c r="H84" s="4">
        <f t="shared" si="59"/>
        <v>0</v>
      </c>
      <c r="I84" s="157"/>
      <c r="J84" s="157"/>
      <c r="K84" s="157"/>
      <c r="L84" s="157"/>
      <c r="M84" s="157"/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155"/>
      <c r="J85" s="155"/>
      <c r="K85" s="155"/>
      <c r="L85" s="155"/>
      <c r="M85" s="155"/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155"/>
      <c r="J86" s="155"/>
      <c r="K86" s="155"/>
      <c r="L86" s="155"/>
      <c r="M86" s="155"/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155"/>
      <c r="J87" s="155"/>
      <c r="K87" s="155"/>
      <c r="L87" s="155"/>
      <c r="M87" s="155"/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H88" si="60">E86+E87</f>
        <v>0</v>
      </c>
      <c r="F88" s="4">
        <f t="shared" si="60"/>
        <v>0</v>
      </c>
      <c r="G88" s="4">
        <f t="shared" si="60"/>
        <v>0</v>
      </c>
      <c r="H88" s="4">
        <f t="shared" si="60"/>
        <v>0</v>
      </c>
      <c r="I88" s="155">
        <f t="shared" ref="I88" si="61">I87+I86</f>
        <v>0</v>
      </c>
      <c r="J88" s="155">
        <f t="shared" ref="J88:K88" si="62">J87+J86</f>
        <v>0</v>
      </c>
      <c r="K88" s="155">
        <f t="shared" si="62"/>
        <v>0</v>
      </c>
      <c r="L88" s="155">
        <f t="shared" ref="L88:M88" si="63">L87+L86</f>
        <v>0</v>
      </c>
      <c r="M88" s="155">
        <f t="shared" si="63"/>
        <v>0</v>
      </c>
      <c r="N88" s="155">
        <f t="shared" ref="N88" si="64">N87+N86</f>
        <v>0</v>
      </c>
      <c r="O88" s="155">
        <v>0</v>
      </c>
      <c r="P88" s="74">
        <f>SUM(D88:O88)</f>
        <v>0</v>
      </c>
    </row>
    <row r="89" spans="1:16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f t="shared" ref="E89:H89" si="65">E84+E85-E88</f>
        <v>0</v>
      </c>
      <c r="F89" s="26">
        <f t="shared" si="65"/>
        <v>0</v>
      </c>
      <c r="G89" s="26">
        <f t="shared" si="65"/>
        <v>0</v>
      </c>
      <c r="H89" s="26">
        <f t="shared" si="65"/>
        <v>0</v>
      </c>
      <c r="I89" s="158">
        <f t="shared" ref="I89:J89" si="66">I84+I85-I88</f>
        <v>0</v>
      </c>
      <c r="J89" s="158">
        <f t="shared" si="66"/>
        <v>0</v>
      </c>
      <c r="K89" s="158">
        <f t="shared" ref="K89:L89" si="67">K84+K85-K88</f>
        <v>0</v>
      </c>
      <c r="L89" s="158">
        <f t="shared" si="67"/>
        <v>0</v>
      </c>
      <c r="M89" s="158">
        <f t="shared" ref="M89:N89" si="68">M84+M85-M88</f>
        <v>0</v>
      </c>
      <c r="N89" s="158">
        <f t="shared" si="68"/>
        <v>0</v>
      </c>
      <c r="O89" s="158">
        <v>0</v>
      </c>
      <c r="P89" s="158">
        <f t="shared" ref="P89" si="69">P84+P85-P88</f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135">
        <f t="shared" ref="D90:I90" si="70">D66+D72+D78+D84</f>
        <v>11</v>
      </c>
      <c r="E90" s="135">
        <f t="shared" si="70"/>
        <v>9</v>
      </c>
      <c r="F90" s="135">
        <f t="shared" si="70"/>
        <v>11</v>
      </c>
      <c r="G90" s="135">
        <f t="shared" si="70"/>
        <v>17</v>
      </c>
      <c r="H90" s="135">
        <f t="shared" si="70"/>
        <v>15</v>
      </c>
      <c r="I90" s="135">
        <f t="shared" si="70"/>
        <v>11</v>
      </c>
      <c r="J90" s="135">
        <f t="shared" ref="J90:K90" si="71">J66+J72+J78+J84</f>
        <v>7</v>
      </c>
      <c r="K90" s="135">
        <f t="shared" si="71"/>
        <v>16</v>
      </c>
      <c r="L90" s="135">
        <f t="shared" ref="L90:M90" si="72">L66+L72+L78+L84</f>
        <v>18</v>
      </c>
      <c r="M90" s="135">
        <f t="shared" si="72"/>
        <v>14</v>
      </c>
      <c r="N90" s="135">
        <f t="shared" ref="N90" si="73">N66+N72+N78+N84</f>
        <v>13</v>
      </c>
      <c r="O90" s="135">
        <v>12</v>
      </c>
      <c r="P90" s="35">
        <f>D90</f>
        <v>11</v>
      </c>
    </row>
    <row r="91" spans="1:16" ht="15.6" x14ac:dyDescent="0.3">
      <c r="A91" s="695"/>
      <c r="B91" s="24" t="s">
        <v>104</v>
      </c>
      <c r="C91" s="11" t="s">
        <v>3</v>
      </c>
      <c r="D91" s="135">
        <f t="shared" ref="D91:E93" si="74">D67+D73+D79+D85</f>
        <v>5</v>
      </c>
      <c r="E91" s="135">
        <f t="shared" si="74"/>
        <v>6</v>
      </c>
      <c r="F91" s="135">
        <f t="shared" ref="F91:G91" si="75">F67+F73+F79+F85</f>
        <v>18</v>
      </c>
      <c r="G91" s="135">
        <f t="shared" si="75"/>
        <v>8</v>
      </c>
      <c r="H91" s="135">
        <f t="shared" ref="H91:I91" si="76">H67+H73+H79+H85</f>
        <v>9</v>
      </c>
      <c r="I91" s="135">
        <f t="shared" si="76"/>
        <v>7</v>
      </c>
      <c r="J91" s="135">
        <f t="shared" ref="J91:K91" si="77">J67+J73+J79+J85</f>
        <v>21</v>
      </c>
      <c r="K91" s="135">
        <f t="shared" si="77"/>
        <v>11</v>
      </c>
      <c r="L91" s="135">
        <f t="shared" ref="L91:M91" si="78">L67+L73+L79+L85</f>
        <v>5</v>
      </c>
      <c r="M91" s="135">
        <f t="shared" si="78"/>
        <v>5</v>
      </c>
      <c r="N91" s="135">
        <f t="shared" ref="N91" si="79">N67+N73+N79+N85</f>
        <v>5</v>
      </c>
      <c r="O91" s="135">
        <v>10</v>
      </c>
      <c r="P91" s="35">
        <f>SUM(D91:O91)</f>
        <v>110</v>
      </c>
    </row>
    <row r="92" spans="1:16" ht="27" x14ac:dyDescent="0.3">
      <c r="A92" s="695"/>
      <c r="B92" s="24" t="s">
        <v>103</v>
      </c>
      <c r="C92" s="11" t="s">
        <v>3</v>
      </c>
      <c r="D92" s="135">
        <f t="shared" si="74"/>
        <v>7</v>
      </c>
      <c r="E92" s="135">
        <f t="shared" si="74"/>
        <v>4</v>
      </c>
      <c r="F92" s="135">
        <f t="shared" ref="F92:G92" si="80">F68+F74+F80+F86</f>
        <v>11</v>
      </c>
      <c r="G92" s="135">
        <f t="shared" si="80"/>
        <v>10</v>
      </c>
      <c r="H92" s="135">
        <f t="shared" ref="H92:I92" si="81">H68+H74+H80+H86</f>
        <v>13</v>
      </c>
      <c r="I92" s="135">
        <f t="shared" si="81"/>
        <v>11</v>
      </c>
      <c r="J92" s="135">
        <f t="shared" ref="J92:K92" si="82">J68+J74+J80+J86</f>
        <v>12</v>
      </c>
      <c r="K92" s="135">
        <f t="shared" si="82"/>
        <v>9</v>
      </c>
      <c r="L92" s="135">
        <f t="shared" ref="L92:M92" si="83">L68+L74+L80+L86</f>
        <v>8</v>
      </c>
      <c r="M92" s="135">
        <f t="shared" si="83"/>
        <v>6</v>
      </c>
      <c r="N92" s="135">
        <f t="shared" ref="N92" si="84">N68+N74+N80+N86</f>
        <v>6</v>
      </c>
      <c r="O92" s="135">
        <v>19</v>
      </c>
      <c r="P92" s="35">
        <f>SUM(D92:O92)</f>
        <v>116</v>
      </c>
    </row>
    <row r="93" spans="1:16" s="2" customFormat="1" ht="27" x14ac:dyDescent="0.3">
      <c r="A93" s="695"/>
      <c r="B93" s="24" t="s">
        <v>102</v>
      </c>
      <c r="C93" s="11"/>
      <c r="D93" s="135">
        <f t="shared" si="74"/>
        <v>0</v>
      </c>
      <c r="E93" s="135">
        <f t="shared" si="74"/>
        <v>0</v>
      </c>
      <c r="F93" s="135">
        <f t="shared" ref="F93:G93" si="85">F69+F75+F81+F87</f>
        <v>1</v>
      </c>
      <c r="G93" s="135">
        <f t="shared" si="85"/>
        <v>0</v>
      </c>
      <c r="H93" s="135">
        <f t="shared" ref="H93:I93" si="86">H69+H75+H81+H87</f>
        <v>0</v>
      </c>
      <c r="I93" s="135">
        <f t="shared" si="86"/>
        <v>0</v>
      </c>
      <c r="J93" s="135">
        <f t="shared" ref="J93:K93" si="87">J69+J75+J81+J87</f>
        <v>0</v>
      </c>
      <c r="K93" s="135">
        <f t="shared" si="87"/>
        <v>0</v>
      </c>
      <c r="L93" s="135">
        <f t="shared" ref="L93:M93" si="88">L69+L75+L81+L87</f>
        <v>1</v>
      </c>
      <c r="M93" s="135">
        <f t="shared" si="88"/>
        <v>0</v>
      </c>
      <c r="N93" s="135">
        <f t="shared" ref="N93" si="89">N69+N75+N81+N87</f>
        <v>0</v>
      </c>
      <c r="O93" s="135">
        <v>1</v>
      </c>
      <c r="P93" s="35">
        <f>SUM(D93:O93)</f>
        <v>3</v>
      </c>
    </row>
    <row r="94" spans="1:16" s="2" customFormat="1" ht="15.6" x14ac:dyDescent="0.3">
      <c r="A94" s="695"/>
      <c r="B94" s="24" t="s">
        <v>188</v>
      </c>
      <c r="C94" s="11" t="s">
        <v>3</v>
      </c>
      <c r="D94" s="136">
        <f>D93+D92</f>
        <v>7</v>
      </c>
      <c r="E94" s="136">
        <f t="shared" ref="E94:P94" si="90">E93+E92</f>
        <v>4</v>
      </c>
      <c r="F94" s="136">
        <f t="shared" si="90"/>
        <v>12</v>
      </c>
      <c r="G94" s="136">
        <f t="shared" ref="G94:H94" si="91">G93+G92</f>
        <v>10</v>
      </c>
      <c r="H94" s="136">
        <f t="shared" si="91"/>
        <v>13</v>
      </c>
      <c r="I94" s="136">
        <f t="shared" ref="I94:J94" si="92">I93+I92</f>
        <v>11</v>
      </c>
      <c r="J94" s="136">
        <f t="shared" si="92"/>
        <v>12</v>
      </c>
      <c r="K94" s="136">
        <f t="shared" ref="K94:L94" si="93">K93+K92</f>
        <v>9</v>
      </c>
      <c r="L94" s="136">
        <f t="shared" si="93"/>
        <v>9</v>
      </c>
      <c r="M94" s="136">
        <f t="shared" ref="M94:N94" si="94">M93+M92</f>
        <v>6</v>
      </c>
      <c r="N94" s="136">
        <f t="shared" si="94"/>
        <v>6</v>
      </c>
      <c r="O94" s="136">
        <v>20</v>
      </c>
      <c r="P94" s="143">
        <f t="shared" si="90"/>
        <v>119</v>
      </c>
    </row>
    <row r="95" spans="1:16" ht="16.2" thickBot="1" x14ac:dyDescent="0.35">
      <c r="A95" s="696"/>
      <c r="B95" s="24" t="s">
        <v>81</v>
      </c>
      <c r="C95" s="11" t="s">
        <v>3</v>
      </c>
      <c r="D95" s="137">
        <f>D90+D91-D94</f>
        <v>9</v>
      </c>
      <c r="E95" s="137">
        <f t="shared" ref="E95:P95" si="95">E90+E91-E94</f>
        <v>11</v>
      </c>
      <c r="F95" s="137">
        <f t="shared" si="95"/>
        <v>17</v>
      </c>
      <c r="G95" s="137">
        <f t="shared" ref="G95:H95" si="96">G90+G91-G94</f>
        <v>15</v>
      </c>
      <c r="H95" s="137">
        <f t="shared" si="96"/>
        <v>11</v>
      </c>
      <c r="I95" s="137">
        <f t="shared" ref="I95:J95" si="97">I90+I91-I94</f>
        <v>7</v>
      </c>
      <c r="J95" s="137">
        <f t="shared" si="97"/>
        <v>16</v>
      </c>
      <c r="K95" s="137">
        <f t="shared" ref="K95:L95" si="98">K90+K91-K94</f>
        <v>18</v>
      </c>
      <c r="L95" s="137">
        <f t="shared" si="98"/>
        <v>14</v>
      </c>
      <c r="M95" s="137">
        <f t="shared" ref="M95:N95" si="99">M90+M91-M94</f>
        <v>13</v>
      </c>
      <c r="N95" s="137">
        <f t="shared" si="99"/>
        <v>12</v>
      </c>
      <c r="O95" s="137">
        <v>2</v>
      </c>
      <c r="P95" s="144">
        <f t="shared" si="95"/>
        <v>2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553"/>
      <c r="E98" s="553"/>
      <c r="F98" s="553">
        <v>3</v>
      </c>
      <c r="G98" s="553">
        <v>1</v>
      </c>
      <c r="H98" s="553">
        <v>45</v>
      </c>
      <c r="I98" s="70"/>
      <c r="J98" s="553">
        <v>2</v>
      </c>
      <c r="K98" s="71"/>
      <c r="L98" s="71">
        <v>3</v>
      </c>
      <c r="M98" s="71"/>
      <c r="N98" s="71"/>
      <c r="O98" s="71">
        <v>2</v>
      </c>
      <c r="P98" s="107">
        <f>SUM(D98:O98)</f>
        <v>56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4">
        <v>509</v>
      </c>
      <c r="E101" s="4">
        <v>501</v>
      </c>
      <c r="F101" s="4">
        <v>497</v>
      </c>
      <c r="G101" s="4">
        <v>491</v>
      </c>
      <c r="H101" s="4">
        <v>480</v>
      </c>
      <c r="I101" s="4">
        <v>482</v>
      </c>
      <c r="J101" s="132">
        <v>485</v>
      </c>
      <c r="K101" s="4">
        <v>473</v>
      </c>
      <c r="L101" s="132">
        <v>454</v>
      </c>
      <c r="M101" s="155">
        <v>499</v>
      </c>
      <c r="N101" s="155">
        <v>490</v>
      </c>
      <c r="O101" s="4">
        <v>485</v>
      </c>
      <c r="P101" s="32">
        <f t="shared" ref="P101:P116" si="100">O101</f>
        <v>485</v>
      </c>
    </row>
    <row r="102" spans="1:16" ht="15.6" x14ac:dyDescent="0.3">
      <c r="A102" s="661" t="s">
        <v>99</v>
      </c>
      <c r="B102" s="662"/>
      <c r="C102" s="11" t="s">
        <v>3</v>
      </c>
      <c r="D102" s="4">
        <v>14</v>
      </c>
      <c r="E102" s="4">
        <v>14</v>
      </c>
      <c r="F102" s="4">
        <v>14</v>
      </c>
      <c r="G102" s="4">
        <v>14</v>
      </c>
      <c r="H102" s="4">
        <v>15</v>
      </c>
      <c r="I102" s="4">
        <v>15</v>
      </c>
      <c r="J102" s="132">
        <v>17</v>
      </c>
      <c r="K102" s="4">
        <v>17</v>
      </c>
      <c r="L102" s="132">
        <v>17</v>
      </c>
      <c r="M102" s="155">
        <v>18</v>
      </c>
      <c r="N102" s="155">
        <v>18</v>
      </c>
      <c r="O102" s="4">
        <v>18</v>
      </c>
      <c r="P102" s="32">
        <f t="shared" si="100"/>
        <v>18</v>
      </c>
    </row>
    <row r="103" spans="1:16" ht="15.6" customHeight="1" x14ac:dyDescent="0.3">
      <c r="A103" s="663" t="s">
        <v>98</v>
      </c>
      <c r="B103" s="664"/>
      <c r="C103" s="11" t="s">
        <v>3</v>
      </c>
      <c r="D103" s="4">
        <v>62</v>
      </c>
      <c r="E103" s="4">
        <v>62</v>
      </c>
      <c r="F103" s="4">
        <v>60</v>
      </c>
      <c r="G103" s="4">
        <v>60</v>
      </c>
      <c r="H103" s="4">
        <v>60</v>
      </c>
      <c r="I103" s="4">
        <v>60</v>
      </c>
      <c r="J103" s="132">
        <v>81</v>
      </c>
      <c r="K103" s="4">
        <v>81</v>
      </c>
      <c r="L103" s="132">
        <v>81</v>
      </c>
      <c r="M103" s="155">
        <v>82</v>
      </c>
      <c r="N103" s="155">
        <v>82</v>
      </c>
      <c r="O103" s="4">
        <v>82</v>
      </c>
      <c r="P103" s="32">
        <f t="shared" si="100"/>
        <v>82</v>
      </c>
    </row>
    <row r="104" spans="1:16" ht="15.6" x14ac:dyDescent="0.3">
      <c r="A104" s="663" t="s">
        <v>97</v>
      </c>
      <c r="B104" s="664"/>
      <c r="C104" s="11" t="s">
        <v>3</v>
      </c>
      <c r="D104" s="4">
        <v>16</v>
      </c>
      <c r="E104" s="4">
        <v>16</v>
      </c>
      <c r="F104" s="4">
        <v>16</v>
      </c>
      <c r="G104" s="4">
        <v>16</v>
      </c>
      <c r="H104" s="4">
        <v>16</v>
      </c>
      <c r="I104" s="4">
        <v>16</v>
      </c>
      <c r="J104" s="132">
        <v>16</v>
      </c>
      <c r="K104" s="4">
        <v>16</v>
      </c>
      <c r="L104" s="132">
        <v>16</v>
      </c>
      <c r="M104" s="155">
        <v>16</v>
      </c>
      <c r="N104" s="155">
        <v>16</v>
      </c>
      <c r="O104" s="4">
        <v>16</v>
      </c>
      <c r="P104" s="32">
        <f t="shared" si="100"/>
        <v>16</v>
      </c>
    </row>
    <row r="105" spans="1:16" ht="15.6" x14ac:dyDescent="0.3">
      <c r="A105" s="686" t="s">
        <v>96</v>
      </c>
      <c r="B105" s="687"/>
      <c r="C105" s="11" t="s">
        <v>3</v>
      </c>
      <c r="D105" s="33">
        <f>SUM(D101:D104)</f>
        <v>601</v>
      </c>
      <c r="E105" s="33">
        <f t="shared" ref="E105:N105" si="101">SUM(E101:E104)</f>
        <v>593</v>
      </c>
      <c r="F105" s="33">
        <f t="shared" si="101"/>
        <v>587</v>
      </c>
      <c r="G105" s="33">
        <f t="shared" si="101"/>
        <v>581</v>
      </c>
      <c r="H105" s="33">
        <f t="shared" si="101"/>
        <v>571</v>
      </c>
      <c r="I105" s="134">
        <f t="shared" si="101"/>
        <v>573</v>
      </c>
      <c r="J105" s="134">
        <f t="shared" si="101"/>
        <v>599</v>
      </c>
      <c r="K105" s="134">
        <f t="shared" si="101"/>
        <v>587</v>
      </c>
      <c r="L105" s="134">
        <f t="shared" si="101"/>
        <v>568</v>
      </c>
      <c r="M105" s="169">
        <f t="shared" si="101"/>
        <v>615</v>
      </c>
      <c r="N105" s="169">
        <f t="shared" si="101"/>
        <v>606</v>
      </c>
      <c r="O105" s="33">
        <v>601</v>
      </c>
      <c r="P105" s="32">
        <f t="shared" si="100"/>
        <v>601</v>
      </c>
    </row>
    <row r="106" spans="1:16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4">
        <v>929</v>
      </c>
      <c r="E107" s="4">
        <v>941</v>
      </c>
      <c r="F107" s="4">
        <v>953</v>
      </c>
      <c r="G107" s="4">
        <v>964</v>
      </c>
      <c r="H107" s="4">
        <v>987</v>
      </c>
      <c r="I107" s="4">
        <v>996</v>
      </c>
      <c r="J107" s="132">
        <v>982</v>
      </c>
      <c r="K107" s="4">
        <v>1002</v>
      </c>
      <c r="L107" s="155">
        <v>1030</v>
      </c>
      <c r="M107" s="155">
        <v>991</v>
      </c>
      <c r="N107" s="155">
        <v>1001</v>
      </c>
      <c r="O107" s="129">
        <v>1024</v>
      </c>
      <c r="P107" s="174">
        <f t="shared" si="100"/>
        <v>1024</v>
      </c>
    </row>
    <row r="108" spans="1:16" ht="15.6" x14ac:dyDescent="0.3">
      <c r="A108" s="661" t="s">
        <v>194</v>
      </c>
      <c r="B108" s="662"/>
      <c r="C108" s="11" t="s">
        <v>3</v>
      </c>
      <c r="D108" s="4">
        <v>12</v>
      </c>
      <c r="E108" s="4">
        <v>12</v>
      </c>
      <c r="F108" s="4">
        <v>12</v>
      </c>
      <c r="G108" s="4">
        <v>12</v>
      </c>
      <c r="H108" s="4">
        <v>11</v>
      </c>
      <c r="I108" s="4">
        <v>11</v>
      </c>
      <c r="J108" s="132">
        <v>9</v>
      </c>
      <c r="K108" s="4">
        <v>9</v>
      </c>
      <c r="L108" s="155">
        <v>9</v>
      </c>
      <c r="M108" s="155">
        <v>8</v>
      </c>
      <c r="N108" s="155">
        <v>8</v>
      </c>
      <c r="O108" s="129">
        <v>8</v>
      </c>
      <c r="P108" s="174">
        <f t="shared" si="100"/>
        <v>8</v>
      </c>
    </row>
    <row r="109" spans="1:16" ht="15.6" x14ac:dyDescent="0.3">
      <c r="A109" s="661" t="s">
        <v>195</v>
      </c>
      <c r="B109" s="662"/>
      <c r="C109" s="11" t="s">
        <v>3</v>
      </c>
      <c r="D109" s="4">
        <v>31</v>
      </c>
      <c r="E109" s="4">
        <v>31</v>
      </c>
      <c r="F109" s="4">
        <v>31</v>
      </c>
      <c r="G109" s="4">
        <v>31</v>
      </c>
      <c r="H109" s="4">
        <v>31</v>
      </c>
      <c r="I109" s="4">
        <v>31</v>
      </c>
      <c r="J109" s="132">
        <v>31</v>
      </c>
      <c r="K109" s="4">
        <v>31</v>
      </c>
      <c r="L109" s="155">
        <v>31</v>
      </c>
      <c r="M109" s="155">
        <v>30</v>
      </c>
      <c r="N109" s="155">
        <v>11</v>
      </c>
      <c r="O109" s="129">
        <v>11</v>
      </c>
      <c r="P109" s="174">
        <f t="shared" si="100"/>
        <v>11</v>
      </c>
    </row>
    <row r="110" spans="1:16" ht="15.6" x14ac:dyDescent="0.3">
      <c r="A110" s="661" t="s">
        <v>196</v>
      </c>
      <c r="B110" s="662"/>
      <c r="C110" s="11" t="s">
        <v>3</v>
      </c>
      <c r="D110" s="4">
        <v>2</v>
      </c>
      <c r="E110" s="4">
        <v>2</v>
      </c>
      <c r="F110" s="4">
        <v>2</v>
      </c>
      <c r="G110" s="4">
        <v>2</v>
      </c>
      <c r="H110" s="4">
        <v>2</v>
      </c>
      <c r="I110" s="4">
        <v>2</v>
      </c>
      <c r="J110" s="132">
        <v>2</v>
      </c>
      <c r="K110" s="4">
        <v>2</v>
      </c>
      <c r="L110" s="155">
        <v>2</v>
      </c>
      <c r="M110" s="155">
        <v>2</v>
      </c>
      <c r="N110" s="155">
        <v>2</v>
      </c>
      <c r="O110" s="129">
        <v>2</v>
      </c>
      <c r="P110" s="174">
        <f t="shared" si="100"/>
        <v>2</v>
      </c>
    </row>
    <row r="111" spans="1:16" ht="15.6" x14ac:dyDescent="0.3">
      <c r="A111" s="676" t="s">
        <v>95</v>
      </c>
      <c r="B111" s="677"/>
      <c r="C111" s="11" t="s">
        <v>3</v>
      </c>
      <c r="D111" s="33">
        <f>SUM(D107:D110)</f>
        <v>974</v>
      </c>
      <c r="E111" s="33">
        <f t="shared" ref="E111:N111" si="102">SUM(E107:E110)</f>
        <v>986</v>
      </c>
      <c r="F111" s="33">
        <f t="shared" si="102"/>
        <v>998</v>
      </c>
      <c r="G111" s="33">
        <f t="shared" si="102"/>
        <v>1009</v>
      </c>
      <c r="H111" s="33">
        <f t="shared" si="102"/>
        <v>1031</v>
      </c>
      <c r="I111" s="33">
        <f t="shared" si="102"/>
        <v>1040</v>
      </c>
      <c r="J111" s="33">
        <f t="shared" si="102"/>
        <v>1024</v>
      </c>
      <c r="K111" s="33">
        <f t="shared" si="102"/>
        <v>1044</v>
      </c>
      <c r="L111" s="169">
        <f t="shared" si="102"/>
        <v>1072</v>
      </c>
      <c r="M111" s="169">
        <f t="shared" si="102"/>
        <v>1031</v>
      </c>
      <c r="N111" s="169">
        <f t="shared" si="102"/>
        <v>1022</v>
      </c>
      <c r="O111" s="33">
        <v>1045</v>
      </c>
      <c r="P111" s="174">
        <f t="shared" si="100"/>
        <v>1045</v>
      </c>
    </row>
    <row r="112" spans="1:16" s="2" customFormat="1" ht="15.6" customHeight="1" x14ac:dyDescent="0.3">
      <c r="A112" s="680" t="s">
        <v>216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27">
        <v>290</v>
      </c>
      <c r="E113" s="33">
        <v>290</v>
      </c>
      <c r="F113" s="33">
        <v>293</v>
      </c>
      <c r="G113" s="33">
        <v>295</v>
      </c>
      <c r="H113" s="33">
        <v>340</v>
      </c>
      <c r="I113" s="33">
        <v>340</v>
      </c>
      <c r="J113" s="33">
        <v>342</v>
      </c>
      <c r="K113" s="33">
        <v>342</v>
      </c>
      <c r="L113" s="133">
        <v>345</v>
      </c>
      <c r="M113" s="133">
        <v>345</v>
      </c>
      <c r="N113" s="133">
        <v>342</v>
      </c>
      <c r="O113" s="133">
        <v>344</v>
      </c>
      <c r="P113" s="174">
        <f t="shared" si="100"/>
        <v>344</v>
      </c>
    </row>
    <row r="114" spans="1:16" ht="15.6" x14ac:dyDescent="0.3">
      <c r="A114" s="661" t="s">
        <v>198</v>
      </c>
      <c r="B114" s="662"/>
      <c r="C114" s="11" t="s">
        <v>3</v>
      </c>
      <c r="D114" s="127">
        <v>35</v>
      </c>
      <c r="E114" s="33">
        <v>35</v>
      </c>
      <c r="F114" s="33">
        <v>35</v>
      </c>
      <c r="G114" s="33">
        <v>35</v>
      </c>
      <c r="H114" s="33">
        <v>35</v>
      </c>
      <c r="I114" s="33">
        <v>35</v>
      </c>
      <c r="J114" s="33">
        <v>35</v>
      </c>
      <c r="K114" s="33">
        <v>35</v>
      </c>
      <c r="L114" s="133">
        <v>35</v>
      </c>
      <c r="M114" s="133">
        <v>35</v>
      </c>
      <c r="N114" s="133">
        <v>34</v>
      </c>
      <c r="O114" s="133">
        <v>34</v>
      </c>
      <c r="P114" s="174">
        <f t="shared" si="100"/>
        <v>34</v>
      </c>
    </row>
    <row r="115" spans="1:16" ht="15.6" x14ac:dyDescent="0.3">
      <c r="A115" s="661" t="s">
        <v>199</v>
      </c>
      <c r="B115" s="662"/>
      <c r="C115" s="11" t="s">
        <v>3</v>
      </c>
      <c r="D115" s="127">
        <v>17</v>
      </c>
      <c r="E115" s="33">
        <v>17</v>
      </c>
      <c r="F115" s="33">
        <v>20</v>
      </c>
      <c r="G115" s="33">
        <v>20</v>
      </c>
      <c r="H115" s="33">
        <v>20</v>
      </c>
      <c r="I115" s="33">
        <v>20</v>
      </c>
      <c r="J115" s="33">
        <v>20</v>
      </c>
      <c r="K115" s="33">
        <v>21</v>
      </c>
      <c r="L115" s="133">
        <v>21</v>
      </c>
      <c r="M115" s="133">
        <v>21</v>
      </c>
      <c r="N115" s="133">
        <v>20</v>
      </c>
      <c r="O115" s="133">
        <v>20</v>
      </c>
      <c r="P115" s="174">
        <f t="shared" si="100"/>
        <v>20</v>
      </c>
    </row>
    <row r="116" spans="1:16" ht="15.6" x14ac:dyDescent="0.3">
      <c r="A116" s="661" t="s">
        <v>200</v>
      </c>
      <c r="B116" s="662"/>
      <c r="C116" s="11" t="s">
        <v>3</v>
      </c>
      <c r="D116" s="127">
        <v>2</v>
      </c>
      <c r="E116" s="33">
        <v>2</v>
      </c>
      <c r="F116" s="33">
        <v>2</v>
      </c>
      <c r="G116" s="33">
        <v>2</v>
      </c>
      <c r="H116" s="33">
        <v>2</v>
      </c>
      <c r="I116" s="33">
        <v>2</v>
      </c>
      <c r="J116" s="33">
        <v>2</v>
      </c>
      <c r="K116" s="33">
        <v>2</v>
      </c>
      <c r="L116" s="133">
        <v>2</v>
      </c>
      <c r="M116" s="133">
        <v>2</v>
      </c>
      <c r="N116" s="133">
        <v>2</v>
      </c>
      <c r="O116" s="133">
        <v>2</v>
      </c>
      <c r="P116" s="174">
        <f t="shared" si="100"/>
        <v>2</v>
      </c>
    </row>
    <row r="117" spans="1:16" ht="15.6" x14ac:dyDescent="0.3">
      <c r="A117" s="676" t="s">
        <v>94</v>
      </c>
      <c r="B117" s="677"/>
      <c r="C117" s="11" t="s">
        <v>3</v>
      </c>
      <c r="D117" s="33">
        <f>SUM(D113:D116)</f>
        <v>344</v>
      </c>
      <c r="E117" s="33">
        <f t="shared" ref="E117:P117" si="103">SUM(E113:E116)</f>
        <v>344</v>
      </c>
      <c r="F117" s="33">
        <f t="shared" si="103"/>
        <v>350</v>
      </c>
      <c r="G117" s="33">
        <f t="shared" ref="G117:H117" si="104">SUM(G113:G116)</f>
        <v>352</v>
      </c>
      <c r="H117" s="33">
        <f t="shared" si="104"/>
        <v>397</v>
      </c>
      <c r="I117" s="33">
        <f t="shared" ref="I117:J117" si="105">SUM(I113:I116)</f>
        <v>397</v>
      </c>
      <c r="J117" s="33">
        <f t="shared" si="105"/>
        <v>399</v>
      </c>
      <c r="K117" s="33">
        <f t="shared" ref="K117:L117" si="106">SUM(K113:K116)</f>
        <v>400</v>
      </c>
      <c r="L117" s="33">
        <f t="shared" si="106"/>
        <v>403</v>
      </c>
      <c r="M117" s="33">
        <f t="shared" ref="M117:N117" si="107">SUM(M113:M116)</f>
        <v>403</v>
      </c>
      <c r="N117" s="33">
        <f t="shared" si="107"/>
        <v>398</v>
      </c>
      <c r="O117" s="33">
        <v>400</v>
      </c>
      <c r="P117" s="55">
        <f t="shared" si="103"/>
        <v>400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08">D111+D117</f>
        <v>1318</v>
      </c>
      <c r="E118" s="33">
        <f t="shared" si="108"/>
        <v>1330</v>
      </c>
      <c r="F118" s="33">
        <f t="shared" si="108"/>
        <v>1348</v>
      </c>
      <c r="G118" s="33">
        <f t="shared" si="108"/>
        <v>1361</v>
      </c>
      <c r="H118" s="33">
        <f t="shared" si="108"/>
        <v>1428</v>
      </c>
      <c r="I118" s="33">
        <f t="shared" si="108"/>
        <v>1437</v>
      </c>
      <c r="J118" s="33">
        <f t="shared" ref="J118" si="109">J111+J117</f>
        <v>1423</v>
      </c>
      <c r="K118" s="33">
        <f t="shared" ref="K118:L118" si="110">K111+K117</f>
        <v>1444</v>
      </c>
      <c r="L118" s="33">
        <f t="shared" si="110"/>
        <v>1475</v>
      </c>
      <c r="M118" s="33">
        <f t="shared" ref="M118:N118" si="111">M111+M117</f>
        <v>1434</v>
      </c>
      <c r="N118" s="33">
        <f t="shared" si="111"/>
        <v>1420</v>
      </c>
      <c r="O118" s="33">
        <v>1445</v>
      </c>
      <c r="P118" s="33">
        <f t="shared" ref="P118" si="112">P111+P117</f>
        <v>1445</v>
      </c>
    </row>
    <row r="119" spans="1:16" ht="15.6" x14ac:dyDescent="0.3">
      <c r="A119" s="676" t="s">
        <v>192</v>
      </c>
      <c r="B119" s="677"/>
      <c r="C119" s="11" t="s">
        <v>3</v>
      </c>
      <c r="D119" s="33">
        <f t="shared" ref="D119:I119" si="113">D105+D118</f>
        <v>1919</v>
      </c>
      <c r="E119" s="33">
        <f t="shared" si="113"/>
        <v>1923</v>
      </c>
      <c r="F119" s="33">
        <f t="shared" si="113"/>
        <v>1935</v>
      </c>
      <c r="G119" s="33">
        <f t="shared" si="113"/>
        <v>1942</v>
      </c>
      <c r="H119" s="33">
        <f t="shared" si="113"/>
        <v>1999</v>
      </c>
      <c r="I119" s="33">
        <f t="shared" si="113"/>
        <v>2010</v>
      </c>
      <c r="J119" s="33">
        <f t="shared" ref="J119" si="114">J105+J118</f>
        <v>2022</v>
      </c>
      <c r="K119" s="33">
        <f t="shared" ref="K119:L119" si="115">K105+K118</f>
        <v>2031</v>
      </c>
      <c r="L119" s="33">
        <f t="shared" si="115"/>
        <v>2043</v>
      </c>
      <c r="M119" s="33">
        <f t="shared" ref="M119:N119" si="116">M105+M118</f>
        <v>2049</v>
      </c>
      <c r="N119" s="33">
        <f t="shared" si="116"/>
        <v>2026</v>
      </c>
      <c r="O119" s="33">
        <v>2046</v>
      </c>
      <c r="P119" s="33">
        <f t="shared" ref="P119" si="117">P105+P118</f>
        <v>2046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7.399999999999999" x14ac:dyDescent="0.3">
      <c r="A121" s="661" t="s">
        <v>93</v>
      </c>
      <c r="B121" s="662"/>
      <c r="C121" s="5" t="s">
        <v>3</v>
      </c>
      <c r="D121" s="562">
        <f>11696+16</f>
        <v>11712</v>
      </c>
      <c r="E121" s="4">
        <v>11723</v>
      </c>
      <c r="F121" s="4">
        <v>11737</v>
      </c>
      <c r="G121" s="4">
        <v>11748</v>
      </c>
      <c r="H121" s="4">
        <v>11783</v>
      </c>
      <c r="I121" s="4">
        <v>11818</v>
      </c>
      <c r="J121" s="4">
        <v>11847</v>
      </c>
      <c r="K121" s="4">
        <v>11863</v>
      </c>
      <c r="L121" s="128">
        <v>11891</v>
      </c>
      <c r="M121" s="128">
        <v>11913</v>
      </c>
      <c r="N121" s="128">
        <v>11936</v>
      </c>
      <c r="O121" s="128">
        <v>11959</v>
      </c>
      <c r="P121" s="31">
        <f>O121</f>
        <v>11959</v>
      </c>
    </row>
    <row r="122" spans="1:16" ht="17.399999999999999" x14ac:dyDescent="0.3">
      <c r="A122" s="661" t="s">
        <v>92</v>
      </c>
      <c r="B122" s="662"/>
      <c r="C122" s="5" t="s">
        <v>3</v>
      </c>
      <c r="D122" s="562">
        <f>10534+7*5</f>
        <v>10569</v>
      </c>
      <c r="E122" s="4">
        <f>10569+5*4</f>
        <v>10589</v>
      </c>
      <c r="F122" s="4">
        <f>10589+12*4</f>
        <v>10637</v>
      </c>
      <c r="G122" s="4">
        <f>10637+10*5</f>
        <v>10687</v>
      </c>
      <c r="H122" s="4">
        <f>10687+13*4</f>
        <v>10739</v>
      </c>
      <c r="I122" s="4">
        <f>10739+11*3</f>
        <v>10772</v>
      </c>
      <c r="J122" s="4">
        <f>10772+12*2</f>
        <v>10796</v>
      </c>
      <c r="K122" s="4">
        <f>10796+9</f>
        <v>10805</v>
      </c>
      <c r="L122" s="128">
        <v>10841</v>
      </c>
      <c r="M122" s="128">
        <v>10853</v>
      </c>
      <c r="N122" s="128">
        <v>10859</v>
      </c>
      <c r="O122" s="128">
        <v>10859</v>
      </c>
      <c r="P122" s="31">
        <f>O122</f>
        <v>10859</v>
      </c>
    </row>
    <row r="123" spans="1:16" ht="15.6" x14ac:dyDescent="0.3">
      <c r="A123" s="678" t="s">
        <v>91</v>
      </c>
      <c r="B123" s="679"/>
      <c r="C123" s="30" t="s">
        <v>6</v>
      </c>
      <c r="D123" s="29">
        <f>D122/D121</f>
        <v>0.90240778688524592</v>
      </c>
      <c r="E123" s="29">
        <f t="shared" ref="E123:F123" si="118">E122/E121</f>
        <v>0.90326708180499871</v>
      </c>
      <c r="F123" s="29">
        <f t="shared" si="118"/>
        <v>0.9062792877225867</v>
      </c>
      <c r="G123" s="29">
        <f t="shared" ref="G123:P123" si="119">G122/G121</f>
        <v>0.90968675519237319</v>
      </c>
      <c r="H123" s="29">
        <f t="shared" si="119"/>
        <v>0.91139777645760844</v>
      </c>
      <c r="I123" s="29">
        <f t="shared" si="119"/>
        <v>0.91149094601455405</v>
      </c>
      <c r="J123" s="29">
        <f t="shared" si="119"/>
        <v>0.91128555752511187</v>
      </c>
      <c r="K123" s="29">
        <f t="shared" si="119"/>
        <v>0.91081513950939896</v>
      </c>
      <c r="L123" s="29">
        <f t="shared" si="119"/>
        <v>0.91169792279875539</v>
      </c>
      <c r="M123" s="29">
        <f t="shared" si="119"/>
        <v>0.91102157307143461</v>
      </c>
      <c r="N123" s="29">
        <f t="shared" si="119"/>
        <v>0.90976876675603213</v>
      </c>
      <c r="O123" s="29">
        <v>0.9080190651392257</v>
      </c>
      <c r="P123" s="108">
        <f t="shared" si="119"/>
        <v>0.9080190651392257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0</v>
      </c>
      <c r="F125" s="132">
        <f t="shared" ref="F125:H125" si="120">E129</f>
        <v>0</v>
      </c>
      <c r="G125" s="132">
        <f t="shared" si="120"/>
        <v>0</v>
      </c>
      <c r="H125" s="132">
        <f t="shared" si="120"/>
        <v>0</v>
      </c>
      <c r="I125" s="157"/>
      <c r="J125" s="157"/>
      <c r="K125" s="157"/>
      <c r="L125" s="157"/>
      <c r="M125" s="157">
        <v>0</v>
      </c>
      <c r="N125" s="157"/>
      <c r="O125" s="157"/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0</v>
      </c>
      <c r="E126" s="132">
        <v>0</v>
      </c>
      <c r="F126" s="132">
        <v>0</v>
      </c>
      <c r="G126" s="132">
        <v>0</v>
      </c>
      <c r="H126" s="132">
        <v>0</v>
      </c>
      <c r="I126" s="155"/>
      <c r="J126" s="155"/>
      <c r="K126" s="155"/>
      <c r="L126" s="155"/>
      <c r="M126" s="155">
        <v>0</v>
      </c>
      <c r="N126" s="155"/>
      <c r="O126" s="155"/>
      <c r="P126" s="18">
        <f>SUM(D126:O126)</f>
        <v>0</v>
      </c>
    </row>
    <row r="127" spans="1:16" ht="15.6" x14ac:dyDescent="0.3">
      <c r="A127" s="674"/>
      <c r="B127" s="82" t="s">
        <v>88</v>
      </c>
      <c r="C127" s="11" t="s">
        <v>3</v>
      </c>
      <c r="D127" s="132">
        <v>0</v>
      </c>
      <c r="E127" s="132">
        <v>0</v>
      </c>
      <c r="F127" s="132">
        <v>0</v>
      </c>
      <c r="G127" s="132">
        <v>0</v>
      </c>
      <c r="H127" s="132">
        <v>0</v>
      </c>
      <c r="I127" s="155"/>
      <c r="J127" s="155"/>
      <c r="K127" s="155"/>
      <c r="L127" s="155"/>
      <c r="M127" s="155">
        <v>0</v>
      </c>
      <c r="N127" s="155"/>
      <c r="O127" s="155"/>
      <c r="P127" s="18">
        <f>SUM(D127:O127)</f>
        <v>0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155"/>
      <c r="J128" s="155"/>
      <c r="K128" s="155"/>
      <c r="L128" s="155"/>
      <c r="M128" s="155">
        <v>0</v>
      </c>
      <c r="N128" s="155"/>
      <c r="O128" s="155"/>
      <c r="P128" s="18">
        <f>SUM(D128:O128)</f>
        <v>0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0</v>
      </c>
      <c r="E129" s="132">
        <f t="shared" ref="E129:H129" si="121">E125+E126-E127-E128</f>
        <v>0</v>
      </c>
      <c r="F129" s="132">
        <f t="shared" si="121"/>
        <v>0</v>
      </c>
      <c r="G129" s="132">
        <f t="shared" si="121"/>
        <v>0</v>
      </c>
      <c r="H129" s="132">
        <f t="shared" si="121"/>
        <v>0</v>
      </c>
      <c r="I129" s="157">
        <f t="shared" ref="I129" si="122">I125+I126-I127-I128</f>
        <v>0</v>
      </c>
      <c r="J129" s="157">
        <f t="shared" ref="J129:K129" si="123">J125+J126-J127-J128</f>
        <v>0</v>
      </c>
      <c r="K129" s="157">
        <f t="shared" si="123"/>
        <v>0</v>
      </c>
      <c r="L129" s="157">
        <f t="shared" ref="L129" si="124">L125+L126-L127-L128</f>
        <v>0</v>
      </c>
      <c r="M129" s="157">
        <v>0</v>
      </c>
      <c r="N129" s="157">
        <f t="shared" ref="N129" si="125">N125+N126-N127-N128</f>
        <v>0</v>
      </c>
      <c r="O129" s="157">
        <v>0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2</v>
      </c>
      <c r="E130" s="132">
        <f>D134</f>
        <v>2</v>
      </c>
      <c r="F130" s="132">
        <f t="shared" ref="F130:H130" si="126">E134</f>
        <v>0</v>
      </c>
      <c r="G130" s="132">
        <f t="shared" si="126"/>
        <v>0</v>
      </c>
      <c r="H130" s="132">
        <f t="shared" si="126"/>
        <v>0</v>
      </c>
      <c r="I130" s="157"/>
      <c r="J130" s="157"/>
      <c r="K130" s="157"/>
      <c r="L130" s="157"/>
      <c r="M130" s="157">
        <v>0</v>
      </c>
      <c r="N130" s="157"/>
      <c r="O130" s="157"/>
      <c r="P130" s="25">
        <f>D130</f>
        <v>2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2</v>
      </c>
      <c r="H131" s="132">
        <v>0</v>
      </c>
      <c r="I131" s="155"/>
      <c r="J131" s="155"/>
      <c r="K131" s="155"/>
      <c r="L131" s="155"/>
      <c r="M131" s="155">
        <v>0</v>
      </c>
      <c r="N131" s="155"/>
      <c r="O131" s="155"/>
      <c r="P131" s="18">
        <f>SUM(D131:O131)</f>
        <v>2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1</v>
      </c>
      <c r="F132" s="132">
        <v>0</v>
      </c>
      <c r="G132" s="132">
        <v>2</v>
      </c>
      <c r="H132" s="132">
        <v>0</v>
      </c>
      <c r="I132" s="155"/>
      <c r="J132" s="155"/>
      <c r="K132" s="155"/>
      <c r="L132" s="155"/>
      <c r="M132" s="155">
        <v>0</v>
      </c>
      <c r="N132" s="155"/>
      <c r="O132" s="155"/>
      <c r="P132" s="18">
        <f>SUM(D132:O132)</f>
        <v>3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1</v>
      </c>
      <c r="F133" s="132">
        <v>0</v>
      </c>
      <c r="G133" s="132">
        <v>0</v>
      </c>
      <c r="H133" s="132">
        <v>0</v>
      </c>
      <c r="I133" s="155"/>
      <c r="J133" s="155"/>
      <c r="K133" s="155"/>
      <c r="L133" s="155"/>
      <c r="M133" s="155">
        <v>0</v>
      </c>
      <c r="N133" s="155"/>
      <c r="O133" s="155"/>
      <c r="P133" s="18">
        <f>SUM(D133:O133)</f>
        <v>1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2</v>
      </c>
      <c r="E134" s="132">
        <f t="shared" ref="E134:H134" si="127">E130+E131-E132-E133</f>
        <v>0</v>
      </c>
      <c r="F134" s="132">
        <f t="shared" si="127"/>
        <v>0</v>
      </c>
      <c r="G134" s="132">
        <f t="shared" si="127"/>
        <v>0</v>
      </c>
      <c r="H134" s="132">
        <f t="shared" si="127"/>
        <v>0</v>
      </c>
      <c r="I134" s="157">
        <f t="shared" ref="I134" si="128">I130+I131-I132-I133</f>
        <v>0</v>
      </c>
      <c r="J134" s="157">
        <f t="shared" ref="J134:K134" si="129">J130+J131-J132-J133</f>
        <v>0</v>
      </c>
      <c r="K134" s="157">
        <f t="shared" si="129"/>
        <v>0</v>
      </c>
      <c r="L134" s="157">
        <f t="shared" ref="L134" si="130">L130+L131-L132-L133</f>
        <v>0</v>
      </c>
      <c r="M134" s="157">
        <v>0</v>
      </c>
      <c r="N134" s="157">
        <f t="shared" ref="N134" si="131">N130+N131-N132-N133</f>
        <v>0</v>
      </c>
      <c r="O134" s="157">
        <v>0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f>D139</f>
        <v>0</v>
      </c>
      <c r="F135" s="132">
        <f t="shared" ref="F135:H135" si="132">E139</f>
        <v>0</v>
      </c>
      <c r="G135" s="132">
        <f t="shared" si="132"/>
        <v>0</v>
      </c>
      <c r="H135" s="132">
        <f t="shared" si="132"/>
        <v>0</v>
      </c>
      <c r="I135" s="157"/>
      <c r="J135" s="157"/>
      <c r="K135" s="157"/>
      <c r="L135" s="157"/>
      <c r="M135" s="157">
        <v>0</v>
      </c>
      <c r="N135" s="157"/>
      <c r="O135" s="157"/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55"/>
      <c r="J136" s="155"/>
      <c r="K136" s="155"/>
      <c r="L136" s="155"/>
      <c r="M136" s="155">
        <v>0</v>
      </c>
      <c r="N136" s="155"/>
      <c r="O136" s="155"/>
      <c r="P136" s="18">
        <f>SUM(D136:O136)</f>
        <v>0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155"/>
      <c r="J137" s="155"/>
      <c r="K137" s="155"/>
      <c r="L137" s="155"/>
      <c r="M137" s="155">
        <v>0</v>
      </c>
      <c r="N137" s="155"/>
      <c r="O137" s="155"/>
      <c r="P137" s="18">
        <f>SUM(D137:O137)</f>
        <v>0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155"/>
      <c r="J138" s="155"/>
      <c r="K138" s="155"/>
      <c r="L138" s="155"/>
      <c r="M138" s="155">
        <v>0</v>
      </c>
      <c r="N138" s="155"/>
      <c r="O138" s="155"/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H139" si="133">E135+E136-E137-E138</f>
        <v>0</v>
      </c>
      <c r="F139" s="132">
        <f t="shared" si="133"/>
        <v>0</v>
      </c>
      <c r="G139" s="132">
        <f t="shared" si="133"/>
        <v>0</v>
      </c>
      <c r="H139" s="132">
        <f t="shared" si="133"/>
        <v>0</v>
      </c>
      <c r="I139" s="157">
        <f t="shared" ref="I139" si="134">I135+I136-I137-I138</f>
        <v>0</v>
      </c>
      <c r="J139" s="157">
        <f t="shared" ref="J139:K139" si="135">J135+J136-J137-J138</f>
        <v>0</v>
      </c>
      <c r="K139" s="157">
        <f t="shared" si="135"/>
        <v>0</v>
      </c>
      <c r="L139" s="157">
        <f t="shared" ref="L139" si="136">L135+L136-L137-L138</f>
        <v>0</v>
      </c>
      <c r="M139" s="157">
        <v>0</v>
      </c>
      <c r="N139" s="157">
        <f t="shared" ref="N139" si="137">N135+N136-N137-N138</f>
        <v>0</v>
      </c>
      <c r="O139" s="157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36</v>
      </c>
      <c r="E140" s="132">
        <f>D144</f>
        <v>34</v>
      </c>
      <c r="F140" s="132">
        <f t="shared" ref="F140:K140" si="138">E144</f>
        <v>62</v>
      </c>
      <c r="G140" s="132">
        <f t="shared" si="138"/>
        <v>47</v>
      </c>
      <c r="H140" s="132">
        <f t="shared" si="138"/>
        <v>55</v>
      </c>
      <c r="I140" s="132">
        <f t="shared" si="138"/>
        <v>59</v>
      </c>
      <c r="J140" s="132">
        <f t="shared" si="138"/>
        <v>52</v>
      </c>
      <c r="K140" s="132">
        <f t="shared" si="138"/>
        <v>26</v>
      </c>
      <c r="L140" s="157">
        <v>21</v>
      </c>
      <c r="M140" s="157">
        <v>30</v>
      </c>
      <c r="N140" s="157">
        <v>4</v>
      </c>
      <c r="O140" s="157">
        <v>6</v>
      </c>
      <c r="P140" s="25">
        <f>D140</f>
        <v>36</v>
      </c>
    </row>
    <row r="141" spans="1:16" ht="15.6" x14ac:dyDescent="0.3">
      <c r="A141" s="674"/>
      <c r="B141" s="24" t="s">
        <v>84</v>
      </c>
      <c r="C141" s="11" t="s">
        <v>3</v>
      </c>
      <c r="D141" s="132">
        <v>14</v>
      </c>
      <c r="E141" s="132">
        <v>32</v>
      </c>
      <c r="F141" s="132">
        <v>8</v>
      </c>
      <c r="G141" s="132">
        <v>17</v>
      </c>
      <c r="H141" s="132">
        <v>11</v>
      </c>
      <c r="I141" s="132">
        <v>30</v>
      </c>
      <c r="J141" s="132">
        <v>6</v>
      </c>
      <c r="K141" s="132">
        <v>5</v>
      </c>
      <c r="L141" s="155">
        <v>18</v>
      </c>
      <c r="M141" s="155">
        <v>4</v>
      </c>
      <c r="N141" s="155">
        <v>22</v>
      </c>
      <c r="O141" s="155">
        <v>9</v>
      </c>
      <c r="P141" s="18">
        <f>SUM(D141:O141)</f>
        <v>176</v>
      </c>
    </row>
    <row r="142" spans="1:16" ht="15.6" x14ac:dyDescent="0.3">
      <c r="A142" s="674"/>
      <c r="B142" s="24" t="s">
        <v>83</v>
      </c>
      <c r="C142" s="11" t="s">
        <v>3</v>
      </c>
      <c r="D142" s="132">
        <v>16</v>
      </c>
      <c r="E142" s="132">
        <v>4</v>
      </c>
      <c r="F142" s="132">
        <v>20</v>
      </c>
      <c r="G142" s="132">
        <v>7</v>
      </c>
      <c r="H142" s="132">
        <v>7</v>
      </c>
      <c r="I142" s="132">
        <v>14</v>
      </c>
      <c r="J142" s="132">
        <v>20</v>
      </c>
      <c r="K142" s="132">
        <v>10</v>
      </c>
      <c r="L142" s="155">
        <v>9</v>
      </c>
      <c r="M142" s="155">
        <v>0</v>
      </c>
      <c r="N142" s="155">
        <v>3</v>
      </c>
      <c r="O142" s="155">
        <v>0</v>
      </c>
      <c r="P142" s="18">
        <f>SUM(D142:O142)</f>
        <v>110</v>
      </c>
    </row>
    <row r="143" spans="1:16" ht="15.6" x14ac:dyDescent="0.3">
      <c r="A143" s="674"/>
      <c r="B143" s="24" t="s">
        <v>82</v>
      </c>
      <c r="C143" s="11" t="s">
        <v>3</v>
      </c>
      <c r="D143" s="132">
        <v>0</v>
      </c>
      <c r="E143" s="132">
        <v>0</v>
      </c>
      <c r="F143" s="132">
        <v>3</v>
      </c>
      <c r="G143" s="132">
        <v>2</v>
      </c>
      <c r="H143" s="132">
        <v>0</v>
      </c>
      <c r="I143" s="132">
        <v>23</v>
      </c>
      <c r="J143" s="132">
        <v>12</v>
      </c>
      <c r="K143" s="132">
        <v>0</v>
      </c>
      <c r="L143" s="155">
        <v>0</v>
      </c>
      <c r="M143" s="155">
        <v>30</v>
      </c>
      <c r="N143" s="155">
        <v>17</v>
      </c>
      <c r="O143" s="155">
        <v>5</v>
      </c>
      <c r="P143" s="18">
        <f>SUM(D143:O143)</f>
        <v>92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34</v>
      </c>
      <c r="E144" s="132">
        <f t="shared" ref="E144:I144" si="139">E140+E141-E142-E143</f>
        <v>62</v>
      </c>
      <c r="F144" s="132">
        <f t="shared" si="139"/>
        <v>47</v>
      </c>
      <c r="G144" s="132">
        <f t="shared" si="139"/>
        <v>55</v>
      </c>
      <c r="H144" s="132">
        <f t="shared" si="139"/>
        <v>59</v>
      </c>
      <c r="I144" s="132">
        <f t="shared" si="139"/>
        <v>52</v>
      </c>
      <c r="J144" s="157">
        <f t="shared" ref="J144:K144" si="140">J140+J141-J142-J143</f>
        <v>26</v>
      </c>
      <c r="K144" s="132">
        <f t="shared" si="140"/>
        <v>21</v>
      </c>
      <c r="L144" s="157">
        <v>30</v>
      </c>
      <c r="M144" s="157">
        <v>4</v>
      </c>
      <c r="N144" s="157">
        <v>6</v>
      </c>
      <c r="O144" s="157">
        <v>10</v>
      </c>
      <c r="P144" s="25">
        <f>P140+P141-P142-P143</f>
        <v>10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23">
        <f t="shared" ref="D145:I145" si="141">D125+D130+D135+D140</f>
        <v>38</v>
      </c>
      <c r="E145" s="23">
        <f t="shared" si="141"/>
        <v>36</v>
      </c>
      <c r="F145" s="23">
        <f t="shared" si="141"/>
        <v>62</v>
      </c>
      <c r="G145" s="23">
        <f t="shared" si="141"/>
        <v>47</v>
      </c>
      <c r="H145" s="23">
        <f t="shared" si="141"/>
        <v>55</v>
      </c>
      <c r="I145" s="23">
        <f t="shared" si="141"/>
        <v>59</v>
      </c>
      <c r="J145" s="23">
        <f t="shared" ref="J145:K145" si="142">J125+J130+J135+J140</f>
        <v>52</v>
      </c>
      <c r="K145" s="23">
        <f t="shared" si="142"/>
        <v>26</v>
      </c>
      <c r="L145" s="23">
        <f t="shared" ref="L145:M145" si="143">L125+L130+L135+L140</f>
        <v>21</v>
      </c>
      <c r="M145" s="23">
        <f t="shared" si="143"/>
        <v>30</v>
      </c>
      <c r="N145" s="23">
        <f t="shared" ref="N145" si="144">N125+N130+N135+N140</f>
        <v>4</v>
      </c>
      <c r="O145" s="23">
        <v>6</v>
      </c>
      <c r="P145" s="109">
        <f t="shared" ref="P145:P149" si="145">P125+P130+P135+P140</f>
        <v>38</v>
      </c>
    </row>
    <row r="146" spans="1:16" ht="15.6" x14ac:dyDescent="0.3">
      <c r="A146" s="674"/>
      <c r="B146" s="24" t="s">
        <v>84</v>
      </c>
      <c r="C146" s="11" t="s">
        <v>3</v>
      </c>
      <c r="D146" s="23">
        <f t="shared" ref="D146:E148" si="146">D126+D131+D136+D141</f>
        <v>14</v>
      </c>
      <c r="E146" s="23">
        <f t="shared" si="146"/>
        <v>32</v>
      </c>
      <c r="F146" s="23">
        <f t="shared" ref="F146:G146" si="147">F126+F131+F136+F141</f>
        <v>8</v>
      </c>
      <c r="G146" s="23">
        <f t="shared" si="147"/>
        <v>19</v>
      </c>
      <c r="H146" s="23">
        <f t="shared" ref="H146:I146" si="148">H126+H131+H136+H141</f>
        <v>11</v>
      </c>
      <c r="I146" s="23">
        <f t="shared" si="148"/>
        <v>30</v>
      </c>
      <c r="J146" s="23">
        <f t="shared" ref="J146:K146" si="149">J126+J131+J136+J141</f>
        <v>6</v>
      </c>
      <c r="K146" s="23">
        <f t="shared" si="149"/>
        <v>5</v>
      </c>
      <c r="L146" s="23">
        <f t="shared" ref="L146:M146" si="150">L126+L131+L136+L141</f>
        <v>18</v>
      </c>
      <c r="M146" s="23">
        <f t="shared" si="150"/>
        <v>4</v>
      </c>
      <c r="N146" s="23">
        <f t="shared" ref="N146" si="151">N126+N131+N136+N141</f>
        <v>22</v>
      </c>
      <c r="O146" s="23">
        <v>9</v>
      </c>
      <c r="P146" s="109">
        <f t="shared" si="145"/>
        <v>178</v>
      </c>
    </row>
    <row r="147" spans="1:16" ht="15.6" x14ac:dyDescent="0.3">
      <c r="A147" s="674"/>
      <c r="B147" s="24" t="s">
        <v>83</v>
      </c>
      <c r="C147" s="11" t="s">
        <v>3</v>
      </c>
      <c r="D147" s="23">
        <f t="shared" si="146"/>
        <v>16</v>
      </c>
      <c r="E147" s="23">
        <f t="shared" si="146"/>
        <v>5</v>
      </c>
      <c r="F147" s="23">
        <f t="shared" ref="F147:G147" si="152">F127+F132+F137+F142</f>
        <v>20</v>
      </c>
      <c r="G147" s="23">
        <f t="shared" si="152"/>
        <v>9</v>
      </c>
      <c r="H147" s="23">
        <f t="shared" ref="H147:I147" si="153">H127+H132+H137+H142</f>
        <v>7</v>
      </c>
      <c r="I147" s="23">
        <f t="shared" si="153"/>
        <v>14</v>
      </c>
      <c r="J147" s="23">
        <f t="shared" ref="J147:K147" si="154">J127+J132+J137+J142</f>
        <v>20</v>
      </c>
      <c r="K147" s="23">
        <f t="shared" si="154"/>
        <v>10</v>
      </c>
      <c r="L147" s="23">
        <f t="shared" ref="L147:M147" si="155">L127+L132+L137+L142</f>
        <v>9</v>
      </c>
      <c r="M147" s="23">
        <f t="shared" si="155"/>
        <v>0</v>
      </c>
      <c r="N147" s="23">
        <f t="shared" ref="N147" si="156">N127+N132+N137+N142</f>
        <v>3</v>
      </c>
      <c r="O147" s="23">
        <v>0</v>
      </c>
      <c r="P147" s="109">
        <f t="shared" si="145"/>
        <v>113</v>
      </c>
    </row>
    <row r="148" spans="1:16" ht="15.6" x14ac:dyDescent="0.3">
      <c r="A148" s="674"/>
      <c r="B148" s="24" t="s">
        <v>82</v>
      </c>
      <c r="C148" s="11" t="s">
        <v>3</v>
      </c>
      <c r="D148" s="23">
        <f t="shared" si="146"/>
        <v>0</v>
      </c>
      <c r="E148" s="23">
        <f t="shared" si="146"/>
        <v>1</v>
      </c>
      <c r="F148" s="23">
        <f t="shared" ref="F148:G148" si="157">F128+F133+F138+F143</f>
        <v>3</v>
      </c>
      <c r="G148" s="23">
        <f t="shared" si="157"/>
        <v>2</v>
      </c>
      <c r="H148" s="23">
        <f t="shared" ref="H148:I148" si="158">H128+H133+H138+H143</f>
        <v>0</v>
      </c>
      <c r="I148" s="23">
        <f t="shared" si="158"/>
        <v>23</v>
      </c>
      <c r="J148" s="23">
        <f t="shared" ref="J148:K148" si="159">J128+J133+J138+J143</f>
        <v>12</v>
      </c>
      <c r="K148" s="23">
        <f t="shared" si="159"/>
        <v>0</v>
      </c>
      <c r="L148" s="23">
        <f t="shared" ref="L148:M148" si="160">L128+L133+L138+L143</f>
        <v>0</v>
      </c>
      <c r="M148" s="23">
        <f t="shared" si="160"/>
        <v>30</v>
      </c>
      <c r="N148" s="23">
        <f t="shared" ref="N148" si="161">N128+N133+N138+N143</f>
        <v>17</v>
      </c>
      <c r="O148" s="23">
        <v>5</v>
      </c>
      <c r="P148" s="109">
        <f t="shared" si="145"/>
        <v>93</v>
      </c>
    </row>
    <row r="149" spans="1:16" ht="15.6" x14ac:dyDescent="0.3">
      <c r="A149" s="675"/>
      <c r="B149" s="24" t="s">
        <v>81</v>
      </c>
      <c r="C149" s="11" t="s">
        <v>3</v>
      </c>
      <c r="D149" s="157">
        <f t="shared" ref="D149:I149" si="162">D145+D146-D147-D148</f>
        <v>36</v>
      </c>
      <c r="E149" s="157">
        <f t="shared" si="162"/>
        <v>62</v>
      </c>
      <c r="F149" s="157">
        <f t="shared" si="162"/>
        <v>47</v>
      </c>
      <c r="G149" s="157">
        <f t="shared" si="162"/>
        <v>55</v>
      </c>
      <c r="H149" s="157">
        <f t="shared" si="162"/>
        <v>59</v>
      </c>
      <c r="I149" s="157">
        <f t="shared" si="162"/>
        <v>52</v>
      </c>
      <c r="J149" s="157">
        <f t="shared" ref="J149:K149" si="163">J145+J146-J147-J148</f>
        <v>26</v>
      </c>
      <c r="K149" s="157">
        <f t="shared" si="163"/>
        <v>21</v>
      </c>
      <c r="L149" s="157">
        <f t="shared" ref="L149:M149" si="164">L145+L146-L147-L148</f>
        <v>30</v>
      </c>
      <c r="M149" s="157">
        <f t="shared" si="164"/>
        <v>4</v>
      </c>
      <c r="N149" s="157">
        <f t="shared" ref="N149" si="165">N145+N146-N147-N148</f>
        <v>6</v>
      </c>
      <c r="O149" s="157">
        <v>10</v>
      </c>
      <c r="P149" s="109">
        <f t="shared" si="145"/>
        <v>10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4">
        <v>55</v>
      </c>
      <c r="E153" s="4">
        <v>45</v>
      </c>
      <c r="F153" s="4">
        <v>50</v>
      </c>
      <c r="G153" s="4">
        <v>40</v>
      </c>
      <c r="H153" s="4">
        <v>52</v>
      </c>
      <c r="I153" s="4">
        <v>35</v>
      </c>
      <c r="J153" s="4">
        <v>30</v>
      </c>
      <c r="K153" s="4">
        <v>50</v>
      </c>
      <c r="L153" s="155">
        <v>45</v>
      </c>
      <c r="M153" s="155">
        <v>55</v>
      </c>
      <c r="N153" s="155">
        <v>35</v>
      </c>
      <c r="O153" s="155">
        <v>40</v>
      </c>
      <c r="P153" s="18">
        <f t="shared" ref="P153:P165" si="166">SUM(D153:O153)</f>
        <v>532</v>
      </c>
    </row>
    <row r="154" spans="1:16" ht="15.6" x14ac:dyDescent="0.3">
      <c r="A154" s="671"/>
      <c r="B154" s="19" t="s">
        <v>72</v>
      </c>
      <c r="C154" s="11" t="s">
        <v>57</v>
      </c>
      <c r="D154" s="4">
        <v>35</v>
      </c>
      <c r="E154" s="4">
        <v>30</v>
      </c>
      <c r="F154" s="4">
        <v>26</v>
      </c>
      <c r="G154" s="4">
        <v>25</v>
      </c>
      <c r="H154" s="4">
        <v>20</v>
      </c>
      <c r="I154" s="4">
        <v>24</v>
      </c>
      <c r="J154" s="4">
        <v>20</v>
      </c>
      <c r="K154" s="4">
        <v>25</v>
      </c>
      <c r="L154" s="155">
        <v>25</v>
      </c>
      <c r="M154" s="155">
        <v>30</v>
      </c>
      <c r="N154" s="155">
        <v>25</v>
      </c>
      <c r="O154" s="155">
        <v>24</v>
      </c>
      <c r="P154" s="18">
        <f t="shared" si="166"/>
        <v>309</v>
      </c>
    </row>
    <row r="155" spans="1:16" ht="15.6" x14ac:dyDescent="0.3">
      <c r="A155" s="671"/>
      <c r="B155" s="19" t="s">
        <v>53</v>
      </c>
      <c r="C155" s="11" t="s">
        <v>57</v>
      </c>
      <c r="D155" s="4">
        <v>28</v>
      </c>
      <c r="E155" s="4">
        <v>20</v>
      </c>
      <c r="F155" s="4">
        <v>20</v>
      </c>
      <c r="G155" s="4">
        <v>18</v>
      </c>
      <c r="H155" s="4">
        <v>15</v>
      </c>
      <c r="I155" s="4">
        <v>15</v>
      </c>
      <c r="J155" s="4">
        <v>16</v>
      </c>
      <c r="K155" s="4">
        <v>20</v>
      </c>
      <c r="L155" s="155">
        <v>15</v>
      </c>
      <c r="M155" s="155">
        <v>15</v>
      </c>
      <c r="N155" s="155">
        <v>20</v>
      </c>
      <c r="O155" s="155">
        <v>21</v>
      </c>
      <c r="P155" s="18">
        <f t="shared" si="166"/>
        <v>223</v>
      </c>
    </row>
    <row r="156" spans="1:16" ht="15.6" x14ac:dyDescent="0.3">
      <c r="A156" s="671"/>
      <c r="B156" s="19" t="s">
        <v>71</v>
      </c>
      <c r="C156" s="11" t="s">
        <v>57</v>
      </c>
      <c r="D156" s="4">
        <v>2</v>
      </c>
      <c r="E156" s="4">
        <v>4</v>
      </c>
      <c r="F156" s="4">
        <v>1</v>
      </c>
      <c r="G156" s="4">
        <v>0</v>
      </c>
      <c r="H156" s="4">
        <v>2</v>
      </c>
      <c r="I156" s="4">
        <v>0</v>
      </c>
      <c r="J156" s="4">
        <v>2</v>
      </c>
      <c r="K156" s="4">
        <v>1</v>
      </c>
      <c r="L156" s="155">
        <v>2</v>
      </c>
      <c r="M156" s="155">
        <v>3</v>
      </c>
      <c r="N156" s="155">
        <v>0</v>
      </c>
      <c r="O156" s="155">
        <v>2</v>
      </c>
      <c r="P156" s="18">
        <f t="shared" si="166"/>
        <v>19</v>
      </c>
    </row>
    <row r="157" spans="1:16" ht="15.6" x14ac:dyDescent="0.3">
      <c r="A157" s="671"/>
      <c r="B157" s="19" t="s">
        <v>52</v>
      </c>
      <c r="C157" s="11" t="s">
        <v>57</v>
      </c>
      <c r="D157" s="4">
        <v>3</v>
      </c>
      <c r="E157" s="4">
        <v>2</v>
      </c>
      <c r="F157" s="4">
        <v>3</v>
      </c>
      <c r="G157" s="4">
        <v>3</v>
      </c>
      <c r="H157" s="4">
        <v>4</v>
      </c>
      <c r="I157" s="4">
        <v>3</v>
      </c>
      <c r="J157" s="4">
        <v>5</v>
      </c>
      <c r="K157" s="4">
        <v>4</v>
      </c>
      <c r="L157" s="155">
        <v>4</v>
      </c>
      <c r="M157" s="155">
        <v>5</v>
      </c>
      <c r="N157" s="155">
        <v>5</v>
      </c>
      <c r="O157" s="155">
        <v>7</v>
      </c>
      <c r="P157" s="18">
        <f t="shared" si="166"/>
        <v>48</v>
      </c>
    </row>
    <row r="158" spans="1:16" ht="15.6" x14ac:dyDescent="0.3">
      <c r="A158" s="671"/>
      <c r="B158" s="19" t="s">
        <v>51</v>
      </c>
      <c r="C158" s="11" t="s">
        <v>57</v>
      </c>
      <c r="D158" s="4">
        <v>2</v>
      </c>
      <c r="E158" s="4">
        <v>1</v>
      </c>
      <c r="F158" s="4">
        <v>2</v>
      </c>
      <c r="G158" s="4">
        <v>2</v>
      </c>
      <c r="H158" s="4">
        <v>1</v>
      </c>
      <c r="I158" s="4">
        <v>2</v>
      </c>
      <c r="J158" s="4">
        <v>0</v>
      </c>
      <c r="K158" s="4">
        <v>2</v>
      </c>
      <c r="L158" s="155">
        <v>1</v>
      </c>
      <c r="M158" s="155">
        <v>4</v>
      </c>
      <c r="N158" s="155">
        <v>3</v>
      </c>
      <c r="O158" s="155">
        <v>6</v>
      </c>
      <c r="P158" s="18">
        <f t="shared" si="166"/>
        <v>26</v>
      </c>
    </row>
    <row r="159" spans="1:16" ht="15.6" x14ac:dyDescent="0.3">
      <c r="A159" s="671"/>
      <c r="B159" s="19" t="s">
        <v>62</v>
      </c>
      <c r="C159" s="11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0</v>
      </c>
      <c r="J159" s="4">
        <v>0</v>
      </c>
      <c r="K159" s="4">
        <v>0</v>
      </c>
      <c r="L159" s="155">
        <v>0</v>
      </c>
      <c r="M159" s="155">
        <v>1</v>
      </c>
      <c r="N159" s="155">
        <v>0</v>
      </c>
      <c r="O159" s="155">
        <v>1</v>
      </c>
      <c r="P159" s="18">
        <f t="shared" si="166"/>
        <v>3</v>
      </c>
    </row>
    <row r="160" spans="1:16" ht="15.6" x14ac:dyDescent="0.3">
      <c r="A160" s="671"/>
      <c r="B160" s="19" t="s">
        <v>50</v>
      </c>
      <c r="C160" s="11" t="s">
        <v>57</v>
      </c>
      <c r="D160" s="4">
        <v>3</v>
      </c>
      <c r="E160" s="4">
        <v>2</v>
      </c>
      <c r="F160" s="4">
        <v>1</v>
      </c>
      <c r="G160" s="4">
        <v>3</v>
      </c>
      <c r="H160" s="4">
        <v>2</v>
      </c>
      <c r="I160" s="4">
        <v>1</v>
      </c>
      <c r="J160" s="4">
        <v>0</v>
      </c>
      <c r="K160" s="4">
        <v>1</v>
      </c>
      <c r="L160" s="155">
        <v>3</v>
      </c>
      <c r="M160" s="155">
        <v>2</v>
      </c>
      <c r="N160" s="155">
        <v>2</v>
      </c>
      <c r="O160" s="155">
        <v>2</v>
      </c>
      <c r="P160" s="18">
        <f t="shared" si="166"/>
        <v>22</v>
      </c>
    </row>
    <row r="161" spans="1:16" ht="15.6" x14ac:dyDescent="0.3">
      <c r="A161" s="671"/>
      <c r="B161" s="19" t="s">
        <v>49</v>
      </c>
      <c r="C161" s="11" t="s">
        <v>57</v>
      </c>
      <c r="D161" s="4">
        <v>2</v>
      </c>
      <c r="E161" s="4">
        <v>2</v>
      </c>
      <c r="F161" s="4">
        <v>5</v>
      </c>
      <c r="G161" s="4">
        <v>4</v>
      </c>
      <c r="H161" s="4">
        <v>2</v>
      </c>
      <c r="I161" s="4">
        <v>1</v>
      </c>
      <c r="J161" s="4">
        <v>3</v>
      </c>
      <c r="K161" s="4">
        <v>3</v>
      </c>
      <c r="L161" s="155">
        <v>3</v>
      </c>
      <c r="M161" s="155">
        <v>3</v>
      </c>
      <c r="N161" s="155">
        <v>3</v>
      </c>
      <c r="O161" s="155">
        <v>2</v>
      </c>
      <c r="P161" s="18">
        <f t="shared" si="166"/>
        <v>33</v>
      </c>
    </row>
    <row r="162" spans="1:16" ht="15.6" x14ac:dyDescent="0.3">
      <c r="A162" s="671"/>
      <c r="B162" s="19" t="s">
        <v>77</v>
      </c>
      <c r="C162" s="11" t="s">
        <v>57</v>
      </c>
      <c r="D162" s="4">
        <v>2</v>
      </c>
      <c r="E162" s="4">
        <v>4</v>
      </c>
      <c r="F162" s="4">
        <v>2</v>
      </c>
      <c r="G162" s="4"/>
      <c r="H162" s="4">
        <v>2</v>
      </c>
      <c r="I162" s="4">
        <v>3</v>
      </c>
      <c r="J162" s="4">
        <v>2</v>
      </c>
      <c r="K162" s="4">
        <v>2</v>
      </c>
      <c r="L162" s="155">
        <v>3</v>
      </c>
      <c r="M162" s="155">
        <v>4</v>
      </c>
      <c r="N162" s="155">
        <v>3</v>
      </c>
      <c r="O162" s="155">
        <v>3</v>
      </c>
      <c r="P162" s="18">
        <f t="shared" si="166"/>
        <v>30</v>
      </c>
    </row>
    <row r="163" spans="1:16" ht="15.6" x14ac:dyDescent="0.3">
      <c r="A163" s="671"/>
      <c r="B163" s="19" t="s">
        <v>69</v>
      </c>
      <c r="C163" s="11" t="s">
        <v>57</v>
      </c>
      <c r="D163" s="4"/>
      <c r="E163" s="4"/>
      <c r="F163" s="4"/>
      <c r="G163" s="4"/>
      <c r="H163" s="4"/>
      <c r="I163" s="155"/>
      <c r="J163" s="155"/>
      <c r="K163" s="155"/>
      <c r="L163" s="155"/>
      <c r="M163" s="155">
        <v>2</v>
      </c>
      <c r="N163" s="155">
        <v>0</v>
      </c>
      <c r="O163" s="155"/>
      <c r="P163" s="18">
        <f t="shared" si="166"/>
        <v>2</v>
      </c>
    </row>
    <row r="164" spans="1:16" ht="15.6" x14ac:dyDescent="0.3">
      <c r="A164" s="671"/>
      <c r="B164" s="19" t="s">
        <v>68</v>
      </c>
      <c r="C164" s="11" t="s">
        <v>57</v>
      </c>
      <c r="D164" s="4"/>
      <c r="E164" s="4"/>
      <c r="F164" s="4"/>
      <c r="G164" s="4"/>
      <c r="H164" s="4"/>
      <c r="I164" s="155"/>
      <c r="J164" s="155"/>
      <c r="K164" s="155"/>
      <c r="L164" s="155"/>
      <c r="M164" s="155"/>
      <c r="N164" s="155"/>
      <c r="O164" s="155"/>
      <c r="P164" s="18">
        <f t="shared" si="166"/>
        <v>0</v>
      </c>
    </row>
    <row r="165" spans="1:16" ht="15.6" x14ac:dyDescent="0.3">
      <c r="A165" s="672"/>
      <c r="B165" s="19" t="s">
        <v>76</v>
      </c>
      <c r="C165" s="11" t="s">
        <v>57</v>
      </c>
      <c r="D165" s="4"/>
      <c r="E165" s="4"/>
      <c r="F165" s="4"/>
      <c r="G165" s="4"/>
      <c r="H165" s="4"/>
      <c r="I165" s="155"/>
      <c r="J165" s="155"/>
      <c r="K165" s="155"/>
      <c r="L165" s="155"/>
      <c r="M165" s="155"/>
      <c r="N165" s="155"/>
      <c r="O165" s="155"/>
      <c r="P165" s="18">
        <f t="shared" si="166"/>
        <v>0</v>
      </c>
    </row>
    <row r="166" spans="1:16" ht="15.6" x14ac:dyDescent="0.3">
      <c r="A166" s="670" t="s">
        <v>75</v>
      </c>
      <c r="B166" s="21" t="s">
        <v>63</v>
      </c>
      <c r="C166" s="11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8"/>
    </row>
    <row r="167" spans="1:16" ht="15.6" x14ac:dyDescent="0.3">
      <c r="A167" s="671"/>
      <c r="B167" s="19" t="s">
        <v>74</v>
      </c>
      <c r="C167" s="11" t="s">
        <v>57</v>
      </c>
      <c r="D167" s="4">
        <v>2</v>
      </c>
      <c r="E167" s="4">
        <v>3</v>
      </c>
      <c r="F167" s="4">
        <v>3</v>
      </c>
      <c r="G167" s="4">
        <v>2</v>
      </c>
      <c r="H167" s="4">
        <v>5</v>
      </c>
      <c r="I167" s="4">
        <v>2</v>
      </c>
      <c r="J167" s="155"/>
      <c r="K167" s="4">
        <v>5</v>
      </c>
      <c r="L167" s="155">
        <v>2</v>
      </c>
      <c r="M167" s="155">
        <v>2</v>
      </c>
      <c r="N167" s="155">
        <v>5</v>
      </c>
      <c r="O167" s="155">
        <v>6</v>
      </c>
      <c r="P167" s="18">
        <f t="shared" ref="P167:P175" si="167">SUM(D167:O167)</f>
        <v>37</v>
      </c>
    </row>
    <row r="168" spans="1:16" ht="15.6" x14ac:dyDescent="0.3">
      <c r="A168" s="671"/>
      <c r="B168" s="19" t="s">
        <v>73</v>
      </c>
      <c r="C168" s="11" t="s">
        <v>57</v>
      </c>
      <c r="D168" s="4">
        <v>2</v>
      </c>
      <c r="E168" s="4">
        <v>1</v>
      </c>
      <c r="F168" s="4">
        <v>0</v>
      </c>
      <c r="G168" s="4"/>
      <c r="H168" s="4">
        <v>2</v>
      </c>
      <c r="I168" s="4">
        <v>1</v>
      </c>
      <c r="J168" s="155"/>
      <c r="K168" s="155"/>
      <c r="L168" s="155">
        <v>2</v>
      </c>
      <c r="M168" s="155"/>
      <c r="N168" s="155">
        <v>3</v>
      </c>
      <c r="O168" s="155"/>
      <c r="P168" s="18">
        <f t="shared" si="167"/>
        <v>11</v>
      </c>
    </row>
    <row r="169" spans="1:16" ht="15.6" x14ac:dyDescent="0.3">
      <c r="A169" s="671"/>
      <c r="B169" s="19" t="s">
        <v>72</v>
      </c>
      <c r="C169" s="11" t="s">
        <v>57</v>
      </c>
      <c r="D169" s="4"/>
      <c r="E169" s="4"/>
      <c r="F169" s="4"/>
      <c r="G169" s="4"/>
      <c r="H169" s="4"/>
      <c r="I169" s="155"/>
      <c r="J169" s="155"/>
      <c r="K169" s="155"/>
      <c r="L169" s="155">
        <v>0</v>
      </c>
      <c r="M169" s="155"/>
      <c r="N169" s="155">
        <v>0</v>
      </c>
      <c r="O169" s="155"/>
      <c r="P169" s="18">
        <f t="shared" si="167"/>
        <v>0</v>
      </c>
    </row>
    <row r="170" spans="1:16" ht="15.6" x14ac:dyDescent="0.3">
      <c r="A170" s="671"/>
      <c r="B170" s="19" t="s">
        <v>71</v>
      </c>
      <c r="C170" s="11" t="s">
        <v>57</v>
      </c>
      <c r="D170" s="4"/>
      <c r="E170" s="4"/>
      <c r="F170" s="4"/>
      <c r="G170" s="4"/>
      <c r="H170" s="4"/>
      <c r="I170" s="155"/>
      <c r="J170" s="4">
        <v>2</v>
      </c>
      <c r="K170" s="155"/>
      <c r="L170" s="155">
        <v>0</v>
      </c>
      <c r="M170" s="155"/>
      <c r="N170" s="155">
        <v>0</v>
      </c>
      <c r="O170" s="155"/>
      <c r="P170" s="18">
        <f t="shared" si="167"/>
        <v>2</v>
      </c>
    </row>
    <row r="171" spans="1:16" ht="15.6" x14ac:dyDescent="0.3">
      <c r="A171" s="671"/>
      <c r="B171" s="19" t="s">
        <v>52</v>
      </c>
      <c r="C171" s="11" t="s">
        <v>57</v>
      </c>
      <c r="D171" s="4"/>
      <c r="E171" s="4"/>
      <c r="F171" s="4"/>
      <c r="G171" s="4"/>
      <c r="H171" s="4">
        <v>1</v>
      </c>
      <c r="I171" s="155"/>
      <c r="J171" s="155"/>
      <c r="K171" s="155"/>
      <c r="L171" s="155">
        <v>0</v>
      </c>
      <c r="M171" s="155"/>
      <c r="N171" s="155">
        <v>1</v>
      </c>
      <c r="O171" s="155"/>
      <c r="P171" s="18">
        <f t="shared" si="167"/>
        <v>2</v>
      </c>
    </row>
    <row r="172" spans="1:16" ht="15.6" x14ac:dyDescent="0.3">
      <c r="A172" s="671"/>
      <c r="B172" s="19" t="s">
        <v>62</v>
      </c>
      <c r="C172" s="11" t="s">
        <v>57</v>
      </c>
      <c r="D172" s="4"/>
      <c r="E172" s="4"/>
      <c r="F172" s="4"/>
      <c r="G172" s="4"/>
      <c r="H172" s="4"/>
      <c r="I172" s="155"/>
      <c r="J172" s="155"/>
      <c r="K172" s="155"/>
      <c r="L172" s="155">
        <v>0</v>
      </c>
      <c r="M172" s="155"/>
      <c r="N172" s="155"/>
      <c r="O172" s="155"/>
      <c r="P172" s="18">
        <f t="shared" si="167"/>
        <v>0</v>
      </c>
    </row>
    <row r="173" spans="1:16" ht="15.6" x14ac:dyDescent="0.3">
      <c r="A173" s="671"/>
      <c r="B173" s="19" t="s">
        <v>61</v>
      </c>
      <c r="C173" s="11" t="s">
        <v>57</v>
      </c>
      <c r="D173" s="4"/>
      <c r="E173" s="4"/>
      <c r="F173" s="4"/>
      <c r="G173" s="4"/>
      <c r="H173" s="4"/>
      <c r="I173" s="155"/>
      <c r="J173" s="155"/>
      <c r="K173" s="155"/>
      <c r="L173" s="155">
        <v>0</v>
      </c>
      <c r="M173" s="155"/>
      <c r="N173" s="155"/>
      <c r="O173" s="155"/>
      <c r="P173" s="18">
        <f t="shared" si="167"/>
        <v>0</v>
      </c>
    </row>
    <row r="174" spans="1:16" ht="15.6" x14ac:dyDescent="0.3">
      <c r="A174" s="671"/>
      <c r="B174" s="19" t="s">
        <v>60</v>
      </c>
      <c r="C174" s="11" t="s">
        <v>57</v>
      </c>
      <c r="D174" s="4"/>
      <c r="E174" s="4"/>
      <c r="F174" s="4"/>
      <c r="G174" s="4"/>
      <c r="H174" s="4"/>
      <c r="I174" s="155"/>
      <c r="J174" s="155"/>
      <c r="K174" s="155"/>
      <c r="L174" s="155"/>
      <c r="M174" s="155"/>
      <c r="N174" s="155"/>
      <c r="O174" s="155"/>
      <c r="P174" s="18">
        <f t="shared" si="167"/>
        <v>0</v>
      </c>
    </row>
    <row r="175" spans="1:16" ht="15.6" x14ac:dyDescent="0.3">
      <c r="A175" s="672"/>
      <c r="B175" s="19" t="s">
        <v>69</v>
      </c>
      <c r="C175" s="11" t="s">
        <v>57</v>
      </c>
      <c r="D175" s="4"/>
      <c r="E175" s="4"/>
      <c r="F175" s="4"/>
      <c r="G175" s="4"/>
      <c r="H175" s="4"/>
      <c r="I175" s="155"/>
      <c r="J175" s="155"/>
      <c r="K175" s="155"/>
      <c r="L175" s="155"/>
      <c r="M175" s="155"/>
      <c r="N175" s="155"/>
      <c r="O175" s="155"/>
      <c r="P175" s="18">
        <f t="shared" si="167"/>
        <v>0</v>
      </c>
    </row>
    <row r="176" spans="1:16" ht="15.6" x14ac:dyDescent="0.3">
      <c r="A176" s="670" t="s">
        <v>70</v>
      </c>
      <c r="B176" s="21" t="s">
        <v>63</v>
      </c>
      <c r="C176" s="11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8"/>
    </row>
    <row r="177" spans="1:16" ht="15.6" x14ac:dyDescent="0.3">
      <c r="A177" s="671"/>
      <c r="B177" s="19" t="s">
        <v>60</v>
      </c>
      <c r="C177" s="11" t="s">
        <v>57</v>
      </c>
      <c r="D177" s="4"/>
      <c r="E177" s="4"/>
      <c r="F177" s="4"/>
      <c r="G177" s="4"/>
      <c r="H177" s="4"/>
      <c r="I177" s="155"/>
      <c r="J177" s="155"/>
      <c r="K177" s="155"/>
      <c r="L177" s="155"/>
      <c r="M177" s="155"/>
      <c r="N177" s="155"/>
      <c r="O177" s="155"/>
      <c r="P177" s="18">
        <f t="shared" ref="P177:P182" si="168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4"/>
      <c r="E178" s="4"/>
      <c r="F178" s="4"/>
      <c r="G178" s="4"/>
      <c r="H178" s="4"/>
      <c r="I178" s="155"/>
      <c r="J178" s="155"/>
      <c r="K178" s="155"/>
      <c r="L178" s="155"/>
      <c r="M178" s="155"/>
      <c r="N178" s="155"/>
      <c r="O178" s="155"/>
      <c r="P178" s="18">
        <f t="shared" si="168"/>
        <v>0</v>
      </c>
    </row>
    <row r="179" spans="1:16" ht="15.6" x14ac:dyDescent="0.3">
      <c r="A179" s="671"/>
      <c r="B179" s="19" t="s">
        <v>68</v>
      </c>
      <c r="C179" s="11" t="s">
        <v>57</v>
      </c>
      <c r="D179" s="4"/>
      <c r="E179" s="4"/>
      <c r="F179" s="4"/>
      <c r="G179" s="4"/>
      <c r="H179" s="4"/>
      <c r="I179" s="155"/>
      <c r="J179" s="155"/>
      <c r="K179" s="155"/>
      <c r="L179" s="155"/>
      <c r="M179" s="155"/>
      <c r="N179" s="155"/>
      <c r="O179" s="155"/>
      <c r="P179" s="18">
        <f t="shared" si="168"/>
        <v>0</v>
      </c>
    </row>
    <row r="180" spans="1:16" ht="15.6" x14ac:dyDescent="0.3">
      <c r="A180" s="671"/>
      <c r="B180" s="19" t="s">
        <v>67</v>
      </c>
      <c r="C180" s="11" t="s">
        <v>57</v>
      </c>
      <c r="D180" s="4"/>
      <c r="E180" s="4"/>
      <c r="F180" s="4"/>
      <c r="G180" s="4"/>
      <c r="H180" s="4"/>
      <c r="I180" s="155"/>
      <c r="J180" s="155"/>
      <c r="K180" s="155"/>
      <c r="L180" s="155"/>
      <c r="M180" s="155"/>
      <c r="N180" s="155"/>
      <c r="O180" s="155"/>
      <c r="P180" s="18">
        <f t="shared" si="168"/>
        <v>0</v>
      </c>
    </row>
    <row r="181" spans="1:16" ht="15.6" x14ac:dyDescent="0.3">
      <c r="A181" s="671"/>
      <c r="B181" s="19" t="s">
        <v>66</v>
      </c>
      <c r="C181" s="11" t="s">
        <v>57</v>
      </c>
      <c r="D181" s="4"/>
      <c r="E181" s="4"/>
      <c r="F181" s="4"/>
      <c r="G181" s="4"/>
      <c r="H181" s="4"/>
      <c r="I181" s="155"/>
      <c r="J181" s="155"/>
      <c r="K181" s="155"/>
      <c r="L181" s="155"/>
      <c r="M181" s="155"/>
      <c r="N181" s="155"/>
      <c r="O181" s="155"/>
      <c r="P181" s="18">
        <f t="shared" si="168"/>
        <v>0</v>
      </c>
    </row>
    <row r="182" spans="1:16" ht="15.6" x14ac:dyDescent="0.3">
      <c r="A182" s="672"/>
      <c r="B182" s="19" t="s">
        <v>65</v>
      </c>
      <c r="C182" s="11" t="s">
        <v>57</v>
      </c>
      <c r="D182" s="4"/>
      <c r="E182" s="4"/>
      <c r="F182" s="4"/>
      <c r="G182" s="4"/>
      <c r="H182" s="4"/>
      <c r="I182" s="155"/>
      <c r="J182" s="155"/>
      <c r="K182" s="155"/>
      <c r="L182" s="155"/>
      <c r="M182" s="155"/>
      <c r="N182" s="155"/>
      <c r="O182" s="155"/>
      <c r="P182" s="18">
        <f t="shared" si="168"/>
        <v>0</v>
      </c>
    </row>
    <row r="183" spans="1:16" ht="15.6" x14ac:dyDescent="0.3">
      <c r="A183" s="670" t="s">
        <v>209</v>
      </c>
      <c r="B183" s="21" t="s">
        <v>63</v>
      </c>
      <c r="C183" s="11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8"/>
    </row>
    <row r="184" spans="1:16" ht="15.6" x14ac:dyDescent="0.3">
      <c r="A184" s="671"/>
      <c r="B184" s="19" t="s">
        <v>73</v>
      </c>
      <c r="C184" s="11"/>
      <c r="D184" s="155"/>
      <c r="E184" s="155"/>
      <c r="F184" s="155"/>
      <c r="G184" s="4"/>
      <c r="H184" s="155"/>
      <c r="I184" s="155"/>
      <c r="J184" s="155"/>
      <c r="K184" s="155"/>
      <c r="L184" s="155"/>
      <c r="M184" s="155"/>
      <c r="N184" s="155"/>
      <c r="O184" s="155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155"/>
      <c r="E185" s="155"/>
      <c r="F185" s="155"/>
      <c r="G185" s="4"/>
      <c r="H185" s="155"/>
      <c r="I185" s="155"/>
      <c r="J185" s="155"/>
      <c r="K185" s="155"/>
      <c r="L185" s="155"/>
      <c r="M185" s="155"/>
      <c r="N185" s="155"/>
      <c r="O185" s="155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155"/>
      <c r="E186" s="155"/>
      <c r="F186" s="155"/>
      <c r="G186" s="4"/>
      <c r="H186" s="155"/>
      <c r="I186" s="155"/>
      <c r="J186" s="155"/>
      <c r="K186" s="155"/>
      <c r="L186" s="155"/>
      <c r="M186" s="155"/>
      <c r="N186" s="155"/>
      <c r="O186" s="155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155"/>
      <c r="E187" s="155"/>
      <c r="F187" s="155"/>
      <c r="G187" s="4"/>
      <c r="H187" s="155"/>
      <c r="I187" s="155"/>
      <c r="J187" s="155"/>
      <c r="K187" s="155"/>
      <c r="L187" s="155"/>
      <c r="M187" s="155"/>
      <c r="N187" s="155"/>
      <c r="O187" s="155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8"/>
    </row>
    <row r="189" spans="1:16" ht="15.6" x14ac:dyDescent="0.3">
      <c r="A189" s="671"/>
      <c r="B189" s="20" t="s">
        <v>52</v>
      </c>
      <c r="C189" s="11" t="s">
        <v>57</v>
      </c>
      <c r="D189" s="155"/>
      <c r="E189" s="155"/>
      <c r="F189" s="155"/>
      <c r="G189" s="4"/>
      <c r="H189" s="4"/>
      <c r="I189" s="155"/>
      <c r="J189" s="155"/>
      <c r="K189" s="155"/>
      <c r="L189" s="155"/>
      <c r="M189" s="155"/>
      <c r="N189" s="155"/>
      <c r="O189" s="155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4">
        <v>3</v>
      </c>
      <c r="E190" s="4">
        <v>2</v>
      </c>
      <c r="F190" s="4">
        <v>0</v>
      </c>
      <c r="G190" s="4"/>
      <c r="H190" s="4"/>
      <c r="I190" s="155"/>
      <c r="J190" s="155"/>
      <c r="K190" s="155"/>
      <c r="L190" s="155">
        <v>2</v>
      </c>
      <c r="M190" s="155"/>
      <c r="N190" s="155"/>
      <c r="O190" s="155"/>
      <c r="P190" s="18">
        <f>SUM(D190:O190)</f>
        <v>7</v>
      </c>
    </row>
    <row r="191" spans="1:16" ht="15.6" x14ac:dyDescent="0.3">
      <c r="A191" s="671"/>
      <c r="B191" s="19" t="s">
        <v>61</v>
      </c>
      <c r="C191" s="11" t="s">
        <v>57</v>
      </c>
      <c r="D191" s="4">
        <v>2</v>
      </c>
      <c r="E191" s="4">
        <v>1</v>
      </c>
      <c r="F191" s="4">
        <v>1</v>
      </c>
      <c r="G191" s="4">
        <v>1</v>
      </c>
      <c r="H191" s="4"/>
      <c r="I191" s="155"/>
      <c r="J191" s="155"/>
      <c r="K191" s="155"/>
      <c r="L191" s="155"/>
      <c r="M191" s="155"/>
      <c r="N191" s="155"/>
      <c r="O191" s="155"/>
      <c r="P191" s="18">
        <f>SUM(D191:O191)</f>
        <v>5</v>
      </c>
    </row>
    <row r="192" spans="1:16" ht="15.6" x14ac:dyDescent="0.3">
      <c r="A192" s="672"/>
      <c r="B192" s="19" t="s">
        <v>60</v>
      </c>
      <c r="C192" s="11" t="s">
        <v>57</v>
      </c>
      <c r="D192" s="4"/>
      <c r="E192" s="4">
        <v>1</v>
      </c>
      <c r="F192" s="4">
        <v>0</v>
      </c>
      <c r="G192" s="4"/>
      <c r="H192" s="4">
        <v>2</v>
      </c>
      <c r="I192" s="4">
        <v>1</v>
      </c>
      <c r="J192" s="155"/>
      <c r="K192" s="155"/>
      <c r="L192" s="155"/>
      <c r="M192" s="155"/>
      <c r="N192" s="155"/>
      <c r="O192" s="155"/>
      <c r="P192" s="18">
        <f>SUM(D192:O192)</f>
        <v>4</v>
      </c>
    </row>
    <row r="193" spans="1:16" ht="15.6" x14ac:dyDescent="0.3">
      <c r="A193" s="84" t="s">
        <v>59</v>
      </c>
      <c r="B193" s="17"/>
      <c r="C193" s="11"/>
      <c r="D193" s="158">
        <f>SUM(D153:D192)</f>
        <v>141</v>
      </c>
      <c r="E193" s="158">
        <f t="shared" ref="E193:P193" si="169">SUM(E153:E192)</f>
        <v>118</v>
      </c>
      <c r="F193" s="158">
        <f t="shared" si="169"/>
        <v>114</v>
      </c>
      <c r="G193" s="158">
        <f t="shared" si="169"/>
        <v>98</v>
      </c>
      <c r="H193" s="158">
        <f t="shared" si="169"/>
        <v>111</v>
      </c>
      <c r="I193" s="158">
        <f t="shared" si="169"/>
        <v>88</v>
      </c>
      <c r="J193" s="158">
        <f t="shared" si="169"/>
        <v>80</v>
      </c>
      <c r="K193" s="158">
        <f t="shared" si="169"/>
        <v>113</v>
      </c>
      <c r="L193" s="158">
        <f t="shared" si="169"/>
        <v>107</v>
      </c>
      <c r="M193" s="158">
        <f t="shared" si="169"/>
        <v>126</v>
      </c>
      <c r="N193" s="158">
        <f t="shared" si="169"/>
        <v>105</v>
      </c>
      <c r="O193" s="158">
        <v>114</v>
      </c>
      <c r="P193" s="160">
        <f t="shared" si="169"/>
        <v>1315</v>
      </c>
    </row>
    <row r="194" spans="1:16" ht="15.6" x14ac:dyDescent="0.3">
      <c r="A194" s="665" t="s">
        <v>58</v>
      </c>
      <c r="B194" s="666"/>
      <c r="C194" s="11" t="s">
        <v>57</v>
      </c>
      <c r="D194" s="4">
        <v>0</v>
      </c>
      <c r="E194" s="4"/>
      <c r="F194" s="4">
        <v>1</v>
      </c>
      <c r="G194" s="4">
        <v>1</v>
      </c>
      <c r="H194" s="4">
        <v>1</v>
      </c>
      <c r="I194" s="4">
        <v>1</v>
      </c>
      <c r="J194" s="4">
        <v>2</v>
      </c>
      <c r="K194" s="155"/>
      <c r="L194" s="155"/>
      <c r="M194" s="155"/>
      <c r="N194" s="155"/>
      <c r="O194" s="155"/>
      <c r="P194" s="18">
        <f>SUM(D194:O194)</f>
        <v>6</v>
      </c>
    </row>
    <row r="195" spans="1:16" ht="15.6" x14ac:dyDescent="0.3">
      <c r="A195" s="667"/>
      <c r="B195" s="668"/>
      <c r="C195" s="16" t="s">
        <v>55</v>
      </c>
      <c r="D195" s="4">
        <v>0</v>
      </c>
      <c r="E195" s="4"/>
      <c r="F195" s="4">
        <f>4*24</f>
        <v>96</v>
      </c>
      <c r="G195" s="4">
        <v>48</v>
      </c>
      <c r="H195" s="4">
        <f>31*24</f>
        <v>744</v>
      </c>
      <c r="I195" s="4">
        <v>19</v>
      </c>
      <c r="J195" s="4">
        <v>34</v>
      </c>
      <c r="K195" s="155"/>
      <c r="L195" s="155"/>
      <c r="M195" s="155"/>
      <c r="N195" s="155"/>
      <c r="O195" s="155"/>
      <c r="P195" s="18">
        <f>SUM(D195:O195)</f>
        <v>941</v>
      </c>
    </row>
    <row r="196" spans="1:16" ht="15.6" x14ac:dyDescent="0.3">
      <c r="A196" s="85" t="s">
        <v>202</v>
      </c>
      <c r="B196" s="86"/>
      <c r="C196" s="16" t="s">
        <v>55</v>
      </c>
      <c r="D196" s="4">
        <v>10</v>
      </c>
      <c r="E196" s="4">
        <v>10</v>
      </c>
      <c r="F196" s="4">
        <v>10</v>
      </c>
      <c r="G196" s="4">
        <v>10</v>
      </c>
      <c r="H196" s="4">
        <f>240/31</f>
        <v>7.741935483870968</v>
      </c>
      <c r="I196" s="4">
        <v>8</v>
      </c>
      <c r="J196" s="4">
        <v>7</v>
      </c>
      <c r="K196" s="4">
        <v>8</v>
      </c>
      <c r="L196" s="155">
        <v>7.741935483870968</v>
      </c>
      <c r="M196" s="155">
        <v>7.741935483870968</v>
      </c>
      <c r="N196" s="155">
        <v>8</v>
      </c>
      <c r="O196" s="155">
        <v>7.741935483870968</v>
      </c>
      <c r="P196" s="18">
        <f>SUM(D196:O196)/12</f>
        <v>8.4973118279569917</v>
      </c>
    </row>
    <row r="197" spans="1:16" ht="15.6" x14ac:dyDescent="0.3">
      <c r="A197" s="661" t="s">
        <v>56</v>
      </c>
      <c r="B197" s="662"/>
      <c r="C197" s="16" t="s">
        <v>55</v>
      </c>
      <c r="D197" s="4">
        <v>38</v>
      </c>
      <c r="E197" s="4">
        <v>40</v>
      </c>
      <c r="F197" s="4">
        <v>45</v>
      </c>
      <c r="G197" s="4">
        <v>49</v>
      </c>
      <c r="H197" s="4">
        <v>71</v>
      </c>
      <c r="I197" s="4">
        <v>83</v>
      </c>
      <c r="J197" s="4">
        <v>130</v>
      </c>
      <c r="K197" s="4">
        <v>51</v>
      </c>
      <c r="L197" s="155">
        <v>132</v>
      </c>
      <c r="M197" s="155">
        <v>118</v>
      </c>
      <c r="N197" s="155">
        <v>18</v>
      </c>
      <c r="O197" s="155">
        <v>27</v>
      </c>
      <c r="P197" s="18">
        <f>SUM(D197:O197)</f>
        <v>802</v>
      </c>
    </row>
    <row r="198" spans="1:16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79" t="s">
        <v>53</v>
      </c>
      <c r="C199" s="11" t="s">
        <v>47</v>
      </c>
      <c r="D199" s="4">
        <v>0</v>
      </c>
      <c r="E199" s="4"/>
      <c r="F199" s="4">
        <v>144</v>
      </c>
      <c r="G199" s="4">
        <v>0</v>
      </c>
      <c r="H199" s="4"/>
      <c r="I199" s="4"/>
      <c r="J199" s="4">
        <v>600</v>
      </c>
      <c r="K199" s="4"/>
      <c r="L199" s="4"/>
      <c r="M199" s="4"/>
      <c r="N199" s="4"/>
      <c r="O199" s="4"/>
      <c r="P199" s="9">
        <f t="shared" ref="P199:P204" si="170">SUM(D199:O199)</f>
        <v>744</v>
      </c>
    </row>
    <row r="200" spans="1:16" ht="15.6" x14ac:dyDescent="0.3">
      <c r="A200" s="669"/>
      <c r="B200" s="79" t="s">
        <v>52</v>
      </c>
      <c r="C200" s="11" t="s">
        <v>47</v>
      </c>
      <c r="D200" s="4"/>
      <c r="E200" s="4"/>
      <c r="F200" s="4"/>
      <c r="G200" s="4">
        <v>0</v>
      </c>
      <c r="H200" s="4"/>
      <c r="I200" s="4"/>
      <c r="J200" s="4"/>
      <c r="K200" s="4"/>
      <c r="L200" s="4"/>
      <c r="M200" s="4"/>
      <c r="N200" s="4">
        <v>450</v>
      </c>
      <c r="O200" s="4"/>
      <c r="P200" s="9">
        <f t="shared" si="170"/>
        <v>450</v>
      </c>
    </row>
    <row r="201" spans="1:16" ht="15.6" x14ac:dyDescent="0.3">
      <c r="A201" s="669"/>
      <c r="B201" s="79" t="s">
        <v>51</v>
      </c>
      <c r="C201" s="11" t="s">
        <v>47</v>
      </c>
      <c r="D201" s="4"/>
      <c r="E201" s="4"/>
      <c r="F201" s="4"/>
      <c r="G201" s="4">
        <v>0</v>
      </c>
      <c r="H201" s="4"/>
      <c r="I201" s="4"/>
      <c r="J201" s="4"/>
      <c r="K201" s="4"/>
      <c r="L201" s="4"/>
      <c r="M201" s="4"/>
      <c r="N201" s="4">
        <v>270</v>
      </c>
      <c r="O201" s="4">
        <v>240</v>
      </c>
      <c r="P201" s="9">
        <f t="shared" si="170"/>
        <v>510</v>
      </c>
    </row>
    <row r="202" spans="1:16" ht="15.6" x14ac:dyDescent="0.3">
      <c r="A202" s="669"/>
      <c r="B202" s="79" t="s">
        <v>50</v>
      </c>
      <c r="C202" s="11" t="s">
        <v>47</v>
      </c>
      <c r="D202" s="4"/>
      <c r="E202" s="4"/>
      <c r="F202" s="4"/>
      <c r="G202" s="4">
        <v>0</v>
      </c>
      <c r="H202" s="4"/>
      <c r="I202" s="4"/>
      <c r="J202" s="4"/>
      <c r="K202" s="4"/>
      <c r="L202" s="4">
        <v>570</v>
      </c>
      <c r="M202" s="4"/>
      <c r="N202" s="4">
        <v>190</v>
      </c>
      <c r="O202" s="4">
        <v>66</v>
      </c>
      <c r="P202" s="9">
        <f t="shared" si="170"/>
        <v>826</v>
      </c>
    </row>
    <row r="203" spans="1:16" ht="15.6" x14ac:dyDescent="0.3">
      <c r="A203" s="667"/>
      <c r="B203" s="79" t="s">
        <v>49</v>
      </c>
      <c r="C203" s="11" t="s">
        <v>47</v>
      </c>
      <c r="D203" s="4"/>
      <c r="E203" s="4"/>
      <c r="F203" s="4"/>
      <c r="G203" s="4">
        <v>0</v>
      </c>
      <c r="H203" s="4"/>
      <c r="I203" s="4"/>
      <c r="J203" s="4"/>
      <c r="K203" s="4"/>
      <c r="L203" s="4">
        <v>870</v>
      </c>
      <c r="M203" s="4">
        <v>840</v>
      </c>
      <c r="N203" s="4"/>
      <c r="O203" s="4">
        <v>240</v>
      </c>
      <c r="P203" s="9">
        <f t="shared" si="170"/>
        <v>1950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71">SUM(D199:D203)</f>
        <v>0</v>
      </c>
      <c r="E204" s="15">
        <f t="shared" si="171"/>
        <v>0</v>
      </c>
      <c r="F204" s="15">
        <f t="shared" si="171"/>
        <v>144</v>
      </c>
      <c r="G204" s="15">
        <f t="shared" ref="G204" si="172">SUM(G199:G203)</f>
        <v>0</v>
      </c>
      <c r="H204" s="15">
        <f t="shared" si="171"/>
        <v>0</v>
      </c>
      <c r="I204" s="15">
        <f t="shared" si="171"/>
        <v>0</v>
      </c>
      <c r="J204" s="15">
        <f t="shared" si="171"/>
        <v>600</v>
      </c>
      <c r="K204" s="15">
        <f t="shared" si="171"/>
        <v>0</v>
      </c>
      <c r="L204" s="15">
        <v>1440</v>
      </c>
      <c r="M204" s="15">
        <f t="shared" si="171"/>
        <v>840</v>
      </c>
      <c r="N204" s="15">
        <f t="shared" si="171"/>
        <v>910</v>
      </c>
      <c r="O204" s="15">
        <v>546</v>
      </c>
      <c r="P204" s="110">
        <f t="shared" si="170"/>
        <v>4480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f>817450+500028.62+1453286.96</f>
        <v>2770765.58</v>
      </c>
      <c r="E206" s="13">
        <f>1074328.62+721700+2091390</f>
        <v>3887418.62</v>
      </c>
      <c r="F206" s="13">
        <f>1804674.33+1097250+2921397.7</f>
        <v>5823322.0300000003</v>
      </c>
      <c r="G206" s="13">
        <f>1576325+1177690+2852866</f>
        <v>5606881</v>
      </c>
      <c r="H206" s="13">
        <f>2265516+2406130+4503201</f>
        <v>9174847</v>
      </c>
      <c r="I206" s="13">
        <f>3055812.93+1796437+4509084.71</f>
        <v>9361334.6400000006</v>
      </c>
      <c r="J206" s="13">
        <f>1181748+1166443+1985010</f>
        <v>4333201</v>
      </c>
      <c r="K206" s="13">
        <f>2707288.7+1881935.86+4428475.86</f>
        <v>9017700.4200000018</v>
      </c>
      <c r="L206" s="13">
        <v>2497938</v>
      </c>
      <c r="M206" s="13">
        <v>7079247</v>
      </c>
      <c r="N206" s="13">
        <v>4246547.29</v>
      </c>
      <c r="O206" s="13">
        <v>7458463</v>
      </c>
      <c r="P206" s="9">
        <f>SUM(D206:O206)</f>
        <v>71257665.580000013</v>
      </c>
    </row>
    <row r="207" spans="1:16" ht="15.6" x14ac:dyDescent="0.3">
      <c r="A207" s="661" t="s">
        <v>42</v>
      </c>
      <c r="B207" s="662"/>
      <c r="C207" s="11" t="s">
        <v>31</v>
      </c>
      <c r="D207" s="13">
        <v>0</v>
      </c>
      <c r="E207" s="13">
        <v>30000</v>
      </c>
      <c r="F207" s="13">
        <v>21000</v>
      </c>
      <c r="G207" s="13">
        <v>11000</v>
      </c>
      <c r="H207" s="13">
        <v>0</v>
      </c>
      <c r="I207" s="13">
        <v>10000</v>
      </c>
      <c r="J207" s="13">
        <v>0</v>
      </c>
      <c r="K207" s="13">
        <v>15000</v>
      </c>
      <c r="L207" s="13">
        <v>0</v>
      </c>
      <c r="M207" s="13">
        <v>0</v>
      </c>
      <c r="N207" s="13">
        <v>10000</v>
      </c>
      <c r="O207" s="13">
        <v>0</v>
      </c>
      <c r="P207" s="9">
        <f>SUM(D207:O207)</f>
        <v>97000</v>
      </c>
    </row>
    <row r="208" spans="1:16" ht="15.6" x14ac:dyDescent="0.3">
      <c r="A208" s="663" t="s">
        <v>41</v>
      </c>
      <c r="B208" s="664"/>
      <c r="C208" s="11" t="s">
        <v>31</v>
      </c>
      <c r="D208" s="13">
        <v>315288.51</v>
      </c>
      <c r="E208" s="13">
        <v>570453.15</v>
      </c>
      <c r="F208" s="13">
        <v>504567.63</v>
      </c>
      <c r="G208" s="13">
        <v>930989</v>
      </c>
      <c r="H208" s="13">
        <v>273117</v>
      </c>
      <c r="I208" s="13">
        <v>418976.79</v>
      </c>
      <c r="J208" s="13">
        <v>499825</v>
      </c>
      <c r="K208" s="13">
        <v>354620</v>
      </c>
      <c r="L208" s="13">
        <v>277520</v>
      </c>
      <c r="M208" s="13">
        <v>25768779</v>
      </c>
      <c r="N208" s="13">
        <v>582611.85</v>
      </c>
      <c r="O208" s="13">
        <v>807564</v>
      </c>
      <c r="P208" s="9">
        <f>SUM(D208:O208)</f>
        <v>31304311.93</v>
      </c>
    </row>
    <row r="209" spans="1:16" ht="15.6" x14ac:dyDescent="0.3">
      <c r="A209" s="661" t="s">
        <v>40</v>
      </c>
      <c r="B209" s="662"/>
      <c r="C209" s="11" t="s">
        <v>31</v>
      </c>
      <c r="D209" s="13">
        <v>168186</v>
      </c>
      <c r="E209" s="13">
        <v>90950</v>
      </c>
      <c r="F209" s="13">
        <v>268780.15999999997</v>
      </c>
      <c r="G209" s="13">
        <v>70000</v>
      </c>
      <c r="H209" s="13">
        <v>302500</v>
      </c>
      <c r="I209" s="13">
        <v>255607</v>
      </c>
      <c r="J209" s="13">
        <v>10000</v>
      </c>
      <c r="K209" s="13">
        <v>362030</v>
      </c>
      <c r="L209" s="13">
        <v>122154</v>
      </c>
      <c r="M209" s="13">
        <v>30337380</v>
      </c>
      <c r="N209" s="13">
        <v>123836.5</v>
      </c>
      <c r="O209" s="13">
        <v>294176</v>
      </c>
      <c r="P209" s="9">
        <f>SUM(D209:O209)</f>
        <v>32405599.66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173">SUM(D206:D209)</f>
        <v>3254240.09</v>
      </c>
      <c r="E210" s="10">
        <f t="shared" si="173"/>
        <v>4578821.7700000005</v>
      </c>
      <c r="F210" s="10">
        <f t="shared" si="173"/>
        <v>6617669.8200000003</v>
      </c>
      <c r="G210" s="10">
        <f t="shared" si="173"/>
        <v>6618870</v>
      </c>
      <c r="H210" s="10">
        <f t="shared" si="173"/>
        <v>9750464</v>
      </c>
      <c r="I210" s="10">
        <f t="shared" si="173"/>
        <v>10045918.43</v>
      </c>
      <c r="J210" s="10">
        <f t="shared" si="173"/>
        <v>4843026</v>
      </c>
      <c r="K210" s="10">
        <f t="shared" si="173"/>
        <v>9749350.4200000018</v>
      </c>
      <c r="L210" s="10">
        <f t="shared" si="173"/>
        <v>2897612</v>
      </c>
      <c r="M210" s="10">
        <f t="shared" si="173"/>
        <v>63185406</v>
      </c>
      <c r="N210" s="10">
        <f t="shared" si="173"/>
        <v>4962995.6399999997</v>
      </c>
      <c r="O210" s="10">
        <v>8560203</v>
      </c>
      <c r="P210" s="9">
        <f>SUM(D210:O210)</f>
        <v>135064577.17000002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13">
        <v>1371725</v>
      </c>
      <c r="E212" s="13">
        <v>1423520</v>
      </c>
      <c r="F212" s="13">
        <f>1923457.24</f>
        <v>1923457.24</v>
      </c>
      <c r="G212" s="13">
        <v>1395644</v>
      </c>
      <c r="H212" s="13">
        <v>1947839</v>
      </c>
      <c r="I212" s="13">
        <v>1723519</v>
      </c>
      <c r="J212" s="13">
        <v>2186479.62</v>
      </c>
      <c r="K212" s="13">
        <v>2254170.62</v>
      </c>
      <c r="L212" s="13">
        <v>2374563.91</v>
      </c>
      <c r="M212" s="13">
        <v>3845287.6</v>
      </c>
      <c r="N212" s="13">
        <v>4246547.29</v>
      </c>
      <c r="O212" s="13">
        <v>2618351.62</v>
      </c>
      <c r="P212" s="9">
        <f>SUM(D212:O212)</f>
        <v>27311104.900000002</v>
      </c>
    </row>
    <row r="213" spans="1:16" ht="15.6" x14ac:dyDescent="0.3">
      <c r="A213" s="661" t="s">
        <v>42</v>
      </c>
      <c r="B213" s="662"/>
      <c r="C213" s="11" t="s">
        <v>31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10000</v>
      </c>
      <c r="O213" s="13">
        <v>0</v>
      </c>
      <c r="P213" s="9">
        <f>SUM(D213:O213)</f>
        <v>10000</v>
      </c>
    </row>
    <row r="214" spans="1:16" ht="15.6" x14ac:dyDescent="0.3">
      <c r="A214" s="663" t="s">
        <v>41</v>
      </c>
      <c r="B214" s="664"/>
      <c r="C214" s="11" t="s">
        <v>31</v>
      </c>
      <c r="D214" s="13">
        <v>496866</v>
      </c>
      <c r="E214" s="13">
        <v>393217</v>
      </c>
      <c r="F214" s="13">
        <v>561428</v>
      </c>
      <c r="G214" s="13">
        <v>278461</v>
      </c>
      <c r="H214" s="13">
        <v>394561</v>
      </c>
      <c r="I214" s="13">
        <v>445731</v>
      </c>
      <c r="J214" s="13">
        <v>687977</v>
      </c>
      <c r="K214" s="13">
        <v>512471</v>
      </c>
      <c r="L214" s="13">
        <v>625800</v>
      </c>
      <c r="M214" s="13">
        <v>1865761.9</v>
      </c>
      <c r="N214" s="13">
        <v>582611.85</v>
      </c>
      <c r="O214" s="13">
        <v>669532.12</v>
      </c>
      <c r="P214" s="9">
        <f>SUM(D214:O214)</f>
        <v>7514417.8700000001</v>
      </c>
    </row>
    <row r="215" spans="1:16" ht="15.6" x14ac:dyDescent="0.3">
      <c r="A215" s="661" t="s">
        <v>40</v>
      </c>
      <c r="B215" s="662"/>
      <c r="C215" s="11" t="s">
        <v>31</v>
      </c>
      <c r="D215" s="13">
        <f>3731381.69-1868591</f>
        <v>1862790.69</v>
      </c>
      <c r="E215" s="13">
        <f>3357141.54-1816737</f>
        <v>1540404.54</v>
      </c>
      <c r="F215" s="13">
        <f>10666124.13-2784885.24</f>
        <v>7881238.8900000006</v>
      </c>
      <c r="G215" s="13">
        <f>3715167.03-1674105+53697.28</f>
        <v>2094759.3099999998</v>
      </c>
      <c r="H215" s="13">
        <f>7879565-2342400</f>
        <v>5537165</v>
      </c>
      <c r="I215" s="13">
        <f>4279030-2169250</f>
        <v>2109780</v>
      </c>
      <c r="J215" s="13">
        <f>6829216.62-2874456.62</f>
        <v>3954760</v>
      </c>
      <c r="K215" s="13">
        <f>4754170.62-2766641.62</f>
        <v>1987529</v>
      </c>
      <c r="L215" s="13">
        <v>4087521.49</v>
      </c>
      <c r="M215" s="13">
        <v>14674800.5</v>
      </c>
      <c r="N215" s="13">
        <v>123836.5</v>
      </c>
      <c r="O215" s="13">
        <v>976689.5</v>
      </c>
      <c r="P215" s="9">
        <f>SUM(D215:O215)</f>
        <v>46831275.420000002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174">SUM(D212:D215)</f>
        <v>3731381.69</v>
      </c>
      <c r="E216" s="10">
        <f t="shared" si="174"/>
        <v>3357141.54</v>
      </c>
      <c r="F216" s="10">
        <f t="shared" si="174"/>
        <v>10366124.130000001</v>
      </c>
      <c r="G216" s="10">
        <f t="shared" si="174"/>
        <v>3768864.3099999996</v>
      </c>
      <c r="H216" s="10">
        <f t="shared" si="174"/>
        <v>7879565</v>
      </c>
      <c r="I216" s="10">
        <f t="shared" si="174"/>
        <v>4279030</v>
      </c>
      <c r="J216" s="10">
        <f t="shared" si="174"/>
        <v>6829216.6200000001</v>
      </c>
      <c r="K216" s="10">
        <f t="shared" si="174"/>
        <v>4754170.62</v>
      </c>
      <c r="L216" s="10">
        <f t="shared" si="174"/>
        <v>7087885.4000000004</v>
      </c>
      <c r="M216" s="10">
        <f t="shared" si="174"/>
        <v>20385850</v>
      </c>
      <c r="N216" s="10">
        <f t="shared" si="174"/>
        <v>4962995.6399999997</v>
      </c>
      <c r="O216" s="10">
        <v>4264573.24</v>
      </c>
      <c r="P216" s="9">
        <f>SUM(D216:O216)</f>
        <v>81666798.189999998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6985621.7799999993</v>
      </c>
      <c r="E217" s="10">
        <f t="shared" ref="E217:P217" si="175">E210+E216</f>
        <v>7935963.3100000005</v>
      </c>
      <c r="F217" s="10">
        <f t="shared" si="175"/>
        <v>16983793.950000003</v>
      </c>
      <c r="G217" s="10">
        <f t="shared" si="175"/>
        <v>10387734.309999999</v>
      </c>
      <c r="H217" s="10">
        <f t="shared" si="175"/>
        <v>17630029</v>
      </c>
      <c r="I217" s="10">
        <f t="shared" si="175"/>
        <v>14324948.43</v>
      </c>
      <c r="J217" s="10">
        <f t="shared" si="175"/>
        <v>11672242.620000001</v>
      </c>
      <c r="K217" s="10">
        <f t="shared" si="175"/>
        <v>14503521.040000003</v>
      </c>
      <c r="L217" s="10">
        <f t="shared" si="175"/>
        <v>9985497.4000000004</v>
      </c>
      <c r="M217" s="10">
        <f t="shared" si="175"/>
        <v>83571256</v>
      </c>
      <c r="N217" s="10">
        <f t="shared" si="175"/>
        <v>9925991.2799999993</v>
      </c>
      <c r="O217" s="10">
        <v>12824776.24</v>
      </c>
      <c r="P217" s="40">
        <f t="shared" si="175"/>
        <v>216731375.36000001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>
        <f>1013593.81+725335.41+1865474.85</f>
        <v>3604404.0700000003</v>
      </c>
      <c r="E219" s="13">
        <f>1895648.88+1331445.09+3221779.51</f>
        <v>6448873.4799999995</v>
      </c>
      <c r="F219" s="13">
        <f>1937694.47+1405983.09+3594756.93</f>
        <v>6938434.4900000002</v>
      </c>
      <c r="G219" s="13">
        <f>1827774+1313329+3332765</f>
        <v>6473868</v>
      </c>
      <c r="H219" s="13">
        <f>1711969.72+1443904.45+3173249.75</f>
        <v>6329123.9199999999</v>
      </c>
      <c r="I219" s="13">
        <f>1733304.95+1382207.03+3312080.93</f>
        <v>6427592.9100000001</v>
      </c>
      <c r="J219" s="13">
        <f>1471927.78+914765.28+2695211.45</f>
        <v>5081904.51</v>
      </c>
      <c r="K219" s="13">
        <f>1683564.49+1151140.96+3102627.4+0</f>
        <v>5937332.8499999996</v>
      </c>
      <c r="L219" s="13">
        <v>6077499</v>
      </c>
      <c r="M219" s="13">
        <v>5683135.2999999998</v>
      </c>
      <c r="N219" s="13">
        <v>5996753.8799999999</v>
      </c>
      <c r="O219" s="13">
        <v>5550891</v>
      </c>
      <c r="P219" s="9">
        <f>SUM(D219:O219)</f>
        <v>70549813.409999996</v>
      </c>
    </row>
    <row r="220" spans="1:16" ht="15.6" x14ac:dyDescent="0.3">
      <c r="A220" s="661" t="s">
        <v>34</v>
      </c>
      <c r="B220" s="662"/>
      <c r="C220" s="11" t="s">
        <v>31</v>
      </c>
      <c r="D220" s="13">
        <v>2782.24</v>
      </c>
      <c r="E220" s="13">
        <v>3825.58</v>
      </c>
      <c r="F220" s="13">
        <v>2956.13</v>
      </c>
      <c r="G220" s="13">
        <v>3999</v>
      </c>
      <c r="H220" s="13">
        <v>3651.69</v>
      </c>
      <c r="I220" s="13">
        <v>3999.47</v>
      </c>
      <c r="J220" s="13">
        <v>2956.13</v>
      </c>
      <c r="K220" s="13">
        <v>3477.8</v>
      </c>
      <c r="L220" s="13">
        <v>4347</v>
      </c>
      <c r="M220" s="13">
        <v>2782.24</v>
      </c>
      <c r="N220" s="13">
        <v>2782.24</v>
      </c>
      <c r="O220" s="13">
        <v>2782</v>
      </c>
      <c r="P220" s="9">
        <f>SUM(D220:O220)</f>
        <v>40341.519999999997</v>
      </c>
    </row>
    <row r="221" spans="1:16" ht="15.6" x14ac:dyDescent="0.3">
      <c r="A221" s="661" t="s">
        <v>33</v>
      </c>
      <c r="B221" s="662"/>
      <c r="C221" s="11" t="s">
        <v>31</v>
      </c>
      <c r="D221" s="13">
        <v>2929690.58</v>
      </c>
      <c r="E221" s="13">
        <v>4008380.53</v>
      </c>
      <c r="F221" s="13">
        <v>7013858.5199999996</v>
      </c>
      <c r="G221" s="13">
        <v>3393210</v>
      </c>
      <c r="H221" s="13">
        <v>174059.45</v>
      </c>
      <c r="I221" s="13">
        <v>190263.52</v>
      </c>
      <c r="J221" s="13">
        <v>199160.15</v>
      </c>
      <c r="K221" s="13">
        <v>204000.45</v>
      </c>
      <c r="L221" s="13">
        <v>201677</v>
      </c>
      <c r="M221" s="13">
        <v>112694.56</v>
      </c>
      <c r="N221" s="13">
        <v>83338.14</v>
      </c>
      <c r="O221" s="13">
        <v>68817</v>
      </c>
      <c r="P221" s="9">
        <f>SUM(D221:O221)</f>
        <v>18579149.899999995</v>
      </c>
    </row>
    <row r="222" spans="1:16" ht="15.6" x14ac:dyDescent="0.3">
      <c r="A222" s="661" t="s">
        <v>32</v>
      </c>
      <c r="B222" s="662"/>
      <c r="C222" s="11" t="s">
        <v>31</v>
      </c>
      <c r="D222" s="13">
        <v>623669.85</v>
      </c>
      <c r="E222" s="13">
        <v>1101443.93</v>
      </c>
      <c r="F222" s="13">
        <v>1332574.77</v>
      </c>
      <c r="G222" s="13">
        <v>772997</v>
      </c>
      <c r="H222" s="13">
        <v>756706.11</v>
      </c>
      <c r="I222" s="13">
        <v>938042.64</v>
      </c>
      <c r="J222" s="13">
        <v>758476.49</v>
      </c>
      <c r="K222" s="13">
        <v>726826.97</v>
      </c>
      <c r="L222" s="13">
        <v>702806</v>
      </c>
      <c r="M222" s="13">
        <v>768577.83</v>
      </c>
      <c r="N222" s="13">
        <v>808024.55</v>
      </c>
      <c r="O222" s="13">
        <v>658657</v>
      </c>
      <c r="P222" s="9">
        <f>SUM(D222:O222)</f>
        <v>9948803.1400000006</v>
      </c>
    </row>
    <row r="223" spans="1:16" ht="15.6" x14ac:dyDescent="0.3">
      <c r="A223" s="647" t="s">
        <v>36</v>
      </c>
      <c r="B223" s="648"/>
      <c r="C223" s="11" t="s">
        <v>31</v>
      </c>
      <c r="D223" s="555">
        <f>SUM(D219:D222)</f>
        <v>7160546.7400000002</v>
      </c>
      <c r="E223" s="555">
        <f t="shared" ref="E223:F223" si="176">SUM(E219:E222)</f>
        <v>11562523.52</v>
      </c>
      <c r="F223" s="555">
        <f t="shared" si="176"/>
        <v>15287823.91</v>
      </c>
      <c r="G223" s="10">
        <f t="shared" ref="G223:N223" si="177">SUM(G219:G222)</f>
        <v>10644074</v>
      </c>
      <c r="H223" s="10">
        <f t="shared" si="177"/>
        <v>7263541.1700000009</v>
      </c>
      <c r="I223" s="10">
        <f t="shared" si="177"/>
        <v>7559898.5399999991</v>
      </c>
      <c r="J223" s="14">
        <f t="shared" si="177"/>
        <v>6042497.2800000003</v>
      </c>
      <c r="K223" s="14">
        <f t="shared" si="177"/>
        <v>6871638.0699999994</v>
      </c>
      <c r="L223" s="14">
        <f t="shared" si="177"/>
        <v>6986329</v>
      </c>
      <c r="M223" s="14">
        <f t="shared" si="177"/>
        <v>6567189.9299999997</v>
      </c>
      <c r="N223" s="14">
        <f t="shared" si="177"/>
        <v>6890898.8099999996</v>
      </c>
      <c r="O223" s="14">
        <v>6281147</v>
      </c>
      <c r="P223" s="9">
        <f>SUM(D223:O223)</f>
        <v>99118107.969999999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78">SUM(D225:O225)</f>
        <v>0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78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9">
        <f t="shared" si="178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78"/>
        <v>0</v>
      </c>
    </row>
    <row r="229" spans="1:16" ht="15.6" x14ac:dyDescent="0.3">
      <c r="A229" s="647" t="s">
        <v>212</v>
      </c>
      <c r="B229" s="648"/>
      <c r="C229" s="11" t="s">
        <v>31</v>
      </c>
      <c r="D229" s="555">
        <v>3072241.78</v>
      </c>
      <c r="E229" s="13">
        <v>2880028.52</v>
      </c>
      <c r="F229" s="13">
        <v>10466921.99</v>
      </c>
      <c r="G229" s="13">
        <v>3715167.03</v>
      </c>
      <c r="H229" s="13">
        <v>7767423.6600000001</v>
      </c>
      <c r="I229" s="13">
        <v>4205050.0999999996</v>
      </c>
      <c r="J229" s="584">
        <v>4816736.4000000004</v>
      </c>
      <c r="K229" s="584">
        <v>4753347.96</v>
      </c>
      <c r="L229" s="14">
        <v>5931001.8099999996</v>
      </c>
      <c r="M229" s="14">
        <v>13373607.699999999</v>
      </c>
      <c r="N229" s="14">
        <v>3136518.39</v>
      </c>
      <c r="O229" s="14">
        <v>4297173.8899999997</v>
      </c>
      <c r="P229" s="9">
        <f t="shared" si="178"/>
        <v>68415219.230000004</v>
      </c>
    </row>
    <row r="230" spans="1:16" ht="15.6" x14ac:dyDescent="0.3">
      <c r="A230" s="76" t="s">
        <v>213</v>
      </c>
      <c r="B230" s="119"/>
      <c r="C230" s="11" t="s">
        <v>31</v>
      </c>
      <c r="D230" s="12">
        <f>D223+D229</f>
        <v>10232788.52</v>
      </c>
      <c r="E230" s="12">
        <f t="shared" ref="E230:N230" si="179">E223+E229</f>
        <v>14442552.039999999</v>
      </c>
      <c r="F230" s="12">
        <f t="shared" si="179"/>
        <v>25754745.899999999</v>
      </c>
      <c r="G230" s="12">
        <f t="shared" si="179"/>
        <v>14359241.029999999</v>
      </c>
      <c r="H230" s="12">
        <f t="shared" si="179"/>
        <v>15030964.830000002</v>
      </c>
      <c r="I230" s="12">
        <f t="shared" si="179"/>
        <v>11764948.639999999</v>
      </c>
      <c r="J230" s="12">
        <f t="shared" si="179"/>
        <v>10859233.68</v>
      </c>
      <c r="K230" s="12">
        <f t="shared" si="179"/>
        <v>11624986.029999999</v>
      </c>
      <c r="L230" s="12">
        <f t="shared" si="179"/>
        <v>12917330.809999999</v>
      </c>
      <c r="M230" s="12">
        <f t="shared" si="179"/>
        <v>19940797.629999999</v>
      </c>
      <c r="N230" s="12">
        <f t="shared" si="179"/>
        <v>10027417.199999999</v>
      </c>
      <c r="O230" s="12">
        <v>10578320.890000001</v>
      </c>
      <c r="P230" s="9">
        <f t="shared" si="178"/>
        <v>167533327.19999999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f>59125.76+70447.54+148286.74</f>
        <v>277860.03999999998</v>
      </c>
      <c r="E232" s="13">
        <f>90420.84+105671.31+225402.45</f>
        <v>421494.6</v>
      </c>
      <c r="F232" s="13">
        <f>91113.72+106371.12+230851.74</f>
        <v>428336.57999999996</v>
      </c>
      <c r="G232" s="13">
        <f>91114+107771+236301</f>
        <v>435186</v>
      </c>
      <c r="H232" s="13">
        <f>92153.04+109170.36+245713.44</f>
        <v>447036.83999999997</v>
      </c>
      <c r="I232" s="13">
        <f>91460.16+107770.74+251658.12</f>
        <v>450889.02</v>
      </c>
      <c r="J232" s="13">
        <f>89381.52+106371.12+243236.49</f>
        <v>438989.13</v>
      </c>
      <c r="K232" s="13">
        <f>91113.72+106371.12+249676.56</f>
        <v>447161.4</v>
      </c>
      <c r="L232" s="13">
        <v>453861</v>
      </c>
      <c r="M232" s="13">
        <v>431925.27</v>
      </c>
      <c r="N232" s="13">
        <v>437731.53</v>
      </c>
      <c r="O232" s="13">
        <v>451825</v>
      </c>
      <c r="P232" s="9">
        <f>SUM(D232:O232)</f>
        <v>5122296.4099999992</v>
      </c>
    </row>
    <row r="233" spans="1:16" ht="15.6" x14ac:dyDescent="0.3">
      <c r="A233" s="661" t="s">
        <v>28</v>
      </c>
      <c r="B233" s="662"/>
      <c r="C233" s="11" t="s">
        <v>18</v>
      </c>
      <c r="D233" s="13">
        <v>347.78</v>
      </c>
      <c r="E233" s="13">
        <v>347.78</v>
      </c>
      <c r="F233" s="13">
        <v>347.78</v>
      </c>
      <c r="G233" s="13">
        <v>348</v>
      </c>
      <c r="H233" s="13">
        <v>347.78</v>
      </c>
      <c r="I233" s="13">
        <v>347.78</v>
      </c>
      <c r="J233" s="13">
        <v>347.78</v>
      </c>
      <c r="K233" s="13">
        <v>347.78</v>
      </c>
      <c r="L233" s="13">
        <v>348</v>
      </c>
      <c r="M233" s="13">
        <v>347.78</v>
      </c>
      <c r="N233" s="13">
        <v>347.78</v>
      </c>
      <c r="O233" s="13">
        <v>348</v>
      </c>
      <c r="P233" s="9">
        <f>SUM(D233:O233)</f>
        <v>4174.0199999999986</v>
      </c>
    </row>
    <row r="234" spans="1:16" ht="15.6" x14ac:dyDescent="0.3">
      <c r="A234" s="661" t="s">
        <v>27</v>
      </c>
      <c r="B234" s="662"/>
      <c r="C234" s="11" t="s">
        <v>18</v>
      </c>
      <c r="D234" s="13">
        <v>28794.5</v>
      </c>
      <c r="E234" s="13">
        <v>43191.82</v>
      </c>
      <c r="F234" s="13">
        <v>43191.82</v>
      </c>
      <c r="G234" s="13">
        <v>43192</v>
      </c>
      <c r="H234" s="13">
        <v>40106.69</v>
      </c>
      <c r="I234" s="13">
        <v>40106.69</v>
      </c>
      <c r="J234" s="13">
        <v>33936.43</v>
      </c>
      <c r="K234" s="13">
        <v>33936.43</v>
      </c>
      <c r="L234" s="13">
        <v>37022</v>
      </c>
      <c r="M234" s="13">
        <v>27766.17</v>
      </c>
      <c r="N234" s="13">
        <v>27766.17</v>
      </c>
      <c r="O234" s="13">
        <v>27766</v>
      </c>
      <c r="P234" s="9">
        <f>SUM(D234:O234)</f>
        <v>426776.72</v>
      </c>
    </row>
    <row r="235" spans="1:16" ht="15.6" x14ac:dyDescent="0.3">
      <c r="A235" s="661" t="s">
        <v>26</v>
      </c>
      <c r="B235" s="662"/>
      <c r="C235" s="11" t="s">
        <v>18</v>
      </c>
      <c r="D235" s="13">
        <v>53399.69</v>
      </c>
      <c r="E235" s="13">
        <v>80099.63</v>
      </c>
      <c r="F235" s="13">
        <v>75</v>
      </c>
      <c r="G235" s="13">
        <v>75884</v>
      </c>
      <c r="H235" s="13">
        <v>75883.86</v>
      </c>
      <c r="I235" s="13">
        <v>75883.86</v>
      </c>
      <c r="J235" s="13">
        <v>67452.320000000007</v>
      </c>
      <c r="K235" s="13">
        <v>67452.320000000007</v>
      </c>
      <c r="L235" s="13">
        <v>71668</v>
      </c>
      <c r="M235" s="13">
        <v>63236.55</v>
      </c>
      <c r="N235" s="13">
        <v>67452.320000000007</v>
      </c>
      <c r="O235" s="13">
        <v>67452</v>
      </c>
      <c r="P235" s="9">
        <f>SUM(D235:O235)</f>
        <v>765939.55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N236" si="180">SUM(D232:D235)</f>
        <v>360402.01</v>
      </c>
      <c r="E236" s="12">
        <f t="shared" si="180"/>
        <v>545133.83000000007</v>
      </c>
      <c r="F236" s="12">
        <f t="shared" si="180"/>
        <v>471951.18</v>
      </c>
      <c r="G236" s="12">
        <f t="shared" si="180"/>
        <v>554610</v>
      </c>
      <c r="H236" s="12">
        <f t="shared" si="180"/>
        <v>563375.17000000004</v>
      </c>
      <c r="I236" s="12">
        <f t="shared" si="180"/>
        <v>567227.35000000009</v>
      </c>
      <c r="J236" s="12">
        <f t="shared" si="180"/>
        <v>540725.66</v>
      </c>
      <c r="K236" s="12">
        <f t="shared" si="180"/>
        <v>548897.93000000005</v>
      </c>
      <c r="L236" s="12">
        <f t="shared" si="180"/>
        <v>562899</v>
      </c>
      <c r="M236" s="12">
        <f t="shared" si="180"/>
        <v>523275.77</v>
      </c>
      <c r="N236" s="12">
        <f t="shared" si="180"/>
        <v>533297.80000000005</v>
      </c>
      <c r="O236" s="12">
        <v>547391</v>
      </c>
      <c r="P236" s="40">
        <f t="shared" ref="P236" si="181">SUM(P232:P235)</f>
        <v>6319186.6999999983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f>228608+134843+400957</f>
        <v>764408</v>
      </c>
      <c r="E238" s="13">
        <f>233073+134843+406315</f>
        <v>774231</v>
      </c>
      <c r="F238" s="13">
        <f>234859+135736+416138</f>
        <v>786733</v>
      </c>
      <c r="G238" s="13">
        <f>234859+137522+425961</f>
        <v>798342</v>
      </c>
      <c r="H238" s="13">
        <f>237538+139308+442928</f>
        <v>819774</v>
      </c>
      <c r="I238" s="13">
        <f>235752+137522+453644</f>
        <v>826918</v>
      </c>
      <c r="J238" s="13">
        <f>230394+135736+438463</f>
        <v>804593</v>
      </c>
      <c r="K238" s="13">
        <f>234859+135736+450072</f>
        <v>820667</v>
      </c>
      <c r="L238" s="13">
        <v>832276</v>
      </c>
      <c r="M238" s="13">
        <v>792091</v>
      </c>
      <c r="N238" s="13">
        <v>803700</v>
      </c>
      <c r="O238" s="13">
        <v>828704</v>
      </c>
      <c r="P238" s="9">
        <f>SUM(D238:O238)</f>
        <v>9652437</v>
      </c>
    </row>
    <row r="239" spans="1:16" ht="15.6" x14ac:dyDescent="0.3">
      <c r="A239" s="661" t="s">
        <v>22</v>
      </c>
      <c r="B239" s="662"/>
      <c r="C239" s="11" t="s">
        <v>18</v>
      </c>
      <c r="D239" s="15">
        <v>1786</v>
      </c>
      <c r="E239" s="15">
        <v>1786</v>
      </c>
      <c r="F239" s="15">
        <v>1786</v>
      </c>
      <c r="G239" s="15">
        <v>1786</v>
      </c>
      <c r="H239" s="15">
        <v>1786</v>
      </c>
      <c r="I239" s="15">
        <v>1786</v>
      </c>
      <c r="J239" s="15">
        <v>1786</v>
      </c>
      <c r="K239" s="15">
        <v>1786</v>
      </c>
      <c r="L239" s="15">
        <v>1786</v>
      </c>
      <c r="M239" s="15">
        <v>1786</v>
      </c>
      <c r="N239" s="15">
        <v>1786</v>
      </c>
      <c r="O239" s="15">
        <v>1786</v>
      </c>
      <c r="P239" s="9">
        <f>SUM(D239:O239)</f>
        <v>21432</v>
      </c>
    </row>
    <row r="240" spans="1:16" ht="15.6" x14ac:dyDescent="0.3">
      <c r="A240" s="661" t="s">
        <v>21</v>
      </c>
      <c r="B240" s="662"/>
      <c r="C240" s="11" t="s">
        <v>18</v>
      </c>
      <c r="D240" s="15">
        <v>12502</v>
      </c>
      <c r="E240" s="15">
        <v>12502</v>
      </c>
      <c r="F240" s="15">
        <v>12502</v>
      </c>
      <c r="G240" s="15">
        <v>12502</v>
      </c>
      <c r="H240" s="15">
        <v>11609</v>
      </c>
      <c r="I240" s="15">
        <v>11609</v>
      </c>
      <c r="J240" s="15">
        <v>9823</v>
      </c>
      <c r="K240" s="15">
        <v>9823</v>
      </c>
      <c r="L240" s="15">
        <v>10716</v>
      </c>
      <c r="M240" s="15">
        <v>8037</v>
      </c>
      <c r="N240" s="15">
        <v>8037</v>
      </c>
      <c r="O240" s="15">
        <v>8037</v>
      </c>
      <c r="P240" s="9">
        <f>SUM(D240:O240)</f>
        <v>127699</v>
      </c>
    </row>
    <row r="241" spans="1:16" ht="15.6" x14ac:dyDescent="0.3">
      <c r="A241" s="661" t="s">
        <v>20</v>
      </c>
      <c r="B241" s="662"/>
      <c r="C241" s="11" t="s">
        <v>18</v>
      </c>
      <c r="D241" s="15">
        <v>16967</v>
      </c>
      <c r="E241" s="15">
        <v>16967</v>
      </c>
      <c r="F241" s="15">
        <v>16074</v>
      </c>
      <c r="G241" s="15">
        <v>16074</v>
      </c>
      <c r="H241" s="15">
        <v>16074</v>
      </c>
      <c r="I241" s="15">
        <v>16074</v>
      </c>
      <c r="J241" s="15">
        <v>14288</v>
      </c>
      <c r="K241" s="15">
        <v>14288</v>
      </c>
      <c r="L241" s="15">
        <v>15181</v>
      </c>
      <c r="M241" s="15">
        <v>13395</v>
      </c>
      <c r="N241" s="15">
        <v>14288</v>
      </c>
      <c r="O241" s="15">
        <v>14288</v>
      </c>
      <c r="P241" s="9">
        <f>SUM(D241:O241)</f>
        <v>183958</v>
      </c>
    </row>
    <row r="242" spans="1:16" ht="15.6" x14ac:dyDescent="0.3">
      <c r="A242" s="647" t="s">
        <v>19</v>
      </c>
      <c r="B242" s="648"/>
      <c r="C242" s="11" t="s">
        <v>18</v>
      </c>
      <c r="D242" s="12">
        <f t="shared" ref="D242:P242" si="182">SUM(D238:D241)</f>
        <v>795663</v>
      </c>
      <c r="E242" s="12">
        <f t="shared" si="182"/>
        <v>805486</v>
      </c>
      <c r="F242" s="12">
        <f t="shared" si="182"/>
        <v>817095</v>
      </c>
      <c r="G242" s="12">
        <f t="shared" si="182"/>
        <v>828704</v>
      </c>
      <c r="H242" s="12">
        <f t="shared" si="182"/>
        <v>849243</v>
      </c>
      <c r="I242" s="12">
        <f t="shared" si="182"/>
        <v>856387</v>
      </c>
      <c r="J242" s="12">
        <f t="shared" si="182"/>
        <v>830490</v>
      </c>
      <c r="K242" s="12">
        <f t="shared" si="182"/>
        <v>846564</v>
      </c>
      <c r="L242" s="12">
        <f t="shared" si="182"/>
        <v>859959</v>
      </c>
      <c r="M242" s="12">
        <f t="shared" si="182"/>
        <v>815309</v>
      </c>
      <c r="N242" s="12">
        <f t="shared" si="182"/>
        <v>827811</v>
      </c>
      <c r="O242" s="12">
        <v>852815</v>
      </c>
      <c r="P242" s="40">
        <f t="shared" si="182"/>
        <v>9985526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11388853.529999999</v>
      </c>
      <c r="E243" s="10">
        <f t="shared" ref="E243:N243" si="183">E230+E236+E242</f>
        <v>15793171.869999999</v>
      </c>
      <c r="F243" s="10">
        <f>F230+F236+F242</f>
        <v>27043792.079999998</v>
      </c>
      <c r="G243" s="10">
        <f t="shared" si="183"/>
        <v>15742555.029999999</v>
      </c>
      <c r="H243" s="10">
        <f t="shared" si="183"/>
        <v>16443583.000000002</v>
      </c>
      <c r="I243" s="10">
        <f t="shared" si="183"/>
        <v>13188562.989999998</v>
      </c>
      <c r="J243" s="10">
        <f t="shared" si="183"/>
        <v>12230449.34</v>
      </c>
      <c r="K243" s="10">
        <f t="shared" si="183"/>
        <v>13020447.959999999</v>
      </c>
      <c r="L243" s="10">
        <f t="shared" si="183"/>
        <v>14340188.809999999</v>
      </c>
      <c r="M243" s="10">
        <f t="shared" si="183"/>
        <v>21279382.399999999</v>
      </c>
      <c r="N243" s="10">
        <f t="shared" si="183"/>
        <v>11388526</v>
      </c>
      <c r="O243" s="10">
        <v>11978526.890000001</v>
      </c>
      <c r="P243" s="40">
        <f t="shared" ref="P243" si="184">P216+P223+P236+P242</f>
        <v>197089618.85999998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56">
        <f>109270846.83-D246</f>
        <v>42267025.350000001</v>
      </c>
      <c r="E245" s="154">
        <f>117605168.41-E246</f>
        <v>45859862</v>
      </c>
      <c r="F245" s="154">
        <v>25801878.559999999</v>
      </c>
      <c r="G245" s="154">
        <v>49586109.219999999</v>
      </c>
      <c r="H245" s="154">
        <v>52010683.119999997</v>
      </c>
      <c r="I245" s="154">
        <f>133187300.23-I246</f>
        <v>51136761.109999999</v>
      </c>
      <c r="J245" s="154">
        <v>51830917.82</v>
      </c>
      <c r="K245" s="154">
        <f>133016307.96-83049795.79</f>
        <v>49966512.169999987</v>
      </c>
      <c r="L245" s="154">
        <v>54448347.590000004</v>
      </c>
      <c r="M245" s="154">
        <v>53814153.699999996</v>
      </c>
      <c r="N245" s="154">
        <v>56651952.049999997</v>
      </c>
      <c r="O245" s="154">
        <v>55888168.770000003</v>
      </c>
      <c r="P245" s="165">
        <f>O245</f>
        <v>55888168.770000003</v>
      </c>
    </row>
    <row r="246" spans="1:16" ht="15.6" x14ac:dyDescent="0.3">
      <c r="A246" s="657" t="s">
        <v>206</v>
      </c>
      <c r="B246" s="658"/>
      <c r="C246" s="11" t="s">
        <v>18</v>
      </c>
      <c r="D246" s="556">
        <v>67003821.479999997</v>
      </c>
      <c r="E246" s="154">
        <v>71745306.409999996</v>
      </c>
      <c r="F246" s="154">
        <v>53245477.82</v>
      </c>
      <c r="G246" s="154">
        <v>81595870.75</v>
      </c>
      <c r="H246" s="154">
        <v>82033362.650000006</v>
      </c>
      <c r="I246" s="556">
        <v>82050539.120000005</v>
      </c>
      <c r="J246" s="154">
        <v>82187540.560000002</v>
      </c>
      <c r="K246" s="154">
        <v>83049795.790000007</v>
      </c>
      <c r="L246" s="154">
        <v>82274642.219999999</v>
      </c>
      <c r="M246" s="154">
        <v>27629203.649999999</v>
      </c>
      <c r="N246" s="154">
        <v>28080367.640000001</v>
      </c>
      <c r="O246" s="154">
        <v>27965301.140000001</v>
      </c>
      <c r="P246" s="165">
        <f>O246</f>
        <v>27965301.140000001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109270846.83</v>
      </c>
      <c r="E247" s="142">
        <f>E245+E246</f>
        <v>117605168.41</v>
      </c>
      <c r="F247" s="142">
        <f t="shared" ref="F247:P247" si="185">F245+F246</f>
        <v>79047356.379999995</v>
      </c>
      <c r="G247" s="142">
        <f t="shared" si="185"/>
        <v>131181979.97</v>
      </c>
      <c r="H247" s="142">
        <f t="shared" si="185"/>
        <v>134044045.77000001</v>
      </c>
      <c r="I247" s="142">
        <f t="shared" si="185"/>
        <v>133187300.23</v>
      </c>
      <c r="J247" s="142">
        <f t="shared" si="185"/>
        <v>134018458.38</v>
      </c>
      <c r="K247" s="142">
        <f t="shared" si="185"/>
        <v>133016307.95999999</v>
      </c>
      <c r="L247" s="142">
        <f t="shared" si="185"/>
        <v>136722989.81</v>
      </c>
      <c r="M247" s="142">
        <f t="shared" si="185"/>
        <v>81443357.349999994</v>
      </c>
      <c r="N247" s="156">
        <f t="shared" si="185"/>
        <v>84732319.689999998</v>
      </c>
      <c r="O247" s="156">
        <v>83853469.909999996</v>
      </c>
      <c r="P247" s="165">
        <f t="shared" si="185"/>
        <v>83853469.909999996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8">
        <f>D58/D243</f>
        <v>0.62412645542206735</v>
      </c>
      <c r="E249" s="8">
        <f t="shared" ref="E249:F249" si="186">E58/E243</f>
        <v>0.46374592015378352</v>
      </c>
      <c r="F249" s="8">
        <f t="shared" si="186"/>
        <v>0.24210821472933022</v>
      </c>
      <c r="G249" s="8">
        <f>G58/G243</f>
        <v>0.50105864363408015</v>
      </c>
      <c r="H249" s="8">
        <f>H58/H243</f>
        <v>0.51116901307336715</v>
      </c>
      <c r="I249" s="8">
        <f t="shared" ref="I249:P249" si="187">I58/I243%</f>
        <v>62.629975701393697</v>
      </c>
      <c r="J249" s="8">
        <f t="shared" si="187"/>
        <v>62.380875317047021</v>
      </c>
      <c r="K249" s="8">
        <f t="shared" si="187"/>
        <v>65.352869586165411</v>
      </c>
      <c r="L249" s="8">
        <f t="shared" si="187"/>
        <v>66.349884656783701</v>
      </c>
      <c r="M249" s="8">
        <f t="shared" si="187"/>
        <v>60.478566113261721</v>
      </c>
      <c r="N249" s="8">
        <f t="shared" si="187"/>
        <v>34.321372105378501</v>
      </c>
      <c r="O249" s="8">
        <v>148.59616080248142</v>
      </c>
      <c r="P249" s="111">
        <f t="shared" si="187"/>
        <v>53.663002181214146</v>
      </c>
    </row>
    <row r="250" spans="1:16" ht="15.6" x14ac:dyDescent="0.3">
      <c r="A250" s="643" t="s">
        <v>208</v>
      </c>
      <c r="B250" s="644"/>
      <c r="C250" s="5" t="s">
        <v>6</v>
      </c>
      <c r="D250" s="29">
        <f>D210/(D223+D245)</f>
        <v>6.5838558367271802E-2</v>
      </c>
      <c r="E250" s="29">
        <f t="shared" ref="E250:F250" si="188">E210/(E223+E245)</f>
        <v>7.9739316444894376E-2</v>
      </c>
      <c r="F250" s="29">
        <f t="shared" si="188"/>
        <v>0.16105421607351933</v>
      </c>
      <c r="G250" s="29">
        <f>G210/(G223+G245)</f>
        <v>0.10989290827530045</v>
      </c>
      <c r="H250" s="29">
        <f>H210/(H223+H245)</f>
        <v>0.16449753863155955</v>
      </c>
      <c r="I250" s="29">
        <f t="shared" ref="I250:P250" si="189">I210/(I223+I245)%</f>
        <v>17.114974667898331</v>
      </c>
      <c r="J250" s="29">
        <f t="shared" si="189"/>
        <v>8.3683086467796848</v>
      </c>
      <c r="K250" s="29">
        <f t="shared" si="189"/>
        <v>17.152828476706606</v>
      </c>
      <c r="L250" s="29">
        <f t="shared" si="189"/>
        <v>4.7165740276260486</v>
      </c>
      <c r="M250" s="29">
        <f t="shared" si="189"/>
        <v>104.64392178349411</v>
      </c>
      <c r="N250" s="29">
        <f t="shared" si="189"/>
        <v>7.8104705294615417</v>
      </c>
      <c r="O250" s="29">
        <v>13.769176794013797</v>
      </c>
      <c r="P250" s="108">
        <f t="shared" si="189"/>
        <v>87.134908347325037</v>
      </c>
    </row>
    <row r="251" spans="1:16" ht="16.2" thickBot="1" x14ac:dyDescent="0.35">
      <c r="A251" s="652" t="s">
        <v>15</v>
      </c>
      <c r="B251" s="653"/>
      <c r="C251" s="5" t="s">
        <v>6</v>
      </c>
      <c r="D251" s="7">
        <f>D210/D223</f>
        <v>0.45446810252927694</v>
      </c>
      <c r="E251" s="7">
        <f t="shared" ref="E251:F251" si="190">E210/E223</f>
        <v>0.39600540159593123</v>
      </c>
      <c r="F251" s="7">
        <f t="shared" si="190"/>
        <v>0.43287192859876422</v>
      </c>
      <c r="G251" s="7">
        <f>G210/G223</f>
        <v>0.6218361503311608</v>
      </c>
      <c r="H251" s="7">
        <f>H210/H223</f>
        <v>1.3423843510754134</v>
      </c>
      <c r="I251" s="7">
        <f t="shared" ref="I251:P251" si="191">I210/I223%</f>
        <v>132.88430230705188</v>
      </c>
      <c r="J251" s="7">
        <f t="shared" si="191"/>
        <v>80.149411337426372</v>
      </c>
      <c r="K251" s="7">
        <f t="shared" si="191"/>
        <v>141.87811291405811</v>
      </c>
      <c r="L251" s="7">
        <f t="shared" si="191"/>
        <v>41.475458713725054</v>
      </c>
      <c r="M251" s="7">
        <f t="shared" si="191"/>
        <v>962.13763685071319</v>
      </c>
      <c r="N251" s="7">
        <f t="shared" si="191"/>
        <v>72.022471622972503</v>
      </c>
      <c r="O251" s="7">
        <v>136.28407359356498</v>
      </c>
      <c r="P251" s="112">
        <f t="shared" si="191"/>
        <v>136.26629879868156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" customHeight="1" x14ac:dyDescent="0.3">
      <c r="A253" s="643" t="s">
        <v>13</v>
      </c>
      <c r="B253" s="644"/>
      <c r="C253" s="5" t="s">
        <v>3</v>
      </c>
      <c r="D253" s="4">
        <f>D103</f>
        <v>62</v>
      </c>
      <c r="E253" s="4">
        <f>E103</f>
        <v>62</v>
      </c>
      <c r="F253" s="4">
        <f t="shared" ref="F253" si="192">F103</f>
        <v>60</v>
      </c>
      <c r="G253" s="4">
        <v>17</v>
      </c>
      <c r="H253" s="4">
        <f t="shared" ref="H253" si="193">H103</f>
        <v>60</v>
      </c>
      <c r="I253" s="4">
        <v>7</v>
      </c>
      <c r="J253" s="4">
        <v>21</v>
      </c>
      <c r="K253" s="4">
        <v>11</v>
      </c>
      <c r="L253" s="4">
        <v>5</v>
      </c>
      <c r="M253" s="4">
        <v>5</v>
      </c>
      <c r="N253" s="155">
        <v>5</v>
      </c>
      <c r="O253" s="155">
        <v>10</v>
      </c>
      <c r="P253" s="113">
        <f>SUM(D253:O253)</f>
        <v>325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5</v>
      </c>
      <c r="E254" s="4">
        <v>5</v>
      </c>
      <c r="F254" s="4">
        <v>5</v>
      </c>
      <c r="G254" s="4">
        <v>5</v>
      </c>
      <c r="H254" s="4">
        <v>7</v>
      </c>
      <c r="I254" s="4">
        <v>5</v>
      </c>
      <c r="J254" s="4">
        <v>5</v>
      </c>
      <c r="K254" s="4">
        <v>5</v>
      </c>
      <c r="L254" s="4">
        <v>5</v>
      </c>
      <c r="M254" s="4">
        <v>5</v>
      </c>
      <c r="N254" s="155">
        <v>5</v>
      </c>
      <c r="O254" s="155">
        <v>5</v>
      </c>
      <c r="P254" s="113">
        <f>SUM(D254:O254)</f>
        <v>62</v>
      </c>
    </row>
    <row r="255" spans="1:16" ht="15.75" customHeight="1" x14ac:dyDescent="0.3">
      <c r="A255" s="643" t="s">
        <v>11</v>
      </c>
      <c r="B255" s="644"/>
      <c r="C255" s="5" t="s">
        <v>3</v>
      </c>
      <c r="D255" s="4">
        <v>9</v>
      </c>
      <c r="E255" s="4">
        <v>5</v>
      </c>
      <c r="F255" s="4">
        <v>18</v>
      </c>
      <c r="G255" s="4">
        <v>8</v>
      </c>
      <c r="H255" s="4">
        <v>9</v>
      </c>
      <c r="I255" s="4">
        <v>9</v>
      </c>
      <c r="J255" s="4">
        <v>16</v>
      </c>
      <c r="K255" s="4">
        <v>18</v>
      </c>
      <c r="L255" s="132">
        <v>14</v>
      </c>
      <c r="M255" s="132">
        <f t="shared" ref="M255" si="194">M95</f>
        <v>13</v>
      </c>
      <c r="N255" s="155">
        <f t="shared" ref="N255" si="195">N95</f>
        <v>12</v>
      </c>
      <c r="O255" s="155">
        <v>2</v>
      </c>
      <c r="P255" s="113">
        <f>SUM(D255:O255)</f>
        <v>133</v>
      </c>
    </row>
    <row r="256" spans="1:16" ht="15.6" x14ac:dyDescent="0.3">
      <c r="A256" s="643" t="s">
        <v>10</v>
      </c>
      <c r="B256" s="644"/>
      <c r="C256" s="5" t="s">
        <v>3</v>
      </c>
      <c r="D256" s="4">
        <f>D102+D103</f>
        <v>76</v>
      </c>
      <c r="E256" s="4">
        <f>E102+E103</f>
        <v>76</v>
      </c>
      <c r="F256" s="4">
        <f>F102+F103</f>
        <v>74</v>
      </c>
      <c r="G256" s="132">
        <f t="shared" ref="G256" si="196">G91</f>
        <v>8</v>
      </c>
      <c r="H256" s="4">
        <f t="shared" ref="H256" si="197">H102+H103</f>
        <v>75</v>
      </c>
      <c r="I256" s="4">
        <v>18</v>
      </c>
      <c r="J256" s="4">
        <v>28</v>
      </c>
      <c r="K256" s="132">
        <f t="shared" ref="K256" si="198">K91</f>
        <v>11</v>
      </c>
      <c r="L256" s="132">
        <v>23</v>
      </c>
      <c r="M256" s="132">
        <f t="shared" ref="M256" si="199">M91</f>
        <v>5</v>
      </c>
      <c r="N256" s="155">
        <f t="shared" ref="N256" si="200">N91</f>
        <v>5</v>
      </c>
      <c r="O256" s="155">
        <v>10</v>
      </c>
      <c r="P256" s="113">
        <f>SUM(D256:O256)</f>
        <v>409</v>
      </c>
    </row>
    <row r="257" spans="1:16" ht="15.6" customHeight="1" x14ac:dyDescent="0.3">
      <c r="A257" s="643" t="s">
        <v>9</v>
      </c>
      <c r="B257" s="644"/>
      <c r="C257" s="5" t="s">
        <v>3</v>
      </c>
      <c r="D257" s="4">
        <v>14</v>
      </c>
      <c r="E257" s="4">
        <v>28</v>
      </c>
      <c r="F257" s="4">
        <v>28</v>
      </c>
      <c r="G257" s="4">
        <v>22</v>
      </c>
      <c r="H257" s="4">
        <v>21</v>
      </c>
      <c r="I257" s="4">
        <v>4</v>
      </c>
      <c r="J257" s="4">
        <v>28</v>
      </c>
      <c r="K257" s="4">
        <v>28</v>
      </c>
      <c r="L257" s="4">
        <v>28</v>
      </c>
      <c r="M257" s="4">
        <v>28</v>
      </c>
      <c r="N257" s="155">
        <v>28</v>
      </c>
      <c r="O257" s="155">
        <v>13</v>
      </c>
      <c r="P257" s="113">
        <f>SUM(D257:O257)</f>
        <v>270</v>
      </c>
    </row>
    <row r="258" spans="1:16" ht="15.6" x14ac:dyDescent="0.3">
      <c r="A258" s="647" t="s">
        <v>8</v>
      </c>
      <c r="B258" s="648"/>
      <c r="C258" s="5" t="s">
        <v>3</v>
      </c>
      <c r="D258" s="161">
        <f>D257/D256</f>
        <v>0.18421052631578946</v>
      </c>
      <c r="E258" s="161">
        <f t="shared" ref="E258:P258" si="201">E257/E256</f>
        <v>0.36842105263157893</v>
      </c>
      <c r="F258" s="161">
        <f t="shared" si="201"/>
        <v>0.3783783783783784</v>
      </c>
      <c r="G258" s="1">
        <f t="shared" si="201"/>
        <v>2.75</v>
      </c>
      <c r="H258" s="3">
        <f t="shared" si="201"/>
        <v>0.28000000000000003</v>
      </c>
      <c r="I258" s="3">
        <f t="shared" si="201"/>
        <v>0.22222222222222221</v>
      </c>
      <c r="J258" s="3">
        <f t="shared" si="201"/>
        <v>1</v>
      </c>
      <c r="K258" s="3">
        <f t="shared" si="201"/>
        <v>2.5454545454545454</v>
      </c>
      <c r="L258" s="3">
        <f t="shared" si="201"/>
        <v>1.2173913043478262</v>
      </c>
      <c r="M258" s="3">
        <f t="shared" si="201"/>
        <v>5.6</v>
      </c>
      <c r="N258" s="3">
        <f t="shared" si="201"/>
        <v>5.6</v>
      </c>
      <c r="O258" s="3">
        <v>1.3</v>
      </c>
      <c r="P258" s="113">
        <f t="shared" si="201"/>
        <v>0.66014669926650371</v>
      </c>
    </row>
    <row r="259" spans="1:16" ht="15.6" x14ac:dyDescent="0.3">
      <c r="A259" s="647" t="s">
        <v>7</v>
      </c>
      <c r="B259" s="648"/>
      <c r="C259" s="5" t="s">
        <v>6</v>
      </c>
      <c r="D259" s="161">
        <f>D92/D255*100</f>
        <v>77.777777777777786</v>
      </c>
      <c r="E259" s="161">
        <f t="shared" ref="E259:P259" si="202">E92/E255*100</f>
        <v>80</v>
      </c>
      <c r="F259" s="161">
        <f t="shared" si="202"/>
        <v>61.111111111111114</v>
      </c>
      <c r="G259" s="6">
        <f t="shared" si="202"/>
        <v>125</v>
      </c>
      <c r="H259" s="178">
        <f t="shared" si="202"/>
        <v>144.44444444444443</v>
      </c>
      <c r="I259" s="178">
        <f t="shared" si="202"/>
        <v>122.22222222222223</v>
      </c>
      <c r="J259" s="178">
        <f t="shared" si="202"/>
        <v>75</v>
      </c>
      <c r="K259" s="178">
        <f t="shared" si="202"/>
        <v>50</v>
      </c>
      <c r="L259" s="178">
        <v>64.285714285714292</v>
      </c>
      <c r="M259" s="178">
        <f t="shared" si="202"/>
        <v>46.153846153846153</v>
      </c>
      <c r="N259" s="178">
        <f t="shared" si="202"/>
        <v>50</v>
      </c>
      <c r="O259" s="178">
        <v>950</v>
      </c>
      <c r="P259" s="187">
        <f t="shared" si="202"/>
        <v>87.218045112781951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" customHeight="1" x14ac:dyDescent="0.3">
      <c r="A261" s="643" t="s">
        <v>4</v>
      </c>
      <c r="B261" s="644"/>
      <c r="C261" s="5" t="s">
        <v>3</v>
      </c>
      <c r="D261" s="4">
        <v>6</v>
      </c>
      <c r="E261" s="4">
        <v>10</v>
      </c>
      <c r="F261" s="4">
        <v>7</v>
      </c>
      <c r="G261" s="4">
        <v>9</v>
      </c>
      <c r="H261" s="4">
        <v>15</v>
      </c>
      <c r="I261" s="4">
        <v>2</v>
      </c>
      <c r="J261" s="4">
        <v>7</v>
      </c>
      <c r="K261" s="4">
        <v>9</v>
      </c>
      <c r="L261" s="4">
        <v>8</v>
      </c>
      <c r="M261" s="4">
        <v>5</v>
      </c>
      <c r="N261" s="4">
        <v>7</v>
      </c>
      <c r="O261" s="4">
        <v>8</v>
      </c>
      <c r="P261" s="40">
        <f>SUM(D261:O261)</f>
        <v>93</v>
      </c>
    </row>
    <row r="262" spans="1:16" s="2" customFormat="1" ht="15.75" customHeight="1" x14ac:dyDescent="0.3">
      <c r="A262" s="643" t="s">
        <v>2</v>
      </c>
      <c r="B262" s="644"/>
      <c r="C262" s="5" t="s">
        <v>0</v>
      </c>
      <c r="D262" s="4">
        <v>5</v>
      </c>
      <c r="E262" s="4">
        <v>5</v>
      </c>
      <c r="F262" s="4">
        <v>5</v>
      </c>
      <c r="G262" s="4">
        <v>5</v>
      </c>
      <c r="H262" s="4">
        <v>5</v>
      </c>
      <c r="I262" s="4">
        <v>5</v>
      </c>
      <c r="J262" s="4">
        <v>5</v>
      </c>
      <c r="K262" s="4">
        <v>6</v>
      </c>
      <c r="L262" s="4">
        <v>5</v>
      </c>
      <c r="M262" s="4">
        <v>5</v>
      </c>
      <c r="N262" s="4">
        <v>5</v>
      </c>
      <c r="O262" s="4">
        <v>1</v>
      </c>
      <c r="P262" s="40">
        <f>SUM(D262:O262)</f>
        <v>57</v>
      </c>
    </row>
    <row r="263" spans="1:16" ht="16.2" thickBot="1" x14ac:dyDescent="0.35">
      <c r="A263" s="645" t="s">
        <v>1</v>
      </c>
      <c r="B263" s="646"/>
      <c r="C263" s="115" t="s">
        <v>0</v>
      </c>
      <c r="D263" s="559">
        <f>D261/D262</f>
        <v>1.2</v>
      </c>
      <c r="E263" s="559">
        <f t="shared" ref="E263:F263" si="203">E261/E262</f>
        <v>2</v>
      </c>
      <c r="F263" s="559">
        <f t="shared" si="203"/>
        <v>1.4</v>
      </c>
      <c r="G263" s="116">
        <f t="shared" ref="G263:N263" si="204">G261/G262</f>
        <v>1.8</v>
      </c>
      <c r="H263" s="559">
        <f t="shared" si="204"/>
        <v>3</v>
      </c>
      <c r="I263" s="559">
        <f t="shared" si="204"/>
        <v>0.4</v>
      </c>
      <c r="J263" s="116">
        <f t="shared" si="204"/>
        <v>1.4</v>
      </c>
      <c r="K263" s="116">
        <f t="shared" si="204"/>
        <v>1.5</v>
      </c>
      <c r="L263" s="116">
        <f t="shared" si="204"/>
        <v>1.6</v>
      </c>
      <c r="M263" s="116">
        <f t="shared" si="204"/>
        <v>1</v>
      </c>
      <c r="N263" s="116">
        <f t="shared" si="204"/>
        <v>1.4</v>
      </c>
      <c r="O263" s="116">
        <v>8</v>
      </c>
      <c r="P263" s="202">
        <f t="shared" ref="P263" si="205">P261/P262</f>
        <v>1.631578947368421</v>
      </c>
    </row>
  </sheetData>
  <mergeCells count="158"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263"/>
  <sheetViews>
    <sheetView workbookViewId="0">
      <pane xSplit="3" topLeftCell="O1" activePane="topRight" state="frozen"/>
      <selection pane="topRight" activeCell="O1" sqref="O1:O1048576"/>
    </sheetView>
  </sheetViews>
  <sheetFormatPr defaultRowHeight="14.4" x14ac:dyDescent="0.3"/>
  <cols>
    <col min="1" max="1" width="39" customWidth="1"/>
    <col min="2" max="2" width="15.88671875" bestFit="1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57">
        <v>5343</v>
      </c>
      <c r="E9" s="57">
        <v>8541</v>
      </c>
      <c r="F9" s="57">
        <v>7689</v>
      </c>
      <c r="G9" s="57">
        <v>7562</v>
      </c>
      <c r="H9" s="57">
        <v>8349</v>
      </c>
      <c r="I9" s="57">
        <v>7182</v>
      </c>
      <c r="J9" s="57">
        <v>8063</v>
      </c>
      <c r="K9" s="57">
        <v>7892</v>
      </c>
      <c r="L9" s="57">
        <v>8596</v>
      </c>
      <c r="M9" s="57">
        <v>9482</v>
      </c>
      <c r="N9" s="57">
        <v>9222</v>
      </c>
      <c r="O9" s="57">
        <v>9113</v>
      </c>
      <c r="P9" s="56">
        <f>SUM(D9:O9)</f>
        <v>97034</v>
      </c>
    </row>
    <row r="10" spans="1:16" x14ac:dyDescent="0.3">
      <c r="A10" s="649" t="s">
        <v>177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f>480+11+2737</f>
        <v>3228</v>
      </c>
      <c r="E11" s="26">
        <f>696+9+3465</f>
        <v>4170</v>
      </c>
      <c r="F11" s="26">
        <f>604+11+3577</f>
        <v>4192</v>
      </c>
      <c r="G11" s="26">
        <f>490+10+3109</f>
        <v>3609</v>
      </c>
      <c r="H11" s="26">
        <f>642+11+3625</f>
        <v>4278</v>
      </c>
      <c r="I11" s="26">
        <f>488+11+3383</f>
        <v>3882</v>
      </c>
      <c r="J11" s="26">
        <f>714+10+4332</f>
        <v>5056</v>
      </c>
      <c r="K11" s="26">
        <v>5000</v>
      </c>
      <c r="L11" s="26">
        <v>5333</v>
      </c>
      <c r="M11" s="26">
        <v>5127</v>
      </c>
      <c r="N11" s="26">
        <v>5090</v>
      </c>
      <c r="O11" s="26">
        <v>4876</v>
      </c>
      <c r="P11" s="55">
        <f>SUM(D11:O11)</f>
        <v>53841</v>
      </c>
    </row>
    <row r="12" spans="1:16" ht="15.6" x14ac:dyDescent="0.3">
      <c r="A12" s="663" t="s">
        <v>156</v>
      </c>
      <c r="B12" s="664"/>
      <c r="C12" s="11" t="s">
        <v>152</v>
      </c>
      <c r="D12" s="26">
        <v>6</v>
      </c>
      <c r="E12" s="26">
        <v>8</v>
      </c>
      <c r="F12" s="26">
        <v>11</v>
      </c>
      <c r="G12" s="26">
        <v>11</v>
      </c>
      <c r="H12" s="26">
        <v>12</v>
      </c>
      <c r="I12" s="26">
        <v>15</v>
      </c>
      <c r="J12" s="26">
        <v>6</v>
      </c>
      <c r="K12" s="26">
        <v>8</v>
      </c>
      <c r="L12" s="26">
        <v>31</v>
      </c>
      <c r="M12" s="26">
        <v>21</v>
      </c>
      <c r="N12" s="26">
        <v>26</v>
      </c>
      <c r="O12" s="26">
        <v>19</v>
      </c>
      <c r="P12" s="55">
        <f>SUM(D12:O12)</f>
        <v>174</v>
      </c>
    </row>
    <row r="13" spans="1:16" ht="15.6" x14ac:dyDescent="0.3">
      <c r="A13" s="663" t="s">
        <v>155</v>
      </c>
      <c r="B13" s="664"/>
      <c r="C13" s="11" t="s">
        <v>152</v>
      </c>
      <c r="D13" s="26">
        <v>238</v>
      </c>
      <c r="E13" s="26">
        <v>425</v>
      </c>
      <c r="F13" s="26">
        <v>691</v>
      </c>
      <c r="G13" s="26">
        <v>752</v>
      </c>
      <c r="H13" s="26">
        <v>343</v>
      </c>
      <c r="I13" s="26">
        <v>72</v>
      </c>
      <c r="J13" s="26">
        <v>129</v>
      </c>
      <c r="K13" s="26">
        <v>91</v>
      </c>
      <c r="L13" s="26">
        <v>275</v>
      </c>
      <c r="M13" s="26">
        <v>246</v>
      </c>
      <c r="N13" s="26">
        <v>513</v>
      </c>
      <c r="O13" s="26">
        <v>524</v>
      </c>
      <c r="P13" s="55">
        <f>SUM(D13:O13)</f>
        <v>4299</v>
      </c>
    </row>
    <row r="14" spans="1:16" ht="15.6" x14ac:dyDescent="0.3">
      <c r="A14" s="661" t="s">
        <v>154</v>
      </c>
      <c r="B14" s="662"/>
      <c r="C14" s="11" t="s">
        <v>152</v>
      </c>
      <c r="D14" s="26">
        <v>90</v>
      </c>
      <c r="E14" s="26">
        <v>106</v>
      </c>
      <c r="F14" s="26">
        <v>145</v>
      </c>
      <c r="G14" s="26">
        <v>86</v>
      </c>
      <c r="H14" s="26">
        <v>127</v>
      </c>
      <c r="I14" s="26">
        <v>97</v>
      </c>
      <c r="J14" s="26">
        <v>102</v>
      </c>
      <c r="K14" s="26">
        <v>131</v>
      </c>
      <c r="L14" s="26">
        <v>106</v>
      </c>
      <c r="M14" s="26">
        <v>105</v>
      </c>
      <c r="N14" s="26">
        <v>99</v>
      </c>
      <c r="O14" s="26">
        <v>90</v>
      </c>
      <c r="P14" s="55">
        <f>SUM(D14:O14)</f>
        <v>1284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P15" si="0">SUM(D11:D14)</f>
        <v>3562</v>
      </c>
      <c r="E15" s="34">
        <f t="shared" si="0"/>
        <v>4709</v>
      </c>
      <c r="F15" s="34">
        <f t="shared" si="0"/>
        <v>5039</v>
      </c>
      <c r="G15" s="34">
        <f t="shared" si="0"/>
        <v>4458</v>
      </c>
      <c r="H15" s="34">
        <f t="shared" si="0"/>
        <v>4760</v>
      </c>
      <c r="I15" s="34">
        <f t="shared" si="0"/>
        <v>4066</v>
      </c>
      <c r="J15" s="34">
        <f t="shared" si="0"/>
        <v>5293</v>
      </c>
      <c r="K15" s="34">
        <f t="shared" si="0"/>
        <v>5230</v>
      </c>
      <c r="L15" s="34">
        <f t="shared" si="0"/>
        <v>5745</v>
      </c>
      <c r="M15" s="34">
        <f t="shared" si="0"/>
        <v>5499</v>
      </c>
      <c r="N15" s="34">
        <f t="shared" si="0"/>
        <v>5728</v>
      </c>
      <c r="O15" s="34">
        <v>5509</v>
      </c>
      <c r="P15" s="55">
        <f t="shared" si="0"/>
        <v>59598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v>752</v>
      </c>
      <c r="E17" s="26">
        <v>1203</v>
      </c>
      <c r="F17" s="26">
        <v>912</v>
      </c>
      <c r="G17" s="26">
        <v>927</v>
      </c>
      <c r="H17" s="26">
        <v>911</v>
      </c>
      <c r="I17" s="26">
        <v>726</v>
      </c>
      <c r="J17" s="26">
        <v>998</v>
      </c>
      <c r="K17" s="26">
        <v>960</v>
      </c>
      <c r="L17" s="26">
        <v>1266</v>
      </c>
      <c r="M17" s="26">
        <v>871</v>
      </c>
      <c r="N17" s="26">
        <v>720</v>
      </c>
      <c r="O17" s="26">
        <v>912</v>
      </c>
      <c r="P17" s="55">
        <f>SUM(D17:O17)</f>
        <v>11158</v>
      </c>
      <c r="Q17" s="172"/>
    </row>
    <row r="18" spans="1:17" s="2" customFormat="1" ht="15.6" x14ac:dyDescent="0.3">
      <c r="A18" s="663" t="s">
        <v>181</v>
      </c>
      <c r="B18" s="664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55">
        <f>SUM(D18:O18)</f>
        <v>0</v>
      </c>
      <c r="Q18" s="172"/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v>104</v>
      </c>
      <c r="E19" s="26">
        <f>108+125</f>
        <v>233</v>
      </c>
      <c r="F19" s="26">
        <v>123</v>
      </c>
      <c r="G19" s="26">
        <v>163</v>
      </c>
      <c r="H19" s="26">
        <v>134</v>
      </c>
      <c r="I19" s="26">
        <f>1094-927</f>
        <v>167</v>
      </c>
      <c r="J19" s="26">
        <v>197</v>
      </c>
      <c r="K19" s="26">
        <v>77</v>
      </c>
      <c r="L19" s="26">
        <v>71</v>
      </c>
      <c r="M19" s="26">
        <v>62</v>
      </c>
      <c r="N19" s="26">
        <v>84</v>
      </c>
      <c r="O19" s="26">
        <v>106</v>
      </c>
      <c r="P19" s="55">
        <f>SUM(D19:O19)</f>
        <v>1521</v>
      </c>
      <c r="Q19" s="172"/>
    </row>
    <row r="20" spans="1:17" s="2" customFormat="1" ht="15.6" x14ac:dyDescent="0.3">
      <c r="A20" s="661" t="s">
        <v>183</v>
      </c>
      <c r="B20" s="662"/>
      <c r="C20" s="11" t="s">
        <v>152</v>
      </c>
      <c r="D20" s="26">
        <v>198</v>
      </c>
      <c r="E20" s="26">
        <v>355</v>
      </c>
      <c r="F20" s="26">
        <f>1157-1035</f>
        <v>122</v>
      </c>
      <c r="G20" s="26">
        <f>1366-1090</f>
        <v>276</v>
      </c>
      <c r="H20" s="26">
        <f>1264-1045</f>
        <v>219</v>
      </c>
      <c r="I20" s="26">
        <v>201</v>
      </c>
      <c r="J20" s="26">
        <f>1407-1195</f>
        <v>212</v>
      </c>
      <c r="K20" s="26">
        <f>108+73</f>
        <v>181</v>
      </c>
      <c r="L20" s="26">
        <v>208</v>
      </c>
      <c r="M20" s="26">
        <v>182.09999999999991</v>
      </c>
      <c r="N20" s="26">
        <v>417.59999999999991</v>
      </c>
      <c r="O20" s="26">
        <v>139</v>
      </c>
      <c r="P20" s="55">
        <f>SUM(D20:O20)</f>
        <v>2710.7</v>
      </c>
      <c r="Q20" s="172"/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1054</v>
      </c>
      <c r="E21" s="34">
        <f t="shared" ref="E21:P21" si="1">SUM(E17:E20)</f>
        <v>1791</v>
      </c>
      <c r="F21" s="34">
        <f t="shared" si="1"/>
        <v>1157</v>
      </c>
      <c r="G21" s="34">
        <f t="shared" si="1"/>
        <v>1366</v>
      </c>
      <c r="H21" s="34">
        <f t="shared" si="1"/>
        <v>1264</v>
      </c>
      <c r="I21" s="34">
        <f t="shared" si="1"/>
        <v>1094</v>
      </c>
      <c r="J21" s="34">
        <f t="shared" si="1"/>
        <v>1407</v>
      </c>
      <c r="K21" s="34">
        <f t="shared" si="1"/>
        <v>1218</v>
      </c>
      <c r="L21" s="34">
        <f t="shared" si="1"/>
        <v>1545</v>
      </c>
      <c r="M21" s="34">
        <f t="shared" si="1"/>
        <v>1115.0999999999999</v>
      </c>
      <c r="N21" s="34">
        <f t="shared" si="1"/>
        <v>1221.5999999999999</v>
      </c>
      <c r="O21" s="34">
        <v>1157</v>
      </c>
      <c r="P21" s="55">
        <f t="shared" si="1"/>
        <v>15389.7</v>
      </c>
      <c r="Q21" s="172"/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4616</v>
      </c>
      <c r="E22" s="34">
        <f t="shared" ref="E22:P22" si="2">E21+E15</f>
        <v>6500</v>
      </c>
      <c r="F22" s="34">
        <f t="shared" si="2"/>
        <v>6196</v>
      </c>
      <c r="G22" s="34">
        <f t="shared" si="2"/>
        <v>5824</v>
      </c>
      <c r="H22" s="34">
        <f t="shared" si="2"/>
        <v>6024</v>
      </c>
      <c r="I22" s="34">
        <f t="shared" si="2"/>
        <v>5160</v>
      </c>
      <c r="J22" s="34">
        <f t="shared" si="2"/>
        <v>6700</v>
      </c>
      <c r="K22" s="34">
        <f t="shared" si="2"/>
        <v>6448</v>
      </c>
      <c r="L22" s="34">
        <f t="shared" si="2"/>
        <v>7290</v>
      </c>
      <c r="M22" s="34">
        <f t="shared" si="2"/>
        <v>6614.1</v>
      </c>
      <c r="N22" s="34">
        <f t="shared" si="2"/>
        <v>6949.6</v>
      </c>
      <c r="O22" s="34">
        <v>6666</v>
      </c>
      <c r="P22" s="55">
        <f t="shared" si="2"/>
        <v>74987.7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54">
        <f>D9-D22</f>
        <v>727</v>
      </c>
      <c r="E24" s="54">
        <f t="shared" ref="E24:P24" si="3">E9-E22</f>
        <v>2041</v>
      </c>
      <c r="F24" s="54">
        <f t="shared" si="3"/>
        <v>1493</v>
      </c>
      <c r="G24" s="54">
        <f t="shared" si="3"/>
        <v>1738</v>
      </c>
      <c r="H24" s="54">
        <f t="shared" si="3"/>
        <v>2325</v>
      </c>
      <c r="I24" s="54">
        <f t="shared" si="3"/>
        <v>2022</v>
      </c>
      <c r="J24" s="54">
        <f t="shared" si="3"/>
        <v>1363</v>
      </c>
      <c r="K24" s="54">
        <f t="shared" si="3"/>
        <v>1444</v>
      </c>
      <c r="L24" s="54">
        <f t="shared" si="3"/>
        <v>1306</v>
      </c>
      <c r="M24" s="54">
        <f t="shared" si="3"/>
        <v>2867.8999999999996</v>
      </c>
      <c r="N24" s="54">
        <f t="shared" si="3"/>
        <v>2272.3999999999996</v>
      </c>
      <c r="O24" s="54">
        <v>2447</v>
      </c>
      <c r="P24" s="99">
        <f t="shared" si="3"/>
        <v>22046.300000000003</v>
      </c>
    </row>
    <row r="25" spans="1:17" ht="15.6" x14ac:dyDescent="0.3">
      <c r="A25" s="716"/>
      <c r="B25" s="53" t="s">
        <v>151</v>
      </c>
      <c r="C25" s="52" t="s">
        <v>6</v>
      </c>
      <c r="D25" s="51">
        <f t="shared" ref="D25:P25" si="4">D24/D9</f>
        <v>0.13606588059142805</v>
      </c>
      <c r="E25" s="51">
        <f t="shared" si="4"/>
        <v>0.23896499238964991</v>
      </c>
      <c r="F25" s="51">
        <f t="shared" si="4"/>
        <v>0.19417349460267916</v>
      </c>
      <c r="G25" s="51">
        <f t="shared" si="4"/>
        <v>0.22983337741338269</v>
      </c>
      <c r="H25" s="51">
        <f t="shared" si="4"/>
        <v>0.27847646424721523</v>
      </c>
      <c r="I25" s="51">
        <f t="shared" si="4"/>
        <v>0.28153717627401836</v>
      </c>
      <c r="J25" s="51">
        <f t="shared" si="4"/>
        <v>0.16904378023068337</v>
      </c>
      <c r="K25" s="51">
        <f t="shared" si="4"/>
        <v>0.18297009630005068</v>
      </c>
      <c r="L25" s="51">
        <f t="shared" si="4"/>
        <v>0.15193113075849232</v>
      </c>
      <c r="M25" s="51">
        <f t="shared" si="4"/>
        <v>0.30245728749209022</v>
      </c>
      <c r="N25" s="51">
        <f t="shared" si="4"/>
        <v>0.24641075688570804</v>
      </c>
      <c r="O25" s="51">
        <v>0.2685175024690003</v>
      </c>
      <c r="P25" s="100">
        <f t="shared" si="4"/>
        <v>0.2272018055526929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3">
        <v>6</v>
      </c>
      <c r="E29" s="43">
        <v>14</v>
      </c>
      <c r="F29" s="43">
        <v>16</v>
      </c>
      <c r="G29" s="43">
        <v>15</v>
      </c>
      <c r="H29" s="43">
        <v>8</v>
      </c>
      <c r="I29" s="43">
        <v>8</v>
      </c>
      <c r="J29" s="43">
        <v>7</v>
      </c>
      <c r="K29" s="43">
        <v>8</v>
      </c>
      <c r="L29" s="43">
        <v>10</v>
      </c>
      <c r="M29" s="43">
        <v>11</v>
      </c>
      <c r="N29" s="43">
        <v>9</v>
      </c>
      <c r="O29" s="43">
        <v>7</v>
      </c>
      <c r="P29" s="45">
        <f>SUM(D29:O29)</f>
        <v>119</v>
      </c>
    </row>
    <row r="30" spans="1:17" ht="15.6" x14ac:dyDescent="0.3">
      <c r="A30" s="711"/>
      <c r="B30" s="642"/>
      <c r="C30" s="42" t="s">
        <v>139</v>
      </c>
      <c r="D30" s="15">
        <f t="shared" ref="D30:F30" si="5">D29/(D9/1000)</f>
        <v>1.1229646266142617</v>
      </c>
      <c r="E30" s="15">
        <f t="shared" si="5"/>
        <v>1.6391523240838308</v>
      </c>
      <c r="F30" s="15">
        <f t="shared" si="5"/>
        <v>2.0808947847574455</v>
      </c>
      <c r="G30" s="15">
        <f>G29/(G9/1000)</f>
        <v>1.9836022216344882</v>
      </c>
      <c r="H30" s="15">
        <f t="shared" ref="H30:K30" si="6">H29/(H9/1000)</f>
        <v>0.95819858665708468</v>
      </c>
      <c r="I30" s="15">
        <f t="shared" si="6"/>
        <v>1.1138958507379559</v>
      </c>
      <c r="J30" s="15">
        <f t="shared" si="6"/>
        <v>0.86816321468436064</v>
      </c>
      <c r="K30" s="15">
        <f t="shared" si="6"/>
        <v>1.0136847440446022</v>
      </c>
      <c r="L30" s="15">
        <v>1.1633317822242903</v>
      </c>
      <c r="M30" s="15">
        <f t="shared" ref="M30:P30" si="7">M29/(M9/1000)</f>
        <v>1.160092807424594</v>
      </c>
      <c r="N30" s="15">
        <f t="shared" si="7"/>
        <v>0.97592713077423554</v>
      </c>
      <c r="O30" s="15">
        <v>0.7681334357511248</v>
      </c>
      <c r="P30" s="102">
        <f t="shared" si="7"/>
        <v>1.2263742605684604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>
        <f t="shared" ref="G32:P32" si="9">G31/(G9/1000)</f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5">
        <v>0</v>
      </c>
      <c r="P32" s="102">
        <f t="shared" si="9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>
        <f t="shared" ref="G34:P34" si="11">G33/(G9/1000)</f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5">
        <v>0</v>
      </c>
      <c r="P34" s="102">
        <f t="shared" si="11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>
        <v>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2"/>
    </row>
    <row r="36" spans="1:16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>
        <f t="shared" ref="G38:P38" si="13">G37/(G9/1000)</f>
        <v>0</v>
      </c>
      <c r="H38" s="15">
        <f t="shared" si="13"/>
        <v>0</v>
      </c>
      <c r="I38" s="15">
        <f t="shared" si="13"/>
        <v>0</v>
      </c>
      <c r="J38" s="15">
        <f t="shared" si="13"/>
        <v>0</v>
      </c>
      <c r="K38" s="15">
        <f t="shared" si="13"/>
        <v>0</v>
      </c>
      <c r="L38" s="15">
        <f t="shared" si="13"/>
        <v>0</v>
      </c>
      <c r="M38" s="15">
        <f t="shared" si="13"/>
        <v>0</v>
      </c>
      <c r="N38" s="15">
        <f t="shared" si="13"/>
        <v>0</v>
      </c>
      <c r="O38" s="15">
        <v>0</v>
      </c>
      <c r="P38" s="102">
        <f t="shared" si="13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 t="shared" ref="G40:P40" si="15">G39/(G9/1000)</f>
        <v>0</v>
      </c>
      <c r="H40" s="15">
        <f t="shared" si="15"/>
        <v>0</v>
      </c>
      <c r="I40" s="15">
        <f t="shared" si="15"/>
        <v>0</v>
      </c>
      <c r="J40" s="15">
        <f t="shared" si="15"/>
        <v>0</v>
      </c>
      <c r="K40" s="15">
        <f t="shared" si="15"/>
        <v>0</v>
      </c>
      <c r="L40" s="15">
        <f t="shared" si="15"/>
        <v>0</v>
      </c>
      <c r="M40" s="15">
        <f t="shared" si="15"/>
        <v>0</v>
      </c>
      <c r="N40" s="15">
        <f t="shared" si="15"/>
        <v>0</v>
      </c>
      <c r="O40" s="15">
        <v>0</v>
      </c>
      <c r="P40" s="102">
        <f t="shared" si="15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30670.02</v>
      </c>
      <c r="E41" s="41">
        <f t="shared" ref="E41:N41" si="16">(E29*$B29)+(E31*$B31)+(E33*$B33)+(E35*$B35)+(E37*$B37)+(E39*$B39)</f>
        <v>71563.38</v>
      </c>
      <c r="F41" s="41">
        <f t="shared" si="16"/>
        <v>81786.720000000001</v>
      </c>
      <c r="G41" s="41">
        <f>(G29*$B29)+(G31*$B31)+(G33*$B33)+(G35*$B35)+(G37*$B37)+(G39*$B39)</f>
        <v>76675.05</v>
      </c>
      <c r="H41" s="41">
        <f t="shared" si="16"/>
        <v>40893.360000000001</v>
      </c>
      <c r="I41" s="41">
        <f t="shared" si="16"/>
        <v>40893.360000000001</v>
      </c>
      <c r="J41" s="41">
        <f t="shared" si="16"/>
        <v>35781.69</v>
      </c>
      <c r="K41" s="41">
        <f t="shared" si="16"/>
        <v>40893.360000000001</v>
      </c>
      <c r="L41" s="41">
        <f t="shared" si="16"/>
        <v>51116.7</v>
      </c>
      <c r="M41" s="41">
        <f t="shared" si="16"/>
        <v>56228.37</v>
      </c>
      <c r="N41" s="41">
        <f t="shared" si="16"/>
        <v>46005.03</v>
      </c>
      <c r="O41" s="41">
        <v>35781.69</v>
      </c>
      <c r="P41" s="39">
        <f>SUM(D41:O41)</f>
        <v>608288.73</v>
      </c>
    </row>
    <row r="42" spans="1:16" ht="15.6" x14ac:dyDescent="0.3">
      <c r="A42" s="708" t="s">
        <v>137</v>
      </c>
      <c r="B42" s="709"/>
      <c r="C42" s="42" t="s">
        <v>115</v>
      </c>
      <c r="D42" s="15">
        <f t="shared" ref="D42:P42" si="17">D41/D9</f>
        <v>5.7402245929253226</v>
      </c>
      <c r="E42" s="15">
        <f t="shared" si="17"/>
        <v>8.3788057604495965</v>
      </c>
      <c r="F42" s="15">
        <f t="shared" si="17"/>
        <v>10.636847444401093</v>
      </c>
      <c r="G42" s="15">
        <f t="shared" si="17"/>
        <v>10.139519968262364</v>
      </c>
      <c r="H42" s="15">
        <f t="shared" si="17"/>
        <v>4.8979949694574199</v>
      </c>
      <c r="I42" s="15">
        <f t="shared" si="17"/>
        <v>5.693868003341688</v>
      </c>
      <c r="J42" s="15">
        <f t="shared" si="17"/>
        <v>4.4377638596056057</v>
      </c>
      <c r="K42" s="15">
        <f t="shared" si="17"/>
        <v>5.1816218955904718</v>
      </c>
      <c r="L42" s="15">
        <f t="shared" si="17"/>
        <v>5.9465681712424381</v>
      </c>
      <c r="M42" s="15">
        <f t="shared" si="17"/>
        <v>5.9300116009280748</v>
      </c>
      <c r="N42" s="15">
        <f t="shared" si="17"/>
        <v>4.988617436564736</v>
      </c>
      <c r="O42" s="15">
        <v>3.9264446395259522</v>
      </c>
      <c r="P42" s="44">
        <f t="shared" si="17"/>
        <v>6.2688205165199822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">
        <v>4964</v>
      </c>
      <c r="E44" s="4">
        <v>9127</v>
      </c>
      <c r="F44" s="43">
        <v>7643</v>
      </c>
      <c r="G44" s="43">
        <v>7067</v>
      </c>
      <c r="H44" s="43">
        <v>8028</v>
      </c>
      <c r="I44" s="43">
        <v>9732</v>
      </c>
      <c r="J44" s="43">
        <v>8653</v>
      </c>
      <c r="K44" s="43">
        <v>9833</v>
      </c>
      <c r="L44" s="43">
        <v>12326</v>
      </c>
      <c r="M44" s="43">
        <v>9497</v>
      </c>
      <c r="N44" s="43">
        <v>8566</v>
      </c>
      <c r="O44" s="43">
        <v>8196</v>
      </c>
      <c r="P44" s="39">
        <f>SUM(D44:O44)</f>
        <v>103632</v>
      </c>
    </row>
    <row r="45" spans="1:16" ht="15.6" x14ac:dyDescent="0.3">
      <c r="A45" s="708" t="s">
        <v>133</v>
      </c>
      <c r="B45" s="709"/>
      <c r="C45" s="42" t="s">
        <v>132</v>
      </c>
      <c r="D45" s="15">
        <f t="shared" ref="D45:H45" si="18">D44/D9</f>
        <v>0.92906606775219913</v>
      </c>
      <c r="E45" s="15">
        <f t="shared" si="18"/>
        <v>1.0686102329937945</v>
      </c>
      <c r="F45" s="15">
        <f t="shared" si="18"/>
        <v>0.99401742749382238</v>
      </c>
      <c r="G45" s="15">
        <f t="shared" si="18"/>
        <v>0.93454112668606193</v>
      </c>
      <c r="H45" s="15">
        <f t="shared" si="18"/>
        <v>0.96155228171038443</v>
      </c>
      <c r="I45" s="15">
        <f t="shared" ref="I45:P45" si="19">I44/I9</f>
        <v>1.3550543024227235</v>
      </c>
      <c r="J45" s="15">
        <f t="shared" si="19"/>
        <v>1.0731737566662534</v>
      </c>
      <c r="K45" s="15">
        <f t="shared" si="19"/>
        <v>1.2459452610238215</v>
      </c>
      <c r="L45" s="15">
        <f t="shared" si="19"/>
        <v>1.4339227547696602</v>
      </c>
      <c r="M45" s="15">
        <f t="shared" si="19"/>
        <v>1.0015819447373973</v>
      </c>
      <c r="N45" s="15">
        <f t="shared" si="19"/>
        <v>0.92886575580134456</v>
      </c>
      <c r="O45" s="15">
        <v>0.89937451991660267</v>
      </c>
      <c r="P45" s="102">
        <f t="shared" si="19"/>
        <v>1.0679967846321907</v>
      </c>
    </row>
    <row r="46" spans="1:16" ht="15.6" x14ac:dyDescent="0.3">
      <c r="A46" s="643" t="s">
        <v>131</v>
      </c>
      <c r="B46" s="644"/>
      <c r="C46" s="5" t="s">
        <v>31</v>
      </c>
      <c r="D46" s="3">
        <f t="shared" ref="D46:N46" si="20">1.165*(14100+(D44*119.1))</f>
        <v>705188.946</v>
      </c>
      <c r="E46" s="3">
        <f t="shared" si="20"/>
        <v>1282811.4405</v>
      </c>
      <c r="F46" s="3">
        <f t="shared" si="20"/>
        <v>1076904.2145</v>
      </c>
      <c r="G46" s="3">
        <f t="shared" si="20"/>
        <v>996983.35049999994</v>
      </c>
      <c r="H46" s="3">
        <f t="shared" si="20"/>
        <v>1130323.5419999999</v>
      </c>
      <c r="I46" s="3">
        <f t="shared" si="20"/>
        <v>1366756.098</v>
      </c>
      <c r="J46" s="3">
        <f t="shared" si="20"/>
        <v>1217043.2294999999</v>
      </c>
      <c r="K46" s="3">
        <f t="shared" si="20"/>
        <v>1380769.9995000002</v>
      </c>
      <c r="L46" s="3">
        <f t="shared" si="20"/>
        <v>1726677.4889999998</v>
      </c>
      <c r="M46" s="3">
        <f t="shared" si="20"/>
        <v>1334149.4955</v>
      </c>
      <c r="N46" s="3">
        <f t="shared" si="20"/>
        <v>1204971.8489999999</v>
      </c>
      <c r="O46" s="3">
        <v>1153633.794</v>
      </c>
      <c r="P46" s="39">
        <f>SUM(D46:O46)</f>
        <v>14576213.448000001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>
        <f t="shared" ref="D47:P47" si="21">D46/D9</f>
        <v>131.98370690623244</v>
      </c>
      <c r="E47" s="15">
        <f t="shared" si="21"/>
        <v>150.19452528977871</v>
      </c>
      <c r="F47" s="15">
        <f t="shared" si="21"/>
        <v>140.05777272727272</v>
      </c>
      <c r="G47" s="15">
        <f t="shared" si="21"/>
        <v>131.84122593229304</v>
      </c>
      <c r="H47" s="15">
        <f t="shared" si="21"/>
        <v>135.38430255120372</v>
      </c>
      <c r="I47" s="15">
        <f t="shared" si="21"/>
        <v>190.30299331662491</v>
      </c>
      <c r="J47" s="15">
        <f t="shared" si="21"/>
        <v>150.94173750465086</v>
      </c>
      <c r="K47" s="15">
        <f t="shared" si="21"/>
        <v>174.95818544095289</v>
      </c>
      <c r="L47" s="15">
        <f t="shared" si="21"/>
        <v>200.86988006049324</v>
      </c>
      <c r="M47" s="15">
        <f t="shared" si="21"/>
        <v>140.70338488715461</v>
      </c>
      <c r="N47" s="15">
        <f t="shared" si="21"/>
        <v>130.66274658425505</v>
      </c>
      <c r="O47" s="15">
        <v>126.59209854054647</v>
      </c>
      <c r="P47" s="102">
        <f t="shared" si="21"/>
        <v>150.21758814436177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>
        <v>400</v>
      </c>
      <c r="E49" s="4">
        <v>762</v>
      </c>
      <c r="F49" s="4">
        <v>3212</v>
      </c>
      <c r="G49" s="4">
        <v>2210</v>
      </c>
      <c r="H49" s="4">
        <v>1495</v>
      </c>
      <c r="I49" s="4">
        <v>1093</v>
      </c>
      <c r="J49" s="4">
        <v>2446</v>
      </c>
      <c r="K49" s="4">
        <v>1179</v>
      </c>
      <c r="L49" s="4">
        <v>1727</v>
      </c>
      <c r="M49" s="4">
        <v>2210</v>
      </c>
      <c r="N49" s="4">
        <v>1676</v>
      </c>
      <c r="O49" s="4">
        <v>2571</v>
      </c>
      <c r="P49" s="39">
        <f>SUM(D49:O49)</f>
        <v>20981</v>
      </c>
    </row>
    <row r="50" spans="1:16" ht="15.6" x14ac:dyDescent="0.3">
      <c r="A50" s="661" t="s">
        <v>187</v>
      </c>
      <c r="B50" s="662"/>
      <c r="C50" s="5" t="s">
        <v>126</v>
      </c>
      <c r="D50" s="4">
        <v>119</v>
      </c>
      <c r="E50" s="4">
        <v>59</v>
      </c>
      <c r="F50" s="4">
        <v>287</v>
      </c>
      <c r="G50" s="4">
        <v>151</v>
      </c>
      <c r="H50" s="4">
        <v>154.07</v>
      </c>
      <c r="I50" s="4">
        <v>136</v>
      </c>
      <c r="J50" s="4">
        <v>183</v>
      </c>
      <c r="K50" s="4">
        <v>111</v>
      </c>
      <c r="L50" s="4">
        <v>171</v>
      </c>
      <c r="M50" s="4">
        <v>201</v>
      </c>
      <c r="N50" s="4">
        <v>130</v>
      </c>
      <c r="O50" s="4">
        <v>234</v>
      </c>
      <c r="P50" s="39">
        <f>SUM(D50:O50)</f>
        <v>1936.07</v>
      </c>
    </row>
    <row r="51" spans="1:16" ht="15.6" x14ac:dyDescent="0.3">
      <c r="A51" s="643" t="s">
        <v>125</v>
      </c>
      <c r="B51" s="644"/>
      <c r="C51" s="5" t="s">
        <v>31</v>
      </c>
      <c r="D51" s="13">
        <v>229305</v>
      </c>
      <c r="E51" s="13">
        <v>112492.8</v>
      </c>
      <c r="F51" s="13">
        <v>551462.40000000002</v>
      </c>
      <c r="G51" s="13">
        <v>289209.59999999998</v>
      </c>
      <c r="H51" s="13">
        <v>295814.40000000002</v>
      </c>
      <c r="I51" s="13">
        <v>261081.60000000001</v>
      </c>
      <c r="J51" s="13">
        <v>351340.79999999999</v>
      </c>
      <c r="K51" s="13">
        <v>304458.23999999999</v>
      </c>
      <c r="L51" s="13">
        <v>466229.02</v>
      </c>
      <c r="M51" s="13">
        <v>549451.98</v>
      </c>
      <c r="N51" s="13">
        <v>356212.86</v>
      </c>
      <c r="O51" s="13">
        <v>640275.46</v>
      </c>
      <c r="P51" s="40">
        <f>SUM(D51:O51)</f>
        <v>4407334.16</v>
      </c>
    </row>
    <row r="52" spans="1:16" ht="15.6" x14ac:dyDescent="0.3">
      <c r="A52" s="661" t="s">
        <v>124</v>
      </c>
      <c r="B52" s="662"/>
      <c r="C52" s="5" t="s">
        <v>31</v>
      </c>
      <c r="D52" s="13">
        <v>0</v>
      </c>
      <c r="E52" s="13">
        <v>0</v>
      </c>
      <c r="F52" s="13">
        <v>0</v>
      </c>
      <c r="G52" s="13"/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>
        <v>2392832.7999999998</v>
      </c>
      <c r="E54" s="13">
        <v>2584166.23</v>
      </c>
      <c r="F54" s="13">
        <v>2376159.5099999998</v>
      </c>
      <c r="G54" s="13">
        <f>AVERAGE(D54:F54)</f>
        <v>2451052.8466666662</v>
      </c>
      <c r="H54" s="13">
        <v>2391824.5499999998</v>
      </c>
      <c r="I54" s="13">
        <f>AVERAGE(D54:H54)</f>
        <v>2439207.1873333328</v>
      </c>
      <c r="J54" s="13">
        <v>2486741.23</v>
      </c>
      <c r="K54" s="13">
        <v>2505133.52</v>
      </c>
      <c r="L54" s="13">
        <v>2755646.8720000004</v>
      </c>
      <c r="M54" s="13">
        <v>5034876.8099999996</v>
      </c>
      <c r="N54" s="13">
        <f>AVERAGE(K54:M54)</f>
        <v>3431885.7339999997</v>
      </c>
      <c r="O54" s="13">
        <v>3075443.75</v>
      </c>
      <c r="P54" s="39">
        <f>SUM(D54:O54)</f>
        <v>33924971.039999992</v>
      </c>
    </row>
    <row r="55" spans="1:16" ht="15.6" x14ac:dyDescent="0.3">
      <c r="A55" s="78" t="s">
        <v>121</v>
      </c>
      <c r="B55" s="79"/>
      <c r="C55" s="11" t="s">
        <v>18</v>
      </c>
      <c r="D55" s="13">
        <v>590228.64</v>
      </c>
      <c r="E55" s="13">
        <v>603017</v>
      </c>
      <c r="F55" s="13">
        <v>587653.72</v>
      </c>
      <c r="G55" s="13">
        <f>AVERAGE(D55:F55)</f>
        <v>593633.12</v>
      </c>
      <c r="H55" s="13">
        <v>598634.63</v>
      </c>
      <c r="I55" s="13">
        <v>586943.78</v>
      </c>
      <c r="J55" s="13">
        <v>572487.56000000006</v>
      </c>
      <c r="K55" s="13">
        <v>613893.27</v>
      </c>
      <c r="L55" s="13">
        <v>582974.23</v>
      </c>
      <c r="M55" s="13">
        <v>589074.71</v>
      </c>
      <c r="N55" s="13">
        <f>AVERAGE(K55:M55)</f>
        <v>595314.06999999995</v>
      </c>
      <c r="O55" s="13">
        <v>613189</v>
      </c>
      <c r="P55" s="39">
        <f>SUM(D55:O55)</f>
        <v>7127043.7299999995</v>
      </c>
    </row>
    <row r="56" spans="1:16" ht="15.6" x14ac:dyDescent="0.3">
      <c r="A56" s="661" t="s">
        <v>120</v>
      </c>
      <c r="B56" s="662"/>
      <c r="C56" s="5" t="s">
        <v>18</v>
      </c>
      <c r="D56" s="13">
        <v>508690.1</v>
      </c>
      <c r="E56" s="13">
        <v>468000</v>
      </c>
      <c r="F56" s="13">
        <v>387944</v>
      </c>
      <c r="G56" s="13">
        <f>AVERAGE(D56:F56)</f>
        <v>454878.03333333338</v>
      </c>
      <c r="H56" s="13">
        <v>387925</v>
      </c>
      <c r="I56" s="13">
        <f>AVERAGE(D56:H56)</f>
        <v>441487.42666666675</v>
      </c>
      <c r="J56" s="13">
        <v>390873.84</v>
      </c>
      <c r="K56" s="13">
        <v>424981.62</v>
      </c>
      <c r="L56" s="13">
        <v>341827.41</v>
      </c>
      <c r="M56" s="13">
        <v>399792.57416666666</v>
      </c>
      <c r="N56" s="13">
        <f>AVERAGE(K56:M56)</f>
        <v>388867.20138888893</v>
      </c>
      <c r="O56" s="13">
        <v>141500</v>
      </c>
      <c r="P56" s="39">
        <f>SUM(D56:O56)</f>
        <v>4736767.2055555563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4456915.5060000001</v>
      </c>
      <c r="E58" s="13">
        <f t="shared" ref="E58:F58" si="22">E41+E46+E51+E52+E54+E55+E56</f>
        <v>5122050.8504999997</v>
      </c>
      <c r="F58" s="13">
        <f t="shared" si="22"/>
        <v>5061910.5644999994</v>
      </c>
      <c r="G58" s="13">
        <f t="shared" ref="G58:N58" si="23">G41+G46+G51+G52+G54+G55+G56</f>
        <v>4862432.0004999992</v>
      </c>
      <c r="H58" s="13">
        <f t="shared" si="23"/>
        <v>4845415.4819999998</v>
      </c>
      <c r="I58" s="13">
        <f t="shared" si="23"/>
        <v>5136369.4519999996</v>
      </c>
      <c r="J58" s="13">
        <f t="shared" si="23"/>
        <v>5054268.3495000005</v>
      </c>
      <c r="K58" s="13">
        <f t="shared" si="23"/>
        <v>5270130.0094999997</v>
      </c>
      <c r="L58" s="13">
        <f t="shared" si="23"/>
        <v>5924471.7210000008</v>
      </c>
      <c r="M58" s="13">
        <f t="shared" si="23"/>
        <v>7963573.9396666661</v>
      </c>
      <c r="N58" s="13">
        <f t="shared" si="23"/>
        <v>6023256.7443888886</v>
      </c>
      <c r="O58" s="13">
        <v>5659823.6940000001</v>
      </c>
      <c r="P58" s="64">
        <f>SUM(D58:O58)</f>
        <v>65380618.313555546</v>
      </c>
    </row>
    <row r="59" spans="1:16" ht="15.6" x14ac:dyDescent="0.3">
      <c r="A59" s="643" t="s">
        <v>117</v>
      </c>
      <c r="B59" s="644"/>
      <c r="C59" s="5" t="s">
        <v>115</v>
      </c>
      <c r="D59" s="15">
        <f t="shared" ref="D59:F59" si="24">D58/D9</f>
        <v>834.15974284110052</v>
      </c>
      <c r="E59" s="15">
        <f t="shared" si="24"/>
        <v>599.70153969090268</v>
      </c>
      <c r="F59" s="15">
        <f t="shared" si="24"/>
        <v>658.33145591104164</v>
      </c>
      <c r="G59" s="15">
        <f t="shared" ref="G59:P59" si="25">G58/G9</f>
        <v>643.00872791589518</v>
      </c>
      <c r="H59" s="15">
        <f t="shared" si="25"/>
        <v>580.35878332734455</v>
      </c>
      <c r="I59" s="15">
        <f t="shared" si="25"/>
        <v>715.1725775549985</v>
      </c>
      <c r="J59" s="15">
        <f t="shared" si="25"/>
        <v>626.84712259704827</v>
      </c>
      <c r="K59" s="15">
        <f t="shared" si="25"/>
        <v>667.78129872022294</v>
      </c>
      <c r="L59" s="15">
        <f t="shared" si="25"/>
        <v>689.212624592834</v>
      </c>
      <c r="M59" s="15">
        <f t="shared" si="25"/>
        <v>839.86225898193061</v>
      </c>
      <c r="N59" s="15">
        <f t="shared" si="25"/>
        <v>653.13996360755675</v>
      </c>
      <c r="O59" s="15">
        <v>621.07140283112039</v>
      </c>
      <c r="P59" s="102">
        <f t="shared" si="25"/>
        <v>673.79081882181038</v>
      </c>
    </row>
    <row r="60" spans="1:16" ht="15.6" x14ac:dyDescent="0.3">
      <c r="A60" s="643" t="s">
        <v>116</v>
      </c>
      <c r="B60" s="644"/>
      <c r="C60" s="5" t="s">
        <v>115</v>
      </c>
      <c r="D60" s="15">
        <f>D58/D22</f>
        <v>965.53628812824957</v>
      </c>
      <c r="E60" s="15">
        <f t="shared" ref="E60:F60" si="26">E58/E22</f>
        <v>788.00782315384606</v>
      </c>
      <c r="F60" s="15">
        <f t="shared" si="26"/>
        <v>816.96426153970299</v>
      </c>
      <c r="G60" s="15">
        <f t="shared" ref="G60:N60" si="27">G58/G22</f>
        <v>834.89560448145585</v>
      </c>
      <c r="H60" s="15">
        <f t="shared" si="27"/>
        <v>804.35183964143425</v>
      </c>
      <c r="I60" s="15">
        <f t="shared" si="27"/>
        <v>995.42043643410841</v>
      </c>
      <c r="J60" s="15">
        <f t="shared" si="27"/>
        <v>754.36841037313445</v>
      </c>
      <c r="K60" s="15">
        <f t="shared" si="27"/>
        <v>817.32785507133985</v>
      </c>
      <c r="L60" s="15">
        <f t="shared" si="27"/>
        <v>812.68473539094657</v>
      </c>
      <c r="M60" s="15">
        <f t="shared" si="27"/>
        <v>1204.029866446934</v>
      </c>
      <c r="N60" s="15">
        <f t="shared" si="27"/>
        <v>866.70552900726489</v>
      </c>
      <c r="O60" s="15">
        <v>849.05845994599463</v>
      </c>
      <c r="P60" s="103">
        <f>P58/P22</f>
        <v>871.88456658299356</v>
      </c>
    </row>
    <row r="61" spans="1:16" ht="15.6" x14ac:dyDescent="0.3">
      <c r="A61" s="661" t="s">
        <v>114</v>
      </c>
      <c r="B61" s="662"/>
      <c r="C61" s="5" t="s">
        <v>3</v>
      </c>
      <c r="D61" s="4">
        <v>6</v>
      </c>
      <c r="E61" s="4">
        <v>6</v>
      </c>
      <c r="F61" s="4">
        <v>6</v>
      </c>
      <c r="G61" s="4">
        <v>6</v>
      </c>
      <c r="H61" s="4">
        <v>6</v>
      </c>
      <c r="I61" s="4">
        <v>6</v>
      </c>
      <c r="J61" s="4">
        <v>6</v>
      </c>
      <c r="K61" s="4">
        <v>6</v>
      </c>
      <c r="L61" s="4">
        <v>6</v>
      </c>
      <c r="M61" s="4">
        <v>6</v>
      </c>
      <c r="N61" s="4">
        <v>6</v>
      </c>
      <c r="O61" s="4">
        <v>6</v>
      </c>
      <c r="P61" s="9">
        <f>O61</f>
        <v>6</v>
      </c>
    </row>
    <row r="62" spans="1:16" ht="15.6" customHeight="1" x14ac:dyDescent="0.3">
      <c r="A62" s="643" t="s">
        <v>113</v>
      </c>
      <c r="B62" s="644"/>
      <c r="C62" s="5" t="s">
        <v>112</v>
      </c>
      <c r="D62" s="15">
        <f t="shared" ref="D62:F62" si="28">(D61*1000*31)/D9</f>
        <v>34.811903425042111</v>
      </c>
      <c r="E62" s="15">
        <f t="shared" si="28"/>
        <v>21.777309448542326</v>
      </c>
      <c r="F62" s="15">
        <f t="shared" si="28"/>
        <v>24.190401872805307</v>
      </c>
      <c r="G62" s="15">
        <f t="shared" ref="G62:P62" si="29">(G61*1000*31)/G9</f>
        <v>24.596667548267654</v>
      </c>
      <c r="H62" s="15">
        <f t="shared" si="29"/>
        <v>22.278117139777219</v>
      </c>
      <c r="I62" s="15">
        <f t="shared" si="29"/>
        <v>25.898078529657479</v>
      </c>
      <c r="J62" s="15">
        <f t="shared" si="29"/>
        <v>23.068336847327298</v>
      </c>
      <c r="K62" s="15">
        <f t="shared" si="29"/>
        <v>23.568170299037</v>
      </c>
      <c r="L62" s="15">
        <f t="shared" si="29"/>
        <v>21.637971149371801</v>
      </c>
      <c r="M62" s="15">
        <f t="shared" si="29"/>
        <v>19.616114743724953</v>
      </c>
      <c r="N62" s="15">
        <f t="shared" si="29"/>
        <v>20.169160702667533</v>
      </c>
      <c r="O62" s="15">
        <v>20.41040272138703</v>
      </c>
      <c r="P62" s="102">
        <f t="shared" si="29"/>
        <v>1.9168538862666693</v>
      </c>
    </row>
    <row r="63" spans="1:16" ht="15.6" x14ac:dyDescent="0.3">
      <c r="A63" s="700" t="s">
        <v>111</v>
      </c>
      <c r="B63" s="701"/>
      <c r="C63" s="38" t="s">
        <v>3</v>
      </c>
      <c r="D63" s="4">
        <v>9</v>
      </c>
      <c r="E63" s="4">
        <v>9</v>
      </c>
      <c r="F63" s="4">
        <v>9</v>
      </c>
      <c r="G63" s="4">
        <v>14</v>
      </c>
      <c r="H63" s="4">
        <v>8</v>
      </c>
      <c r="I63" s="4">
        <v>7</v>
      </c>
      <c r="J63" s="4">
        <v>7</v>
      </c>
      <c r="K63" s="4">
        <v>8</v>
      </c>
      <c r="L63" s="4">
        <v>8</v>
      </c>
      <c r="M63" s="4">
        <v>6</v>
      </c>
      <c r="N63" s="4">
        <v>8</v>
      </c>
      <c r="O63" s="4">
        <v>7</v>
      </c>
      <c r="P63" s="9">
        <f>SUM(D63:O63)</f>
        <v>100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98</v>
      </c>
      <c r="E66" s="4">
        <f>D71</f>
        <v>109</v>
      </c>
      <c r="F66" s="4">
        <f t="shared" ref="F66:K66" si="30">E71</f>
        <v>138</v>
      </c>
      <c r="G66" s="4">
        <f t="shared" si="30"/>
        <v>134</v>
      </c>
      <c r="H66" s="4">
        <f t="shared" si="30"/>
        <v>131</v>
      </c>
      <c r="I66" s="4">
        <f t="shared" si="30"/>
        <v>123</v>
      </c>
      <c r="J66" s="4">
        <f t="shared" si="30"/>
        <v>119</v>
      </c>
      <c r="K66" s="4">
        <f t="shared" si="30"/>
        <v>124</v>
      </c>
      <c r="L66" s="157">
        <v>119</v>
      </c>
      <c r="M66" s="157">
        <v>123</v>
      </c>
      <c r="N66" s="157">
        <v>138</v>
      </c>
      <c r="O66" s="157">
        <v>130</v>
      </c>
      <c r="P66" s="35">
        <f>D66</f>
        <v>98</v>
      </c>
    </row>
    <row r="67" spans="1:16" ht="15.6" x14ac:dyDescent="0.3">
      <c r="A67" s="689"/>
      <c r="B67" s="24" t="s">
        <v>104</v>
      </c>
      <c r="C67" s="5" t="s">
        <v>3</v>
      </c>
      <c r="D67" s="4">
        <v>12</v>
      </c>
      <c r="E67" s="4">
        <v>29</v>
      </c>
      <c r="F67" s="4">
        <v>14</v>
      </c>
      <c r="G67" s="4">
        <v>11</v>
      </c>
      <c r="H67" s="4">
        <v>18</v>
      </c>
      <c r="I67" s="4">
        <v>15</v>
      </c>
      <c r="J67" s="4">
        <v>13</v>
      </c>
      <c r="K67" s="4">
        <v>7</v>
      </c>
      <c r="L67" s="155">
        <v>12</v>
      </c>
      <c r="M67" s="155">
        <v>19</v>
      </c>
      <c r="N67" s="155">
        <v>11</v>
      </c>
      <c r="O67" s="155">
        <v>8</v>
      </c>
      <c r="P67" s="35">
        <f>SUM(D67:O67)</f>
        <v>169</v>
      </c>
    </row>
    <row r="68" spans="1:16" ht="27" x14ac:dyDescent="0.3">
      <c r="A68" s="689"/>
      <c r="B68" s="24" t="s">
        <v>103</v>
      </c>
      <c r="C68" s="5" t="s">
        <v>3</v>
      </c>
      <c r="D68" s="4">
        <v>1</v>
      </c>
      <c r="E68" s="4">
        <v>0</v>
      </c>
      <c r="F68" s="4">
        <v>18</v>
      </c>
      <c r="G68" s="4">
        <v>14</v>
      </c>
      <c r="H68" s="4">
        <v>26</v>
      </c>
      <c r="I68" s="4">
        <v>19</v>
      </c>
      <c r="J68" s="4">
        <v>8</v>
      </c>
      <c r="K68" s="4">
        <v>12</v>
      </c>
      <c r="L68" s="155">
        <v>8</v>
      </c>
      <c r="M68" s="155">
        <v>4</v>
      </c>
      <c r="N68" s="155">
        <v>19</v>
      </c>
      <c r="O68" s="155">
        <v>11</v>
      </c>
      <c r="P68" s="35">
        <f t="shared" ref="P68:P69" si="31">SUM(D68:O68)</f>
        <v>140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155">
        <v>0</v>
      </c>
      <c r="M69" s="155">
        <v>0</v>
      </c>
      <c r="N69" s="155">
        <v>0</v>
      </c>
      <c r="O69" s="155">
        <v>0</v>
      </c>
      <c r="P69" s="74">
        <f t="shared" si="31"/>
        <v>0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1</v>
      </c>
      <c r="E70" s="4">
        <f t="shared" ref="E70:K70" si="32">E68+E69</f>
        <v>0</v>
      </c>
      <c r="F70" s="4">
        <f t="shared" si="32"/>
        <v>18</v>
      </c>
      <c r="G70" s="4">
        <f t="shared" si="32"/>
        <v>14</v>
      </c>
      <c r="H70" s="4">
        <f t="shared" si="32"/>
        <v>26</v>
      </c>
      <c r="I70" s="4">
        <f t="shared" si="32"/>
        <v>19</v>
      </c>
      <c r="J70" s="4">
        <f t="shared" si="32"/>
        <v>8</v>
      </c>
      <c r="K70" s="4">
        <f t="shared" si="32"/>
        <v>12</v>
      </c>
      <c r="L70" s="155">
        <v>8</v>
      </c>
      <c r="M70" s="155">
        <v>4</v>
      </c>
      <c r="N70" s="155">
        <v>19</v>
      </c>
      <c r="O70" s="155">
        <v>11</v>
      </c>
      <c r="P70" s="162">
        <f t="shared" ref="P70" si="33">P68+P69</f>
        <v>140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109</v>
      </c>
      <c r="E71" s="26">
        <f t="shared" ref="E71:K71" si="34">E66+E67-E70</f>
        <v>138</v>
      </c>
      <c r="F71" s="26">
        <f t="shared" si="34"/>
        <v>134</v>
      </c>
      <c r="G71" s="26">
        <f t="shared" si="34"/>
        <v>131</v>
      </c>
      <c r="H71" s="26">
        <f t="shared" si="34"/>
        <v>123</v>
      </c>
      <c r="I71" s="26">
        <f t="shared" si="34"/>
        <v>119</v>
      </c>
      <c r="J71" s="26">
        <f t="shared" si="34"/>
        <v>124</v>
      </c>
      <c r="K71" s="26">
        <f t="shared" si="34"/>
        <v>119</v>
      </c>
      <c r="L71" s="158">
        <v>123</v>
      </c>
      <c r="M71" s="158">
        <v>138</v>
      </c>
      <c r="N71" s="158">
        <v>130</v>
      </c>
      <c r="O71" s="131">
        <v>127</v>
      </c>
      <c r="P71" s="160">
        <f>P66+P67-P70</f>
        <v>127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4"/>
      <c r="E72" s="4">
        <f>D77</f>
        <v>0</v>
      </c>
      <c r="F72" s="4">
        <f t="shared" ref="F72:H72" si="35">E77</f>
        <v>1</v>
      </c>
      <c r="G72" s="4">
        <f t="shared" si="35"/>
        <v>0</v>
      </c>
      <c r="H72" s="4">
        <f t="shared" si="35"/>
        <v>0</v>
      </c>
      <c r="I72" s="157"/>
      <c r="J72" s="157"/>
      <c r="K72" s="157"/>
      <c r="L72" s="157">
        <v>1</v>
      </c>
      <c r="M72" s="157"/>
      <c r="N72" s="157"/>
      <c r="O72" s="157"/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4"/>
      <c r="E73" s="4">
        <v>1</v>
      </c>
      <c r="F73" s="4">
        <v>0</v>
      </c>
      <c r="G73" s="4">
        <v>0</v>
      </c>
      <c r="H73" s="4">
        <v>0</v>
      </c>
      <c r="I73" s="155"/>
      <c r="J73" s="155"/>
      <c r="K73" s="4">
        <v>1</v>
      </c>
      <c r="L73" s="155">
        <v>0</v>
      </c>
      <c r="M73" s="155"/>
      <c r="N73" s="155"/>
      <c r="O73" s="155">
        <v>1</v>
      </c>
      <c r="P73" s="35">
        <f>SUM(D73:O73)</f>
        <v>3</v>
      </c>
    </row>
    <row r="74" spans="1:16" ht="27" x14ac:dyDescent="0.3">
      <c r="A74" s="689"/>
      <c r="B74" s="24" t="s">
        <v>103</v>
      </c>
      <c r="C74" s="5" t="s">
        <v>3</v>
      </c>
      <c r="D74" s="4"/>
      <c r="E74" s="4">
        <v>0</v>
      </c>
      <c r="F74" s="4">
        <v>0</v>
      </c>
      <c r="G74" s="4">
        <v>0</v>
      </c>
      <c r="H74" s="4">
        <v>0</v>
      </c>
      <c r="I74" s="155"/>
      <c r="J74" s="155"/>
      <c r="K74" s="155"/>
      <c r="L74" s="155">
        <v>0</v>
      </c>
      <c r="M74" s="155"/>
      <c r="N74" s="155"/>
      <c r="O74" s="155">
        <v>1</v>
      </c>
      <c r="P74" s="35">
        <f>SUM(D74:O74)</f>
        <v>1</v>
      </c>
    </row>
    <row r="75" spans="1:16" s="2" customFormat="1" ht="27" x14ac:dyDescent="0.3">
      <c r="A75" s="689"/>
      <c r="B75" s="24" t="s">
        <v>102</v>
      </c>
      <c r="C75" s="11" t="s">
        <v>3</v>
      </c>
      <c r="D75" s="4"/>
      <c r="E75" s="4">
        <v>0</v>
      </c>
      <c r="F75" s="4">
        <v>0</v>
      </c>
      <c r="G75" s="4">
        <v>0</v>
      </c>
      <c r="H75" s="4">
        <v>0</v>
      </c>
      <c r="I75" s="155"/>
      <c r="J75" s="155"/>
      <c r="K75" s="155"/>
      <c r="L75" s="155">
        <v>0</v>
      </c>
      <c r="M75" s="155"/>
      <c r="N75" s="155"/>
      <c r="O75" s="155"/>
      <c r="P75" s="35">
        <f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H76" si="36">E74+E75</f>
        <v>0</v>
      </c>
      <c r="F76" s="4">
        <f t="shared" si="36"/>
        <v>0</v>
      </c>
      <c r="G76" s="4">
        <f t="shared" si="36"/>
        <v>0</v>
      </c>
      <c r="H76" s="4">
        <f t="shared" si="36"/>
        <v>0</v>
      </c>
      <c r="I76" s="155">
        <f t="shared" ref="I76" si="37">I74+I75</f>
        <v>0</v>
      </c>
      <c r="J76" s="155">
        <f t="shared" ref="J76:K76" si="38">J74+J75</f>
        <v>0</v>
      </c>
      <c r="K76" s="155">
        <f t="shared" si="38"/>
        <v>0</v>
      </c>
      <c r="L76" s="155">
        <v>0</v>
      </c>
      <c r="M76" s="155">
        <f t="shared" ref="M76" si="39">M74+M75</f>
        <v>0</v>
      </c>
      <c r="N76" s="155">
        <f t="shared" ref="N76:P76" si="40">N74+N75</f>
        <v>0</v>
      </c>
      <c r="O76" s="155">
        <v>1</v>
      </c>
      <c r="P76" s="162">
        <f t="shared" si="40"/>
        <v>1</v>
      </c>
    </row>
    <row r="77" spans="1:16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H77" si="41">E73+E74-E76</f>
        <v>1</v>
      </c>
      <c r="F77" s="26">
        <f t="shared" si="41"/>
        <v>0</v>
      </c>
      <c r="G77" s="26">
        <f t="shared" si="41"/>
        <v>0</v>
      </c>
      <c r="H77" s="26">
        <f t="shared" si="41"/>
        <v>0</v>
      </c>
      <c r="I77" s="158">
        <f t="shared" ref="I77" si="42">I73+I74-I76</f>
        <v>0</v>
      </c>
      <c r="J77" s="158">
        <f t="shared" ref="J77:K77" si="43">J73+J74-J76</f>
        <v>0</v>
      </c>
      <c r="K77" s="158">
        <f t="shared" si="43"/>
        <v>1</v>
      </c>
      <c r="L77" s="158">
        <v>0</v>
      </c>
      <c r="M77" s="158">
        <f t="shared" ref="M77" si="44">M73+M74-M76</f>
        <v>0</v>
      </c>
      <c r="N77" s="131">
        <f t="shared" ref="N77:P77" si="45">N73+N74-N76</f>
        <v>0</v>
      </c>
      <c r="O77" s="131">
        <v>1</v>
      </c>
      <c r="P77" s="160">
        <f t="shared" si="45"/>
        <v>3</v>
      </c>
    </row>
    <row r="78" spans="1:16" ht="15.6" customHeight="1" x14ac:dyDescent="0.3">
      <c r="A78" s="688" t="s">
        <v>107</v>
      </c>
      <c r="B78" s="37" t="s">
        <v>85</v>
      </c>
      <c r="C78" s="5" t="s">
        <v>3</v>
      </c>
      <c r="D78" s="4"/>
      <c r="E78" s="4">
        <f>D83</f>
        <v>0</v>
      </c>
      <c r="F78" s="4">
        <f t="shared" ref="F78:H78" si="46">E83</f>
        <v>1</v>
      </c>
      <c r="G78" s="4">
        <f t="shared" si="46"/>
        <v>0</v>
      </c>
      <c r="H78" s="4">
        <f t="shared" si="46"/>
        <v>0</v>
      </c>
      <c r="I78" s="157"/>
      <c r="J78" s="157"/>
      <c r="K78" s="4">
        <f t="shared" ref="K78" si="47">J83</f>
        <v>1</v>
      </c>
      <c r="L78" s="157">
        <v>1</v>
      </c>
      <c r="M78" s="157">
        <v>1</v>
      </c>
      <c r="N78" s="157">
        <v>1</v>
      </c>
      <c r="O78" s="157"/>
      <c r="P78" s="35">
        <f>D78</f>
        <v>0</v>
      </c>
    </row>
    <row r="79" spans="1:16" ht="15.6" x14ac:dyDescent="0.3">
      <c r="A79" s="689"/>
      <c r="B79" s="24" t="s">
        <v>104</v>
      </c>
      <c r="C79" s="5" t="s">
        <v>3</v>
      </c>
      <c r="D79" s="4"/>
      <c r="E79" s="4">
        <v>1</v>
      </c>
      <c r="F79" s="4">
        <v>0</v>
      </c>
      <c r="G79" s="4">
        <v>0</v>
      </c>
      <c r="H79" s="4">
        <v>0</v>
      </c>
      <c r="I79" s="155"/>
      <c r="J79" s="155">
        <v>1</v>
      </c>
      <c r="K79" s="155"/>
      <c r="L79" s="155">
        <v>0</v>
      </c>
      <c r="M79" s="155"/>
      <c r="N79" s="155">
        <v>0</v>
      </c>
      <c r="O79" s="155"/>
      <c r="P79" s="35">
        <f>SUM(D79:O79)</f>
        <v>2</v>
      </c>
    </row>
    <row r="80" spans="1:16" ht="27" x14ac:dyDescent="0.3">
      <c r="A80" s="689"/>
      <c r="B80" s="24" t="s">
        <v>103</v>
      </c>
      <c r="C80" s="5" t="s">
        <v>3</v>
      </c>
      <c r="D80" s="4"/>
      <c r="E80" s="4">
        <v>0</v>
      </c>
      <c r="F80" s="4">
        <v>1</v>
      </c>
      <c r="G80" s="4">
        <v>0</v>
      </c>
      <c r="H80" s="4">
        <v>0</v>
      </c>
      <c r="I80" s="155"/>
      <c r="J80" s="155"/>
      <c r="K80" s="155"/>
      <c r="L80" s="155">
        <v>0</v>
      </c>
      <c r="M80" s="155"/>
      <c r="N80" s="155">
        <v>1</v>
      </c>
      <c r="O80" s="155"/>
      <c r="P80" s="35">
        <f>SUM(D80:O80)</f>
        <v>2</v>
      </c>
    </row>
    <row r="81" spans="1:16" s="2" customFormat="1" ht="27" x14ac:dyDescent="0.3">
      <c r="A81" s="689"/>
      <c r="B81" s="24" t="s">
        <v>102</v>
      </c>
      <c r="C81" s="11" t="s">
        <v>3</v>
      </c>
      <c r="D81" s="4"/>
      <c r="E81" s="4">
        <v>0</v>
      </c>
      <c r="F81" s="4">
        <v>0</v>
      </c>
      <c r="G81" s="4">
        <v>0</v>
      </c>
      <c r="H81" s="4">
        <v>0</v>
      </c>
      <c r="I81" s="155"/>
      <c r="J81" s="155"/>
      <c r="K81" s="155"/>
      <c r="L81" s="155">
        <v>0</v>
      </c>
      <c r="M81" s="155"/>
      <c r="N81" s="155">
        <v>0</v>
      </c>
      <c r="O81" s="155"/>
      <c r="P81" s="74">
        <f>SUM(D81:O81)</f>
        <v>0</v>
      </c>
    </row>
    <row r="82" spans="1:16" s="2" customFormat="1" ht="15.6" x14ac:dyDescent="0.3">
      <c r="A82" s="689"/>
      <c r="B82" s="24" t="s">
        <v>188</v>
      </c>
      <c r="C82" s="11" t="s">
        <v>3</v>
      </c>
      <c r="D82" s="4">
        <f>D81+D80</f>
        <v>0</v>
      </c>
      <c r="E82" s="4">
        <f t="shared" ref="E82:F82" si="48">E81+E80</f>
        <v>0</v>
      </c>
      <c r="F82" s="4">
        <f t="shared" si="48"/>
        <v>1</v>
      </c>
      <c r="G82" s="4">
        <f t="shared" ref="G82" si="49">G80+G81</f>
        <v>0</v>
      </c>
      <c r="H82" s="4">
        <f t="shared" ref="H82" si="50">H81+H80</f>
        <v>0</v>
      </c>
      <c r="I82" s="155">
        <f t="shared" ref="I82" si="51">I81+I80</f>
        <v>0</v>
      </c>
      <c r="J82" s="155">
        <f t="shared" ref="J82:K82" si="52">J81+J80</f>
        <v>0</v>
      </c>
      <c r="K82" s="155">
        <f t="shared" si="52"/>
        <v>0</v>
      </c>
      <c r="L82" s="155">
        <v>0</v>
      </c>
      <c r="M82" s="155">
        <f t="shared" ref="M82" si="53">M81+M80</f>
        <v>0</v>
      </c>
      <c r="N82" s="155">
        <v>1</v>
      </c>
      <c r="O82" s="155">
        <v>0</v>
      </c>
      <c r="P82" s="162">
        <f t="shared" ref="P82" si="54">P81+P80</f>
        <v>2</v>
      </c>
    </row>
    <row r="83" spans="1:16" ht="15.6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 t="shared" ref="E83:F83" si="55">E78+E79-E82</f>
        <v>1</v>
      </c>
      <c r="F83" s="26">
        <f t="shared" si="55"/>
        <v>0</v>
      </c>
      <c r="G83" s="26">
        <f t="shared" ref="G83" si="56">G79+G80-G82</f>
        <v>0</v>
      </c>
      <c r="H83" s="26">
        <f t="shared" ref="H83" si="57">H78+H79-H82</f>
        <v>0</v>
      </c>
      <c r="I83" s="131">
        <f t="shared" ref="I83" si="58">I78+I79-I82</f>
        <v>0</v>
      </c>
      <c r="J83" s="158">
        <f t="shared" ref="J83:K83" si="59">J78+J79-J82</f>
        <v>1</v>
      </c>
      <c r="K83" s="158">
        <f t="shared" si="59"/>
        <v>1</v>
      </c>
      <c r="L83" s="158">
        <v>1</v>
      </c>
      <c r="M83" s="158">
        <f t="shared" ref="M83" si="60">M78+M79-M82</f>
        <v>1</v>
      </c>
      <c r="N83" s="158">
        <v>0</v>
      </c>
      <c r="O83" s="158">
        <v>0</v>
      </c>
      <c r="P83" s="160">
        <f t="shared" ref="P83" si="61">P78+P79-P82</f>
        <v>0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4"/>
      <c r="E84" s="4">
        <f>D89</f>
        <v>0</v>
      </c>
      <c r="F84" s="4">
        <f t="shared" ref="F84" si="62">E89</f>
        <v>0</v>
      </c>
      <c r="G84" s="157"/>
      <c r="H84" s="4">
        <f t="shared" ref="H84" si="63">G89</f>
        <v>0</v>
      </c>
      <c r="I84" s="157"/>
      <c r="J84" s="157"/>
      <c r="K84" s="157"/>
      <c r="L84" s="157">
        <v>0</v>
      </c>
      <c r="M84" s="157"/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4"/>
      <c r="E85" s="4">
        <v>0</v>
      </c>
      <c r="F85" s="4">
        <v>0</v>
      </c>
      <c r="G85" s="155"/>
      <c r="H85" s="4">
        <v>0</v>
      </c>
      <c r="I85" s="155"/>
      <c r="J85" s="155"/>
      <c r="K85" s="155"/>
      <c r="L85" s="155">
        <v>0</v>
      </c>
      <c r="M85" s="155"/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4"/>
      <c r="E86" s="4">
        <v>0</v>
      </c>
      <c r="F86" s="4">
        <v>0</v>
      </c>
      <c r="G86" s="155"/>
      <c r="H86" s="4">
        <v>0</v>
      </c>
      <c r="I86" s="155"/>
      <c r="J86" s="155"/>
      <c r="K86" s="155"/>
      <c r="L86" s="155">
        <v>0</v>
      </c>
      <c r="M86" s="155"/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4"/>
      <c r="E87" s="4">
        <v>0</v>
      </c>
      <c r="F87" s="4">
        <v>0</v>
      </c>
      <c r="G87" s="155"/>
      <c r="H87" s="4">
        <v>0</v>
      </c>
      <c r="I87" s="155"/>
      <c r="J87" s="155"/>
      <c r="K87" s="155"/>
      <c r="L87" s="155">
        <v>0</v>
      </c>
      <c r="M87" s="155"/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H88" si="64">E86+E87</f>
        <v>0</v>
      </c>
      <c r="F88" s="4">
        <f t="shared" si="64"/>
        <v>0</v>
      </c>
      <c r="G88" s="155">
        <f t="shared" si="64"/>
        <v>0</v>
      </c>
      <c r="H88" s="4">
        <f t="shared" si="64"/>
        <v>0</v>
      </c>
      <c r="I88" s="155">
        <v>0</v>
      </c>
      <c r="J88" s="155">
        <v>0</v>
      </c>
      <c r="K88" s="155">
        <v>0</v>
      </c>
      <c r="L88" s="155">
        <v>0</v>
      </c>
      <c r="M88" s="155">
        <v>0</v>
      </c>
      <c r="N88" s="155">
        <v>0</v>
      </c>
      <c r="O88" s="155">
        <v>0</v>
      </c>
      <c r="P88" s="74"/>
    </row>
    <row r="89" spans="1:16" ht="15.6" x14ac:dyDescent="0.3">
      <c r="A89" s="693"/>
      <c r="B89" s="36" t="s">
        <v>81</v>
      </c>
      <c r="C89" s="5" t="s">
        <v>3</v>
      </c>
      <c r="D89" s="26">
        <f t="shared" ref="D89:F89" si="65">D84+D85-D88</f>
        <v>0</v>
      </c>
      <c r="E89" s="26">
        <f t="shared" si="65"/>
        <v>0</v>
      </c>
      <c r="F89" s="26">
        <f t="shared" si="65"/>
        <v>0</v>
      </c>
      <c r="G89" s="26">
        <f>G84+G85-G88</f>
        <v>0</v>
      </c>
      <c r="H89" s="26">
        <f t="shared" ref="H89" si="66">H84+H85-H88</f>
        <v>0</v>
      </c>
      <c r="I89" s="158">
        <f t="shared" ref="I89" si="67">I84+I85-I88</f>
        <v>0</v>
      </c>
      <c r="J89" s="158">
        <f t="shared" ref="J89:K89" si="68">J84+J85-J88</f>
        <v>0</v>
      </c>
      <c r="K89" s="158">
        <f t="shared" si="68"/>
        <v>0</v>
      </c>
      <c r="L89" s="158">
        <v>0</v>
      </c>
      <c r="M89" s="158">
        <f t="shared" ref="M89" si="69">M84+M85-M88</f>
        <v>0</v>
      </c>
      <c r="N89" s="158">
        <f t="shared" ref="N89" si="70">N84+N85-N88</f>
        <v>0</v>
      </c>
      <c r="O89" s="158">
        <v>0</v>
      </c>
      <c r="P89" s="160">
        <f t="shared" ref="P89" si="71">P84+P85-P86-P87</f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135">
        <f t="shared" ref="D90:I90" si="72">D66+D72+D78+D84</f>
        <v>98</v>
      </c>
      <c r="E90" s="135">
        <f t="shared" si="72"/>
        <v>109</v>
      </c>
      <c r="F90" s="135">
        <f t="shared" si="72"/>
        <v>140</v>
      </c>
      <c r="G90" s="135">
        <f t="shared" si="72"/>
        <v>134</v>
      </c>
      <c r="H90" s="135">
        <f t="shared" si="72"/>
        <v>131</v>
      </c>
      <c r="I90" s="135">
        <f t="shared" si="72"/>
        <v>123</v>
      </c>
      <c r="J90" s="135">
        <f t="shared" ref="J90:K90" si="73">J66+J72+J78+J84</f>
        <v>119</v>
      </c>
      <c r="K90" s="135">
        <f t="shared" si="73"/>
        <v>125</v>
      </c>
      <c r="L90" s="135">
        <f t="shared" ref="L90:N90" si="74">L66+L72+L78+L84</f>
        <v>121</v>
      </c>
      <c r="M90" s="135">
        <f t="shared" si="74"/>
        <v>124</v>
      </c>
      <c r="N90" s="135">
        <f t="shared" si="74"/>
        <v>139</v>
      </c>
      <c r="O90" s="135">
        <v>130</v>
      </c>
      <c r="P90" s="35">
        <f>D90</f>
        <v>98</v>
      </c>
    </row>
    <row r="91" spans="1:16" ht="15.6" x14ac:dyDescent="0.3">
      <c r="A91" s="695"/>
      <c r="B91" s="24" t="s">
        <v>104</v>
      </c>
      <c r="C91" s="11" t="s">
        <v>3</v>
      </c>
      <c r="D91" s="135">
        <f t="shared" ref="D91:E93" si="75">D67+D73+D79+D85</f>
        <v>12</v>
      </c>
      <c r="E91" s="135">
        <f t="shared" si="75"/>
        <v>31</v>
      </c>
      <c r="F91" s="135">
        <f t="shared" ref="F91:G91" si="76">F67+F73+F79+F85</f>
        <v>14</v>
      </c>
      <c r="G91" s="135">
        <f t="shared" si="76"/>
        <v>11</v>
      </c>
      <c r="H91" s="135">
        <f t="shared" ref="H91:I91" si="77">H67+H73+H79+H85</f>
        <v>18</v>
      </c>
      <c r="I91" s="135">
        <f t="shared" si="77"/>
        <v>15</v>
      </c>
      <c r="J91" s="135">
        <f t="shared" ref="J91:K91" si="78">J67+J73+J79+J85</f>
        <v>14</v>
      </c>
      <c r="K91" s="135">
        <f t="shared" si="78"/>
        <v>8</v>
      </c>
      <c r="L91" s="135">
        <f t="shared" ref="L91:M91" si="79">L67+L73+L79+L85</f>
        <v>12</v>
      </c>
      <c r="M91" s="135">
        <f t="shared" si="79"/>
        <v>19</v>
      </c>
      <c r="N91" s="135">
        <f t="shared" ref="N91" si="80">N67+N73+N79+N85</f>
        <v>11</v>
      </c>
      <c r="O91" s="135">
        <v>9</v>
      </c>
      <c r="P91" s="35">
        <f>SUM(D91:O91)</f>
        <v>174</v>
      </c>
    </row>
    <row r="92" spans="1:16" ht="27" x14ac:dyDescent="0.3">
      <c r="A92" s="695"/>
      <c r="B92" s="24" t="s">
        <v>103</v>
      </c>
      <c r="C92" s="11" t="s">
        <v>3</v>
      </c>
      <c r="D92" s="135">
        <f t="shared" si="75"/>
        <v>1</v>
      </c>
      <c r="E92" s="135">
        <f t="shared" si="75"/>
        <v>0</v>
      </c>
      <c r="F92" s="135">
        <f t="shared" ref="F92:G92" si="81">F68+F74+F80+F86</f>
        <v>19</v>
      </c>
      <c r="G92" s="135">
        <f t="shared" si="81"/>
        <v>14</v>
      </c>
      <c r="H92" s="135">
        <f t="shared" ref="H92:I92" si="82">H68+H74+H80+H86</f>
        <v>26</v>
      </c>
      <c r="I92" s="135">
        <f t="shared" si="82"/>
        <v>19</v>
      </c>
      <c r="J92" s="135">
        <f t="shared" ref="J92:K92" si="83">J68+J74+J80+J86</f>
        <v>8</v>
      </c>
      <c r="K92" s="135">
        <f t="shared" si="83"/>
        <v>12</v>
      </c>
      <c r="L92" s="135">
        <f>L68+L74+L80+L86</f>
        <v>8</v>
      </c>
      <c r="M92" s="135">
        <f t="shared" ref="M92:N92" si="84">M68+M74+M80+M86</f>
        <v>4</v>
      </c>
      <c r="N92" s="135">
        <f t="shared" si="84"/>
        <v>20</v>
      </c>
      <c r="O92" s="135">
        <v>12</v>
      </c>
      <c r="P92" s="35">
        <f>SUM(D92:O92)</f>
        <v>143</v>
      </c>
    </row>
    <row r="93" spans="1:16" s="2" customFormat="1" ht="27" x14ac:dyDescent="0.3">
      <c r="A93" s="695"/>
      <c r="B93" s="24" t="s">
        <v>102</v>
      </c>
      <c r="C93" s="11"/>
      <c r="D93" s="135">
        <f t="shared" si="75"/>
        <v>0</v>
      </c>
      <c r="E93" s="135">
        <f t="shared" si="75"/>
        <v>0</v>
      </c>
      <c r="F93" s="135">
        <f t="shared" ref="F93:G93" si="85">F69+F75+F81+F87</f>
        <v>0</v>
      </c>
      <c r="G93" s="135">
        <f t="shared" si="85"/>
        <v>0</v>
      </c>
      <c r="H93" s="135">
        <f t="shared" ref="H93:I93" si="86">H69+H75+H81+H87</f>
        <v>0</v>
      </c>
      <c r="I93" s="135">
        <f t="shared" si="86"/>
        <v>0</v>
      </c>
      <c r="J93" s="135">
        <f t="shared" ref="J93:K93" si="87">J69+J75+J81+J87</f>
        <v>0</v>
      </c>
      <c r="K93" s="135">
        <f t="shared" si="87"/>
        <v>0</v>
      </c>
      <c r="L93" s="135">
        <f t="shared" ref="L93:N93" si="88">L69+L75+L81+L87</f>
        <v>0</v>
      </c>
      <c r="M93" s="135">
        <f t="shared" si="88"/>
        <v>0</v>
      </c>
      <c r="N93" s="135">
        <f t="shared" si="88"/>
        <v>0</v>
      </c>
      <c r="O93" s="135">
        <v>0</v>
      </c>
      <c r="P93" s="35">
        <f>SUM(D93:O93)</f>
        <v>0</v>
      </c>
    </row>
    <row r="94" spans="1:16" s="2" customFormat="1" ht="15.6" x14ac:dyDescent="0.3">
      <c r="A94" s="695"/>
      <c r="B94" s="24" t="s">
        <v>188</v>
      </c>
      <c r="C94" s="11" t="s">
        <v>3</v>
      </c>
      <c r="D94" s="136">
        <f>D93+D92</f>
        <v>1</v>
      </c>
      <c r="E94" s="136">
        <f t="shared" ref="E94:P94" si="89">E93+E92</f>
        <v>0</v>
      </c>
      <c r="F94" s="136">
        <f t="shared" si="89"/>
        <v>19</v>
      </c>
      <c r="G94" s="136">
        <f t="shared" si="89"/>
        <v>14</v>
      </c>
      <c r="H94" s="136">
        <f t="shared" ref="H94:I94" si="90">H93+H92</f>
        <v>26</v>
      </c>
      <c r="I94" s="136">
        <f t="shared" si="90"/>
        <v>19</v>
      </c>
      <c r="J94" s="136">
        <f t="shared" ref="J94:K94" si="91">J93+J92</f>
        <v>8</v>
      </c>
      <c r="K94" s="136">
        <f t="shared" si="91"/>
        <v>12</v>
      </c>
      <c r="L94" s="136">
        <f t="shared" ref="L94:M94" si="92">L93+L92</f>
        <v>8</v>
      </c>
      <c r="M94" s="136">
        <f t="shared" si="92"/>
        <v>4</v>
      </c>
      <c r="N94" s="136">
        <f t="shared" si="89"/>
        <v>20</v>
      </c>
      <c r="O94" s="136">
        <v>12</v>
      </c>
      <c r="P94" s="143">
        <f t="shared" si="89"/>
        <v>143</v>
      </c>
    </row>
    <row r="95" spans="1:16" ht="16.2" thickBot="1" x14ac:dyDescent="0.35">
      <c r="A95" s="696"/>
      <c r="B95" s="24" t="s">
        <v>81</v>
      </c>
      <c r="C95" s="11" t="s">
        <v>3</v>
      </c>
      <c r="D95" s="137">
        <f>D90+D91-D94</f>
        <v>109</v>
      </c>
      <c r="E95" s="137">
        <f t="shared" ref="E95:P95" si="93">E90+E91-E94</f>
        <v>140</v>
      </c>
      <c r="F95" s="137">
        <f t="shared" si="93"/>
        <v>135</v>
      </c>
      <c r="G95" s="137">
        <f t="shared" si="93"/>
        <v>131</v>
      </c>
      <c r="H95" s="137">
        <f t="shared" ref="H95:I95" si="94">H90+H91-H94</f>
        <v>123</v>
      </c>
      <c r="I95" s="137">
        <f t="shared" si="94"/>
        <v>119</v>
      </c>
      <c r="J95" s="137">
        <f t="shared" ref="J95:K95" si="95">J90+J91-J94</f>
        <v>125</v>
      </c>
      <c r="K95" s="137">
        <f t="shared" si="95"/>
        <v>121</v>
      </c>
      <c r="L95" s="137">
        <f t="shared" ref="L95:M95" si="96">L90+L91-L94</f>
        <v>125</v>
      </c>
      <c r="M95" s="137">
        <f t="shared" si="96"/>
        <v>139</v>
      </c>
      <c r="N95" s="137">
        <f t="shared" si="93"/>
        <v>130</v>
      </c>
      <c r="O95" s="137">
        <v>127</v>
      </c>
      <c r="P95" s="144">
        <f t="shared" si="93"/>
        <v>129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70"/>
      <c r="E98" s="70"/>
      <c r="F98" s="70"/>
      <c r="G98" s="553">
        <f t="shared" ref="G98" si="97">G93</f>
        <v>0</v>
      </c>
      <c r="H98" s="70"/>
      <c r="I98" s="70"/>
      <c r="J98" s="71"/>
      <c r="K98" s="71"/>
      <c r="L98" s="71">
        <v>4</v>
      </c>
      <c r="M98" s="71">
        <v>4</v>
      </c>
      <c r="N98" s="71"/>
      <c r="O98" s="71"/>
      <c r="P98" s="107">
        <f>SUM(D98:O98)</f>
        <v>8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4">
        <v>464</v>
      </c>
      <c r="E101" s="4">
        <v>484</v>
      </c>
      <c r="F101" s="4">
        <v>478</v>
      </c>
      <c r="G101" s="4">
        <v>473</v>
      </c>
      <c r="H101" s="4">
        <v>470</v>
      </c>
      <c r="I101" s="4">
        <v>465</v>
      </c>
      <c r="J101" s="4">
        <v>465</v>
      </c>
      <c r="K101" s="4">
        <v>477</v>
      </c>
      <c r="L101" s="4">
        <v>469</v>
      </c>
      <c r="M101" s="4">
        <v>512</v>
      </c>
      <c r="N101" s="4">
        <v>504</v>
      </c>
      <c r="O101" s="4">
        <v>498</v>
      </c>
      <c r="P101" s="32">
        <f t="shared" ref="P101:P116" si="98">O101</f>
        <v>498</v>
      </c>
    </row>
    <row r="102" spans="1:16" ht="15.6" x14ac:dyDescent="0.3">
      <c r="A102" s="661" t="s">
        <v>99</v>
      </c>
      <c r="B102" s="662"/>
      <c r="C102" s="11" t="s">
        <v>3</v>
      </c>
      <c r="D102" s="4">
        <v>17</v>
      </c>
      <c r="E102" s="4">
        <v>18</v>
      </c>
      <c r="F102" s="4">
        <v>18</v>
      </c>
      <c r="G102" s="4">
        <v>18</v>
      </c>
      <c r="H102" s="4">
        <v>18</v>
      </c>
      <c r="I102" s="4">
        <v>18</v>
      </c>
      <c r="J102" s="4">
        <v>18</v>
      </c>
      <c r="K102" s="4">
        <v>18</v>
      </c>
      <c r="L102" s="4">
        <v>18</v>
      </c>
      <c r="M102" s="4">
        <v>18</v>
      </c>
      <c r="N102" s="4">
        <v>18</v>
      </c>
      <c r="O102" s="4">
        <v>18</v>
      </c>
      <c r="P102" s="32">
        <f t="shared" si="98"/>
        <v>18</v>
      </c>
    </row>
    <row r="103" spans="1:16" ht="15.6" customHeight="1" x14ac:dyDescent="0.3">
      <c r="A103" s="663" t="s">
        <v>98</v>
      </c>
      <c r="B103" s="664"/>
      <c r="C103" s="11" t="s">
        <v>3</v>
      </c>
      <c r="D103" s="4">
        <v>75</v>
      </c>
      <c r="E103" s="4">
        <v>75</v>
      </c>
      <c r="F103" s="4">
        <v>75</v>
      </c>
      <c r="G103" s="4">
        <v>74</v>
      </c>
      <c r="H103" s="4">
        <v>74</v>
      </c>
      <c r="I103" s="4">
        <v>74</v>
      </c>
      <c r="J103" s="4">
        <v>75</v>
      </c>
      <c r="K103" s="4">
        <v>75</v>
      </c>
      <c r="L103" s="4">
        <v>74</v>
      </c>
      <c r="M103" s="4">
        <v>74</v>
      </c>
      <c r="N103" s="4">
        <v>73</v>
      </c>
      <c r="O103" s="4">
        <v>73</v>
      </c>
      <c r="P103" s="32">
        <f t="shared" si="98"/>
        <v>73</v>
      </c>
    </row>
    <row r="104" spans="1:16" ht="15.6" x14ac:dyDescent="0.3">
      <c r="A104" s="663" t="s">
        <v>97</v>
      </c>
      <c r="B104" s="664"/>
      <c r="C104" s="11" t="s">
        <v>3</v>
      </c>
      <c r="D104" s="4">
        <v>0</v>
      </c>
      <c r="E104" s="4">
        <v>0</v>
      </c>
      <c r="F104" s="4">
        <v>0</v>
      </c>
      <c r="G104" s="4">
        <v>0</v>
      </c>
      <c r="H104" s="4"/>
      <c r="I104" s="4"/>
      <c r="J104" s="4">
        <v>0</v>
      </c>
      <c r="K104" s="4"/>
      <c r="L104" s="4"/>
      <c r="M104" s="4">
        <v>0</v>
      </c>
      <c r="N104" s="4"/>
      <c r="O104" s="4"/>
      <c r="P104" s="32">
        <f t="shared" si="98"/>
        <v>0</v>
      </c>
    </row>
    <row r="105" spans="1:16" ht="15.6" x14ac:dyDescent="0.3">
      <c r="A105" s="686" t="s">
        <v>96</v>
      </c>
      <c r="B105" s="687"/>
      <c r="C105" s="11" t="s">
        <v>3</v>
      </c>
      <c r="D105" s="33">
        <f>SUM(D101:D104)</f>
        <v>556</v>
      </c>
      <c r="E105" s="33">
        <f t="shared" ref="E105:N105" si="99">SUM(E101:E104)</f>
        <v>577</v>
      </c>
      <c r="F105" s="33">
        <f t="shared" si="99"/>
        <v>571</v>
      </c>
      <c r="G105" s="33">
        <f t="shared" si="99"/>
        <v>565</v>
      </c>
      <c r="H105" s="33">
        <f t="shared" si="99"/>
        <v>562</v>
      </c>
      <c r="I105" s="33">
        <f t="shared" si="99"/>
        <v>557</v>
      </c>
      <c r="J105" s="33">
        <f t="shared" si="99"/>
        <v>558</v>
      </c>
      <c r="K105" s="33">
        <f t="shared" si="99"/>
        <v>570</v>
      </c>
      <c r="L105" s="33">
        <f t="shared" si="99"/>
        <v>561</v>
      </c>
      <c r="M105" s="33">
        <f t="shared" si="99"/>
        <v>604</v>
      </c>
      <c r="N105" s="33">
        <f t="shared" si="99"/>
        <v>595</v>
      </c>
      <c r="O105" s="33">
        <v>589</v>
      </c>
      <c r="P105" s="32">
        <f t="shared" si="98"/>
        <v>589</v>
      </c>
    </row>
    <row r="106" spans="1:16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4">
        <v>453</v>
      </c>
      <c r="E107" s="4">
        <v>441</v>
      </c>
      <c r="F107" s="4">
        <v>465</v>
      </c>
      <c r="G107" s="4">
        <v>484</v>
      </c>
      <c r="H107" s="4">
        <v>507</v>
      </c>
      <c r="I107" s="4">
        <v>513</v>
      </c>
      <c r="J107" s="4">
        <v>521</v>
      </c>
      <c r="K107" s="4">
        <v>521</v>
      </c>
      <c r="L107" s="4">
        <v>559</v>
      </c>
      <c r="M107" s="4">
        <v>515</v>
      </c>
      <c r="N107" s="4">
        <v>541</v>
      </c>
      <c r="O107" s="4">
        <v>558</v>
      </c>
      <c r="P107" s="32">
        <f t="shared" si="98"/>
        <v>558</v>
      </c>
    </row>
    <row r="108" spans="1:16" ht="15.6" x14ac:dyDescent="0.3">
      <c r="A108" s="661" t="s">
        <v>194</v>
      </c>
      <c r="B108" s="662"/>
      <c r="C108" s="11" t="s">
        <v>3</v>
      </c>
      <c r="D108" s="4">
        <v>3</v>
      </c>
      <c r="E108" s="4">
        <v>3</v>
      </c>
      <c r="F108" s="4">
        <v>3</v>
      </c>
      <c r="G108" s="4">
        <v>3</v>
      </c>
      <c r="H108" s="4">
        <v>3</v>
      </c>
      <c r="I108" s="4">
        <v>4</v>
      </c>
      <c r="J108" s="4">
        <v>4</v>
      </c>
      <c r="K108" s="4">
        <v>4</v>
      </c>
      <c r="L108" s="4">
        <v>2</v>
      </c>
      <c r="M108" s="4">
        <v>4</v>
      </c>
      <c r="N108" s="4">
        <v>4</v>
      </c>
      <c r="O108" s="4">
        <v>5</v>
      </c>
      <c r="P108" s="32">
        <f t="shared" si="98"/>
        <v>5</v>
      </c>
    </row>
    <row r="109" spans="1:16" ht="15.6" x14ac:dyDescent="0.3">
      <c r="A109" s="661" t="s">
        <v>195</v>
      </c>
      <c r="B109" s="662"/>
      <c r="C109" s="11" t="s">
        <v>3</v>
      </c>
      <c r="D109" s="4">
        <v>37</v>
      </c>
      <c r="E109" s="4">
        <v>37</v>
      </c>
      <c r="F109" s="4">
        <v>38</v>
      </c>
      <c r="G109" s="4">
        <v>39</v>
      </c>
      <c r="H109" s="4">
        <v>39</v>
      </c>
      <c r="I109" s="4">
        <v>39</v>
      </c>
      <c r="J109" s="4">
        <v>38</v>
      </c>
      <c r="K109" s="4">
        <v>38</v>
      </c>
      <c r="L109" s="4">
        <v>38</v>
      </c>
      <c r="M109" s="4">
        <v>38</v>
      </c>
      <c r="N109" s="4">
        <v>40</v>
      </c>
      <c r="O109" s="4">
        <v>40</v>
      </c>
      <c r="P109" s="32">
        <f t="shared" si="98"/>
        <v>40</v>
      </c>
    </row>
    <row r="110" spans="1:16" ht="15.6" x14ac:dyDescent="0.3">
      <c r="A110" s="661" t="s">
        <v>196</v>
      </c>
      <c r="B110" s="662"/>
      <c r="C110" s="11" t="s">
        <v>3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32">
        <f t="shared" si="98"/>
        <v>1</v>
      </c>
    </row>
    <row r="111" spans="1:16" ht="15.6" x14ac:dyDescent="0.3">
      <c r="A111" s="676" t="s">
        <v>95</v>
      </c>
      <c r="B111" s="677"/>
      <c r="C111" s="11" t="s">
        <v>3</v>
      </c>
      <c r="D111" s="33">
        <f>SUM(D107:D110)</f>
        <v>494</v>
      </c>
      <c r="E111" s="33">
        <f t="shared" ref="E111:N111" si="100">SUM(E107:E110)</f>
        <v>482</v>
      </c>
      <c r="F111" s="33">
        <f t="shared" si="100"/>
        <v>507</v>
      </c>
      <c r="G111" s="33">
        <f t="shared" si="100"/>
        <v>527</v>
      </c>
      <c r="H111" s="33">
        <f t="shared" si="100"/>
        <v>550</v>
      </c>
      <c r="I111" s="33">
        <f t="shared" si="100"/>
        <v>557</v>
      </c>
      <c r="J111" s="33">
        <f t="shared" si="100"/>
        <v>564</v>
      </c>
      <c r="K111" s="33">
        <f t="shared" si="100"/>
        <v>564</v>
      </c>
      <c r="L111" s="33">
        <f t="shared" si="100"/>
        <v>600</v>
      </c>
      <c r="M111" s="33">
        <f t="shared" si="100"/>
        <v>558</v>
      </c>
      <c r="N111" s="33">
        <f t="shared" si="100"/>
        <v>586</v>
      </c>
      <c r="O111" s="33">
        <v>604</v>
      </c>
      <c r="P111" s="32">
        <f t="shared" si="98"/>
        <v>604</v>
      </c>
    </row>
    <row r="112" spans="1:16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27">
        <v>237</v>
      </c>
      <c r="E113" s="127">
        <v>237</v>
      </c>
      <c r="F113" s="127">
        <v>237</v>
      </c>
      <c r="G113" s="33">
        <v>237</v>
      </c>
      <c r="H113" s="33">
        <v>237</v>
      </c>
      <c r="I113" s="33">
        <v>237</v>
      </c>
      <c r="J113" s="129">
        <v>237</v>
      </c>
      <c r="K113" s="33">
        <v>237</v>
      </c>
      <c r="L113" s="129">
        <v>238</v>
      </c>
      <c r="M113" s="129">
        <v>238</v>
      </c>
      <c r="N113" s="129">
        <v>238</v>
      </c>
      <c r="O113" s="129">
        <v>238</v>
      </c>
      <c r="P113" s="32">
        <f t="shared" si="98"/>
        <v>238</v>
      </c>
    </row>
    <row r="114" spans="1:16" ht="15.6" x14ac:dyDescent="0.3">
      <c r="A114" s="661" t="s">
        <v>198</v>
      </c>
      <c r="B114" s="662"/>
      <c r="C114" s="11" t="s">
        <v>3</v>
      </c>
      <c r="D114" s="127">
        <v>9</v>
      </c>
      <c r="E114" s="127">
        <v>7</v>
      </c>
      <c r="F114" s="127">
        <v>7</v>
      </c>
      <c r="G114" s="33">
        <v>7</v>
      </c>
      <c r="H114" s="33">
        <v>7</v>
      </c>
      <c r="I114" s="33">
        <v>7</v>
      </c>
      <c r="J114" s="129">
        <v>7</v>
      </c>
      <c r="K114" s="33">
        <v>7</v>
      </c>
      <c r="L114" s="129">
        <v>9</v>
      </c>
      <c r="M114" s="129">
        <v>10</v>
      </c>
      <c r="N114" s="129">
        <v>10</v>
      </c>
      <c r="O114" s="129">
        <v>10</v>
      </c>
      <c r="P114" s="32">
        <f t="shared" si="98"/>
        <v>10</v>
      </c>
    </row>
    <row r="115" spans="1:16" ht="15.6" x14ac:dyDescent="0.3">
      <c r="A115" s="661" t="s">
        <v>199</v>
      </c>
      <c r="B115" s="662"/>
      <c r="C115" s="11" t="s">
        <v>3</v>
      </c>
      <c r="D115" s="127">
        <v>23</v>
      </c>
      <c r="E115" s="127">
        <v>23</v>
      </c>
      <c r="F115" s="127">
        <v>23</v>
      </c>
      <c r="G115" s="33">
        <v>23</v>
      </c>
      <c r="H115" s="33">
        <v>23</v>
      </c>
      <c r="I115" s="33">
        <v>23</v>
      </c>
      <c r="J115" s="129">
        <v>23</v>
      </c>
      <c r="K115" s="33">
        <v>23</v>
      </c>
      <c r="L115" s="129">
        <v>24</v>
      </c>
      <c r="M115" s="129">
        <v>24</v>
      </c>
      <c r="N115" s="129">
        <v>24</v>
      </c>
      <c r="O115" s="129">
        <v>24</v>
      </c>
      <c r="P115" s="32">
        <f t="shared" si="98"/>
        <v>24</v>
      </c>
    </row>
    <row r="116" spans="1:16" ht="15.6" x14ac:dyDescent="0.3">
      <c r="A116" s="661" t="s">
        <v>200</v>
      </c>
      <c r="B116" s="662"/>
      <c r="C116" s="11" t="s">
        <v>3</v>
      </c>
      <c r="D116" s="127">
        <v>0</v>
      </c>
      <c r="E116" s="127">
        <v>0</v>
      </c>
      <c r="F116" s="33">
        <v>0</v>
      </c>
      <c r="G116" s="33">
        <v>0</v>
      </c>
      <c r="H116" s="33">
        <v>0</v>
      </c>
      <c r="I116" s="127"/>
      <c r="J116" s="129"/>
      <c r="K116" s="33">
        <v>0</v>
      </c>
      <c r="L116" s="129"/>
      <c r="M116" s="129">
        <v>0</v>
      </c>
      <c r="N116" s="129">
        <v>0</v>
      </c>
      <c r="O116" s="129">
        <v>0</v>
      </c>
      <c r="P116" s="32">
        <f t="shared" si="98"/>
        <v>0</v>
      </c>
    </row>
    <row r="117" spans="1:16" ht="15.6" x14ac:dyDescent="0.3">
      <c r="A117" s="676" t="s">
        <v>94</v>
      </c>
      <c r="B117" s="677"/>
      <c r="C117" s="11" t="s">
        <v>3</v>
      </c>
      <c r="D117" s="33">
        <f>SUM(D113:D116)</f>
        <v>269</v>
      </c>
      <c r="E117" s="33">
        <f t="shared" ref="E117:P117" si="101">SUM(E113:E116)</f>
        <v>267</v>
      </c>
      <c r="F117" s="33">
        <f t="shared" si="101"/>
        <v>267</v>
      </c>
      <c r="G117" s="33">
        <f t="shared" si="101"/>
        <v>267</v>
      </c>
      <c r="H117" s="33">
        <f t="shared" ref="H117:I117" si="102">SUM(H113:H116)</f>
        <v>267</v>
      </c>
      <c r="I117" s="33">
        <f t="shared" si="102"/>
        <v>267</v>
      </c>
      <c r="J117" s="169">
        <f t="shared" ref="J117:K117" si="103">SUM(J113:J116)</f>
        <v>267</v>
      </c>
      <c r="K117" s="169">
        <f t="shared" si="103"/>
        <v>267</v>
      </c>
      <c r="L117" s="169">
        <f t="shared" si="101"/>
        <v>271</v>
      </c>
      <c r="M117" s="169">
        <f t="shared" ref="M117" si="104">SUM(M113:M116)</f>
        <v>272</v>
      </c>
      <c r="N117" s="169">
        <f t="shared" si="101"/>
        <v>272</v>
      </c>
      <c r="O117" s="169">
        <v>272</v>
      </c>
      <c r="P117" s="55">
        <f t="shared" si="101"/>
        <v>272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05">D111+D117</f>
        <v>763</v>
      </c>
      <c r="E118" s="33">
        <f t="shared" si="105"/>
        <v>749</v>
      </c>
      <c r="F118" s="33">
        <f t="shared" si="105"/>
        <v>774</v>
      </c>
      <c r="G118" s="33">
        <f t="shared" si="105"/>
        <v>794</v>
      </c>
      <c r="H118" s="33">
        <f t="shared" si="105"/>
        <v>817</v>
      </c>
      <c r="I118" s="33">
        <f t="shared" si="105"/>
        <v>824</v>
      </c>
      <c r="J118" s="169">
        <f t="shared" ref="J118:K118" si="106">J111+J117</f>
        <v>831</v>
      </c>
      <c r="K118" s="169">
        <f t="shared" si="106"/>
        <v>831</v>
      </c>
      <c r="L118" s="169">
        <f t="shared" ref="L118:M118" si="107">L111+L117</f>
        <v>871</v>
      </c>
      <c r="M118" s="169">
        <f t="shared" si="107"/>
        <v>830</v>
      </c>
      <c r="N118" s="169">
        <f t="shared" ref="N118" si="108">N111+N117</f>
        <v>858</v>
      </c>
      <c r="O118" s="169">
        <v>876</v>
      </c>
      <c r="P118" s="169">
        <f t="shared" ref="P118" si="109">P111+P117</f>
        <v>876</v>
      </c>
    </row>
    <row r="119" spans="1:16" ht="15.6" x14ac:dyDescent="0.3">
      <c r="A119" s="676" t="s">
        <v>192</v>
      </c>
      <c r="B119" s="677"/>
      <c r="C119" s="11" t="s">
        <v>3</v>
      </c>
      <c r="D119" s="33">
        <f t="shared" ref="D119:I119" si="110">D105+D118</f>
        <v>1319</v>
      </c>
      <c r="E119" s="33">
        <f t="shared" si="110"/>
        <v>1326</v>
      </c>
      <c r="F119" s="33">
        <f t="shared" si="110"/>
        <v>1345</v>
      </c>
      <c r="G119" s="33">
        <f t="shared" si="110"/>
        <v>1359</v>
      </c>
      <c r="H119" s="33">
        <f t="shared" si="110"/>
        <v>1379</v>
      </c>
      <c r="I119" s="33">
        <f t="shared" si="110"/>
        <v>1381</v>
      </c>
      <c r="J119" s="169">
        <f t="shared" ref="J119:K119" si="111">J105+J118</f>
        <v>1389</v>
      </c>
      <c r="K119" s="169">
        <f t="shared" si="111"/>
        <v>1401</v>
      </c>
      <c r="L119" s="169">
        <f t="shared" ref="L119:M119" si="112">L105+L118</f>
        <v>1432</v>
      </c>
      <c r="M119" s="169">
        <f t="shared" si="112"/>
        <v>1434</v>
      </c>
      <c r="N119" s="169">
        <f t="shared" ref="N119" si="113">N105+N118</f>
        <v>1453</v>
      </c>
      <c r="O119" s="169">
        <v>1465</v>
      </c>
      <c r="P119" s="169">
        <f t="shared" ref="P119" si="114">P105+P118</f>
        <v>1465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7.399999999999999" x14ac:dyDescent="0.3">
      <c r="A121" s="661" t="s">
        <v>93</v>
      </c>
      <c r="B121" s="662"/>
      <c r="C121" s="5" t="s">
        <v>3</v>
      </c>
      <c r="D121" s="554">
        <v>9515</v>
      </c>
      <c r="E121" s="563">
        <v>9520</v>
      </c>
      <c r="F121" s="563">
        <v>9530</v>
      </c>
      <c r="G121" s="4">
        <v>9557</v>
      </c>
      <c r="H121" s="4">
        <v>9612</v>
      </c>
      <c r="I121" s="4">
        <v>9639</v>
      </c>
      <c r="J121" s="4">
        <v>9650</v>
      </c>
      <c r="K121" s="4">
        <v>9679</v>
      </c>
      <c r="L121" s="128">
        <v>9692</v>
      </c>
      <c r="M121" s="128">
        <v>9707</v>
      </c>
      <c r="N121" s="4">
        <f>9707+61</f>
        <v>9768</v>
      </c>
      <c r="O121" s="128">
        <v>9795</v>
      </c>
      <c r="P121" s="31">
        <f>O121</f>
        <v>9795</v>
      </c>
    </row>
    <row r="122" spans="1:16" ht="17.399999999999999" x14ac:dyDescent="0.3">
      <c r="A122" s="661" t="s">
        <v>92</v>
      </c>
      <c r="B122" s="662"/>
      <c r="C122" s="5" t="s">
        <v>3</v>
      </c>
      <c r="D122" s="554">
        <f>8737</f>
        <v>8737</v>
      </c>
      <c r="E122" s="563">
        <v>8737</v>
      </c>
      <c r="F122" s="563">
        <f>8741</f>
        <v>8741</v>
      </c>
      <c r="G122" s="4">
        <f>8741+14*4</f>
        <v>8797</v>
      </c>
      <c r="H122" s="4">
        <f>8797+26*4</f>
        <v>8901</v>
      </c>
      <c r="I122" s="4">
        <v>8916</v>
      </c>
      <c r="J122" s="4">
        <f>8916+8</f>
        <v>8924</v>
      </c>
      <c r="K122" s="4">
        <v>8926</v>
      </c>
      <c r="L122" s="128">
        <v>8934</v>
      </c>
      <c r="M122" s="128">
        <v>8946</v>
      </c>
      <c r="N122" s="4">
        <f>8946+19</f>
        <v>8965</v>
      </c>
      <c r="O122" s="128">
        <v>8965</v>
      </c>
      <c r="P122" s="31">
        <f>O122</f>
        <v>8965</v>
      </c>
    </row>
    <row r="123" spans="1:16" ht="15.6" x14ac:dyDescent="0.3">
      <c r="A123" s="678" t="s">
        <v>91</v>
      </c>
      <c r="B123" s="679"/>
      <c r="C123" s="30" t="s">
        <v>6</v>
      </c>
      <c r="D123" s="29">
        <f>D122/D121</f>
        <v>0.91823436678928005</v>
      </c>
      <c r="E123" s="29">
        <f t="shared" ref="E123:H123" si="115">E122/E121</f>
        <v>0.91775210084033609</v>
      </c>
      <c r="F123" s="29">
        <f t="shared" si="115"/>
        <v>0.91720881427072398</v>
      </c>
      <c r="G123" s="29">
        <f t="shared" si="115"/>
        <v>0.92047713717693835</v>
      </c>
      <c r="H123" s="573">
        <f t="shared" si="115"/>
        <v>0.92602996254681647</v>
      </c>
      <c r="I123" s="29">
        <f t="shared" ref="I123:P123" si="116">I122/I121</f>
        <v>0.92499221910986618</v>
      </c>
      <c r="J123" s="29">
        <f t="shared" si="116"/>
        <v>0.92476683937823834</v>
      </c>
      <c r="K123" s="29">
        <f t="shared" si="116"/>
        <v>0.92220270689120776</v>
      </c>
      <c r="L123" s="29">
        <f t="shared" si="116"/>
        <v>0.92179116797358651</v>
      </c>
      <c r="M123" s="29">
        <f t="shared" si="116"/>
        <v>0.92160296693108068</v>
      </c>
      <c r="N123" s="29">
        <f t="shared" si="116"/>
        <v>0.9177927927927928</v>
      </c>
      <c r="O123" s="29">
        <v>0.91526288922919852</v>
      </c>
      <c r="P123" s="108">
        <f t="shared" si="116"/>
        <v>0.91526288922919852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0</v>
      </c>
      <c r="F125" s="132">
        <f t="shared" ref="F125:H125" si="117">E129</f>
        <v>0</v>
      </c>
      <c r="G125" s="132">
        <f t="shared" si="117"/>
        <v>0</v>
      </c>
      <c r="H125" s="132">
        <f t="shared" si="117"/>
        <v>0</v>
      </c>
      <c r="I125" s="157"/>
      <c r="J125" s="157"/>
      <c r="K125" s="157"/>
      <c r="L125" s="157"/>
      <c r="M125" s="157">
        <v>0</v>
      </c>
      <c r="N125" s="157"/>
      <c r="O125" s="157"/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5</v>
      </c>
      <c r="E126" s="132">
        <v>0</v>
      </c>
      <c r="F126" s="132">
        <v>0</v>
      </c>
      <c r="G126" s="132">
        <v>0</v>
      </c>
      <c r="H126" s="132">
        <v>0</v>
      </c>
      <c r="I126" s="155"/>
      <c r="J126" s="155"/>
      <c r="K126" s="155"/>
      <c r="L126" s="155"/>
      <c r="M126" s="155">
        <v>0</v>
      </c>
      <c r="N126" s="155"/>
      <c r="O126" s="155"/>
      <c r="P126" s="18">
        <f>SUM(D126:O126)</f>
        <v>5</v>
      </c>
    </row>
    <row r="127" spans="1:16" ht="15.6" x14ac:dyDescent="0.3">
      <c r="A127" s="674"/>
      <c r="B127" s="82" t="s">
        <v>88</v>
      </c>
      <c r="C127" s="11" t="s">
        <v>3</v>
      </c>
      <c r="D127" s="132">
        <v>5</v>
      </c>
      <c r="E127" s="132">
        <v>0</v>
      </c>
      <c r="F127" s="132">
        <v>0</v>
      </c>
      <c r="G127" s="132">
        <v>0</v>
      </c>
      <c r="H127" s="132">
        <v>0</v>
      </c>
      <c r="I127" s="155"/>
      <c r="J127" s="155"/>
      <c r="K127" s="155"/>
      <c r="L127" s="155"/>
      <c r="M127" s="155">
        <v>0</v>
      </c>
      <c r="N127" s="155"/>
      <c r="O127" s="155"/>
      <c r="P127" s="18">
        <f>SUM(D127:O127)</f>
        <v>5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155"/>
      <c r="J128" s="155"/>
      <c r="K128" s="155"/>
      <c r="L128" s="155"/>
      <c r="M128" s="155">
        <v>0</v>
      </c>
      <c r="N128" s="155"/>
      <c r="O128" s="155"/>
      <c r="P128" s="18">
        <f>SUM(D128:O128)</f>
        <v>0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0</v>
      </c>
      <c r="E129" s="132">
        <f t="shared" ref="E129:H129" si="118">E125+E126-E127-E128</f>
        <v>0</v>
      </c>
      <c r="F129" s="132">
        <f t="shared" si="118"/>
        <v>0</v>
      </c>
      <c r="G129" s="132">
        <f t="shared" si="118"/>
        <v>0</v>
      </c>
      <c r="H129" s="132">
        <f t="shared" si="118"/>
        <v>0</v>
      </c>
      <c r="I129" s="157">
        <f t="shared" ref="I129" si="119">I125+I126-I127-I128</f>
        <v>0</v>
      </c>
      <c r="J129" s="157">
        <f t="shared" ref="J129:K129" si="120">J125+J126-J127-J128</f>
        <v>0</v>
      </c>
      <c r="K129" s="157">
        <f t="shared" si="120"/>
        <v>0</v>
      </c>
      <c r="L129" s="157">
        <f t="shared" ref="L129" si="121">L125+L126-L127-L128</f>
        <v>0</v>
      </c>
      <c r="M129" s="157">
        <v>0</v>
      </c>
      <c r="N129" s="157">
        <f t="shared" ref="N129" si="122">N125+N126-N127-N128</f>
        <v>0</v>
      </c>
      <c r="O129" s="157">
        <v>0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0</v>
      </c>
      <c r="E130" s="132">
        <f>D134</f>
        <v>0</v>
      </c>
      <c r="F130" s="132">
        <f t="shared" ref="F130:H130" si="123">E134</f>
        <v>0</v>
      </c>
      <c r="G130" s="132">
        <f t="shared" si="123"/>
        <v>0</v>
      </c>
      <c r="H130" s="132">
        <f t="shared" si="123"/>
        <v>0</v>
      </c>
      <c r="I130" s="157"/>
      <c r="J130" s="157"/>
      <c r="K130" s="157"/>
      <c r="L130" s="157"/>
      <c r="M130" s="157">
        <v>0</v>
      </c>
      <c r="N130" s="157"/>
      <c r="O130" s="157"/>
      <c r="P130" s="25">
        <f>D130</f>
        <v>0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155"/>
      <c r="J131" s="155"/>
      <c r="K131" s="155"/>
      <c r="L131" s="155"/>
      <c r="M131" s="155">
        <v>0</v>
      </c>
      <c r="N131" s="155"/>
      <c r="O131" s="155"/>
      <c r="P131" s="18">
        <f>SUM(D131:O131)</f>
        <v>0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155"/>
      <c r="J132" s="155"/>
      <c r="K132" s="155"/>
      <c r="L132" s="155"/>
      <c r="M132" s="155">
        <v>0</v>
      </c>
      <c r="N132" s="155"/>
      <c r="O132" s="155"/>
      <c r="P132" s="18">
        <f>SUM(D132:O132)</f>
        <v>0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155"/>
      <c r="J133" s="155"/>
      <c r="K133" s="155"/>
      <c r="L133" s="155"/>
      <c r="M133" s="155">
        <v>0</v>
      </c>
      <c r="N133" s="155"/>
      <c r="O133" s="155"/>
      <c r="P133" s="18">
        <f>SUM(D133:O133)</f>
        <v>0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0</v>
      </c>
      <c r="E134" s="132">
        <f t="shared" ref="E134:H134" si="124">E130+E131-E132-E133</f>
        <v>0</v>
      </c>
      <c r="F134" s="132">
        <f t="shared" si="124"/>
        <v>0</v>
      </c>
      <c r="G134" s="132">
        <f t="shared" si="124"/>
        <v>0</v>
      </c>
      <c r="H134" s="132">
        <f t="shared" si="124"/>
        <v>0</v>
      </c>
      <c r="I134" s="157">
        <f t="shared" ref="I134" si="125">I130+I131-I132-I133</f>
        <v>0</v>
      </c>
      <c r="J134" s="157">
        <f t="shared" ref="J134:K134" si="126">J130+J131-J132-J133</f>
        <v>0</v>
      </c>
      <c r="K134" s="157">
        <f t="shared" si="126"/>
        <v>0</v>
      </c>
      <c r="L134" s="157">
        <f t="shared" ref="L134" si="127">L130+L131-L132-L133</f>
        <v>0</v>
      </c>
      <c r="M134" s="157">
        <v>0</v>
      </c>
      <c r="N134" s="157">
        <f t="shared" ref="N134" si="128">N130+N131-N132-N133</f>
        <v>0</v>
      </c>
      <c r="O134" s="157">
        <v>0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f>D139</f>
        <v>0</v>
      </c>
      <c r="F135" s="132">
        <f t="shared" ref="F135:H135" si="129">E139</f>
        <v>0</v>
      </c>
      <c r="G135" s="132">
        <f t="shared" si="129"/>
        <v>0</v>
      </c>
      <c r="H135" s="132">
        <f t="shared" si="129"/>
        <v>0</v>
      </c>
      <c r="I135" s="157"/>
      <c r="J135" s="157"/>
      <c r="K135" s="157"/>
      <c r="L135" s="157"/>
      <c r="M135" s="157">
        <v>0</v>
      </c>
      <c r="N135" s="157"/>
      <c r="O135" s="157"/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55"/>
      <c r="J136" s="155"/>
      <c r="K136" s="155"/>
      <c r="L136" s="155"/>
      <c r="M136" s="155">
        <v>0</v>
      </c>
      <c r="N136" s="155"/>
      <c r="O136" s="155"/>
      <c r="P136" s="18">
        <f>SUM(D136:O136)</f>
        <v>0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155"/>
      <c r="J137" s="155"/>
      <c r="K137" s="155"/>
      <c r="L137" s="155"/>
      <c r="M137" s="155">
        <v>0</v>
      </c>
      <c r="N137" s="155"/>
      <c r="O137" s="155"/>
      <c r="P137" s="18">
        <f>SUM(D137:O137)</f>
        <v>0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155"/>
      <c r="J138" s="155"/>
      <c r="K138" s="155"/>
      <c r="L138" s="155"/>
      <c r="M138" s="155">
        <v>0</v>
      </c>
      <c r="N138" s="155"/>
      <c r="O138" s="155"/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H139" si="130">E135+E136-E137-E138</f>
        <v>0</v>
      </c>
      <c r="F139" s="132">
        <f t="shared" si="130"/>
        <v>0</v>
      </c>
      <c r="G139" s="132">
        <f t="shared" si="130"/>
        <v>0</v>
      </c>
      <c r="H139" s="132">
        <f t="shared" si="130"/>
        <v>0</v>
      </c>
      <c r="I139" s="157">
        <f t="shared" ref="I139" si="131">I135+I136-I137-I138</f>
        <v>0</v>
      </c>
      <c r="J139" s="157">
        <f t="shared" ref="J139:K139" si="132">J135+J136-J137-J138</f>
        <v>0</v>
      </c>
      <c r="K139" s="157">
        <f t="shared" si="132"/>
        <v>0</v>
      </c>
      <c r="L139" s="157">
        <f t="shared" ref="L139" si="133">L135+L136-L137-L138</f>
        <v>0</v>
      </c>
      <c r="M139" s="157">
        <v>0</v>
      </c>
      <c r="N139" s="157">
        <f t="shared" ref="N139" si="134">N135+N136-N137-N138</f>
        <v>0</v>
      </c>
      <c r="O139" s="157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0</v>
      </c>
      <c r="E140" s="132">
        <f>D144</f>
        <v>0</v>
      </c>
      <c r="F140" s="132">
        <f t="shared" ref="F140:H140" si="135">E144</f>
        <v>0</v>
      </c>
      <c r="G140" s="132">
        <f t="shared" si="135"/>
        <v>0</v>
      </c>
      <c r="H140" s="132">
        <f t="shared" si="135"/>
        <v>0</v>
      </c>
      <c r="I140" s="157"/>
      <c r="J140" s="132">
        <f t="shared" ref="J140" si="136">I144</f>
        <v>0</v>
      </c>
      <c r="K140" s="157"/>
      <c r="L140" s="157">
        <v>0</v>
      </c>
      <c r="M140" s="157">
        <v>3</v>
      </c>
      <c r="N140" s="157">
        <v>2</v>
      </c>
      <c r="O140" s="157"/>
      <c r="P140" s="25">
        <f>D140</f>
        <v>0</v>
      </c>
    </row>
    <row r="141" spans="1:16" ht="15.6" x14ac:dyDescent="0.3">
      <c r="A141" s="674"/>
      <c r="B141" s="24" t="s">
        <v>84</v>
      </c>
      <c r="C141" s="11" t="s">
        <v>3</v>
      </c>
      <c r="D141" s="132">
        <v>0</v>
      </c>
      <c r="E141" s="132">
        <v>7</v>
      </c>
      <c r="F141" s="132">
        <v>9</v>
      </c>
      <c r="G141" s="132">
        <v>6</v>
      </c>
      <c r="H141" s="132">
        <v>11</v>
      </c>
      <c r="I141" s="132">
        <v>3</v>
      </c>
      <c r="J141" s="132">
        <v>6</v>
      </c>
      <c r="K141" s="155">
        <v>8</v>
      </c>
      <c r="L141" s="155">
        <v>3</v>
      </c>
      <c r="M141" s="155">
        <v>36</v>
      </c>
      <c r="N141" s="155">
        <v>9</v>
      </c>
      <c r="O141" s="155">
        <v>3</v>
      </c>
      <c r="P141" s="18">
        <f>SUM(D141:O141)</f>
        <v>101</v>
      </c>
    </row>
    <row r="142" spans="1:16" ht="15.6" x14ac:dyDescent="0.3">
      <c r="A142" s="674"/>
      <c r="B142" s="24" t="s">
        <v>83</v>
      </c>
      <c r="C142" s="11" t="s">
        <v>3</v>
      </c>
      <c r="D142" s="132">
        <v>0</v>
      </c>
      <c r="E142" s="132">
        <v>7</v>
      </c>
      <c r="F142" s="132">
        <v>9</v>
      </c>
      <c r="G142" s="132">
        <v>0</v>
      </c>
      <c r="H142" s="132">
        <v>9</v>
      </c>
      <c r="I142" s="155"/>
      <c r="J142" s="132">
        <v>6</v>
      </c>
      <c r="K142" s="155">
        <v>8</v>
      </c>
      <c r="L142" s="155">
        <v>0</v>
      </c>
      <c r="M142" s="155">
        <v>0</v>
      </c>
      <c r="N142" s="155">
        <v>0</v>
      </c>
      <c r="O142" s="155">
        <v>0</v>
      </c>
      <c r="P142" s="18">
        <f>SUM(D142:O142)</f>
        <v>39</v>
      </c>
    </row>
    <row r="143" spans="1:16" ht="15.6" x14ac:dyDescent="0.3">
      <c r="A143" s="674"/>
      <c r="B143" s="24" t="s">
        <v>82</v>
      </c>
      <c r="C143" s="11" t="s">
        <v>3</v>
      </c>
      <c r="D143" s="132">
        <v>0</v>
      </c>
      <c r="E143" s="132">
        <v>0</v>
      </c>
      <c r="F143" s="132">
        <v>0</v>
      </c>
      <c r="G143" s="132">
        <v>6</v>
      </c>
      <c r="H143" s="132">
        <v>2</v>
      </c>
      <c r="I143" s="155">
        <v>3</v>
      </c>
      <c r="J143" s="132">
        <v>0</v>
      </c>
      <c r="K143" s="155"/>
      <c r="L143" s="155">
        <v>0</v>
      </c>
      <c r="M143" s="155">
        <v>37</v>
      </c>
      <c r="N143" s="155">
        <v>11</v>
      </c>
      <c r="O143" s="155">
        <v>3</v>
      </c>
      <c r="P143" s="18">
        <f>SUM(D143:O143)</f>
        <v>62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0</v>
      </c>
      <c r="E144" s="132">
        <f t="shared" ref="E144:H144" si="137">E140+E141-E142-E143</f>
        <v>0</v>
      </c>
      <c r="F144" s="132">
        <f t="shared" si="137"/>
        <v>0</v>
      </c>
      <c r="G144" s="132">
        <f t="shared" si="137"/>
        <v>0</v>
      </c>
      <c r="H144" s="132">
        <f t="shared" si="137"/>
        <v>0</v>
      </c>
      <c r="I144" s="157">
        <f t="shared" ref="I144:J144" si="138">I140+I141-I142-I143</f>
        <v>0</v>
      </c>
      <c r="J144" s="132">
        <f t="shared" si="138"/>
        <v>0</v>
      </c>
      <c r="K144" s="157">
        <f t="shared" ref="K144" si="139">K140+K141-K142-K143</f>
        <v>0</v>
      </c>
      <c r="L144" s="157">
        <v>3</v>
      </c>
      <c r="M144" s="157">
        <v>2</v>
      </c>
      <c r="N144" s="157">
        <v>0</v>
      </c>
      <c r="O144" s="157">
        <v>2</v>
      </c>
      <c r="P144" s="25">
        <f>P140+P141-P142-P143</f>
        <v>0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23">
        <f t="shared" ref="D145:I145" si="140">D125+D130+D135+D140</f>
        <v>0</v>
      </c>
      <c r="E145" s="23">
        <f t="shared" si="140"/>
        <v>0</v>
      </c>
      <c r="F145" s="23">
        <f t="shared" si="140"/>
        <v>0</v>
      </c>
      <c r="G145" s="23">
        <f t="shared" si="140"/>
        <v>0</v>
      </c>
      <c r="H145" s="23">
        <f t="shared" si="140"/>
        <v>0</v>
      </c>
      <c r="I145" s="23">
        <f t="shared" si="140"/>
        <v>0</v>
      </c>
      <c r="J145" s="23">
        <f t="shared" ref="J145:K145" si="141">J125+J130+J135+J140</f>
        <v>0</v>
      </c>
      <c r="K145" s="23">
        <f t="shared" si="141"/>
        <v>0</v>
      </c>
      <c r="L145" s="23">
        <f t="shared" ref="L145:M145" si="142">L125+L130+L135+L140</f>
        <v>0</v>
      </c>
      <c r="M145" s="23">
        <f t="shared" si="142"/>
        <v>3</v>
      </c>
      <c r="N145" s="23">
        <f t="shared" ref="N145" si="143">N125+N130+N135+N140</f>
        <v>2</v>
      </c>
      <c r="O145" s="23">
        <v>0</v>
      </c>
      <c r="P145" s="109">
        <f t="shared" ref="P145:P149" si="144">P125+P130+P135+P140</f>
        <v>0</v>
      </c>
    </row>
    <row r="146" spans="1:16" ht="15.6" x14ac:dyDescent="0.3">
      <c r="A146" s="674"/>
      <c r="B146" s="24" t="s">
        <v>84</v>
      </c>
      <c r="C146" s="11" t="s">
        <v>3</v>
      </c>
      <c r="D146" s="23">
        <f t="shared" ref="D146:E148" si="145">D126+D131+D136+D141</f>
        <v>5</v>
      </c>
      <c r="E146" s="23">
        <f t="shared" si="145"/>
        <v>7</v>
      </c>
      <c r="F146" s="23">
        <f t="shared" ref="F146:G146" si="146">F126+F131+F136+F141</f>
        <v>9</v>
      </c>
      <c r="G146" s="23">
        <f t="shared" si="146"/>
        <v>6</v>
      </c>
      <c r="H146" s="23">
        <f t="shared" ref="H146:I146" si="147">H126+H131+H136+H141</f>
        <v>11</v>
      </c>
      <c r="I146" s="23">
        <f t="shared" si="147"/>
        <v>3</v>
      </c>
      <c r="J146" s="23">
        <f t="shared" ref="J146:K146" si="148">J126+J131+J136+J141</f>
        <v>6</v>
      </c>
      <c r="K146" s="23">
        <f t="shared" si="148"/>
        <v>8</v>
      </c>
      <c r="L146" s="23">
        <f t="shared" ref="L146:M146" si="149">L126+L131+L136+L141</f>
        <v>3</v>
      </c>
      <c r="M146" s="23">
        <f t="shared" si="149"/>
        <v>36</v>
      </c>
      <c r="N146" s="23">
        <f t="shared" ref="N146" si="150">N126+N131+N136+N141</f>
        <v>9</v>
      </c>
      <c r="O146" s="23">
        <v>3</v>
      </c>
      <c r="P146" s="109">
        <f t="shared" si="144"/>
        <v>106</v>
      </c>
    </row>
    <row r="147" spans="1:16" ht="15.6" x14ac:dyDescent="0.3">
      <c r="A147" s="674"/>
      <c r="B147" s="24" t="s">
        <v>83</v>
      </c>
      <c r="C147" s="11" t="s">
        <v>3</v>
      </c>
      <c r="D147" s="23">
        <f t="shared" si="145"/>
        <v>5</v>
      </c>
      <c r="E147" s="23">
        <f t="shared" si="145"/>
        <v>7</v>
      </c>
      <c r="F147" s="23">
        <f t="shared" ref="F147:G147" si="151">F127+F132+F137+F142</f>
        <v>9</v>
      </c>
      <c r="G147" s="23">
        <f t="shared" si="151"/>
        <v>0</v>
      </c>
      <c r="H147" s="23">
        <f t="shared" ref="H147:I147" si="152">H127+H132+H137+H142</f>
        <v>9</v>
      </c>
      <c r="I147" s="23">
        <f t="shared" si="152"/>
        <v>0</v>
      </c>
      <c r="J147" s="23">
        <f t="shared" ref="J147:K147" si="153">J127+J132+J137+J142</f>
        <v>6</v>
      </c>
      <c r="K147" s="23">
        <f t="shared" si="153"/>
        <v>8</v>
      </c>
      <c r="L147" s="23">
        <f t="shared" ref="L147:M147" si="154">L127+L132+L137+L142</f>
        <v>0</v>
      </c>
      <c r="M147" s="23">
        <f t="shared" si="154"/>
        <v>0</v>
      </c>
      <c r="N147" s="23">
        <f t="shared" ref="N147" si="155">N127+N132+N137+N142</f>
        <v>0</v>
      </c>
      <c r="O147" s="23">
        <v>0</v>
      </c>
      <c r="P147" s="109">
        <f t="shared" si="144"/>
        <v>44</v>
      </c>
    </row>
    <row r="148" spans="1:16" ht="15.6" x14ac:dyDescent="0.3">
      <c r="A148" s="674"/>
      <c r="B148" s="24" t="s">
        <v>82</v>
      </c>
      <c r="C148" s="11" t="s">
        <v>3</v>
      </c>
      <c r="D148" s="23">
        <f t="shared" si="145"/>
        <v>0</v>
      </c>
      <c r="E148" s="23">
        <f t="shared" si="145"/>
        <v>0</v>
      </c>
      <c r="F148" s="23">
        <f t="shared" ref="F148:G148" si="156">F128+F133+F138+F143</f>
        <v>0</v>
      </c>
      <c r="G148" s="23">
        <f t="shared" si="156"/>
        <v>6</v>
      </c>
      <c r="H148" s="23">
        <f t="shared" ref="H148:I148" si="157">H128+H133+H138+H143</f>
        <v>2</v>
      </c>
      <c r="I148" s="23">
        <f t="shared" si="157"/>
        <v>3</v>
      </c>
      <c r="J148" s="23">
        <f t="shared" ref="J148:K148" si="158">J128+J133+J138+J143</f>
        <v>0</v>
      </c>
      <c r="K148" s="23">
        <f t="shared" si="158"/>
        <v>0</v>
      </c>
      <c r="L148" s="23">
        <f t="shared" ref="L148:M148" si="159">L128+L133+L138+L143</f>
        <v>0</v>
      </c>
      <c r="M148" s="23">
        <f t="shared" si="159"/>
        <v>37</v>
      </c>
      <c r="N148" s="23">
        <f t="shared" ref="N148" si="160">N128+N133+N138+N143</f>
        <v>11</v>
      </c>
      <c r="O148" s="23">
        <v>3</v>
      </c>
      <c r="P148" s="109">
        <f t="shared" si="144"/>
        <v>62</v>
      </c>
    </row>
    <row r="149" spans="1:16" ht="15.6" x14ac:dyDescent="0.3">
      <c r="A149" s="675"/>
      <c r="B149" s="24" t="s">
        <v>81</v>
      </c>
      <c r="C149" s="11" t="s">
        <v>3</v>
      </c>
      <c r="D149" s="157">
        <f t="shared" ref="D149:I149" si="161">D145+D146-D147-D148</f>
        <v>0</v>
      </c>
      <c r="E149" s="157">
        <f t="shared" si="161"/>
        <v>0</v>
      </c>
      <c r="F149" s="157">
        <f t="shared" si="161"/>
        <v>0</v>
      </c>
      <c r="G149" s="157">
        <f t="shared" si="161"/>
        <v>0</v>
      </c>
      <c r="H149" s="157">
        <f t="shared" si="161"/>
        <v>0</v>
      </c>
      <c r="I149" s="157">
        <f t="shared" si="161"/>
        <v>0</v>
      </c>
      <c r="J149" s="157">
        <f t="shared" ref="J149:K149" si="162">J145+J146-J147-J148</f>
        <v>0</v>
      </c>
      <c r="K149" s="157">
        <f t="shared" si="162"/>
        <v>0</v>
      </c>
      <c r="L149" s="157">
        <f t="shared" ref="L149:M149" si="163">L145+L146-L147-L148</f>
        <v>3</v>
      </c>
      <c r="M149" s="157">
        <f t="shared" si="163"/>
        <v>2</v>
      </c>
      <c r="N149" s="157">
        <f t="shared" ref="N149" si="164">N145+N146-N147-N148</f>
        <v>0</v>
      </c>
      <c r="O149" s="157">
        <v>0</v>
      </c>
      <c r="P149" s="109">
        <f t="shared" si="144"/>
        <v>0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4">
        <v>11</v>
      </c>
      <c r="E153" s="4">
        <v>13</v>
      </c>
      <c r="F153" s="4">
        <v>14</v>
      </c>
      <c r="G153" s="4">
        <v>9</v>
      </c>
      <c r="H153" s="4">
        <v>5</v>
      </c>
      <c r="I153" s="4">
        <v>7</v>
      </c>
      <c r="J153" s="132">
        <v>12</v>
      </c>
      <c r="K153" s="132">
        <v>10</v>
      </c>
      <c r="L153" s="155">
        <v>9</v>
      </c>
      <c r="M153" s="155">
        <v>8</v>
      </c>
      <c r="N153" s="155">
        <v>13</v>
      </c>
      <c r="O153" s="155">
        <v>22</v>
      </c>
      <c r="P153" s="18">
        <f t="shared" ref="P153:P165" si="165">SUM(D153:O153)</f>
        <v>133</v>
      </c>
    </row>
    <row r="154" spans="1:16" ht="15.6" x14ac:dyDescent="0.3">
      <c r="A154" s="671"/>
      <c r="B154" s="19" t="s">
        <v>72</v>
      </c>
      <c r="C154" s="11" t="s">
        <v>57</v>
      </c>
      <c r="D154" s="4">
        <v>5</v>
      </c>
      <c r="E154" s="4">
        <v>6</v>
      </c>
      <c r="F154" s="4">
        <v>4</v>
      </c>
      <c r="G154" s="4">
        <v>6</v>
      </c>
      <c r="H154" s="4">
        <v>4</v>
      </c>
      <c r="I154" s="4">
        <v>1</v>
      </c>
      <c r="J154" s="132">
        <v>3</v>
      </c>
      <c r="K154" s="132">
        <v>6</v>
      </c>
      <c r="L154" s="155">
        <v>4</v>
      </c>
      <c r="M154" s="155">
        <v>7</v>
      </c>
      <c r="N154" s="155">
        <v>11</v>
      </c>
      <c r="O154" s="155">
        <v>13</v>
      </c>
      <c r="P154" s="18">
        <f t="shared" si="165"/>
        <v>70</v>
      </c>
    </row>
    <row r="155" spans="1:16" ht="15.6" x14ac:dyDescent="0.3">
      <c r="A155" s="671"/>
      <c r="B155" s="19" t="s">
        <v>53</v>
      </c>
      <c r="C155" s="11" t="s">
        <v>57</v>
      </c>
      <c r="D155" s="4">
        <v>2</v>
      </c>
      <c r="E155" s="4">
        <v>2</v>
      </c>
      <c r="F155" s="4">
        <v>5</v>
      </c>
      <c r="G155" s="4">
        <v>4</v>
      </c>
      <c r="H155" s="4">
        <v>2</v>
      </c>
      <c r="I155" s="155"/>
      <c r="J155" s="132"/>
      <c r="K155" s="132">
        <v>2</v>
      </c>
      <c r="L155" s="155">
        <v>5</v>
      </c>
      <c r="M155" s="155">
        <v>2</v>
      </c>
      <c r="N155" s="155">
        <v>5</v>
      </c>
      <c r="O155" s="155">
        <v>3</v>
      </c>
      <c r="P155" s="18">
        <f t="shared" si="165"/>
        <v>32</v>
      </c>
    </row>
    <row r="156" spans="1:16" ht="15.6" x14ac:dyDescent="0.3">
      <c r="A156" s="671"/>
      <c r="B156" s="19" t="s">
        <v>71</v>
      </c>
      <c r="C156" s="11" t="s">
        <v>57</v>
      </c>
      <c r="D156" s="4">
        <v>0</v>
      </c>
      <c r="E156" s="4"/>
      <c r="F156" s="4">
        <v>4</v>
      </c>
      <c r="G156" s="4">
        <v>2</v>
      </c>
      <c r="H156" s="4">
        <v>1</v>
      </c>
      <c r="I156" s="155"/>
      <c r="J156" s="132"/>
      <c r="K156" s="132">
        <v>0</v>
      </c>
      <c r="L156" s="155"/>
      <c r="M156" s="155"/>
      <c r="N156" s="155">
        <v>0</v>
      </c>
      <c r="O156" s="155"/>
      <c r="P156" s="18">
        <f t="shared" si="165"/>
        <v>7</v>
      </c>
    </row>
    <row r="157" spans="1:16" ht="15.6" x14ac:dyDescent="0.3">
      <c r="A157" s="671"/>
      <c r="B157" s="19" t="s">
        <v>52</v>
      </c>
      <c r="C157" s="11" t="s">
        <v>57</v>
      </c>
      <c r="D157" s="4">
        <v>1</v>
      </c>
      <c r="E157" s="4"/>
      <c r="F157" s="4"/>
      <c r="G157" s="4"/>
      <c r="H157" s="4"/>
      <c r="I157" s="155"/>
      <c r="J157" s="132"/>
      <c r="K157" s="132">
        <v>2</v>
      </c>
      <c r="L157" s="155"/>
      <c r="M157" s="155"/>
      <c r="N157" s="155">
        <v>1</v>
      </c>
      <c r="O157" s="155"/>
      <c r="P157" s="18">
        <f t="shared" si="165"/>
        <v>4</v>
      </c>
    </row>
    <row r="158" spans="1:16" ht="15.6" x14ac:dyDescent="0.3">
      <c r="A158" s="671"/>
      <c r="B158" s="19" t="s">
        <v>51</v>
      </c>
      <c r="C158" s="11" t="s">
        <v>57</v>
      </c>
      <c r="D158" s="4"/>
      <c r="E158" s="4">
        <v>2</v>
      </c>
      <c r="F158" s="4"/>
      <c r="G158" s="4"/>
      <c r="H158" s="4">
        <v>1</v>
      </c>
      <c r="I158" s="155"/>
      <c r="J158" s="132"/>
      <c r="K158" s="132"/>
      <c r="L158" s="155"/>
      <c r="M158" s="155">
        <v>1</v>
      </c>
      <c r="N158" s="155">
        <v>2</v>
      </c>
      <c r="O158" s="155"/>
      <c r="P158" s="18">
        <f t="shared" si="165"/>
        <v>6</v>
      </c>
    </row>
    <row r="159" spans="1:16" ht="15.6" x14ac:dyDescent="0.3">
      <c r="A159" s="671"/>
      <c r="B159" s="19" t="s">
        <v>62</v>
      </c>
      <c r="C159" s="11" t="s">
        <v>57</v>
      </c>
      <c r="D159" s="4"/>
      <c r="E159" s="4"/>
      <c r="F159" s="4"/>
      <c r="G159" s="4"/>
      <c r="H159" s="4"/>
      <c r="I159" s="155"/>
      <c r="J159" s="132"/>
      <c r="K159" s="132"/>
      <c r="L159" s="155"/>
      <c r="M159" s="155">
        <v>0</v>
      </c>
      <c r="N159" s="155"/>
      <c r="O159" s="155"/>
      <c r="P159" s="18">
        <f t="shared" si="165"/>
        <v>0</v>
      </c>
    </row>
    <row r="160" spans="1:16" ht="15.6" x14ac:dyDescent="0.3">
      <c r="A160" s="671"/>
      <c r="B160" s="19" t="s">
        <v>50</v>
      </c>
      <c r="C160" s="11" t="s">
        <v>57</v>
      </c>
      <c r="D160" s="4"/>
      <c r="E160" s="4"/>
      <c r="F160" s="4"/>
      <c r="G160" s="4"/>
      <c r="H160" s="4"/>
      <c r="I160" s="155"/>
      <c r="J160" s="132"/>
      <c r="K160" s="132"/>
      <c r="L160" s="155"/>
      <c r="M160" s="155">
        <v>0</v>
      </c>
      <c r="N160" s="155"/>
      <c r="O160" s="155"/>
      <c r="P160" s="18">
        <f t="shared" si="165"/>
        <v>0</v>
      </c>
    </row>
    <row r="161" spans="1:16" ht="15.6" x14ac:dyDescent="0.3">
      <c r="A161" s="671"/>
      <c r="B161" s="19" t="s">
        <v>49</v>
      </c>
      <c r="C161" s="11" t="s">
        <v>57</v>
      </c>
      <c r="D161" s="4"/>
      <c r="E161" s="4"/>
      <c r="F161" s="4"/>
      <c r="G161" s="4"/>
      <c r="H161" s="4"/>
      <c r="I161" s="155"/>
      <c r="J161" s="132">
        <v>1</v>
      </c>
      <c r="K161" s="132">
        <v>1</v>
      </c>
      <c r="L161" s="155"/>
      <c r="M161" s="155">
        <v>1</v>
      </c>
      <c r="N161" s="155"/>
      <c r="O161" s="155"/>
      <c r="P161" s="18">
        <f t="shared" si="165"/>
        <v>3</v>
      </c>
    </row>
    <row r="162" spans="1:16" ht="15.6" x14ac:dyDescent="0.3">
      <c r="A162" s="671"/>
      <c r="B162" s="19" t="s">
        <v>77</v>
      </c>
      <c r="C162" s="11" t="s">
        <v>57</v>
      </c>
      <c r="D162" s="4">
        <v>1</v>
      </c>
      <c r="E162" s="4"/>
      <c r="F162" s="4"/>
      <c r="G162" s="4"/>
      <c r="H162" s="4"/>
      <c r="I162" s="155"/>
      <c r="J162" s="155"/>
      <c r="K162" s="155"/>
      <c r="L162" s="155">
        <v>1</v>
      </c>
      <c r="M162" s="155"/>
      <c r="N162" s="155"/>
      <c r="O162" s="155"/>
      <c r="P162" s="18">
        <f t="shared" si="165"/>
        <v>2</v>
      </c>
    </row>
    <row r="163" spans="1:16" ht="15.6" x14ac:dyDescent="0.3">
      <c r="A163" s="671"/>
      <c r="B163" s="19" t="s">
        <v>69</v>
      </c>
      <c r="C163" s="11" t="s">
        <v>57</v>
      </c>
      <c r="D163" s="4"/>
      <c r="E163" s="4"/>
      <c r="F163" s="4"/>
      <c r="G163" s="4"/>
      <c r="H163" s="4"/>
      <c r="I163" s="155"/>
      <c r="J163" s="155"/>
      <c r="K163" s="155"/>
      <c r="L163" s="155"/>
      <c r="M163" s="155"/>
      <c r="N163" s="155"/>
      <c r="O163" s="155"/>
      <c r="P163" s="18">
        <f t="shared" si="165"/>
        <v>0</v>
      </c>
    </row>
    <row r="164" spans="1:16" ht="15.6" x14ac:dyDescent="0.3">
      <c r="A164" s="671"/>
      <c r="B164" s="19" t="s">
        <v>68</v>
      </c>
      <c r="C164" s="11" t="s">
        <v>57</v>
      </c>
      <c r="D164" s="4"/>
      <c r="E164" s="4"/>
      <c r="F164" s="4"/>
      <c r="G164" s="4"/>
      <c r="H164" s="4"/>
      <c r="I164" s="155"/>
      <c r="J164" s="155"/>
      <c r="K164" s="155"/>
      <c r="L164" s="155"/>
      <c r="M164" s="155"/>
      <c r="N164" s="155"/>
      <c r="O164" s="155"/>
      <c r="P164" s="18">
        <f t="shared" si="165"/>
        <v>0</v>
      </c>
    </row>
    <row r="165" spans="1:16" ht="15.6" x14ac:dyDescent="0.3">
      <c r="A165" s="672"/>
      <c r="B165" s="19" t="s">
        <v>76</v>
      </c>
      <c r="C165" s="11" t="s">
        <v>57</v>
      </c>
      <c r="D165" s="4"/>
      <c r="E165" s="4"/>
      <c r="F165" s="4"/>
      <c r="G165" s="4"/>
      <c r="H165" s="4"/>
      <c r="I165" s="155"/>
      <c r="J165" s="155"/>
      <c r="K165" s="155"/>
      <c r="L165" s="155"/>
      <c r="M165" s="155"/>
      <c r="N165" s="155"/>
      <c r="O165" s="155"/>
      <c r="P165" s="18">
        <f t="shared" si="165"/>
        <v>0</v>
      </c>
    </row>
    <row r="166" spans="1:16" ht="15.6" x14ac:dyDescent="0.3">
      <c r="A166" s="670" t="s">
        <v>75</v>
      </c>
      <c r="B166" s="21" t="s">
        <v>63</v>
      </c>
      <c r="C166" s="11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8"/>
    </row>
    <row r="167" spans="1:16" ht="15.6" x14ac:dyDescent="0.3">
      <c r="A167" s="671"/>
      <c r="B167" s="19" t="s">
        <v>74</v>
      </c>
      <c r="C167" s="11" t="s">
        <v>57</v>
      </c>
      <c r="D167" s="4"/>
      <c r="E167" s="4"/>
      <c r="F167" s="4"/>
      <c r="G167" s="4"/>
      <c r="H167" s="4"/>
      <c r="I167" s="155"/>
      <c r="J167" s="155"/>
      <c r="K167" s="155"/>
      <c r="L167" s="155"/>
      <c r="M167" s="155"/>
      <c r="N167" s="155"/>
      <c r="O167" s="155"/>
      <c r="P167" s="18">
        <f t="shared" ref="P167:P175" si="166">SUM(D167:O167)</f>
        <v>0</v>
      </c>
    </row>
    <row r="168" spans="1:16" ht="15.6" x14ac:dyDescent="0.3">
      <c r="A168" s="671"/>
      <c r="B168" s="19" t="s">
        <v>73</v>
      </c>
      <c r="C168" s="11" t="s">
        <v>57</v>
      </c>
      <c r="D168" s="4"/>
      <c r="E168" s="4"/>
      <c r="F168" s="4"/>
      <c r="G168" s="4"/>
      <c r="H168" s="4"/>
      <c r="I168" s="155"/>
      <c r="J168" s="155"/>
      <c r="K168" s="155"/>
      <c r="L168" s="155"/>
      <c r="M168" s="155"/>
      <c r="N168" s="155"/>
      <c r="O168" s="155"/>
      <c r="P168" s="18">
        <f t="shared" si="166"/>
        <v>0</v>
      </c>
    </row>
    <row r="169" spans="1:16" ht="15.6" x14ac:dyDescent="0.3">
      <c r="A169" s="671"/>
      <c r="B169" s="19" t="s">
        <v>72</v>
      </c>
      <c r="C169" s="11" t="s">
        <v>57</v>
      </c>
      <c r="D169" s="4"/>
      <c r="E169" s="4"/>
      <c r="F169" s="4"/>
      <c r="G169" s="4"/>
      <c r="H169" s="4"/>
      <c r="I169" s="155"/>
      <c r="J169" s="155"/>
      <c r="K169" s="155"/>
      <c r="L169" s="155"/>
      <c r="M169" s="155"/>
      <c r="N169" s="155"/>
      <c r="O169" s="155"/>
      <c r="P169" s="18">
        <f t="shared" si="166"/>
        <v>0</v>
      </c>
    </row>
    <row r="170" spans="1:16" ht="15.6" x14ac:dyDescent="0.3">
      <c r="A170" s="671"/>
      <c r="B170" s="19" t="s">
        <v>71</v>
      </c>
      <c r="C170" s="11" t="s">
        <v>57</v>
      </c>
      <c r="D170" s="4"/>
      <c r="E170" s="4"/>
      <c r="F170" s="4"/>
      <c r="G170" s="4"/>
      <c r="H170" s="4"/>
      <c r="I170" s="155"/>
      <c r="J170" s="155"/>
      <c r="K170" s="155"/>
      <c r="L170" s="155"/>
      <c r="M170" s="155"/>
      <c r="N170" s="155"/>
      <c r="O170" s="155"/>
      <c r="P170" s="18">
        <f t="shared" si="166"/>
        <v>0</v>
      </c>
    </row>
    <row r="171" spans="1:16" ht="15.6" x14ac:dyDescent="0.3">
      <c r="A171" s="671"/>
      <c r="B171" s="19" t="s">
        <v>52</v>
      </c>
      <c r="C171" s="11" t="s">
        <v>57</v>
      </c>
      <c r="D171" s="4"/>
      <c r="E171" s="4"/>
      <c r="F171" s="4"/>
      <c r="G171" s="4"/>
      <c r="H171" s="4"/>
      <c r="I171" s="155"/>
      <c r="J171" s="155"/>
      <c r="K171" s="155"/>
      <c r="L171" s="155"/>
      <c r="M171" s="155"/>
      <c r="N171" s="155"/>
      <c r="O171" s="155"/>
      <c r="P171" s="18">
        <f t="shared" si="166"/>
        <v>0</v>
      </c>
    </row>
    <row r="172" spans="1:16" ht="15.6" x14ac:dyDescent="0.3">
      <c r="A172" s="671"/>
      <c r="B172" s="19" t="s">
        <v>62</v>
      </c>
      <c r="C172" s="11" t="s">
        <v>57</v>
      </c>
      <c r="D172" s="4"/>
      <c r="E172" s="4"/>
      <c r="F172" s="4"/>
      <c r="G172" s="4"/>
      <c r="H172" s="4"/>
      <c r="I172" s="155"/>
      <c r="J172" s="155"/>
      <c r="K172" s="155"/>
      <c r="L172" s="155"/>
      <c r="M172" s="155"/>
      <c r="N172" s="155"/>
      <c r="O172" s="155"/>
      <c r="P172" s="18">
        <f t="shared" si="166"/>
        <v>0</v>
      </c>
    </row>
    <row r="173" spans="1:16" ht="15.6" x14ac:dyDescent="0.3">
      <c r="A173" s="671"/>
      <c r="B173" s="19" t="s">
        <v>61</v>
      </c>
      <c r="C173" s="11" t="s">
        <v>57</v>
      </c>
      <c r="D173" s="4"/>
      <c r="E173" s="4"/>
      <c r="F173" s="4"/>
      <c r="G173" s="4"/>
      <c r="H173" s="4"/>
      <c r="I173" s="155"/>
      <c r="J173" s="155"/>
      <c r="K173" s="155"/>
      <c r="L173" s="155"/>
      <c r="M173" s="155"/>
      <c r="N173" s="155"/>
      <c r="O173" s="155"/>
      <c r="P173" s="18">
        <f t="shared" si="166"/>
        <v>0</v>
      </c>
    </row>
    <row r="174" spans="1:16" ht="15.6" x14ac:dyDescent="0.3">
      <c r="A174" s="671"/>
      <c r="B174" s="19" t="s">
        <v>60</v>
      </c>
      <c r="C174" s="11" t="s">
        <v>57</v>
      </c>
      <c r="D174" s="4"/>
      <c r="E174" s="4"/>
      <c r="F174" s="4"/>
      <c r="G174" s="4"/>
      <c r="H174" s="4"/>
      <c r="I174" s="155"/>
      <c r="J174" s="155"/>
      <c r="K174" s="155"/>
      <c r="L174" s="155"/>
      <c r="M174" s="155"/>
      <c r="N174" s="155"/>
      <c r="O174" s="155"/>
      <c r="P174" s="18">
        <f t="shared" si="166"/>
        <v>0</v>
      </c>
    </row>
    <row r="175" spans="1:16" ht="15.6" x14ac:dyDescent="0.3">
      <c r="A175" s="672"/>
      <c r="B175" s="19" t="s">
        <v>69</v>
      </c>
      <c r="C175" s="11" t="s">
        <v>57</v>
      </c>
      <c r="D175" s="4"/>
      <c r="E175" s="4"/>
      <c r="F175" s="4"/>
      <c r="G175" s="4"/>
      <c r="H175" s="4"/>
      <c r="I175" s="155"/>
      <c r="J175" s="155"/>
      <c r="K175" s="155"/>
      <c r="L175" s="155"/>
      <c r="M175" s="155"/>
      <c r="N175" s="155"/>
      <c r="O175" s="155"/>
      <c r="P175" s="18">
        <f t="shared" si="166"/>
        <v>0</v>
      </c>
    </row>
    <row r="176" spans="1:16" ht="15.6" x14ac:dyDescent="0.3">
      <c r="A176" s="670" t="s">
        <v>70</v>
      </c>
      <c r="B176" s="21" t="s">
        <v>63</v>
      </c>
      <c r="C176" s="11"/>
      <c r="D176" s="155"/>
      <c r="E176" s="155"/>
      <c r="F176" s="155"/>
      <c r="G176" s="4"/>
      <c r="H176" s="4"/>
      <c r="I176" s="155"/>
      <c r="J176" s="155"/>
      <c r="K176" s="155"/>
      <c r="L176" s="155"/>
      <c r="M176" s="155"/>
      <c r="N176" s="155"/>
      <c r="O176" s="155"/>
      <c r="P176" s="18"/>
    </row>
    <row r="177" spans="1:16" ht="15.6" x14ac:dyDescent="0.3">
      <c r="A177" s="671"/>
      <c r="B177" s="19" t="s">
        <v>60</v>
      </c>
      <c r="C177" s="11" t="s">
        <v>57</v>
      </c>
      <c r="D177" s="155"/>
      <c r="E177" s="155"/>
      <c r="F177" s="155"/>
      <c r="G177" s="4"/>
      <c r="H177" s="4"/>
      <c r="I177" s="155"/>
      <c r="J177" s="155"/>
      <c r="K177" s="155"/>
      <c r="L177" s="155"/>
      <c r="M177" s="155"/>
      <c r="N177" s="155"/>
      <c r="O177" s="155"/>
      <c r="P177" s="18">
        <f t="shared" ref="P177:P182" si="167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155"/>
      <c r="E178" s="155"/>
      <c r="F178" s="155"/>
      <c r="G178" s="4"/>
      <c r="H178" s="4"/>
      <c r="I178" s="155"/>
      <c r="J178" s="155"/>
      <c r="K178" s="155"/>
      <c r="L178" s="155"/>
      <c r="M178" s="155"/>
      <c r="N178" s="155"/>
      <c r="O178" s="155"/>
      <c r="P178" s="18">
        <f t="shared" si="167"/>
        <v>0</v>
      </c>
    </row>
    <row r="179" spans="1:16" ht="15.6" x14ac:dyDescent="0.3">
      <c r="A179" s="671"/>
      <c r="B179" s="19" t="s">
        <v>68</v>
      </c>
      <c r="C179" s="11" t="s">
        <v>57</v>
      </c>
      <c r="D179" s="155"/>
      <c r="E179" s="155"/>
      <c r="F179" s="155"/>
      <c r="G179" s="4"/>
      <c r="H179" s="4"/>
      <c r="I179" s="155"/>
      <c r="J179" s="155"/>
      <c r="K179" s="155"/>
      <c r="L179" s="155"/>
      <c r="M179" s="155"/>
      <c r="N179" s="155"/>
      <c r="O179" s="155"/>
      <c r="P179" s="18">
        <f t="shared" si="167"/>
        <v>0</v>
      </c>
    </row>
    <row r="180" spans="1:16" ht="15.6" x14ac:dyDescent="0.3">
      <c r="A180" s="671"/>
      <c r="B180" s="19" t="s">
        <v>67</v>
      </c>
      <c r="C180" s="11" t="s">
        <v>57</v>
      </c>
      <c r="D180" s="155"/>
      <c r="E180" s="155"/>
      <c r="F180" s="155"/>
      <c r="G180" s="4"/>
      <c r="H180" s="4"/>
      <c r="I180" s="155"/>
      <c r="J180" s="155"/>
      <c r="K180" s="155"/>
      <c r="L180" s="155"/>
      <c r="M180" s="155"/>
      <c r="N180" s="155"/>
      <c r="O180" s="155"/>
      <c r="P180" s="18">
        <f t="shared" si="167"/>
        <v>0</v>
      </c>
    </row>
    <row r="181" spans="1:16" ht="15.6" x14ac:dyDescent="0.3">
      <c r="A181" s="671"/>
      <c r="B181" s="19" t="s">
        <v>66</v>
      </c>
      <c r="C181" s="11" t="s">
        <v>57</v>
      </c>
      <c r="D181" s="155"/>
      <c r="E181" s="155"/>
      <c r="F181" s="155"/>
      <c r="G181" s="4"/>
      <c r="H181" s="4"/>
      <c r="I181" s="155"/>
      <c r="J181" s="155"/>
      <c r="K181" s="155"/>
      <c r="L181" s="155"/>
      <c r="M181" s="155"/>
      <c r="N181" s="155"/>
      <c r="O181" s="155"/>
      <c r="P181" s="18">
        <f t="shared" si="167"/>
        <v>0</v>
      </c>
    </row>
    <row r="182" spans="1:16" ht="15.6" x14ac:dyDescent="0.3">
      <c r="A182" s="672"/>
      <c r="B182" s="19" t="s">
        <v>65</v>
      </c>
      <c r="C182" s="11" t="s">
        <v>57</v>
      </c>
      <c r="D182" s="155"/>
      <c r="E182" s="155"/>
      <c r="F182" s="155"/>
      <c r="G182" s="4"/>
      <c r="H182" s="4"/>
      <c r="I182" s="155"/>
      <c r="J182" s="155"/>
      <c r="K182" s="155"/>
      <c r="L182" s="155"/>
      <c r="M182" s="155"/>
      <c r="N182" s="155"/>
      <c r="O182" s="155"/>
      <c r="P182" s="18">
        <f t="shared" si="167"/>
        <v>0</v>
      </c>
    </row>
    <row r="183" spans="1:16" ht="15.6" x14ac:dyDescent="0.3">
      <c r="A183" s="670" t="s">
        <v>209</v>
      </c>
      <c r="B183" s="21" t="s">
        <v>63</v>
      </c>
      <c r="C183" s="11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8"/>
    </row>
    <row r="184" spans="1:16" ht="15.6" x14ac:dyDescent="0.3">
      <c r="A184" s="671"/>
      <c r="B184" s="19" t="s">
        <v>73</v>
      </c>
      <c r="C184" s="11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8"/>
    </row>
    <row r="189" spans="1:16" ht="15.6" x14ac:dyDescent="0.3">
      <c r="A189" s="671"/>
      <c r="B189" s="20" t="s">
        <v>52</v>
      </c>
      <c r="C189" s="11" t="s">
        <v>57</v>
      </c>
      <c r="D189" s="155"/>
      <c r="E189" s="155"/>
      <c r="F189" s="155"/>
      <c r="G189" s="4"/>
      <c r="H189" s="4"/>
      <c r="I189" s="155"/>
      <c r="J189" s="155"/>
      <c r="K189" s="155"/>
      <c r="L189" s="155"/>
      <c r="M189" s="155"/>
      <c r="N189" s="155"/>
      <c r="O189" s="155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155"/>
      <c r="E190" s="155"/>
      <c r="F190" s="155"/>
      <c r="G190" s="4"/>
      <c r="H190" s="4"/>
      <c r="I190" s="155"/>
      <c r="J190" s="155"/>
      <c r="K190" s="155"/>
      <c r="L190" s="155"/>
      <c r="M190" s="155"/>
      <c r="N190" s="155"/>
      <c r="O190" s="155"/>
      <c r="P190" s="18">
        <f>SUM(D190:O190)</f>
        <v>0</v>
      </c>
    </row>
    <row r="191" spans="1:16" ht="15.6" x14ac:dyDescent="0.3">
      <c r="A191" s="671"/>
      <c r="B191" s="19" t="s">
        <v>61</v>
      </c>
      <c r="C191" s="11" t="s">
        <v>57</v>
      </c>
      <c r="D191" s="155"/>
      <c r="E191" s="155"/>
      <c r="F191" s="155"/>
      <c r="G191" s="4"/>
      <c r="H191" s="4"/>
      <c r="I191" s="155"/>
      <c r="J191" s="155"/>
      <c r="K191" s="155"/>
      <c r="L191" s="155"/>
      <c r="M191" s="155"/>
      <c r="N191" s="155"/>
      <c r="O191" s="155"/>
      <c r="P191" s="18">
        <f>SUM(D191:O191)</f>
        <v>0</v>
      </c>
    </row>
    <row r="192" spans="1:16" ht="15.6" x14ac:dyDescent="0.3">
      <c r="A192" s="672"/>
      <c r="B192" s="19" t="s">
        <v>60</v>
      </c>
      <c r="C192" s="11" t="s">
        <v>57</v>
      </c>
      <c r="D192" s="155"/>
      <c r="E192" s="155"/>
      <c r="F192" s="155"/>
      <c r="G192" s="4"/>
      <c r="H192" s="4"/>
      <c r="I192" s="155"/>
      <c r="J192" s="155"/>
      <c r="K192" s="155"/>
      <c r="L192" s="155"/>
      <c r="M192" s="155"/>
      <c r="N192" s="155"/>
      <c r="O192" s="155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8">
        <f>SUM(D153:D192)</f>
        <v>20</v>
      </c>
      <c r="E193" s="158">
        <f t="shared" ref="E193:P193" si="168">SUM(E153:E192)</f>
        <v>23</v>
      </c>
      <c r="F193" s="158">
        <f t="shared" si="168"/>
        <v>27</v>
      </c>
      <c r="G193" s="158">
        <f t="shared" si="168"/>
        <v>21</v>
      </c>
      <c r="H193" s="158">
        <f t="shared" si="168"/>
        <v>13</v>
      </c>
      <c r="I193" s="158">
        <f t="shared" si="168"/>
        <v>8</v>
      </c>
      <c r="J193" s="158">
        <f t="shared" si="168"/>
        <v>16</v>
      </c>
      <c r="K193" s="158">
        <f t="shared" si="168"/>
        <v>21</v>
      </c>
      <c r="L193" s="158">
        <f t="shared" si="168"/>
        <v>19</v>
      </c>
      <c r="M193" s="158">
        <f t="shared" si="168"/>
        <v>19</v>
      </c>
      <c r="N193" s="158">
        <f t="shared" si="168"/>
        <v>32</v>
      </c>
      <c r="O193" s="158">
        <v>38</v>
      </c>
      <c r="P193" s="160">
        <f t="shared" si="168"/>
        <v>257</v>
      </c>
    </row>
    <row r="194" spans="1:16" ht="15.6" x14ac:dyDescent="0.3">
      <c r="A194" s="665" t="s">
        <v>58</v>
      </c>
      <c r="B194" s="666"/>
      <c r="C194" s="11" t="s">
        <v>57</v>
      </c>
      <c r="D194" s="4"/>
      <c r="E194" s="4">
        <v>1</v>
      </c>
      <c r="F194" s="4"/>
      <c r="G194" s="4"/>
      <c r="H194" s="155"/>
      <c r="I194" s="155"/>
      <c r="J194" s="155"/>
      <c r="K194" s="155"/>
      <c r="L194" s="155"/>
      <c r="M194" s="155"/>
      <c r="N194" s="155"/>
      <c r="O194" s="155"/>
      <c r="P194" s="18">
        <f>SUM(D194:O194)</f>
        <v>1</v>
      </c>
    </row>
    <row r="195" spans="1:16" ht="15.6" x14ac:dyDescent="0.3">
      <c r="A195" s="667"/>
      <c r="B195" s="668"/>
      <c r="C195" s="16" t="s">
        <v>55</v>
      </c>
      <c r="D195" s="4"/>
      <c r="E195" s="4">
        <v>216</v>
      </c>
      <c r="F195" s="4"/>
      <c r="G195" s="4"/>
      <c r="H195" s="155"/>
      <c r="I195" s="155"/>
      <c r="J195" s="155"/>
      <c r="K195" s="155"/>
      <c r="L195" s="155"/>
      <c r="M195" s="155"/>
      <c r="N195" s="155"/>
      <c r="O195" s="155"/>
      <c r="P195" s="18">
        <f>SUM(D195:O195)</f>
        <v>216</v>
      </c>
    </row>
    <row r="196" spans="1:16" ht="15.6" x14ac:dyDescent="0.3">
      <c r="A196" s="85" t="s">
        <v>202</v>
      </c>
      <c r="B196" s="86"/>
      <c r="C196" s="16" t="s">
        <v>55</v>
      </c>
      <c r="D196" s="4">
        <f t="shared" ref="D196" si="169">AVERAGE(D193:D195)</f>
        <v>20</v>
      </c>
      <c r="E196" s="4">
        <f>725/31</f>
        <v>23.387096774193548</v>
      </c>
      <c r="F196" s="4">
        <f>691/30</f>
        <v>23.033333333333335</v>
      </c>
      <c r="G196" s="4">
        <v>19</v>
      </c>
      <c r="H196" s="13">
        <v>22</v>
      </c>
      <c r="I196" s="4">
        <f t="shared" ref="I196" si="170">AVERAGE(I193:I195)</f>
        <v>8</v>
      </c>
      <c r="J196" s="4">
        <v>23</v>
      </c>
      <c r="K196" s="4">
        <v>22</v>
      </c>
      <c r="L196" s="155">
        <v>22.322580645161292</v>
      </c>
      <c r="M196" s="155">
        <v>19</v>
      </c>
      <c r="N196" s="155">
        <v>21.310344827586206</v>
      </c>
      <c r="O196" s="155">
        <v>23.29032258064516</v>
      </c>
      <c r="P196" s="18">
        <f>SUM(D196:O196)/12</f>
        <v>20.528639846743296</v>
      </c>
    </row>
    <row r="197" spans="1:16" ht="15.6" x14ac:dyDescent="0.3">
      <c r="A197" s="661" t="s">
        <v>56</v>
      </c>
      <c r="B197" s="662"/>
      <c r="C197" s="16" t="s">
        <v>55</v>
      </c>
      <c r="D197" s="4">
        <v>11</v>
      </c>
      <c r="E197" s="4">
        <v>19</v>
      </c>
      <c r="F197" s="4">
        <v>29</v>
      </c>
      <c r="G197" s="4">
        <v>31</v>
      </c>
      <c r="H197" s="4">
        <v>50</v>
      </c>
      <c r="I197" s="4">
        <v>25</v>
      </c>
      <c r="J197" s="4">
        <v>36</v>
      </c>
      <c r="K197" s="4">
        <v>74</v>
      </c>
      <c r="L197" s="155">
        <v>52</v>
      </c>
      <c r="M197" s="155">
        <v>47</v>
      </c>
      <c r="N197" s="155">
        <v>78</v>
      </c>
      <c r="O197" s="155">
        <v>22</v>
      </c>
      <c r="P197" s="18">
        <f>SUM(D197:O197)</f>
        <v>474</v>
      </c>
    </row>
    <row r="198" spans="1:16" x14ac:dyDescent="0.3">
      <c r="A198" s="649">
        <v>0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79" t="s">
        <v>53</v>
      </c>
      <c r="C199" s="11" t="s">
        <v>47</v>
      </c>
      <c r="D199" s="4">
        <v>0</v>
      </c>
      <c r="E199" s="4">
        <v>0</v>
      </c>
      <c r="F199" s="4">
        <v>14</v>
      </c>
      <c r="G199" s="4">
        <v>0</v>
      </c>
      <c r="H199" s="4"/>
      <c r="I199" s="4"/>
      <c r="J199" s="4"/>
      <c r="K199" s="4"/>
      <c r="L199" s="4"/>
      <c r="M199" s="4">
        <v>66</v>
      </c>
      <c r="N199" s="4"/>
      <c r="O199" s="4">
        <v>50</v>
      </c>
      <c r="P199" s="9">
        <f t="shared" ref="P199:P204" si="171">SUM(D199:O199)</f>
        <v>130</v>
      </c>
    </row>
    <row r="200" spans="1:16" ht="15.6" x14ac:dyDescent="0.3">
      <c r="A200" s="669"/>
      <c r="B200" s="79" t="s">
        <v>52</v>
      </c>
      <c r="C200" s="11" t="s">
        <v>47</v>
      </c>
      <c r="D200" s="4">
        <v>0</v>
      </c>
      <c r="E200" s="4">
        <v>0</v>
      </c>
      <c r="F200" s="4">
        <v>0</v>
      </c>
      <c r="G200" s="4">
        <v>0</v>
      </c>
      <c r="H200" s="4"/>
      <c r="I200" s="4"/>
      <c r="J200" s="4"/>
      <c r="K200" s="4"/>
      <c r="L200" s="4"/>
      <c r="M200" s="4">
        <v>15</v>
      </c>
      <c r="N200" s="4"/>
      <c r="O200" s="4">
        <v>30</v>
      </c>
      <c r="P200" s="9">
        <f t="shared" si="171"/>
        <v>45</v>
      </c>
    </row>
    <row r="201" spans="1:16" ht="15.6" x14ac:dyDescent="0.3">
      <c r="A201" s="669"/>
      <c r="B201" s="79" t="s">
        <v>51</v>
      </c>
      <c r="C201" s="11" t="s">
        <v>47</v>
      </c>
      <c r="D201" s="4">
        <v>0</v>
      </c>
      <c r="E201" s="4">
        <v>0</v>
      </c>
      <c r="F201" s="4">
        <v>18</v>
      </c>
      <c r="G201" s="4">
        <v>0</v>
      </c>
      <c r="H201" s="4"/>
      <c r="I201" s="4">
        <v>26</v>
      </c>
      <c r="J201" s="4"/>
      <c r="K201" s="4"/>
      <c r="L201" s="4"/>
      <c r="M201" s="4">
        <v>8</v>
      </c>
      <c r="N201" s="4"/>
      <c r="O201" s="4">
        <v>10</v>
      </c>
      <c r="P201" s="9">
        <f t="shared" si="171"/>
        <v>62</v>
      </c>
    </row>
    <row r="202" spans="1:16" ht="15.6" x14ac:dyDescent="0.3">
      <c r="A202" s="669"/>
      <c r="B202" s="79" t="s">
        <v>50</v>
      </c>
      <c r="C202" s="11" t="s">
        <v>47</v>
      </c>
      <c r="D202" s="4">
        <v>0</v>
      </c>
      <c r="E202" s="4">
        <v>0</v>
      </c>
      <c r="F202" s="4">
        <v>0</v>
      </c>
      <c r="G202" s="4">
        <v>0</v>
      </c>
      <c r="H202" s="4"/>
      <c r="I202" s="4"/>
      <c r="J202" s="4"/>
      <c r="K202" s="4"/>
      <c r="L202" s="4"/>
      <c r="M202" s="4"/>
      <c r="N202" s="4"/>
      <c r="O202" s="4"/>
      <c r="P202" s="9">
        <f t="shared" si="171"/>
        <v>0</v>
      </c>
    </row>
    <row r="203" spans="1:16" ht="15.6" x14ac:dyDescent="0.3">
      <c r="A203" s="667"/>
      <c r="B203" s="79" t="s">
        <v>49</v>
      </c>
      <c r="C203" s="11" t="s">
        <v>47</v>
      </c>
      <c r="D203" s="4">
        <v>0</v>
      </c>
      <c r="E203" s="4">
        <v>0</v>
      </c>
      <c r="F203" s="4">
        <v>0</v>
      </c>
      <c r="G203" s="4">
        <v>0</v>
      </c>
      <c r="H203" s="4"/>
      <c r="I203" s="4">
        <v>18</v>
      </c>
      <c r="J203" s="4"/>
      <c r="K203" s="4"/>
      <c r="L203" s="4"/>
      <c r="M203" s="4"/>
      <c r="N203" s="4"/>
      <c r="O203" s="4"/>
      <c r="P203" s="9">
        <f t="shared" si="171"/>
        <v>18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72">SUM(D199:D203)</f>
        <v>0</v>
      </c>
      <c r="E204" s="15">
        <f t="shared" si="172"/>
        <v>0</v>
      </c>
      <c r="F204" s="15">
        <f t="shared" si="172"/>
        <v>32</v>
      </c>
      <c r="G204" s="15">
        <f t="shared" ref="G204" si="173">SUM(G199:G203)</f>
        <v>0</v>
      </c>
      <c r="H204" s="15">
        <f t="shared" si="172"/>
        <v>0</v>
      </c>
      <c r="I204" s="15">
        <f t="shared" si="172"/>
        <v>44</v>
      </c>
      <c r="J204" s="15">
        <f t="shared" si="172"/>
        <v>0</v>
      </c>
      <c r="K204" s="15">
        <f t="shared" si="172"/>
        <v>0</v>
      </c>
      <c r="L204" s="15">
        <f t="shared" si="172"/>
        <v>0</v>
      </c>
      <c r="M204" s="15">
        <f t="shared" si="172"/>
        <v>89</v>
      </c>
      <c r="N204" s="15">
        <f t="shared" si="172"/>
        <v>0</v>
      </c>
      <c r="O204" s="15">
        <v>90</v>
      </c>
      <c r="P204" s="110">
        <f t="shared" si="171"/>
        <v>255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f>176400+1186120</f>
        <v>1362520</v>
      </c>
      <c r="E206" s="13">
        <f>437670+21700+2582020</f>
        <v>3041390</v>
      </c>
      <c r="F206" s="13">
        <f>570290+14600+3084400</f>
        <v>3669290</v>
      </c>
      <c r="G206" s="13">
        <f>462800+1200+2826940</f>
        <v>3290940</v>
      </c>
      <c r="H206" s="13">
        <f>1409940+4650+8248546</f>
        <v>9663136</v>
      </c>
      <c r="I206" s="13">
        <f>475910+10650+2891710</f>
        <v>3378270</v>
      </c>
      <c r="J206" s="13">
        <f>257550+3300+2114193</f>
        <v>2375043</v>
      </c>
      <c r="K206" s="13">
        <f>973512.93+4650+6177493.44</f>
        <v>7155656.3700000001</v>
      </c>
      <c r="L206" s="13">
        <v>1744253</v>
      </c>
      <c r="M206" s="13">
        <v>4366697</v>
      </c>
      <c r="N206" s="13">
        <v>3458776.07</v>
      </c>
      <c r="O206" s="13">
        <v>5584046</v>
      </c>
      <c r="P206" s="9">
        <f>SUM(D206:O206)</f>
        <v>49090017.439999998</v>
      </c>
    </row>
    <row r="207" spans="1:16" ht="15.6" x14ac:dyDescent="0.3">
      <c r="A207" s="661" t="s">
        <v>42</v>
      </c>
      <c r="B207" s="662"/>
      <c r="C207" s="11" t="s">
        <v>31</v>
      </c>
      <c r="D207" s="13">
        <v>0</v>
      </c>
      <c r="E207" s="13">
        <v>3100</v>
      </c>
      <c r="F207" s="13">
        <v>4500</v>
      </c>
      <c r="G207" s="13">
        <v>5500</v>
      </c>
      <c r="H207" s="13">
        <v>8000</v>
      </c>
      <c r="I207" s="13">
        <v>4000</v>
      </c>
      <c r="J207" s="13">
        <v>0</v>
      </c>
      <c r="K207" s="13">
        <v>9000</v>
      </c>
      <c r="L207" s="13">
        <v>4000</v>
      </c>
      <c r="M207" s="13">
        <v>4000</v>
      </c>
      <c r="N207" s="13">
        <v>4500</v>
      </c>
      <c r="O207" s="13">
        <v>0</v>
      </c>
      <c r="P207" s="9">
        <f>SUM(D207:O207)</f>
        <v>46600</v>
      </c>
    </row>
    <row r="208" spans="1:16" ht="15.6" x14ac:dyDescent="0.3">
      <c r="A208" s="663" t="s">
        <v>41</v>
      </c>
      <c r="B208" s="664"/>
      <c r="C208" s="11" t="s">
        <v>31</v>
      </c>
      <c r="D208" s="13">
        <v>140000</v>
      </c>
      <c r="E208" s="13">
        <v>97950</v>
      </c>
      <c r="F208" s="13">
        <v>270650</v>
      </c>
      <c r="G208" s="13">
        <v>241650</v>
      </c>
      <c r="H208" s="13">
        <v>270050</v>
      </c>
      <c r="I208" s="13">
        <v>198200</v>
      </c>
      <c r="J208" s="13">
        <v>148200</v>
      </c>
      <c r="K208" s="13">
        <v>448400</v>
      </c>
      <c r="L208" s="13">
        <v>182050</v>
      </c>
      <c r="M208" s="13">
        <v>111276</v>
      </c>
      <c r="N208" s="13">
        <v>238200</v>
      </c>
      <c r="O208" s="13">
        <v>120450</v>
      </c>
      <c r="P208" s="9">
        <f>SUM(D208:O208)</f>
        <v>2467076</v>
      </c>
    </row>
    <row r="209" spans="1:16" ht="15.6" x14ac:dyDescent="0.3">
      <c r="A209" s="661" t="s">
        <v>40</v>
      </c>
      <c r="B209" s="662"/>
      <c r="C209" s="11" t="s">
        <v>31</v>
      </c>
      <c r="D209" s="13">
        <v>82900</v>
      </c>
      <c r="E209" s="13">
        <v>0</v>
      </c>
      <c r="F209" s="13">
        <v>36242.93</v>
      </c>
      <c r="G209" s="13">
        <v>65000</v>
      </c>
      <c r="H209" s="13">
        <v>131540</v>
      </c>
      <c r="I209" s="13">
        <v>128543</v>
      </c>
      <c r="J209" s="13">
        <v>105600</v>
      </c>
      <c r="K209" s="13">
        <v>49140</v>
      </c>
      <c r="L209" s="13">
        <v>16470</v>
      </c>
      <c r="M209" s="13">
        <v>23354156</v>
      </c>
      <c r="N209" s="13"/>
      <c r="O209" s="13">
        <v>38500</v>
      </c>
      <c r="P209" s="9">
        <f>SUM(D209:O209)</f>
        <v>24008091.93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174">SUM(D206:D209)</f>
        <v>1585420</v>
      </c>
      <c r="E210" s="10">
        <f t="shared" si="174"/>
        <v>3142440</v>
      </c>
      <c r="F210" s="10">
        <f t="shared" si="174"/>
        <v>3980682.93</v>
      </c>
      <c r="G210" s="10">
        <f t="shared" si="174"/>
        <v>3603090</v>
      </c>
      <c r="H210" s="10">
        <f t="shared" si="174"/>
        <v>10072726</v>
      </c>
      <c r="I210" s="10">
        <f t="shared" si="174"/>
        <v>3709013</v>
      </c>
      <c r="J210" s="10">
        <f t="shared" si="174"/>
        <v>2628843</v>
      </c>
      <c r="K210" s="10">
        <f t="shared" si="174"/>
        <v>7662196.3700000001</v>
      </c>
      <c r="L210" s="10">
        <f t="shared" si="174"/>
        <v>1946773</v>
      </c>
      <c r="M210" s="10">
        <f t="shared" si="174"/>
        <v>27836129</v>
      </c>
      <c r="N210" s="10">
        <f t="shared" si="174"/>
        <v>3701476.07</v>
      </c>
      <c r="O210" s="10">
        <v>5742996</v>
      </c>
      <c r="P210" s="9">
        <f>SUM(D210:O210)</f>
        <v>75611785.36999999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13">
        <v>745873</v>
      </c>
      <c r="E212" s="13">
        <v>1484715</v>
      </c>
      <c r="F212" s="13">
        <v>890246</v>
      </c>
      <c r="G212" s="13">
        <v>1821387</v>
      </c>
      <c r="H212" s="555">
        <v>1023879.2</v>
      </c>
      <c r="I212" s="13">
        <v>763108</v>
      </c>
      <c r="J212" s="13">
        <v>1363942</v>
      </c>
      <c r="K212" s="13">
        <v>1511452.36</v>
      </c>
      <c r="L212" s="13">
        <v>1884179.64</v>
      </c>
      <c r="M212" s="13">
        <v>1102825.6000000001</v>
      </c>
      <c r="N212" s="13">
        <v>1286319.82</v>
      </c>
      <c r="O212" s="13">
        <v>1261200</v>
      </c>
      <c r="P212" s="9">
        <f>SUM(D212:O212)</f>
        <v>15139127.620000001</v>
      </c>
    </row>
    <row r="213" spans="1:16" ht="15.6" x14ac:dyDescent="0.3">
      <c r="A213" s="661" t="s">
        <v>42</v>
      </c>
      <c r="B213" s="662"/>
      <c r="C213" s="11" t="s">
        <v>31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9">
        <f>SUM(D213:O213)</f>
        <v>0</v>
      </c>
    </row>
    <row r="214" spans="1:16" ht="15.6" x14ac:dyDescent="0.3">
      <c r="A214" s="663" t="s">
        <v>41</v>
      </c>
      <c r="B214" s="664"/>
      <c r="C214" s="11" t="s">
        <v>31</v>
      </c>
      <c r="D214" s="13">
        <v>162300</v>
      </c>
      <c r="E214" s="13">
        <v>461000</v>
      </c>
      <c r="F214" s="13">
        <v>361222</v>
      </c>
      <c r="G214" s="13">
        <v>436451</v>
      </c>
      <c r="H214" s="13">
        <v>512348</v>
      </c>
      <c r="I214" s="13">
        <v>416754</v>
      </c>
      <c r="J214" s="13">
        <v>675200</v>
      </c>
      <c r="K214" s="13">
        <v>461279</v>
      </c>
      <c r="L214" s="13">
        <v>681257</v>
      </c>
      <c r="M214" s="13">
        <v>483250</v>
      </c>
      <c r="N214" s="13">
        <v>558691.23</v>
      </c>
      <c r="O214" s="13">
        <v>416036</v>
      </c>
      <c r="P214" s="9">
        <f>SUM(D214:O214)</f>
        <v>5625788.2300000004</v>
      </c>
    </row>
    <row r="215" spans="1:16" ht="15.6" x14ac:dyDescent="0.3">
      <c r="A215" s="661" t="s">
        <v>40</v>
      </c>
      <c r="B215" s="662"/>
      <c r="C215" s="11" t="s">
        <v>31</v>
      </c>
      <c r="D215" s="13">
        <f>1060496-908173</f>
        <v>152323</v>
      </c>
      <c r="E215" s="13">
        <v>481746</v>
      </c>
      <c r="F215" s="13">
        <f>1430070.42-1251468</f>
        <v>178602.41999999993</v>
      </c>
      <c r="G215" s="13">
        <f>2649449.85-2257838</f>
        <v>391611.85000000009</v>
      </c>
      <c r="H215" s="13">
        <f>1844910.31-1536227.2</f>
        <v>308683.1100000001</v>
      </c>
      <c r="I215" s="13">
        <f>1501300-1179862</f>
        <v>321438</v>
      </c>
      <c r="J215" s="13">
        <f>2392928-2039142</f>
        <v>353786</v>
      </c>
      <c r="K215" s="13">
        <f>2296338.36-1972731.36</f>
        <v>323606.99999999977</v>
      </c>
      <c r="L215" s="13">
        <v>634539.77</v>
      </c>
      <c r="M215" s="13">
        <v>162105.66999999993</v>
      </c>
      <c r="N215" s="13">
        <v>302511.63000000012</v>
      </c>
      <c r="O215" s="13">
        <v>62309</v>
      </c>
      <c r="P215" s="9">
        <f>SUM(D215:O215)</f>
        <v>3673263.45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175">SUM(D212:D215)</f>
        <v>1060496</v>
      </c>
      <c r="E216" s="10">
        <f t="shared" si="175"/>
        <v>2427461</v>
      </c>
      <c r="F216" s="10">
        <f t="shared" si="175"/>
        <v>1430070.42</v>
      </c>
      <c r="G216" s="10">
        <f t="shared" si="175"/>
        <v>2649449.85</v>
      </c>
      <c r="H216" s="10">
        <f t="shared" si="175"/>
        <v>1844910.31</v>
      </c>
      <c r="I216" s="10">
        <f t="shared" si="175"/>
        <v>1501300</v>
      </c>
      <c r="J216" s="10">
        <f t="shared" si="175"/>
        <v>2392928</v>
      </c>
      <c r="K216" s="10">
        <f t="shared" si="175"/>
        <v>2296338.36</v>
      </c>
      <c r="L216" s="10">
        <f t="shared" si="175"/>
        <v>3199976.4099999997</v>
      </c>
      <c r="M216" s="10">
        <f t="shared" si="175"/>
        <v>1748181.27</v>
      </c>
      <c r="N216" s="10">
        <f t="shared" si="175"/>
        <v>2147522.6800000002</v>
      </c>
      <c r="O216" s="10">
        <v>1739545</v>
      </c>
      <c r="P216" s="9">
        <f>SUM(D216:O216)</f>
        <v>24438179.299999997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2645916</v>
      </c>
      <c r="E217" s="10">
        <f t="shared" ref="E217:P217" si="176">E210+E216</f>
        <v>5569901</v>
      </c>
      <c r="F217" s="10">
        <f t="shared" si="176"/>
        <v>5410753.3499999996</v>
      </c>
      <c r="G217" s="10">
        <f t="shared" si="176"/>
        <v>6252539.8499999996</v>
      </c>
      <c r="H217" s="10">
        <f t="shared" si="176"/>
        <v>11917636.310000001</v>
      </c>
      <c r="I217" s="10">
        <f t="shared" si="176"/>
        <v>5210313</v>
      </c>
      <c r="J217" s="10">
        <f t="shared" si="176"/>
        <v>5021771</v>
      </c>
      <c r="K217" s="10">
        <f t="shared" si="176"/>
        <v>9958534.7300000004</v>
      </c>
      <c r="L217" s="10">
        <f t="shared" si="176"/>
        <v>5146749.41</v>
      </c>
      <c r="M217" s="10">
        <f t="shared" si="176"/>
        <v>29584310.27</v>
      </c>
      <c r="N217" s="10">
        <f t="shared" si="176"/>
        <v>5848998.75</v>
      </c>
      <c r="O217" s="10">
        <v>7482541</v>
      </c>
      <c r="P217" s="40">
        <f t="shared" si="176"/>
        <v>100049964.66999999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>
        <f>251809.08+5648.25+1434160.94</f>
        <v>1691618.27</v>
      </c>
      <c r="E219" s="13">
        <f>570424.5+6872.93+2779449.48</f>
        <v>3356746.91</v>
      </c>
      <c r="F219" s="13">
        <f>475517.8+8472.39+2871146.19</f>
        <v>3355136.38</v>
      </c>
      <c r="G219" s="13">
        <f>393597+9272+2505474</f>
        <v>2908343</v>
      </c>
      <c r="H219" s="13">
        <f>521685.93+9272.12+2945377.26</f>
        <v>3476335.3099999996</v>
      </c>
      <c r="I219" s="13">
        <f>395771+9272+2736373</f>
        <v>3141416</v>
      </c>
      <c r="J219" s="13">
        <f>578184.9+8472.39+3516186.77</f>
        <v>4102844.06</v>
      </c>
      <c r="K219" s="13">
        <f>402060.6+6073+3316808.87</f>
        <v>3724942.47</v>
      </c>
      <c r="L219" s="13">
        <v>4329511</v>
      </c>
      <c r="M219" s="13">
        <v>4167237.62</v>
      </c>
      <c r="N219" s="13">
        <v>4129188.97</v>
      </c>
      <c r="O219" s="13">
        <v>3952191</v>
      </c>
      <c r="P219" s="9">
        <f>SUM(D219:O219)</f>
        <v>42335510.989999995</v>
      </c>
    </row>
    <row r="220" spans="1:16" ht="15.6" x14ac:dyDescent="0.3">
      <c r="A220" s="661" t="s">
        <v>34</v>
      </c>
      <c r="B220" s="662"/>
      <c r="C220" s="11" t="s">
        <v>31</v>
      </c>
      <c r="D220" s="13">
        <v>1043.3399999999999</v>
      </c>
      <c r="E220" s="13">
        <v>1391.12</v>
      </c>
      <c r="F220" s="13">
        <v>1912.79</v>
      </c>
      <c r="G220" s="13">
        <v>1913</v>
      </c>
      <c r="H220" s="13">
        <v>2086.6799999999998</v>
      </c>
      <c r="I220" s="13">
        <v>2608</v>
      </c>
      <c r="J220" s="13">
        <v>1043.3399999999999</v>
      </c>
      <c r="K220" s="13">
        <v>1391.12</v>
      </c>
      <c r="L220" s="13">
        <v>5391</v>
      </c>
      <c r="M220" s="13">
        <v>3651.69</v>
      </c>
      <c r="N220" s="13">
        <v>4521.1400000000003</v>
      </c>
      <c r="O220" s="13">
        <v>3304</v>
      </c>
      <c r="P220" s="9">
        <f>SUM(D220:O220)</f>
        <v>30257.219999999998</v>
      </c>
    </row>
    <row r="221" spans="1:16" ht="15.6" x14ac:dyDescent="0.3">
      <c r="A221" s="661" t="s">
        <v>33</v>
      </c>
      <c r="B221" s="662"/>
      <c r="C221" s="11" t="s">
        <v>31</v>
      </c>
      <c r="D221" s="13">
        <v>477313.24</v>
      </c>
      <c r="E221" s="13">
        <v>1306023.18</v>
      </c>
      <c r="F221" s="13">
        <f>2138472.39</f>
        <v>2138472.39</v>
      </c>
      <c r="G221" s="13">
        <v>2337088</v>
      </c>
      <c r="H221" s="13">
        <v>1046825.41</v>
      </c>
      <c r="I221" s="13">
        <v>207951</v>
      </c>
      <c r="J221" s="13">
        <v>376329.91</v>
      </c>
      <c r="K221" s="13">
        <v>257791.16</v>
      </c>
      <c r="L221" s="13">
        <v>839035</v>
      </c>
      <c r="M221" s="13">
        <v>750289.88</v>
      </c>
      <c r="N221" s="13">
        <v>1588549.88</v>
      </c>
      <c r="O221" s="13">
        <v>1629096</v>
      </c>
      <c r="P221" s="9">
        <f>SUM(D221:O221)</f>
        <v>12954765.050000001</v>
      </c>
    </row>
    <row r="222" spans="1:16" ht="15.6" x14ac:dyDescent="0.3">
      <c r="A222" s="661" t="s">
        <v>32</v>
      </c>
      <c r="B222" s="662"/>
      <c r="C222" s="11" t="s">
        <v>31</v>
      </c>
      <c r="D222" s="13">
        <v>168334.03</v>
      </c>
      <c r="E222" s="13">
        <v>307267.21000000002</v>
      </c>
      <c r="F222" s="13">
        <v>471281.34</v>
      </c>
      <c r="G222" s="13">
        <v>235824</v>
      </c>
      <c r="H222" s="13">
        <v>386151.95</v>
      </c>
      <c r="I222" s="13">
        <v>272184</v>
      </c>
      <c r="J222" s="13">
        <v>292083.11</v>
      </c>
      <c r="K222" s="13">
        <v>437338.28</v>
      </c>
      <c r="L222" s="13">
        <v>305576</v>
      </c>
      <c r="M222" s="13">
        <v>303333.5</v>
      </c>
      <c r="N222" s="13">
        <v>263498.39</v>
      </c>
      <c r="O222" s="13">
        <v>229509</v>
      </c>
      <c r="P222" s="9">
        <f>SUM(D222:O222)</f>
        <v>3672380.81</v>
      </c>
    </row>
    <row r="223" spans="1:16" ht="15.6" x14ac:dyDescent="0.3">
      <c r="A223" s="647" t="s">
        <v>36</v>
      </c>
      <c r="B223" s="648"/>
      <c r="C223" s="11" t="s">
        <v>31</v>
      </c>
      <c r="D223" s="12">
        <f t="shared" ref="D223:N223" si="177">SUM(D219:D222)</f>
        <v>2338308.88</v>
      </c>
      <c r="E223" s="10">
        <f t="shared" si="177"/>
        <v>4971428.42</v>
      </c>
      <c r="F223" s="10">
        <f t="shared" si="177"/>
        <v>5966802.9000000004</v>
      </c>
      <c r="G223" s="10">
        <f t="shared" si="177"/>
        <v>5483168</v>
      </c>
      <c r="H223" s="10">
        <f t="shared" si="177"/>
        <v>4911399.3499999996</v>
      </c>
      <c r="I223" s="10">
        <f t="shared" si="177"/>
        <v>3624159</v>
      </c>
      <c r="J223" s="14">
        <f t="shared" si="177"/>
        <v>4772300.42</v>
      </c>
      <c r="K223" s="14">
        <f t="shared" si="177"/>
        <v>4421463.03</v>
      </c>
      <c r="L223" s="14">
        <f t="shared" si="177"/>
        <v>5479513</v>
      </c>
      <c r="M223" s="14">
        <f t="shared" si="177"/>
        <v>5224512.6900000004</v>
      </c>
      <c r="N223" s="14">
        <f t="shared" si="177"/>
        <v>5985758.3799999999</v>
      </c>
      <c r="O223" s="14">
        <v>5814100</v>
      </c>
      <c r="P223" s="9">
        <f>SUM(D223:O223)</f>
        <v>58992914.07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78">SUM(D225:O225)</f>
        <v>0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78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9">
        <f t="shared" si="178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78"/>
        <v>0</v>
      </c>
    </row>
    <row r="229" spans="1:16" ht="15.6" x14ac:dyDescent="0.3">
      <c r="A229" s="647" t="s">
        <v>212</v>
      </c>
      <c r="B229" s="648"/>
      <c r="C229" s="11" t="s">
        <v>31</v>
      </c>
      <c r="D229" s="555">
        <v>983633.82</v>
      </c>
      <c r="E229" s="13">
        <v>2330777.54</v>
      </c>
      <c r="F229" s="13">
        <v>1322404.98</v>
      </c>
      <c r="G229" s="13">
        <v>2596109.9300000002</v>
      </c>
      <c r="H229" s="13">
        <v>1782951.91</v>
      </c>
      <c r="I229" s="13">
        <v>1465600</v>
      </c>
      <c r="J229" s="584">
        <v>2317472.48</v>
      </c>
      <c r="K229" s="584">
        <v>2071450.7</v>
      </c>
      <c r="L229" s="14">
        <v>2791069</v>
      </c>
      <c r="M229" s="14">
        <v>1471515.62</v>
      </c>
      <c r="N229" s="14">
        <v>1967061.08</v>
      </c>
      <c r="O229" s="14">
        <v>1555127.13</v>
      </c>
      <c r="P229" s="9">
        <f t="shared" si="178"/>
        <v>22655174.190000001</v>
      </c>
    </row>
    <row r="230" spans="1:16" ht="15.6" x14ac:dyDescent="0.3">
      <c r="A230" s="76" t="s">
        <v>213</v>
      </c>
      <c r="B230" s="119"/>
      <c r="C230" s="11" t="s">
        <v>31</v>
      </c>
      <c r="D230" s="12">
        <f>D223+D229</f>
        <v>3321942.6999999997</v>
      </c>
      <c r="E230" s="12">
        <f t="shared" ref="E230:N230" si="179">E223+E229</f>
        <v>7302205.96</v>
      </c>
      <c r="F230" s="12">
        <f t="shared" si="179"/>
        <v>7289207.8800000008</v>
      </c>
      <c r="G230" s="12">
        <f t="shared" si="179"/>
        <v>8079277.9299999997</v>
      </c>
      <c r="H230" s="12">
        <f t="shared" si="179"/>
        <v>6694351.2599999998</v>
      </c>
      <c r="I230" s="12">
        <f>I223+I229</f>
        <v>5089759</v>
      </c>
      <c r="J230" s="12">
        <f t="shared" si="179"/>
        <v>7089772.9000000004</v>
      </c>
      <c r="K230" s="12">
        <f t="shared" si="179"/>
        <v>6492913.7300000004</v>
      </c>
      <c r="L230" s="12">
        <f t="shared" si="179"/>
        <v>8270582</v>
      </c>
      <c r="M230" s="12">
        <f t="shared" si="179"/>
        <v>6696028.3100000005</v>
      </c>
      <c r="N230" s="12">
        <f t="shared" si="179"/>
        <v>7952819.46</v>
      </c>
      <c r="O230" s="12">
        <v>7369227.1299999999</v>
      </c>
      <c r="P230" s="9">
        <f t="shared" si="178"/>
        <v>81648088.25999999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f>17783.92+933.08+128471.14</f>
        <v>147188.14000000001</v>
      </c>
      <c r="E232" s="13">
        <f>26675.88+1399.62+192706.71</f>
        <v>220782.21</v>
      </c>
      <c r="F232" s="13">
        <f>26675.88+1399.62+204100.68</f>
        <v>232176.18</v>
      </c>
      <c r="G232" s="13">
        <f>26676+1400+213513</f>
        <v>241589</v>
      </c>
      <c r="H232" s="13">
        <f>26329.44+1399.62+224907.06</f>
        <v>252636.12</v>
      </c>
      <c r="I232" s="13">
        <f>27369+1400+235310</f>
        <v>264079</v>
      </c>
      <c r="J232" s="13">
        <f>26329.44+1399.62+236301.03</f>
        <v>264030.08999999997</v>
      </c>
      <c r="K232" s="13">
        <f>26329.44+1399.62+246208.83</f>
        <v>273937.89</v>
      </c>
      <c r="L232" s="13">
        <v>276910</v>
      </c>
      <c r="M232" s="13">
        <v>260756.25</v>
      </c>
      <c r="N232" s="13">
        <v>274478.22000000003</v>
      </c>
      <c r="O232" s="13">
        <v>282751</v>
      </c>
      <c r="P232" s="9">
        <f>SUM(D232:O232)</f>
        <v>2991314.1</v>
      </c>
    </row>
    <row r="233" spans="1:16" ht="15.6" x14ac:dyDescent="0.3">
      <c r="A233" s="661" t="s">
        <v>28</v>
      </c>
      <c r="B233" s="662"/>
      <c r="C233" s="11" t="s">
        <v>18</v>
      </c>
      <c r="D233" s="13">
        <v>173.89</v>
      </c>
      <c r="E233" s="13">
        <v>173.89</v>
      </c>
      <c r="F233" s="13">
        <v>173.89</v>
      </c>
      <c r="G233" s="13">
        <v>174</v>
      </c>
      <c r="H233" s="13">
        <v>173.89</v>
      </c>
      <c r="I233" s="13">
        <v>174</v>
      </c>
      <c r="J233" s="13">
        <v>173.89</v>
      </c>
      <c r="K233" s="13">
        <v>173.89</v>
      </c>
      <c r="L233" s="13">
        <v>174</v>
      </c>
      <c r="M233" s="13">
        <v>173.89</v>
      </c>
      <c r="N233" s="13">
        <v>173.89</v>
      </c>
      <c r="O233" s="13">
        <v>174</v>
      </c>
      <c r="P233" s="9">
        <f>SUM(D233:O233)</f>
        <v>2087.1199999999994</v>
      </c>
    </row>
    <row r="234" spans="1:16" ht="15.6" x14ac:dyDescent="0.3">
      <c r="A234" s="661" t="s">
        <v>27</v>
      </c>
      <c r="B234" s="662"/>
      <c r="C234" s="11" t="s">
        <v>18</v>
      </c>
      <c r="D234" s="13">
        <v>8227</v>
      </c>
      <c r="E234" s="13">
        <v>12340.52</v>
      </c>
      <c r="F234" s="13">
        <v>12340.52</v>
      </c>
      <c r="G234" s="13">
        <v>15426</v>
      </c>
      <c r="H234" s="13">
        <v>15425.65</v>
      </c>
      <c r="I234" s="13">
        <v>15426</v>
      </c>
      <c r="J234" s="13">
        <v>15425.65</v>
      </c>
      <c r="K234" s="13">
        <v>15425.65</v>
      </c>
      <c r="L234" s="13">
        <v>12341</v>
      </c>
      <c r="M234" s="13">
        <v>9255.39</v>
      </c>
      <c r="N234" s="13">
        <v>9255.39</v>
      </c>
      <c r="O234" s="13">
        <v>12341</v>
      </c>
      <c r="P234" s="9">
        <f>SUM(D234:O234)</f>
        <v>153229.77000000002</v>
      </c>
    </row>
    <row r="235" spans="1:16" ht="15.6" x14ac:dyDescent="0.3">
      <c r="A235" s="661" t="s">
        <v>26</v>
      </c>
      <c r="B235" s="662"/>
      <c r="C235" s="11" t="s">
        <v>18</v>
      </c>
      <c r="D235" s="13">
        <v>30915.61</v>
      </c>
      <c r="E235" s="13">
        <v>46373.47</v>
      </c>
      <c r="F235" s="13">
        <v>50589.24</v>
      </c>
      <c r="G235" s="13">
        <v>54805</v>
      </c>
      <c r="H235" s="13">
        <v>54805.01</v>
      </c>
      <c r="I235" s="13">
        <v>59021</v>
      </c>
      <c r="J235" s="13">
        <v>54805.01</v>
      </c>
      <c r="K235" s="13">
        <v>54805.01</v>
      </c>
      <c r="L235" s="13">
        <v>54805</v>
      </c>
      <c r="M235" s="13">
        <v>54805.01</v>
      </c>
      <c r="N235" s="13">
        <v>54805.01</v>
      </c>
      <c r="O235" s="13">
        <v>54805</v>
      </c>
      <c r="P235" s="9">
        <f>SUM(D235:O235)</f>
        <v>625339.37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N236" si="180">SUM(D232:D235)</f>
        <v>186504.64</v>
      </c>
      <c r="E236" s="12">
        <f t="shared" si="180"/>
        <v>279670.08999999997</v>
      </c>
      <c r="F236" s="12">
        <f t="shared" si="180"/>
        <v>295279.83</v>
      </c>
      <c r="G236" s="12">
        <f t="shared" si="180"/>
        <v>311994</v>
      </c>
      <c r="H236" s="12">
        <f t="shared" si="180"/>
        <v>323040.67000000004</v>
      </c>
      <c r="I236" s="12">
        <f t="shared" si="180"/>
        <v>338700</v>
      </c>
      <c r="J236" s="12">
        <f t="shared" si="180"/>
        <v>334434.64</v>
      </c>
      <c r="K236" s="12">
        <f t="shared" si="180"/>
        <v>344342.44000000006</v>
      </c>
      <c r="L236" s="12">
        <f t="shared" si="180"/>
        <v>344230</v>
      </c>
      <c r="M236" s="12">
        <f t="shared" si="180"/>
        <v>324990.54000000004</v>
      </c>
      <c r="N236" s="12">
        <f t="shared" si="180"/>
        <v>338712.51000000007</v>
      </c>
      <c r="O236" s="12">
        <v>350071</v>
      </c>
      <c r="P236" s="40">
        <f t="shared" ref="P236" si="181">SUM(P232:P235)</f>
        <v>3771970.3600000003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f>68761+1786+347377</f>
        <v>417924</v>
      </c>
      <c r="E238" s="13">
        <f>68761+1786+347377</f>
        <v>417924</v>
      </c>
      <c r="F238" s="13">
        <f>68761+1786+367916</f>
        <v>438463</v>
      </c>
      <c r="G238" s="13">
        <f>68761+1786+384883</f>
        <v>455430</v>
      </c>
      <c r="H238" s="13">
        <f>67868+1786+405422</f>
        <v>475076</v>
      </c>
      <c r="I238" s="13">
        <f>70547+1786+424175</f>
        <v>496508</v>
      </c>
      <c r="J238" s="13">
        <f>67868+1786+425961</f>
        <v>495615</v>
      </c>
      <c r="K238" s="13">
        <f>67868+1786+443821</f>
        <v>513475</v>
      </c>
      <c r="L238" s="13">
        <v>518833</v>
      </c>
      <c r="M238" s="13">
        <v>488471</v>
      </c>
      <c r="N238" s="13">
        <v>513475</v>
      </c>
      <c r="O238" s="13">
        <v>528656</v>
      </c>
      <c r="P238" s="9">
        <f>SUM(D238:O238)</f>
        <v>5759850</v>
      </c>
    </row>
    <row r="239" spans="1:16" ht="15.6" x14ac:dyDescent="0.3">
      <c r="A239" s="661" t="s">
        <v>22</v>
      </c>
      <c r="B239" s="662"/>
      <c r="C239" s="11" t="s">
        <v>18</v>
      </c>
      <c r="D239" s="15">
        <v>893</v>
      </c>
      <c r="E239" s="15">
        <v>893</v>
      </c>
      <c r="F239" s="15">
        <v>893</v>
      </c>
      <c r="G239" s="15">
        <v>893</v>
      </c>
      <c r="H239" s="15">
        <v>893</v>
      </c>
      <c r="I239" s="15">
        <v>893</v>
      </c>
      <c r="J239" s="15">
        <v>893</v>
      </c>
      <c r="K239" s="15">
        <v>893</v>
      </c>
      <c r="L239" s="15">
        <v>893</v>
      </c>
      <c r="M239" s="15">
        <v>893</v>
      </c>
      <c r="N239" s="15">
        <v>893</v>
      </c>
      <c r="O239" s="15">
        <v>893</v>
      </c>
      <c r="P239" s="9">
        <f>SUM(D239:O239)</f>
        <v>10716</v>
      </c>
    </row>
    <row r="240" spans="1:16" ht="15.6" x14ac:dyDescent="0.3">
      <c r="A240" s="661" t="s">
        <v>21</v>
      </c>
      <c r="B240" s="662"/>
      <c r="C240" s="11" t="s">
        <v>18</v>
      </c>
      <c r="D240" s="15">
        <v>3572</v>
      </c>
      <c r="E240" s="15">
        <v>3572</v>
      </c>
      <c r="F240" s="15">
        <v>3572</v>
      </c>
      <c r="G240" s="15">
        <v>4465</v>
      </c>
      <c r="H240" s="15">
        <v>4465</v>
      </c>
      <c r="I240" s="15">
        <v>4465</v>
      </c>
      <c r="J240" s="15">
        <v>4465</v>
      </c>
      <c r="K240" s="15">
        <v>4465</v>
      </c>
      <c r="L240" s="15">
        <v>3572</v>
      </c>
      <c r="M240" s="15">
        <v>2679</v>
      </c>
      <c r="N240" s="15">
        <v>2679</v>
      </c>
      <c r="O240" s="15">
        <v>3572</v>
      </c>
      <c r="P240" s="9">
        <f>SUM(D240:O240)</f>
        <v>45543</v>
      </c>
    </row>
    <row r="241" spans="1:16" ht="15.6" x14ac:dyDescent="0.3">
      <c r="A241" s="661" t="s">
        <v>20</v>
      </c>
      <c r="B241" s="662"/>
      <c r="C241" s="11" t="s">
        <v>18</v>
      </c>
      <c r="D241" s="15">
        <v>9823</v>
      </c>
      <c r="E241" s="15">
        <v>9823</v>
      </c>
      <c r="F241" s="15">
        <v>10716</v>
      </c>
      <c r="G241" s="15">
        <v>11609</v>
      </c>
      <c r="H241" s="15">
        <v>11609</v>
      </c>
      <c r="I241" s="15">
        <v>12502</v>
      </c>
      <c r="J241" s="15">
        <v>11609</v>
      </c>
      <c r="K241" s="15">
        <v>11609</v>
      </c>
      <c r="L241" s="15">
        <v>11609</v>
      </c>
      <c r="M241" s="15">
        <v>11609</v>
      </c>
      <c r="N241" s="15">
        <v>11609</v>
      </c>
      <c r="O241" s="15">
        <v>11609</v>
      </c>
      <c r="P241" s="9">
        <f>SUM(D241:O241)</f>
        <v>135736</v>
      </c>
    </row>
    <row r="242" spans="1:16" ht="15.6" x14ac:dyDescent="0.3">
      <c r="A242" s="647" t="s">
        <v>19</v>
      </c>
      <c r="B242" s="648"/>
      <c r="C242" s="11" t="s">
        <v>18</v>
      </c>
      <c r="D242" s="12">
        <f t="shared" ref="D242:P242" si="182">SUM(D238:D241)</f>
        <v>432212</v>
      </c>
      <c r="E242" s="12">
        <f t="shared" si="182"/>
        <v>432212</v>
      </c>
      <c r="F242" s="12">
        <f t="shared" si="182"/>
        <v>453644</v>
      </c>
      <c r="G242" s="12">
        <f t="shared" si="182"/>
        <v>472397</v>
      </c>
      <c r="H242" s="12">
        <f t="shared" si="182"/>
        <v>492043</v>
      </c>
      <c r="I242" s="12">
        <f t="shared" si="182"/>
        <v>514368</v>
      </c>
      <c r="J242" s="12">
        <f t="shared" si="182"/>
        <v>512582</v>
      </c>
      <c r="K242" s="12">
        <f t="shared" si="182"/>
        <v>530442</v>
      </c>
      <c r="L242" s="12">
        <f t="shared" si="182"/>
        <v>534907</v>
      </c>
      <c r="M242" s="12">
        <f t="shared" si="182"/>
        <v>503652</v>
      </c>
      <c r="N242" s="12">
        <f t="shared" si="182"/>
        <v>528656</v>
      </c>
      <c r="O242" s="12">
        <v>544730</v>
      </c>
      <c r="P242" s="40">
        <f t="shared" si="182"/>
        <v>5951845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3940659.34</v>
      </c>
      <c r="E243" s="10">
        <f t="shared" ref="E243:N243" si="183">E230+E236+E242</f>
        <v>8014088.0499999998</v>
      </c>
      <c r="F243" s="10">
        <f t="shared" si="183"/>
        <v>8038131.7100000009</v>
      </c>
      <c r="G243" s="10">
        <f>G230+G236+G242</f>
        <v>8863668.9299999997</v>
      </c>
      <c r="H243" s="10">
        <f t="shared" si="183"/>
        <v>7509434.9299999997</v>
      </c>
      <c r="I243" s="10">
        <f t="shared" si="183"/>
        <v>5942827</v>
      </c>
      <c r="J243" s="10">
        <f t="shared" si="183"/>
        <v>7936789.54</v>
      </c>
      <c r="K243" s="10">
        <f t="shared" si="183"/>
        <v>7367698.1700000009</v>
      </c>
      <c r="L243" s="10">
        <f t="shared" si="183"/>
        <v>9149719</v>
      </c>
      <c r="M243" s="10">
        <f t="shared" si="183"/>
        <v>7524670.8500000006</v>
      </c>
      <c r="N243" s="10">
        <f t="shared" si="183"/>
        <v>8820187.9699999988</v>
      </c>
      <c r="O243" s="10">
        <v>8264028.1299999999</v>
      </c>
      <c r="P243" s="40">
        <f t="shared" ref="P243" si="184">P216+P223+P236+P242</f>
        <v>93154908.730000004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56">
        <f>79381977.51-D246</f>
        <v>43487314.510000005</v>
      </c>
      <c r="E245" s="154">
        <f>81922848.02-E246</f>
        <v>44752664.919999994</v>
      </c>
      <c r="F245" s="154">
        <v>15742114.82</v>
      </c>
      <c r="G245" s="154">
        <v>45204457.630000003</v>
      </c>
      <c r="H245" s="556">
        <v>43853864.07</v>
      </c>
      <c r="I245" s="154">
        <f>89043375.29-I246</f>
        <v>46349131.100000009</v>
      </c>
      <c r="J245" s="154">
        <v>48445813.159999996</v>
      </c>
      <c r="K245" s="154">
        <f>89473300.72-K246</f>
        <v>44585220.579999998</v>
      </c>
      <c r="L245" s="154">
        <v>49065927.410000004</v>
      </c>
      <c r="M245" s="154">
        <v>49790722.829999998</v>
      </c>
      <c r="N245" s="154">
        <v>50885598.43</v>
      </c>
      <c r="O245" s="154">
        <v>50220039.380000003</v>
      </c>
      <c r="P245" s="165">
        <f>O245</f>
        <v>50220039.380000003</v>
      </c>
    </row>
    <row r="246" spans="1:16" ht="15.6" x14ac:dyDescent="0.3">
      <c r="A246" s="657" t="s">
        <v>206</v>
      </c>
      <c r="B246" s="658"/>
      <c r="C246" s="11" t="s">
        <v>18</v>
      </c>
      <c r="D246" s="556">
        <v>35894663</v>
      </c>
      <c r="E246" s="154">
        <v>37170183.100000001</v>
      </c>
      <c r="F246" s="154">
        <v>39347012.229999997</v>
      </c>
      <c r="G246" s="154">
        <v>41546167.07</v>
      </c>
      <c r="H246" s="556">
        <v>42804974</v>
      </c>
      <c r="I246" s="154">
        <f>42694244.19</f>
        <v>42694244.189999998</v>
      </c>
      <c r="J246" s="154">
        <v>43321486.259999998</v>
      </c>
      <c r="K246" s="154">
        <v>44888080.140000001</v>
      </c>
      <c r="L246" s="154">
        <v>44311869.880000003</v>
      </c>
      <c r="M246" s="154">
        <v>21804100.940000001</v>
      </c>
      <c r="N246" s="154">
        <v>23286326.989999998</v>
      </c>
      <c r="O246" s="154">
        <v>24917789.399999999</v>
      </c>
      <c r="P246" s="165">
        <f>O246</f>
        <v>24917789.399999999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79381977.510000005</v>
      </c>
      <c r="E247" s="142">
        <f t="shared" ref="E247:G247" si="185">E245+E246</f>
        <v>81922848.019999996</v>
      </c>
      <c r="F247" s="142">
        <f t="shared" si="185"/>
        <v>55089127.049999997</v>
      </c>
      <c r="G247" s="142">
        <f t="shared" si="185"/>
        <v>86750624.700000003</v>
      </c>
      <c r="H247" s="142">
        <f t="shared" ref="H247:P247" si="186">H245+H246</f>
        <v>86658838.069999993</v>
      </c>
      <c r="I247" s="142">
        <f t="shared" si="186"/>
        <v>89043375.290000007</v>
      </c>
      <c r="J247" s="142">
        <f t="shared" si="186"/>
        <v>91767299.419999987</v>
      </c>
      <c r="K247" s="142">
        <f t="shared" si="186"/>
        <v>89473300.719999999</v>
      </c>
      <c r="L247" s="142">
        <f t="shared" si="186"/>
        <v>93377797.290000007</v>
      </c>
      <c r="M247" s="142">
        <f t="shared" si="186"/>
        <v>71594823.769999996</v>
      </c>
      <c r="N247" s="156">
        <f t="shared" si="186"/>
        <v>74171925.420000002</v>
      </c>
      <c r="O247" s="156">
        <v>75137828.780000001</v>
      </c>
      <c r="P247" s="165">
        <f t="shared" si="186"/>
        <v>75137828.780000001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8">
        <f>D58/D243</f>
        <v>1.131007560272896</v>
      </c>
      <c r="E249" s="8">
        <f t="shared" ref="E249:F249" si="187">E58/E243</f>
        <v>0.63913084290357902</v>
      </c>
      <c r="F249" s="8">
        <f t="shared" si="187"/>
        <v>0.62973720102180297</v>
      </c>
      <c r="G249" s="8">
        <f t="shared" ref="G249:P249" si="188">G58/G243%</f>
        <v>54.858005628375828</v>
      </c>
      <c r="H249" s="8">
        <f t="shared" si="188"/>
        <v>64.524368706394796</v>
      </c>
      <c r="I249" s="8">
        <f t="shared" si="188"/>
        <v>86.429732045035124</v>
      </c>
      <c r="J249" s="8">
        <f t="shared" si="188"/>
        <v>63.681521653401447</v>
      </c>
      <c r="K249" s="8">
        <f t="shared" si="188"/>
        <v>71.530210493136948</v>
      </c>
      <c r="L249" s="8">
        <f t="shared" si="188"/>
        <v>64.750313326562278</v>
      </c>
      <c r="M249" s="8">
        <f t="shared" si="188"/>
        <v>105.83285433231495</v>
      </c>
      <c r="N249" s="8">
        <f t="shared" si="188"/>
        <v>68.289437423280773</v>
      </c>
      <c r="O249" s="8">
        <v>68.487468882804976</v>
      </c>
      <c r="P249" s="111">
        <f t="shared" si="188"/>
        <v>70.184834277552241</v>
      </c>
    </row>
    <row r="250" spans="1:16" ht="15.6" x14ac:dyDescent="0.3">
      <c r="A250" s="643" t="s">
        <v>208</v>
      </c>
      <c r="B250" s="644"/>
      <c r="C250" s="5" t="s">
        <v>6</v>
      </c>
      <c r="D250" s="29">
        <f>D210/(D223+D245)</f>
        <v>3.4596801586467184E-2</v>
      </c>
      <c r="E250" s="29">
        <f t="shared" ref="E250:F250" si="189">E210/(E223+E245)</f>
        <v>6.3197532401703921E-2</v>
      </c>
      <c r="F250" s="29">
        <f t="shared" si="189"/>
        <v>0.18336625442790616</v>
      </c>
      <c r="G250" s="29">
        <f t="shared" ref="G250:P250" si="190">G210/(G223+G245)%</f>
        <v>7.1084213458747483</v>
      </c>
      <c r="H250" s="29">
        <f t="shared" si="190"/>
        <v>20.655534890167111</v>
      </c>
      <c r="I250" s="29">
        <f t="shared" si="190"/>
        <v>7.4219908126481338</v>
      </c>
      <c r="J250" s="29">
        <f t="shared" si="190"/>
        <v>4.9397523195710393</v>
      </c>
      <c r="K250" s="29">
        <f t="shared" si="190"/>
        <v>15.635002831402572</v>
      </c>
      <c r="L250" s="29">
        <f t="shared" si="190"/>
        <v>3.5690847582616483</v>
      </c>
      <c r="M250" s="29">
        <f t="shared" si="190"/>
        <v>50.597127753603047</v>
      </c>
      <c r="N250" s="29">
        <f t="shared" si="190"/>
        <v>6.5085067028841292</v>
      </c>
      <c r="O250" s="29">
        <v>10.249101821754435</v>
      </c>
      <c r="P250" s="108">
        <f t="shared" si="190"/>
        <v>69.233349141699264</v>
      </c>
    </row>
    <row r="251" spans="1:16" ht="16.2" thickBot="1" x14ac:dyDescent="0.35">
      <c r="A251" s="652" t="s">
        <v>15</v>
      </c>
      <c r="B251" s="653"/>
      <c r="C251" s="5" t="s">
        <v>6</v>
      </c>
      <c r="D251" s="29">
        <f>D210/D223</f>
        <v>0.67801992010567913</v>
      </c>
      <c r="E251" s="29">
        <f t="shared" ref="E251:F251" si="191">E210/E223</f>
        <v>0.63210001925362125</v>
      </c>
      <c r="F251" s="29">
        <f t="shared" si="191"/>
        <v>0.66713833131642408</v>
      </c>
      <c r="G251" s="7">
        <f t="shared" ref="G251:P251" si="192">G210/G223%</f>
        <v>65.711829365797286</v>
      </c>
      <c r="H251" s="7">
        <f t="shared" si="192"/>
        <v>205.08871875792386</v>
      </c>
      <c r="I251" s="7">
        <f t="shared" si="192"/>
        <v>102.34134319162047</v>
      </c>
      <c r="J251" s="7">
        <f t="shared" si="192"/>
        <v>55.085446611510683</v>
      </c>
      <c r="K251" s="7">
        <f t="shared" si="192"/>
        <v>173.29549784791482</v>
      </c>
      <c r="L251" s="7">
        <f t="shared" si="192"/>
        <v>35.528212087461057</v>
      </c>
      <c r="M251" s="7">
        <f t="shared" si="192"/>
        <v>532.79857187982054</v>
      </c>
      <c r="N251" s="7">
        <f t="shared" si="192"/>
        <v>61.838046827409691</v>
      </c>
      <c r="O251" s="7">
        <v>98.777042018541138</v>
      </c>
      <c r="P251" s="112">
        <f t="shared" si="192"/>
        <v>128.17096182141523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" customHeight="1" x14ac:dyDescent="0.3">
      <c r="A253" s="643" t="s">
        <v>13</v>
      </c>
      <c r="B253" s="644"/>
      <c r="C253" s="5" t="s">
        <v>3</v>
      </c>
      <c r="D253" s="4">
        <v>9</v>
      </c>
      <c r="E253" s="4">
        <v>31</v>
      </c>
      <c r="F253" s="4">
        <v>14</v>
      </c>
      <c r="G253" s="4">
        <v>11</v>
      </c>
      <c r="H253" s="4">
        <v>18</v>
      </c>
      <c r="I253" s="4">
        <v>15</v>
      </c>
      <c r="J253" s="4">
        <v>14</v>
      </c>
      <c r="K253" s="4">
        <v>7</v>
      </c>
      <c r="L253" s="155">
        <v>12</v>
      </c>
      <c r="M253" s="155">
        <v>19</v>
      </c>
      <c r="N253" s="155">
        <v>11</v>
      </c>
      <c r="O253" s="155">
        <v>8</v>
      </c>
      <c r="P253" s="113">
        <f>SUM(D253:O253)</f>
        <v>169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2</v>
      </c>
      <c r="E254" s="4">
        <v>16</v>
      </c>
      <c r="F254" s="4">
        <v>6</v>
      </c>
      <c r="G254" s="4">
        <v>8</v>
      </c>
      <c r="H254" s="4">
        <v>2</v>
      </c>
      <c r="I254" s="4">
        <v>9</v>
      </c>
      <c r="J254" s="4">
        <v>8</v>
      </c>
      <c r="K254" s="4">
        <v>3</v>
      </c>
      <c r="L254" s="155">
        <v>3</v>
      </c>
      <c r="M254" s="155">
        <v>5</v>
      </c>
      <c r="N254" s="155">
        <v>6</v>
      </c>
      <c r="O254" s="155">
        <v>5</v>
      </c>
      <c r="P254" s="113">
        <f>SUM(D254:O254)</f>
        <v>73</v>
      </c>
    </row>
    <row r="255" spans="1:16" ht="15.75" customHeight="1" x14ac:dyDescent="0.3">
      <c r="A255" s="643" t="s">
        <v>11</v>
      </c>
      <c r="B255" s="644"/>
      <c r="C255" s="5" t="s">
        <v>3</v>
      </c>
      <c r="D255" s="4">
        <v>11</v>
      </c>
      <c r="E255" s="4">
        <v>45</v>
      </c>
      <c r="F255" s="4">
        <v>2</v>
      </c>
      <c r="G255" s="4">
        <f t="shared" ref="G255" si="193">G95</f>
        <v>131</v>
      </c>
      <c r="H255" s="4">
        <v>47</v>
      </c>
      <c r="I255" s="4">
        <v>64</v>
      </c>
      <c r="J255" s="4">
        <v>70</v>
      </c>
      <c r="K255" s="4">
        <v>77</v>
      </c>
      <c r="L255" s="155">
        <v>89</v>
      </c>
      <c r="M255" s="155">
        <f t="shared" ref="M255" si="194">M95</f>
        <v>139</v>
      </c>
      <c r="N255" s="155">
        <f t="shared" ref="N255" si="195">N95</f>
        <v>130</v>
      </c>
      <c r="O255" s="155">
        <v>127</v>
      </c>
      <c r="P255" s="113">
        <f>SUM(D255:O255)</f>
        <v>932</v>
      </c>
    </row>
    <row r="256" spans="1:16" ht="15.6" x14ac:dyDescent="0.3">
      <c r="A256" s="643" t="s">
        <v>10</v>
      </c>
      <c r="B256" s="644"/>
      <c r="C256" s="5" t="s">
        <v>3</v>
      </c>
      <c r="D256" s="4">
        <v>11</v>
      </c>
      <c r="E256" s="4">
        <v>45</v>
      </c>
      <c r="F256" s="4">
        <v>43</v>
      </c>
      <c r="G256" s="4">
        <f t="shared" ref="G256" si="196">G91</f>
        <v>11</v>
      </c>
      <c r="H256" s="4">
        <v>18</v>
      </c>
      <c r="I256" s="4">
        <v>17</v>
      </c>
      <c r="J256" s="4">
        <v>14</v>
      </c>
      <c r="K256" s="4">
        <v>7</v>
      </c>
      <c r="L256" s="155">
        <v>12</v>
      </c>
      <c r="M256" s="155">
        <f t="shared" ref="M256" si="197">M91</f>
        <v>19</v>
      </c>
      <c r="N256" s="155">
        <f t="shared" ref="N256" si="198">N91</f>
        <v>11</v>
      </c>
      <c r="O256" s="155">
        <v>9</v>
      </c>
      <c r="P256" s="113">
        <f>SUM(D256:O256)</f>
        <v>217</v>
      </c>
    </row>
    <row r="257" spans="1:16" ht="15.6" customHeight="1" x14ac:dyDescent="0.3">
      <c r="A257" s="643" t="s">
        <v>9</v>
      </c>
      <c r="B257" s="644"/>
      <c r="C257" s="5" t="s">
        <v>3</v>
      </c>
      <c r="D257" s="4">
        <v>2</v>
      </c>
      <c r="E257" s="4">
        <v>11</v>
      </c>
      <c r="F257" s="4">
        <v>5</v>
      </c>
      <c r="G257" s="4">
        <v>7</v>
      </c>
      <c r="H257" s="4">
        <v>3</v>
      </c>
      <c r="I257" s="4">
        <v>11</v>
      </c>
      <c r="J257" s="4">
        <v>4</v>
      </c>
      <c r="K257" s="4">
        <v>2</v>
      </c>
      <c r="L257" s="155">
        <v>3</v>
      </c>
      <c r="M257" s="155">
        <v>31</v>
      </c>
      <c r="N257" s="4">
        <v>3</v>
      </c>
      <c r="O257" s="155">
        <v>6</v>
      </c>
      <c r="P257" s="113">
        <f>SUM(D257:O257)</f>
        <v>88</v>
      </c>
    </row>
    <row r="258" spans="1:16" ht="15.6" x14ac:dyDescent="0.3">
      <c r="A258" s="647" t="s">
        <v>8</v>
      </c>
      <c r="B258" s="648"/>
      <c r="C258" s="5" t="s">
        <v>3</v>
      </c>
      <c r="D258" s="1">
        <f t="shared" ref="D258:P258" si="199">D257/D256</f>
        <v>0.18181818181818182</v>
      </c>
      <c r="E258" s="1">
        <f t="shared" si="199"/>
        <v>0.24444444444444444</v>
      </c>
      <c r="F258" s="1">
        <f t="shared" si="199"/>
        <v>0.11627906976744186</v>
      </c>
      <c r="G258" s="3">
        <f t="shared" si="199"/>
        <v>0.63636363636363635</v>
      </c>
      <c r="H258" s="1">
        <f t="shared" si="199"/>
        <v>0.16666666666666666</v>
      </c>
      <c r="I258" s="3">
        <f t="shared" si="199"/>
        <v>0.6470588235294118</v>
      </c>
      <c r="J258" s="3">
        <f t="shared" si="199"/>
        <v>0.2857142857142857</v>
      </c>
      <c r="K258" s="3">
        <f t="shared" si="199"/>
        <v>0.2857142857142857</v>
      </c>
      <c r="L258" s="3">
        <f t="shared" si="199"/>
        <v>0.25</v>
      </c>
      <c r="M258" s="3">
        <f t="shared" si="199"/>
        <v>1.631578947368421</v>
      </c>
      <c r="N258" s="3">
        <f t="shared" si="199"/>
        <v>0.27272727272727271</v>
      </c>
      <c r="O258" s="3">
        <v>0.66666666666666663</v>
      </c>
      <c r="P258" s="113">
        <f t="shared" si="199"/>
        <v>0.40552995391705071</v>
      </c>
    </row>
    <row r="259" spans="1:16" ht="15.6" x14ac:dyDescent="0.3">
      <c r="A259" s="647" t="s">
        <v>7</v>
      </c>
      <c r="B259" s="648"/>
      <c r="C259" s="5" t="s">
        <v>6</v>
      </c>
      <c r="D259" s="1">
        <f t="shared" ref="D259:P259" si="200">D92/D255*100</f>
        <v>9.0909090909090917</v>
      </c>
      <c r="E259" s="1">
        <f t="shared" si="200"/>
        <v>0</v>
      </c>
      <c r="F259" s="1">
        <f t="shared" si="200"/>
        <v>950</v>
      </c>
      <c r="G259" s="6">
        <f t="shared" si="200"/>
        <v>10.687022900763358</v>
      </c>
      <c r="H259" s="161">
        <f t="shared" si="200"/>
        <v>55.319148936170215</v>
      </c>
      <c r="I259" s="6">
        <v>29.6875</v>
      </c>
      <c r="J259" s="6">
        <f t="shared" si="200"/>
        <v>11.428571428571429</v>
      </c>
      <c r="K259" s="6">
        <f t="shared" si="200"/>
        <v>15.584415584415584</v>
      </c>
      <c r="L259" s="188">
        <f t="shared" si="200"/>
        <v>8.9887640449438209</v>
      </c>
      <c r="M259" s="6">
        <f t="shared" si="200"/>
        <v>2.877697841726619</v>
      </c>
      <c r="N259" s="188">
        <f t="shared" si="200"/>
        <v>15.384615384615385</v>
      </c>
      <c r="O259" s="6">
        <v>9.4488188976377945</v>
      </c>
      <c r="P259" s="189">
        <f t="shared" si="200"/>
        <v>15.343347639484978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" customHeight="1" x14ac:dyDescent="0.3">
      <c r="A261" s="643" t="s">
        <v>4</v>
      </c>
      <c r="B261" s="644"/>
      <c r="C261" s="5" t="s">
        <v>3</v>
      </c>
      <c r="D261" s="4">
        <v>0</v>
      </c>
      <c r="E261" s="4">
        <v>3</v>
      </c>
      <c r="F261" s="4">
        <v>2</v>
      </c>
      <c r="G261" s="4">
        <v>4</v>
      </c>
      <c r="H261" s="4">
        <v>8</v>
      </c>
      <c r="I261" s="4">
        <v>1</v>
      </c>
      <c r="J261" s="4">
        <v>1</v>
      </c>
      <c r="K261" s="4">
        <v>2</v>
      </c>
      <c r="L261" s="4">
        <v>3</v>
      </c>
      <c r="M261" s="4">
        <v>5</v>
      </c>
      <c r="N261" s="4">
        <v>3</v>
      </c>
      <c r="O261" s="4">
        <v>7</v>
      </c>
      <c r="P261" s="40">
        <f>SUM(D261:O261)</f>
        <v>39</v>
      </c>
    </row>
    <row r="262" spans="1:16" s="2" customFormat="1" ht="15.75" customHeight="1" x14ac:dyDescent="0.3">
      <c r="A262" s="643" t="s">
        <v>2</v>
      </c>
      <c r="B262" s="644"/>
      <c r="C262" s="5" t="s">
        <v>0</v>
      </c>
      <c r="D262" s="4">
        <v>0</v>
      </c>
      <c r="E262" s="4">
        <v>2</v>
      </c>
      <c r="F262" s="4">
        <v>1</v>
      </c>
      <c r="G262" s="4">
        <v>2</v>
      </c>
      <c r="H262" s="4">
        <v>7</v>
      </c>
      <c r="I262" s="4">
        <v>2</v>
      </c>
      <c r="J262" s="4">
        <v>1</v>
      </c>
      <c r="K262" s="4">
        <v>1</v>
      </c>
      <c r="L262" s="4">
        <v>2</v>
      </c>
      <c r="M262" s="4">
        <v>1</v>
      </c>
      <c r="N262" s="4">
        <v>2</v>
      </c>
      <c r="O262" s="4">
        <v>3</v>
      </c>
      <c r="P262" s="40">
        <f>SUM(D262:O262)</f>
        <v>24</v>
      </c>
    </row>
    <row r="263" spans="1:16" ht="16.2" thickBot="1" x14ac:dyDescent="0.35">
      <c r="A263" s="645" t="s">
        <v>1</v>
      </c>
      <c r="B263" s="646"/>
      <c r="C263" s="115" t="s">
        <v>0</v>
      </c>
      <c r="D263" s="116" t="e">
        <f>D261/D262</f>
        <v>#DIV/0!</v>
      </c>
      <c r="E263" s="116">
        <f t="shared" ref="E263:I263" si="201">E261/E262</f>
        <v>1.5</v>
      </c>
      <c r="F263" s="116">
        <f t="shared" si="201"/>
        <v>2</v>
      </c>
      <c r="G263" s="116">
        <f t="shared" si="201"/>
        <v>2</v>
      </c>
      <c r="H263" s="559">
        <f t="shared" si="201"/>
        <v>1.1428571428571428</v>
      </c>
      <c r="I263" s="559">
        <f t="shared" si="201"/>
        <v>0.5</v>
      </c>
      <c r="J263" s="116">
        <f t="shared" ref="J263:K263" si="202">J261/J262</f>
        <v>1</v>
      </c>
      <c r="K263" s="116">
        <f t="shared" si="202"/>
        <v>2</v>
      </c>
      <c r="L263" s="116">
        <f t="shared" ref="L263:M263" si="203">L261/L262</f>
        <v>1.5</v>
      </c>
      <c r="M263" s="116">
        <f t="shared" si="203"/>
        <v>5</v>
      </c>
      <c r="N263" s="116">
        <f t="shared" ref="N263:P263" si="204">N261/N262</f>
        <v>1.5</v>
      </c>
      <c r="O263" s="116">
        <v>2.3333333333333335</v>
      </c>
      <c r="P263" s="202">
        <f t="shared" si="204"/>
        <v>1.625</v>
      </c>
    </row>
  </sheetData>
  <mergeCells count="158"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263"/>
  <sheetViews>
    <sheetView topLeftCell="A3" workbookViewId="0">
      <pane xSplit="3" topLeftCell="N1" activePane="topRight" state="frozen"/>
      <selection pane="topRight" activeCell="O3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179">
        <v>20543</v>
      </c>
      <c r="E9" s="179">
        <v>14001</v>
      </c>
      <c r="F9" s="57">
        <v>9442</v>
      </c>
      <c r="G9" s="57">
        <v>13028</v>
      </c>
      <c r="H9" s="57">
        <v>26032</v>
      </c>
      <c r="I9" s="57">
        <v>14779</v>
      </c>
      <c r="J9" s="57">
        <v>15745</v>
      </c>
      <c r="K9" s="179">
        <v>16982</v>
      </c>
      <c r="L9" s="57">
        <v>16346</v>
      </c>
      <c r="M9" s="57">
        <v>2257</v>
      </c>
      <c r="N9" s="57">
        <v>14870</v>
      </c>
      <c r="O9" s="57">
        <v>15646</v>
      </c>
      <c r="P9" s="56">
        <f>SUM(D9:O9)</f>
        <v>179671</v>
      </c>
    </row>
    <row r="10" spans="1:16" x14ac:dyDescent="0.3">
      <c r="A10" s="649" t="s">
        <v>177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f>544+214</f>
        <v>758</v>
      </c>
      <c r="E11" s="26">
        <f>538+32</f>
        <v>570</v>
      </c>
      <c r="F11" s="26">
        <f>193+842</f>
        <v>1035</v>
      </c>
      <c r="G11" s="26">
        <f>211+628</f>
        <v>839</v>
      </c>
      <c r="H11" s="26">
        <f>226+805</f>
        <v>1031</v>
      </c>
      <c r="I11" s="26">
        <f>194+815</f>
        <v>1009</v>
      </c>
      <c r="J11" s="26">
        <f>186+897</f>
        <v>1083</v>
      </c>
      <c r="K11" s="26">
        <f>126+969</f>
        <v>1095</v>
      </c>
      <c r="L11" s="26">
        <v>989</v>
      </c>
      <c r="M11" s="26">
        <v>855</v>
      </c>
      <c r="N11" s="26">
        <v>964</v>
      </c>
      <c r="O11" s="26">
        <v>1236</v>
      </c>
      <c r="P11" s="55">
        <f>SUM(D11:O11)</f>
        <v>11464</v>
      </c>
    </row>
    <row r="12" spans="1:16" ht="15.6" x14ac:dyDescent="0.3">
      <c r="A12" s="663" t="s">
        <v>156</v>
      </c>
      <c r="B12" s="664"/>
      <c r="C12" s="11" t="s">
        <v>152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5">
        <f>SUM(D12:O12)</f>
        <v>0</v>
      </c>
    </row>
    <row r="13" spans="1:16" ht="15.6" x14ac:dyDescent="0.3">
      <c r="A13" s="663" t="s">
        <v>155</v>
      </c>
      <c r="B13" s="664"/>
      <c r="C13" s="11" t="s">
        <v>152</v>
      </c>
      <c r="D13" s="26">
        <v>14800</v>
      </c>
      <c r="E13" s="26">
        <v>10356</v>
      </c>
      <c r="F13" s="26">
        <v>6309</v>
      </c>
      <c r="G13" s="26">
        <v>9357</v>
      </c>
      <c r="H13" s="26">
        <f>8499</f>
        <v>8499</v>
      </c>
      <c r="I13" s="26">
        <v>30</v>
      </c>
      <c r="J13" s="26">
        <v>30</v>
      </c>
      <c r="K13" s="26">
        <v>31</v>
      </c>
      <c r="L13" s="26">
        <v>37</v>
      </c>
      <c r="M13" s="26">
        <v>29</v>
      </c>
      <c r="N13" s="26">
        <v>29</v>
      </c>
      <c r="O13" s="26">
        <v>24</v>
      </c>
      <c r="P13" s="55">
        <f>SUM(D13:O13)</f>
        <v>49531</v>
      </c>
    </row>
    <row r="14" spans="1:16" ht="15.6" x14ac:dyDescent="0.3">
      <c r="A14" s="661" t="s">
        <v>154</v>
      </c>
      <c r="B14" s="662"/>
      <c r="C14" s="11" t="s">
        <v>152</v>
      </c>
      <c r="D14" s="26">
        <v>51</v>
      </c>
      <c r="E14" s="26">
        <v>65</v>
      </c>
      <c r="F14" s="26">
        <v>54</v>
      </c>
      <c r="G14" s="26">
        <v>56</v>
      </c>
      <c r="H14" s="26">
        <v>60</v>
      </c>
      <c r="I14" s="26">
        <v>65</v>
      </c>
      <c r="J14" s="26">
        <v>43</v>
      </c>
      <c r="K14" s="26">
        <v>32</v>
      </c>
      <c r="L14" s="26">
        <v>24</v>
      </c>
      <c r="M14" s="26">
        <v>20</v>
      </c>
      <c r="N14" s="26">
        <v>32</v>
      </c>
      <c r="O14" s="26">
        <v>8</v>
      </c>
      <c r="P14" s="55">
        <f>SUM(D14:O14)</f>
        <v>510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P15" si="0">SUM(D11:D14)</f>
        <v>15609</v>
      </c>
      <c r="E15" s="34">
        <f t="shared" si="0"/>
        <v>10991</v>
      </c>
      <c r="F15" s="34">
        <f t="shared" si="0"/>
        <v>7398</v>
      </c>
      <c r="G15" s="34">
        <f t="shared" si="0"/>
        <v>10252</v>
      </c>
      <c r="H15" s="34">
        <f t="shared" si="0"/>
        <v>9590</v>
      </c>
      <c r="I15" s="34">
        <f t="shared" si="0"/>
        <v>1104</v>
      </c>
      <c r="J15" s="34">
        <f t="shared" si="0"/>
        <v>1156</v>
      </c>
      <c r="K15" s="34">
        <f t="shared" si="0"/>
        <v>1158</v>
      </c>
      <c r="L15" s="34">
        <f t="shared" si="0"/>
        <v>1050</v>
      </c>
      <c r="M15" s="34">
        <f t="shared" si="0"/>
        <v>904</v>
      </c>
      <c r="N15" s="34">
        <f t="shared" si="0"/>
        <v>1025</v>
      </c>
      <c r="O15" s="34">
        <v>1268</v>
      </c>
      <c r="P15" s="55">
        <f t="shared" si="0"/>
        <v>61505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f>159.3+0.8</f>
        <v>160.10000000000002</v>
      </c>
      <c r="E17" s="26">
        <v>268</v>
      </c>
      <c r="F17" s="26">
        <v>291</v>
      </c>
      <c r="G17" s="26">
        <v>327</v>
      </c>
      <c r="H17" s="26">
        <v>307</v>
      </c>
      <c r="I17" s="26">
        <v>295</v>
      </c>
      <c r="J17" s="26">
        <v>263.60000000000002</v>
      </c>
      <c r="K17" s="26">
        <f>13.6+217.4</f>
        <v>231</v>
      </c>
      <c r="L17" s="26">
        <v>221</v>
      </c>
      <c r="M17" s="26">
        <v>192</v>
      </c>
      <c r="N17" s="26">
        <v>213</v>
      </c>
      <c r="O17" s="26">
        <v>254.3</v>
      </c>
      <c r="P17" s="55">
        <f>SUM(D17:O17)</f>
        <v>3023</v>
      </c>
      <c r="Q17" s="172"/>
    </row>
    <row r="18" spans="1:17" s="2" customFormat="1" ht="15.6" x14ac:dyDescent="0.3">
      <c r="A18" s="663" t="s">
        <v>181</v>
      </c>
      <c r="B18" s="664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55">
        <f>SUM(D18:O18)</f>
        <v>0</v>
      </c>
      <c r="Q18" s="172"/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v>0</v>
      </c>
      <c r="E19" s="26">
        <v>0</v>
      </c>
      <c r="F19" s="26">
        <v>0</v>
      </c>
      <c r="G19" s="26">
        <v>0</v>
      </c>
      <c r="H19" s="26">
        <v>11399</v>
      </c>
      <c r="I19" s="26">
        <v>10929</v>
      </c>
      <c r="J19" s="26">
        <v>10857</v>
      </c>
      <c r="K19" s="26">
        <v>11041</v>
      </c>
      <c r="L19" s="26">
        <v>11037</v>
      </c>
      <c r="M19" s="26">
        <v>0</v>
      </c>
      <c r="N19" s="26">
        <v>11037</v>
      </c>
      <c r="O19" s="26">
        <v>11762</v>
      </c>
      <c r="P19" s="55">
        <f>SUM(D19:O19)</f>
        <v>78062</v>
      </c>
      <c r="Q19" s="172"/>
    </row>
    <row r="20" spans="1:17" s="2" customFormat="1" ht="15.6" x14ac:dyDescent="0.3">
      <c r="A20" s="661" t="s">
        <v>183</v>
      </c>
      <c r="B20" s="662"/>
      <c r="C20" s="11" t="s">
        <v>152</v>
      </c>
      <c r="D20" s="26">
        <v>857</v>
      </c>
      <c r="E20" s="26">
        <v>858</v>
      </c>
      <c r="F20" s="26">
        <v>536</v>
      </c>
      <c r="G20" s="26">
        <v>751</v>
      </c>
      <c r="H20" s="26">
        <v>729</v>
      </c>
      <c r="I20" s="26">
        <v>715</v>
      </c>
      <c r="J20" s="26">
        <v>713</v>
      </c>
      <c r="K20" s="26">
        <v>749</v>
      </c>
      <c r="L20" s="26">
        <v>1447</v>
      </c>
      <c r="M20" s="26">
        <v>749</v>
      </c>
      <c r="N20" s="26">
        <v>717</v>
      </c>
      <c r="O20" s="26">
        <v>726</v>
      </c>
      <c r="P20" s="55">
        <f>SUM(D20:O20)</f>
        <v>9547</v>
      </c>
      <c r="Q20" s="172"/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1017.1</v>
      </c>
      <c r="E21" s="34">
        <f t="shared" ref="E21:P21" si="1">SUM(E17:E20)</f>
        <v>1126</v>
      </c>
      <c r="F21" s="34">
        <f t="shared" si="1"/>
        <v>827</v>
      </c>
      <c r="G21" s="34">
        <f t="shared" si="1"/>
        <v>1078</v>
      </c>
      <c r="H21" s="34">
        <f t="shared" si="1"/>
        <v>12435</v>
      </c>
      <c r="I21" s="34">
        <f t="shared" si="1"/>
        <v>11939</v>
      </c>
      <c r="J21" s="34">
        <f t="shared" si="1"/>
        <v>11833.6</v>
      </c>
      <c r="K21" s="34">
        <f t="shared" si="1"/>
        <v>12021</v>
      </c>
      <c r="L21" s="34">
        <f t="shared" si="1"/>
        <v>12705</v>
      </c>
      <c r="M21" s="34">
        <f t="shared" si="1"/>
        <v>941</v>
      </c>
      <c r="N21" s="34">
        <f t="shared" si="1"/>
        <v>11967</v>
      </c>
      <c r="O21" s="34">
        <v>12742.3</v>
      </c>
      <c r="P21" s="55">
        <f t="shared" si="1"/>
        <v>90632</v>
      </c>
      <c r="Q21" s="172"/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16626.099999999999</v>
      </c>
      <c r="E22" s="34">
        <f t="shared" ref="E22:P22" si="2">E21+E15</f>
        <v>12117</v>
      </c>
      <c r="F22" s="34">
        <f t="shared" si="2"/>
        <v>8225</v>
      </c>
      <c r="G22" s="34">
        <f t="shared" si="2"/>
        <v>11330</v>
      </c>
      <c r="H22" s="34">
        <f t="shared" si="2"/>
        <v>22025</v>
      </c>
      <c r="I22" s="34">
        <f t="shared" si="2"/>
        <v>13043</v>
      </c>
      <c r="J22" s="34">
        <f t="shared" si="2"/>
        <v>12989.6</v>
      </c>
      <c r="K22" s="34">
        <f t="shared" si="2"/>
        <v>13179</v>
      </c>
      <c r="L22" s="34">
        <f t="shared" si="2"/>
        <v>13755</v>
      </c>
      <c r="M22" s="34">
        <f t="shared" si="2"/>
        <v>1845</v>
      </c>
      <c r="N22" s="34">
        <f t="shared" si="2"/>
        <v>12992</v>
      </c>
      <c r="O22" s="34">
        <v>14010.3</v>
      </c>
      <c r="P22" s="55">
        <f t="shared" si="2"/>
        <v>152137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54">
        <f>D9-D22</f>
        <v>3916.9000000000015</v>
      </c>
      <c r="E24" s="54">
        <f t="shared" ref="E24:P24" si="3">E9-E22</f>
        <v>1884</v>
      </c>
      <c r="F24" s="54">
        <f t="shared" si="3"/>
        <v>1217</v>
      </c>
      <c r="G24" s="54">
        <f t="shared" si="3"/>
        <v>1698</v>
      </c>
      <c r="H24" s="54">
        <f t="shared" si="3"/>
        <v>4007</v>
      </c>
      <c r="I24" s="54">
        <f t="shared" si="3"/>
        <v>1736</v>
      </c>
      <c r="J24" s="54">
        <f t="shared" si="3"/>
        <v>2755.3999999999996</v>
      </c>
      <c r="K24" s="54">
        <f t="shared" si="3"/>
        <v>3803</v>
      </c>
      <c r="L24" s="54">
        <f t="shared" si="3"/>
        <v>2591</v>
      </c>
      <c r="M24" s="54">
        <f t="shared" si="3"/>
        <v>412</v>
      </c>
      <c r="N24" s="54">
        <f t="shared" si="3"/>
        <v>1878</v>
      </c>
      <c r="O24" s="54">
        <v>1635.7000000000007</v>
      </c>
      <c r="P24" s="99">
        <f t="shared" si="3"/>
        <v>27534</v>
      </c>
    </row>
    <row r="25" spans="1:17" ht="15.6" x14ac:dyDescent="0.3">
      <c r="A25" s="716"/>
      <c r="B25" s="53" t="s">
        <v>151</v>
      </c>
      <c r="C25" s="52" t="s">
        <v>6</v>
      </c>
      <c r="D25" s="51">
        <f t="shared" ref="D25:P25" si="4">D24/D9</f>
        <v>0.19066835418390699</v>
      </c>
      <c r="E25" s="51">
        <f t="shared" si="4"/>
        <v>0.13456181701307049</v>
      </c>
      <c r="F25" s="51">
        <f t="shared" si="4"/>
        <v>0.12889218385935183</v>
      </c>
      <c r="G25" s="51">
        <f t="shared" si="4"/>
        <v>0.13033466380104392</v>
      </c>
      <c r="H25" s="51">
        <f t="shared" si="4"/>
        <v>0.1539259373079287</v>
      </c>
      <c r="I25" s="51">
        <f t="shared" si="4"/>
        <v>0.11746396914540902</v>
      </c>
      <c r="J25" s="51">
        <f t="shared" si="4"/>
        <v>0.17500158780565256</v>
      </c>
      <c r="K25" s="51">
        <f t="shared" si="4"/>
        <v>0.22394299846896715</v>
      </c>
      <c r="L25" s="51">
        <f t="shared" si="4"/>
        <v>0.15850972715037318</v>
      </c>
      <c r="M25" s="51">
        <f t="shared" si="4"/>
        <v>0.18254319893664156</v>
      </c>
      <c r="N25" s="51">
        <f t="shared" si="4"/>
        <v>0.12629455279085408</v>
      </c>
      <c r="O25" s="51">
        <v>0.10454429247091913</v>
      </c>
      <c r="P25" s="100">
        <f t="shared" si="4"/>
        <v>0.15324676770319084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">
        <v>16</v>
      </c>
      <c r="E29" s="4">
        <v>16</v>
      </c>
      <c r="F29" s="43">
        <v>10</v>
      </c>
      <c r="G29" s="43">
        <v>15</v>
      </c>
      <c r="H29" s="43">
        <v>17</v>
      </c>
      <c r="I29" s="43">
        <v>15</v>
      </c>
      <c r="J29" s="43">
        <v>17</v>
      </c>
      <c r="K29" s="4">
        <v>18</v>
      </c>
      <c r="L29" s="43">
        <v>9</v>
      </c>
      <c r="M29" s="43">
        <v>12</v>
      </c>
      <c r="N29" s="43">
        <v>14</v>
      </c>
      <c r="O29" s="43">
        <v>17</v>
      </c>
      <c r="P29" s="45">
        <f>SUM(D29:O29)</f>
        <v>176</v>
      </c>
    </row>
    <row r="30" spans="1:17" ht="15.6" x14ac:dyDescent="0.3">
      <c r="A30" s="711"/>
      <c r="B30" s="642"/>
      <c r="C30" s="42" t="s">
        <v>139</v>
      </c>
      <c r="D30" s="15">
        <f t="shared" ref="D30:F30" si="5">D29/(D9/1000)</f>
        <v>0.77885411088935408</v>
      </c>
      <c r="E30" s="15">
        <f t="shared" si="5"/>
        <v>1.142775516034569</v>
      </c>
      <c r="F30" s="15">
        <f t="shared" si="5"/>
        <v>1.0590976488032195</v>
      </c>
      <c r="G30" s="15">
        <f t="shared" ref="G30:P30" si="6">G29/(G9/1000)</f>
        <v>1.1513662879950874</v>
      </c>
      <c r="H30" s="15">
        <f t="shared" si="6"/>
        <v>0.65304240934234792</v>
      </c>
      <c r="I30" s="15">
        <f t="shared" si="6"/>
        <v>1.0149536504499628</v>
      </c>
      <c r="J30" s="15">
        <f t="shared" si="6"/>
        <v>1.0797078437599239</v>
      </c>
      <c r="K30" s="15">
        <f t="shared" si="6"/>
        <v>1.0599458249911671</v>
      </c>
      <c r="L30" s="15">
        <v>0.55059341734981038</v>
      </c>
      <c r="M30" s="15">
        <f t="shared" si="6"/>
        <v>5.3167922020381031</v>
      </c>
      <c r="N30" s="15">
        <f t="shared" si="6"/>
        <v>0.94149293880295903</v>
      </c>
      <c r="O30" s="15">
        <v>1.0865396906557585</v>
      </c>
      <c r="P30" s="102">
        <f t="shared" si="6"/>
        <v>0.97956821078526868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>
        <f t="shared" ref="D32:F32" si="7">D31/(D9/1000)</f>
        <v>0</v>
      </c>
      <c r="E32" s="15">
        <f t="shared" si="7"/>
        <v>0</v>
      </c>
      <c r="F32" s="15">
        <f t="shared" si="7"/>
        <v>0</v>
      </c>
      <c r="G32" s="15">
        <f t="shared" ref="G32:P32" si="8">G31/(G9/1000)</f>
        <v>0</v>
      </c>
      <c r="H32" s="15">
        <f t="shared" si="8"/>
        <v>0</v>
      </c>
      <c r="I32" s="15">
        <f t="shared" si="8"/>
        <v>0</v>
      </c>
      <c r="J32" s="15">
        <f t="shared" si="8"/>
        <v>0</v>
      </c>
      <c r="K32" s="15">
        <f t="shared" si="8"/>
        <v>0</v>
      </c>
      <c r="L32" s="15">
        <f t="shared" si="8"/>
        <v>0</v>
      </c>
      <c r="M32" s="15">
        <f t="shared" si="8"/>
        <v>0</v>
      </c>
      <c r="N32" s="15">
        <f t="shared" si="8"/>
        <v>0</v>
      </c>
      <c r="O32" s="15">
        <v>0</v>
      </c>
      <c r="P32" s="102">
        <f t="shared" si="8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>
        <f t="shared" ref="D34:F34" si="9">D33/(D9/1000)</f>
        <v>0</v>
      </c>
      <c r="E34" s="15">
        <f t="shared" si="9"/>
        <v>0</v>
      </c>
      <c r="F34" s="15">
        <f t="shared" si="9"/>
        <v>0</v>
      </c>
      <c r="G34" s="15">
        <f t="shared" ref="G34:P34" si="10">G33/(G9/1000)</f>
        <v>0</v>
      </c>
      <c r="H34" s="15">
        <f t="shared" si="10"/>
        <v>0</v>
      </c>
      <c r="I34" s="15">
        <f t="shared" si="10"/>
        <v>0</v>
      </c>
      <c r="J34" s="15">
        <f t="shared" si="10"/>
        <v>0</v>
      </c>
      <c r="K34" s="15">
        <f t="shared" si="10"/>
        <v>0</v>
      </c>
      <c r="L34" s="15">
        <f t="shared" si="10"/>
        <v>0</v>
      </c>
      <c r="M34" s="15">
        <f t="shared" si="10"/>
        <v>0</v>
      </c>
      <c r="N34" s="15">
        <f t="shared" si="10"/>
        <v>0</v>
      </c>
      <c r="O34" s="15">
        <v>0</v>
      </c>
      <c r="P34" s="102">
        <f t="shared" si="10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2"/>
    </row>
    <row r="36" spans="1:16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>
        <f t="shared" ref="D38:F38" si="11">D37/(D9/1000)</f>
        <v>0</v>
      </c>
      <c r="E38" s="15">
        <f t="shared" si="11"/>
        <v>0</v>
      </c>
      <c r="F38" s="15">
        <f t="shared" si="11"/>
        <v>0</v>
      </c>
      <c r="G38" s="15">
        <f t="shared" ref="G38:P38" si="12">G37/(G9/1000)</f>
        <v>0</v>
      </c>
      <c r="H38" s="15">
        <f t="shared" si="12"/>
        <v>0</v>
      </c>
      <c r="I38" s="15">
        <f t="shared" si="12"/>
        <v>0</v>
      </c>
      <c r="J38" s="15">
        <f t="shared" si="12"/>
        <v>0</v>
      </c>
      <c r="K38" s="15">
        <f t="shared" si="12"/>
        <v>0</v>
      </c>
      <c r="L38" s="15">
        <f t="shared" si="12"/>
        <v>0</v>
      </c>
      <c r="M38" s="15">
        <f t="shared" si="12"/>
        <v>0</v>
      </c>
      <c r="N38" s="15">
        <f t="shared" si="12"/>
        <v>0</v>
      </c>
      <c r="O38" s="15">
        <v>0</v>
      </c>
      <c r="P38" s="102">
        <f t="shared" si="12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>
        <f t="shared" ref="D40:F40" si="13">D39/(D9/1000)</f>
        <v>0</v>
      </c>
      <c r="E40" s="15">
        <f t="shared" si="13"/>
        <v>0</v>
      </c>
      <c r="F40" s="15">
        <f t="shared" si="13"/>
        <v>0</v>
      </c>
      <c r="G40" s="15">
        <f t="shared" ref="G40:P40" si="14">G39/(G9/1000)</f>
        <v>0</v>
      </c>
      <c r="H40" s="15">
        <f t="shared" si="14"/>
        <v>0</v>
      </c>
      <c r="I40" s="15">
        <f t="shared" si="14"/>
        <v>0</v>
      </c>
      <c r="J40" s="15">
        <f t="shared" si="14"/>
        <v>0</v>
      </c>
      <c r="K40" s="15">
        <f t="shared" si="14"/>
        <v>0</v>
      </c>
      <c r="L40" s="15">
        <f t="shared" si="14"/>
        <v>0</v>
      </c>
      <c r="M40" s="15">
        <f t="shared" si="14"/>
        <v>0</v>
      </c>
      <c r="N40" s="15">
        <f t="shared" si="14"/>
        <v>0</v>
      </c>
      <c r="O40" s="15">
        <v>0</v>
      </c>
      <c r="P40" s="102">
        <f t="shared" si="14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81786.720000000001</v>
      </c>
      <c r="E41" s="41">
        <f t="shared" ref="E41:N41" si="15">(E29*$B29)+(E31*$B31)+(E33*$B33)+(E35*$B35)+(E37*$B37)+(E39*$B39)</f>
        <v>81786.720000000001</v>
      </c>
      <c r="F41" s="41">
        <f t="shared" si="15"/>
        <v>51116.7</v>
      </c>
      <c r="G41" s="41">
        <f t="shared" si="15"/>
        <v>76675.05</v>
      </c>
      <c r="H41" s="41">
        <f t="shared" si="15"/>
        <v>86898.39</v>
      </c>
      <c r="I41" s="41">
        <f t="shared" si="15"/>
        <v>76675.05</v>
      </c>
      <c r="J41" s="41">
        <f t="shared" si="15"/>
        <v>86898.39</v>
      </c>
      <c r="K41" s="41">
        <f t="shared" si="15"/>
        <v>92010.06</v>
      </c>
      <c r="L41" s="41">
        <f t="shared" si="15"/>
        <v>46005.03</v>
      </c>
      <c r="M41" s="41">
        <f t="shared" si="15"/>
        <v>61340.04</v>
      </c>
      <c r="N41" s="41">
        <f t="shared" si="15"/>
        <v>71563.38</v>
      </c>
      <c r="O41" s="41">
        <v>86898.39</v>
      </c>
      <c r="P41" s="39">
        <f>SUM(D41:O41)</f>
        <v>899653.92000000016</v>
      </c>
    </row>
    <row r="42" spans="1:16" ht="15.6" x14ac:dyDescent="0.3">
      <c r="A42" s="708" t="s">
        <v>137</v>
      </c>
      <c r="B42" s="709"/>
      <c r="C42" s="42" t="s">
        <v>115</v>
      </c>
      <c r="D42" s="15">
        <f t="shared" ref="D42:P42" si="16">D41/D9</f>
        <v>3.9812451930097845</v>
      </c>
      <c r="E42" s="15">
        <f t="shared" si="16"/>
        <v>5.8414913220484248</v>
      </c>
      <c r="F42" s="15">
        <f t="shared" si="16"/>
        <v>5.4137576784579533</v>
      </c>
      <c r="G42" s="15">
        <f t="shared" si="16"/>
        <v>5.8854045133558488</v>
      </c>
      <c r="H42" s="15">
        <f t="shared" si="16"/>
        <v>3.3381372925629993</v>
      </c>
      <c r="I42" s="15">
        <f t="shared" si="16"/>
        <v>5.1881081263955613</v>
      </c>
      <c r="J42" s="15">
        <f t="shared" si="16"/>
        <v>5.5191101937122893</v>
      </c>
      <c r="K42" s="15">
        <f t="shared" si="16"/>
        <v>5.4180932752325992</v>
      </c>
      <c r="L42" s="15">
        <f t="shared" si="16"/>
        <v>2.8144518536645049</v>
      </c>
      <c r="M42" s="15">
        <f t="shared" si="16"/>
        <v>27.177687195392114</v>
      </c>
      <c r="N42" s="15">
        <f t="shared" si="16"/>
        <v>4.8126012104909215</v>
      </c>
      <c r="O42" s="15">
        <v>5.5540323405343219</v>
      </c>
      <c r="P42" s="44">
        <f t="shared" si="16"/>
        <v>5.0072294360247351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">
        <v>7309</v>
      </c>
      <c r="E44" s="4">
        <v>6540</v>
      </c>
      <c r="F44" s="4">
        <v>5826</v>
      </c>
      <c r="G44" s="4">
        <v>6060</v>
      </c>
      <c r="H44" s="4">
        <v>7017</v>
      </c>
      <c r="I44" s="4">
        <v>5208</v>
      </c>
      <c r="J44" s="4">
        <v>5510</v>
      </c>
      <c r="K44" s="4">
        <v>7309</v>
      </c>
      <c r="L44" s="43">
        <v>3779</v>
      </c>
      <c r="M44" s="43">
        <v>5211</v>
      </c>
      <c r="N44" s="4">
        <v>5307</v>
      </c>
      <c r="O44" s="43">
        <v>6525</v>
      </c>
      <c r="P44" s="39">
        <f>SUM(D44:O44)</f>
        <v>71601</v>
      </c>
    </row>
    <row r="45" spans="1:16" ht="15.6" x14ac:dyDescent="0.3">
      <c r="A45" s="708" t="s">
        <v>133</v>
      </c>
      <c r="B45" s="709"/>
      <c r="C45" s="42" t="s">
        <v>132</v>
      </c>
      <c r="D45" s="15">
        <f t="shared" ref="D45:K45" si="17">D44/D9</f>
        <v>0.35579029353064306</v>
      </c>
      <c r="E45" s="15">
        <f t="shared" si="17"/>
        <v>0.46710949217913006</v>
      </c>
      <c r="F45" s="15">
        <f t="shared" si="17"/>
        <v>0.61703029019275579</v>
      </c>
      <c r="G45" s="15">
        <f t="shared" si="17"/>
        <v>0.46515198035001537</v>
      </c>
      <c r="H45" s="15">
        <f t="shared" si="17"/>
        <v>0.26955285802089735</v>
      </c>
      <c r="I45" s="15">
        <f t="shared" si="17"/>
        <v>0.35239190743622706</v>
      </c>
      <c r="J45" s="15">
        <f t="shared" si="17"/>
        <v>0.34995236583042233</v>
      </c>
      <c r="K45" s="15">
        <f t="shared" si="17"/>
        <v>0.43039689082558003</v>
      </c>
      <c r="L45" s="15">
        <v>0.23118805824054814</v>
      </c>
      <c r="M45" s="15">
        <v>2.3088170137350463</v>
      </c>
      <c r="N45" s="15">
        <f t="shared" ref="N45:P45" si="18">N44/N9</f>
        <v>0.35689307330195025</v>
      </c>
      <c r="O45" s="15">
        <v>0.41703949891346032</v>
      </c>
      <c r="P45" s="102">
        <f t="shared" si="18"/>
        <v>0.39851172420702285</v>
      </c>
    </row>
    <row r="46" spans="1:16" ht="15.6" x14ac:dyDescent="0.3">
      <c r="A46" s="643" t="s">
        <v>131</v>
      </c>
      <c r="B46" s="644"/>
      <c r="C46" s="5" t="s">
        <v>31</v>
      </c>
      <c r="D46" s="3">
        <f t="shared" ref="D46:N46" si="19">1.165*(14100+(D44*119.1))</f>
        <v>1030561.2135</v>
      </c>
      <c r="E46" s="3">
        <f t="shared" si="19"/>
        <v>923861.31</v>
      </c>
      <c r="F46" s="3">
        <f t="shared" si="19"/>
        <v>824792.73899999994</v>
      </c>
      <c r="G46" s="3">
        <f t="shared" si="19"/>
        <v>857260.59000000008</v>
      </c>
      <c r="H46" s="3">
        <f t="shared" si="19"/>
        <v>990045.77549999999</v>
      </c>
      <c r="I46" s="3">
        <f t="shared" si="19"/>
        <v>739044.31199999992</v>
      </c>
      <c r="J46" s="3">
        <f t="shared" si="19"/>
        <v>780947.26500000001</v>
      </c>
      <c r="K46" s="3">
        <f t="shared" si="19"/>
        <v>1030561.2135</v>
      </c>
      <c r="L46" s="3">
        <f t="shared" si="19"/>
        <v>540768.41850000003</v>
      </c>
      <c r="M46" s="3">
        <f t="shared" si="19"/>
        <v>739460.56649999996</v>
      </c>
      <c r="N46" s="3">
        <f t="shared" si="19"/>
        <v>752780.71049999993</v>
      </c>
      <c r="O46" s="3">
        <v>921780.03749999998</v>
      </c>
      <c r="P46" s="39">
        <f>SUM(D46:O46)</f>
        <v>10131864.1515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>
        <f t="shared" ref="D47:P47" si="20">D46/D9</f>
        <v>50.166052353599767</v>
      </c>
      <c r="E47" s="15">
        <f t="shared" si="20"/>
        <v>65.985380329976437</v>
      </c>
      <c r="F47" s="15">
        <f t="shared" si="20"/>
        <v>87.35360506248675</v>
      </c>
      <c r="G47" s="15">
        <f t="shared" si="20"/>
        <v>65.80139622351858</v>
      </c>
      <c r="H47" s="15">
        <f t="shared" si="20"/>
        <v>38.031875211278425</v>
      </c>
      <c r="I47" s="15">
        <f t="shared" si="20"/>
        <v>50.006381487245413</v>
      </c>
      <c r="J47" s="15">
        <f t="shared" si="20"/>
        <v>49.599699269609403</v>
      </c>
      <c r="K47" s="15">
        <f t="shared" si="20"/>
        <v>60.68550309150865</v>
      </c>
      <c r="L47" s="15">
        <f t="shared" si="20"/>
        <v>33.082614615196377</v>
      </c>
      <c r="M47" s="15">
        <f t="shared" si="20"/>
        <v>327.62984780682319</v>
      </c>
      <c r="N47" s="15">
        <f t="shared" si="20"/>
        <v>50.624123100201743</v>
      </c>
      <c r="O47" s="15">
        <v>58.914740988111973</v>
      </c>
      <c r="P47" s="102">
        <f t="shared" si="20"/>
        <v>56.391204765933288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>
        <f>117*20</f>
        <v>2340</v>
      </c>
      <c r="E49" s="4">
        <f>105*20</f>
        <v>2100</v>
      </c>
      <c r="F49" s="563">
        <v>1625</v>
      </c>
      <c r="G49" s="4">
        <v>1180</v>
      </c>
      <c r="H49" s="4">
        <f>84*20</f>
        <v>1680</v>
      </c>
      <c r="I49" s="4">
        <f>I50*20</f>
        <v>2860</v>
      </c>
      <c r="J49" s="4">
        <v>2384</v>
      </c>
      <c r="K49" s="4">
        <f>36*20</f>
        <v>720</v>
      </c>
      <c r="L49" s="4">
        <v>1470</v>
      </c>
      <c r="M49" s="4">
        <v>2400</v>
      </c>
      <c r="N49" s="4">
        <v>760</v>
      </c>
      <c r="O49" s="4">
        <v>1800</v>
      </c>
      <c r="P49" s="39">
        <f>SUM(D49:O49)</f>
        <v>21319</v>
      </c>
    </row>
    <row r="50" spans="1:16" ht="15.6" x14ac:dyDescent="0.3">
      <c r="A50" s="661" t="s">
        <v>187</v>
      </c>
      <c r="B50" s="662"/>
      <c r="C50" s="5" t="s">
        <v>126</v>
      </c>
      <c r="D50" s="4">
        <v>117</v>
      </c>
      <c r="E50" s="4">
        <v>105</v>
      </c>
      <c r="F50" s="563">
        <v>65</v>
      </c>
      <c r="G50" s="4">
        <v>136</v>
      </c>
      <c r="H50" s="4">
        <v>84</v>
      </c>
      <c r="I50" s="4">
        <v>143</v>
      </c>
      <c r="J50" s="4">
        <v>133</v>
      </c>
      <c r="K50" s="4">
        <v>36</v>
      </c>
      <c r="L50" s="4">
        <v>210</v>
      </c>
      <c r="M50" s="4">
        <v>120</v>
      </c>
      <c r="N50" s="4">
        <v>38</v>
      </c>
      <c r="O50" s="4">
        <v>72</v>
      </c>
      <c r="P50" s="39">
        <f>SUM(D50:O50)</f>
        <v>1259</v>
      </c>
    </row>
    <row r="51" spans="1:16" ht="15.6" x14ac:dyDescent="0.3">
      <c r="A51" s="643" t="s">
        <v>125</v>
      </c>
      <c r="B51" s="644"/>
      <c r="C51" s="5" t="s">
        <v>31</v>
      </c>
      <c r="D51" s="13">
        <v>225000</v>
      </c>
      <c r="E51" s="13">
        <v>200000</v>
      </c>
      <c r="F51" s="555">
        <v>150000</v>
      </c>
      <c r="G51" s="13">
        <v>256000</v>
      </c>
      <c r="H51" s="13">
        <v>155000</v>
      </c>
      <c r="I51" s="13">
        <v>294000</v>
      </c>
      <c r="J51" s="13">
        <v>255516</v>
      </c>
      <c r="K51" s="13">
        <v>105550</v>
      </c>
      <c r="L51" s="13">
        <v>564978</v>
      </c>
      <c r="M51" s="13">
        <v>303600</v>
      </c>
      <c r="N51" s="13">
        <v>103740</v>
      </c>
      <c r="O51" s="13">
        <v>194400</v>
      </c>
      <c r="P51" s="40">
        <f>SUM(D51:O51)</f>
        <v>2807784</v>
      </c>
    </row>
    <row r="52" spans="1:16" ht="15.6" x14ac:dyDescent="0.3">
      <c r="A52" s="661" t="s">
        <v>124</v>
      </c>
      <c r="B52" s="66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>
        <v>1783477.35</v>
      </c>
      <c r="E54" s="13">
        <v>1837957.66</v>
      </c>
      <c r="F54" s="555">
        <v>1643587.82</v>
      </c>
      <c r="G54" s="13">
        <f>AVERAGE(D54:F54)</f>
        <v>1755007.61</v>
      </c>
      <c r="H54" s="13">
        <f>AVERAGE(F54:G54)</f>
        <v>1699297.7150000001</v>
      </c>
      <c r="I54" s="13">
        <f>AVERAGE(D54:H54)</f>
        <v>1743865.6310000003</v>
      </c>
      <c r="J54" s="555">
        <f>AVERAGE(H54:I54)</f>
        <v>1721581.6730000002</v>
      </c>
      <c r="K54" s="13">
        <v>1803746.22</v>
      </c>
      <c r="L54" s="13">
        <v>1984120.8420000002</v>
      </c>
      <c r="M54" s="13">
        <v>3469247.92</v>
      </c>
      <c r="N54" s="13"/>
      <c r="O54" s="13"/>
      <c r="P54" s="39">
        <f>SUM(D54:O54)</f>
        <v>19441890.441000003</v>
      </c>
    </row>
    <row r="55" spans="1:16" ht="15.6" x14ac:dyDescent="0.3">
      <c r="A55" s="78" t="s">
        <v>121</v>
      </c>
      <c r="B55" s="79"/>
      <c r="C55" s="11" t="s">
        <v>18</v>
      </c>
      <c r="D55" s="13">
        <v>480000</v>
      </c>
      <c r="E55" s="13">
        <v>507212.35</v>
      </c>
      <c r="F55" s="555">
        <v>316700</v>
      </c>
      <c r="G55" s="13">
        <v>319220.99</v>
      </c>
      <c r="H55" s="13">
        <v>417308.36</v>
      </c>
      <c r="I55" s="13">
        <v>437000</v>
      </c>
      <c r="J55" s="555">
        <f>AVERAGE(H55:I55)</f>
        <v>427154.18</v>
      </c>
      <c r="K55" s="13">
        <v>388462.16</v>
      </c>
      <c r="L55" s="13">
        <v>389845</v>
      </c>
      <c r="M55" s="13">
        <v>396154.2</v>
      </c>
      <c r="N55" s="13">
        <v>377272</v>
      </c>
      <c r="O55" s="13">
        <v>415385</v>
      </c>
      <c r="P55" s="39">
        <f>SUM(D55:O55)</f>
        <v>4871714.24</v>
      </c>
    </row>
    <row r="56" spans="1:16" ht="15.6" x14ac:dyDescent="0.3">
      <c r="A56" s="661" t="s">
        <v>120</v>
      </c>
      <c r="B56" s="662"/>
      <c r="C56" s="5" t="s">
        <v>18</v>
      </c>
      <c r="D56" s="13">
        <v>294000</v>
      </c>
      <c r="E56" s="13">
        <v>64000</v>
      </c>
      <c r="F56" s="555">
        <v>64000</v>
      </c>
      <c r="G56" s="13">
        <v>64000</v>
      </c>
      <c r="H56" s="13">
        <v>64000</v>
      </c>
      <c r="I56" s="13">
        <v>64000</v>
      </c>
      <c r="J56" s="13">
        <v>64000</v>
      </c>
      <c r="K56" s="13">
        <v>64000</v>
      </c>
      <c r="L56" s="13">
        <v>438000</v>
      </c>
      <c r="M56" s="13">
        <v>73000</v>
      </c>
      <c r="N56" s="13">
        <v>64000</v>
      </c>
      <c r="O56" s="13">
        <v>64000</v>
      </c>
      <c r="P56" s="39">
        <f>SUM(D56:O56)</f>
        <v>1381000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3894825.2834999999</v>
      </c>
      <c r="E58" s="13">
        <f t="shared" ref="E58:F58" si="21">E41+E46+E51+E52+E54+E55+E56</f>
        <v>3614818.04</v>
      </c>
      <c r="F58" s="13">
        <f t="shared" si="21"/>
        <v>3050197.2590000001</v>
      </c>
      <c r="G58" s="13">
        <f t="shared" ref="G58:N58" si="22">G41+G46+G51+G52+G54+G55+G56</f>
        <v>3328164.24</v>
      </c>
      <c r="H58" s="13">
        <f t="shared" si="22"/>
        <v>3412550.2404999998</v>
      </c>
      <c r="I58" s="13">
        <f t="shared" si="22"/>
        <v>3354584.9930000002</v>
      </c>
      <c r="J58" s="13">
        <f t="shared" si="22"/>
        <v>3336097.5080000004</v>
      </c>
      <c r="K58" s="13">
        <f t="shared" si="22"/>
        <v>3484329.6535</v>
      </c>
      <c r="L58" s="13">
        <f t="shared" si="22"/>
        <v>3963717.2905000001</v>
      </c>
      <c r="M58" s="13">
        <f t="shared" si="22"/>
        <v>5042802.7264999999</v>
      </c>
      <c r="N58" s="13">
        <f t="shared" si="22"/>
        <v>1369356.0904999999</v>
      </c>
      <c r="O58" s="13">
        <v>1682463.4275</v>
      </c>
      <c r="P58" s="64">
        <f>SUM(D58:O58)</f>
        <v>39533906.752499998</v>
      </c>
    </row>
    <row r="59" spans="1:16" ht="15.6" x14ac:dyDescent="0.3">
      <c r="A59" s="643" t="s">
        <v>117</v>
      </c>
      <c r="B59" s="644"/>
      <c r="C59" s="5" t="s">
        <v>115</v>
      </c>
      <c r="D59" s="15">
        <f t="shared" ref="D59:F59" si="23">D58/D9</f>
        <v>189.59379270311055</v>
      </c>
      <c r="E59" s="15">
        <f t="shared" si="23"/>
        <v>258.18284693950432</v>
      </c>
      <c r="F59" s="15">
        <f t="shared" si="23"/>
        <v>323.04567453929252</v>
      </c>
      <c r="G59" s="15">
        <f t="shared" ref="G59:P59" si="24">G58/G9</f>
        <v>255.46240712311945</v>
      </c>
      <c r="H59" s="15">
        <f t="shared" si="24"/>
        <v>131.09059006223109</v>
      </c>
      <c r="I59" s="15">
        <f t="shared" si="24"/>
        <v>226.98321895933421</v>
      </c>
      <c r="J59" s="15">
        <f t="shared" si="24"/>
        <v>211.88297923150208</v>
      </c>
      <c r="K59" s="15">
        <f t="shared" si="24"/>
        <v>205.17781495112473</v>
      </c>
      <c r="L59" s="15">
        <f t="shared" si="24"/>
        <v>242.48851648721401</v>
      </c>
      <c r="M59" s="15">
        <f t="shared" si="24"/>
        <v>2234.2945177226406</v>
      </c>
      <c r="N59" s="15">
        <f t="shared" si="24"/>
        <v>92.08850642232683</v>
      </c>
      <c r="O59" s="15">
        <v>107.53313482679279</v>
      </c>
      <c r="P59" s="102">
        <f t="shared" si="24"/>
        <v>220.03499035737542</v>
      </c>
    </row>
    <row r="60" spans="1:16" ht="15.6" x14ac:dyDescent="0.3">
      <c r="A60" s="643" t="s">
        <v>116</v>
      </c>
      <c r="B60" s="644"/>
      <c r="C60" s="5" t="s">
        <v>115</v>
      </c>
      <c r="D60" s="15">
        <f>D58/D22</f>
        <v>234.25970513229203</v>
      </c>
      <c r="E60" s="15">
        <f t="shared" ref="E60:F60" si="25">E58/E22</f>
        <v>298.32615663943221</v>
      </c>
      <c r="F60" s="15">
        <f t="shared" si="25"/>
        <v>370.84465155015198</v>
      </c>
      <c r="G60" s="15">
        <f t="shared" ref="G60:N60" si="26">G58/G22</f>
        <v>293.74794704324802</v>
      </c>
      <c r="H60" s="15">
        <f t="shared" si="26"/>
        <v>154.9398520090806</v>
      </c>
      <c r="I60" s="15">
        <f t="shared" si="26"/>
        <v>257.19427992026374</v>
      </c>
      <c r="J60" s="15">
        <f t="shared" si="26"/>
        <v>256.82834790909652</v>
      </c>
      <c r="K60" s="15">
        <f t="shared" si="26"/>
        <v>264.38498015782687</v>
      </c>
      <c r="L60" s="15">
        <f t="shared" si="26"/>
        <v>288.16556092330063</v>
      </c>
      <c r="M60" s="15">
        <f t="shared" si="26"/>
        <v>2733.2264100271004</v>
      </c>
      <c r="N60" s="15">
        <f t="shared" si="26"/>
        <v>105.39994538947043</v>
      </c>
      <c r="O60" s="15">
        <v>120.08760893771012</v>
      </c>
      <c r="P60" s="103">
        <f>P58/P22</f>
        <v>259.85727832479932</v>
      </c>
    </row>
    <row r="61" spans="1:16" ht="15.6" x14ac:dyDescent="0.3">
      <c r="A61" s="661" t="s">
        <v>114</v>
      </c>
      <c r="B61" s="662"/>
      <c r="C61" s="5" t="s">
        <v>3</v>
      </c>
      <c r="D61" s="4">
        <v>5</v>
      </c>
      <c r="E61" s="4">
        <v>5</v>
      </c>
      <c r="F61" s="4">
        <v>4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9">
        <f>O61</f>
        <v>4</v>
      </c>
    </row>
    <row r="62" spans="1:16" ht="15.6" customHeight="1" x14ac:dyDescent="0.3">
      <c r="A62" s="643" t="s">
        <v>113</v>
      </c>
      <c r="B62" s="644"/>
      <c r="C62" s="5" t="s">
        <v>112</v>
      </c>
      <c r="D62" s="15">
        <f t="shared" ref="D62:F62" si="27">(D61*1000*31)/D9</f>
        <v>7.5451491992406172</v>
      </c>
      <c r="E62" s="15">
        <f t="shared" si="27"/>
        <v>11.070637811584886</v>
      </c>
      <c r="F62" s="15">
        <f t="shared" si="27"/>
        <v>13.132810845159923</v>
      </c>
      <c r="G62" s="15">
        <f t="shared" ref="G62:P62" si="28">(G61*1000*31)/G9</f>
        <v>9.5179613140927231</v>
      </c>
      <c r="H62" s="15">
        <f t="shared" si="28"/>
        <v>4.7633681622618314</v>
      </c>
      <c r="I62" s="15">
        <f t="shared" si="28"/>
        <v>8.3902835103863591</v>
      </c>
      <c r="J62" s="15">
        <f t="shared" si="28"/>
        <v>7.8755160368370909</v>
      </c>
      <c r="K62" s="15">
        <f t="shared" si="28"/>
        <v>7.3018490166058179</v>
      </c>
      <c r="L62" s="15">
        <f t="shared" si="28"/>
        <v>7.5859537501529424</v>
      </c>
      <c r="M62" s="15">
        <f t="shared" si="28"/>
        <v>54.940186087727071</v>
      </c>
      <c r="N62" s="15">
        <f t="shared" si="28"/>
        <v>8.3389374579690649</v>
      </c>
      <c r="O62" s="15">
        <v>7.9253483318420042</v>
      </c>
      <c r="P62" s="102">
        <f t="shared" si="28"/>
        <v>0.69015033032598472</v>
      </c>
    </row>
    <row r="63" spans="1:16" ht="15.6" x14ac:dyDescent="0.3">
      <c r="A63" s="700" t="s">
        <v>111</v>
      </c>
      <c r="B63" s="701"/>
      <c r="C63" s="38" t="s">
        <v>3</v>
      </c>
      <c r="D63" s="4">
        <v>8</v>
      </c>
      <c r="E63" s="4">
        <v>8</v>
      </c>
      <c r="F63" s="4">
        <v>6</v>
      </c>
      <c r="G63" s="4">
        <v>6</v>
      </c>
      <c r="H63" s="4">
        <v>6</v>
      </c>
      <c r="I63" s="4">
        <v>5</v>
      </c>
      <c r="J63" s="4">
        <v>7</v>
      </c>
      <c r="K63" s="4">
        <v>7</v>
      </c>
      <c r="L63" s="4">
        <v>10</v>
      </c>
      <c r="M63" s="4">
        <v>7</v>
      </c>
      <c r="N63" s="4">
        <v>7</v>
      </c>
      <c r="O63" s="4">
        <v>10</v>
      </c>
      <c r="P63" s="9">
        <f>SUM(D63:O63)</f>
        <v>87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5</v>
      </c>
      <c r="E66" s="4">
        <f>D71</f>
        <v>10</v>
      </c>
      <c r="F66" s="4">
        <f t="shared" ref="F66:J66" si="29">E71</f>
        <v>5</v>
      </c>
      <c r="G66" s="4">
        <f t="shared" si="29"/>
        <v>9</v>
      </c>
      <c r="H66" s="4">
        <f t="shared" si="29"/>
        <v>8</v>
      </c>
      <c r="I66" s="4">
        <f t="shared" si="29"/>
        <v>11</v>
      </c>
      <c r="J66" s="4">
        <f t="shared" si="29"/>
        <v>9</v>
      </c>
      <c r="K66" s="4">
        <v>5</v>
      </c>
      <c r="L66" s="157">
        <v>3</v>
      </c>
      <c r="M66" s="157">
        <v>6</v>
      </c>
      <c r="N66" s="157">
        <v>8</v>
      </c>
      <c r="O66" s="157">
        <v>7</v>
      </c>
      <c r="P66" s="35">
        <f>D66</f>
        <v>5</v>
      </c>
    </row>
    <row r="67" spans="1:16" ht="15.6" x14ac:dyDescent="0.3">
      <c r="A67" s="689"/>
      <c r="B67" s="24" t="s">
        <v>104</v>
      </c>
      <c r="C67" s="5" t="s">
        <v>3</v>
      </c>
      <c r="D67" s="4">
        <v>5</v>
      </c>
      <c r="E67" s="4">
        <v>11</v>
      </c>
      <c r="F67" s="4">
        <v>5</v>
      </c>
      <c r="G67" s="4">
        <v>0</v>
      </c>
      <c r="H67" s="4">
        <v>6</v>
      </c>
      <c r="I67" s="4">
        <v>1</v>
      </c>
      <c r="J67" s="4">
        <v>0</v>
      </c>
      <c r="K67" s="4">
        <v>6</v>
      </c>
      <c r="L67" s="155">
        <v>6</v>
      </c>
      <c r="M67" s="155">
        <v>5</v>
      </c>
      <c r="N67" s="155">
        <v>1</v>
      </c>
      <c r="O67" s="155">
        <v>1</v>
      </c>
      <c r="P67" s="35">
        <f>SUM(D67:O67)</f>
        <v>47</v>
      </c>
    </row>
    <row r="68" spans="1:16" ht="27" x14ac:dyDescent="0.3">
      <c r="A68" s="689"/>
      <c r="B68" s="24" t="s">
        <v>103</v>
      </c>
      <c r="C68" s="5" t="s">
        <v>3</v>
      </c>
      <c r="D68" s="4">
        <v>0</v>
      </c>
      <c r="E68" s="4">
        <v>8</v>
      </c>
      <c r="F68" s="4">
        <v>1</v>
      </c>
      <c r="G68" s="4">
        <v>1</v>
      </c>
      <c r="H68" s="4">
        <v>3</v>
      </c>
      <c r="I68" s="4">
        <v>3</v>
      </c>
      <c r="J68" s="4">
        <v>2</v>
      </c>
      <c r="K68" s="4">
        <v>8</v>
      </c>
      <c r="L68" s="155">
        <v>3</v>
      </c>
      <c r="M68" s="155">
        <v>3</v>
      </c>
      <c r="N68" s="155">
        <v>2</v>
      </c>
      <c r="O68" s="155">
        <v>3</v>
      </c>
      <c r="P68" s="35">
        <f t="shared" ref="P68:P69" si="30">SUM(D68:O68)</f>
        <v>37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8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155">
        <v>0</v>
      </c>
      <c r="M69" s="155">
        <v>0</v>
      </c>
      <c r="N69" s="155">
        <v>0</v>
      </c>
      <c r="O69" s="155">
        <v>0</v>
      </c>
      <c r="P69" s="74">
        <f t="shared" si="30"/>
        <v>8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0</v>
      </c>
      <c r="E70" s="4">
        <f t="shared" ref="E70:K70" si="31">E68+E69</f>
        <v>16</v>
      </c>
      <c r="F70" s="4">
        <f t="shared" si="31"/>
        <v>1</v>
      </c>
      <c r="G70" s="4">
        <f t="shared" si="31"/>
        <v>1</v>
      </c>
      <c r="H70" s="4">
        <f t="shared" si="31"/>
        <v>3</v>
      </c>
      <c r="I70" s="4">
        <f t="shared" si="31"/>
        <v>3</v>
      </c>
      <c r="J70" s="4">
        <f t="shared" si="31"/>
        <v>2</v>
      </c>
      <c r="K70" s="4">
        <f t="shared" si="31"/>
        <v>8</v>
      </c>
      <c r="L70" s="155">
        <v>3</v>
      </c>
      <c r="M70" s="155">
        <v>3</v>
      </c>
      <c r="N70" s="155">
        <v>2</v>
      </c>
      <c r="O70" s="155">
        <v>3</v>
      </c>
      <c r="P70" s="104">
        <f t="shared" ref="P70" si="32">P68+P69</f>
        <v>45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10</v>
      </c>
      <c r="E71" s="26">
        <f t="shared" ref="E71:K71" si="33">E66+E67-E70</f>
        <v>5</v>
      </c>
      <c r="F71" s="26">
        <f t="shared" si="33"/>
        <v>9</v>
      </c>
      <c r="G71" s="26">
        <f t="shared" si="33"/>
        <v>8</v>
      </c>
      <c r="H71" s="26">
        <f t="shared" si="33"/>
        <v>11</v>
      </c>
      <c r="I71" s="26">
        <f t="shared" si="33"/>
        <v>9</v>
      </c>
      <c r="J71" s="26">
        <f t="shared" si="33"/>
        <v>7</v>
      </c>
      <c r="K71" s="26">
        <f t="shared" si="33"/>
        <v>3</v>
      </c>
      <c r="L71" s="158">
        <v>6</v>
      </c>
      <c r="M71" s="158">
        <v>8</v>
      </c>
      <c r="N71" s="158">
        <v>7</v>
      </c>
      <c r="O71" s="158">
        <v>5</v>
      </c>
      <c r="P71" s="55">
        <f>P66+P67-P70</f>
        <v>7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132">
        <v>0</v>
      </c>
      <c r="E72" s="132">
        <f>D77</f>
        <v>0</v>
      </c>
      <c r="F72" s="132">
        <f t="shared" ref="F72:H72" si="34">E77</f>
        <v>0</v>
      </c>
      <c r="G72" s="132">
        <f t="shared" si="34"/>
        <v>0</v>
      </c>
      <c r="H72" s="132">
        <f t="shared" si="34"/>
        <v>0</v>
      </c>
      <c r="I72" s="157"/>
      <c r="J72" s="157"/>
      <c r="K72" s="157"/>
      <c r="L72" s="157"/>
      <c r="M72" s="157">
        <v>0</v>
      </c>
      <c r="N72" s="157"/>
      <c r="O72" s="157"/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132">
        <v>0</v>
      </c>
      <c r="E73" s="132">
        <v>0</v>
      </c>
      <c r="F73" s="132">
        <v>0</v>
      </c>
      <c r="G73" s="132">
        <v>0</v>
      </c>
      <c r="H73" s="132">
        <v>0</v>
      </c>
      <c r="I73" s="155"/>
      <c r="J73" s="155"/>
      <c r="K73" s="155"/>
      <c r="L73" s="155"/>
      <c r="M73" s="155">
        <v>0</v>
      </c>
      <c r="N73" s="155"/>
      <c r="O73" s="155"/>
      <c r="P73" s="35">
        <f>SUM(D73:O73)</f>
        <v>0</v>
      </c>
    </row>
    <row r="74" spans="1:16" ht="27" x14ac:dyDescent="0.3">
      <c r="A74" s="689"/>
      <c r="B74" s="24" t="s">
        <v>103</v>
      </c>
      <c r="C74" s="5" t="s">
        <v>3</v>
      </c>
      <c r="D74" s="132">
        <v>0</v>
      </c>
      <c r="E74" s="132">
        <v>0</v>
      </c>
      <c r="F74" s="132">
        <v>0</v>
      </c>
      <c r="G74" s="132">
        <v>0</v>
      </c>
      <c r="H74" s="132">
        <v>0</v>
      </c>
      <c r="I74" s="155"/>
      <c r="J74" s="155"/>
      <c r="K74" s="155"/>
      <c r="L74" s="155"/>
      <c r="M74" s="155">
        <v>0</v>
      </c>
      <c r="N74" s="155"/>
      <c r="O74" s="155"/>
      <c r="P74" s="35">
        <f>SUM(D74:O74)</f>
        <v>0</v>
      </c>
    </row>
    <row r="75" spans="1:16" s="2" customFormat="1" ht="27" x14ac:dyDescent="0.3">
      <c r="A75" s="689"/>
      <c r="B75" s="24" t="s">
        <v>102</v>
      </c>
      <c r="C75" s="11" t="s">
        <v>3</v>
      </c>
      <c r="D75" s="132">
        <v>0</v>
      </c>
      <c r="E75" s="132">
        <v>0</v>
      </c>
      <c r="F75" s="132">
        <v>0</v>
      </c>
      <c r="G75" s="132">
        <v>0</v>
      </c>
      <c r="H75" s="132">
        <v>0</v>
      </c>
      <c r="I75" s="155"/>
      <c r="J75" s="155"/>
      <c r="K75" s="155"/>
      <c r="L75" s="155"/>
      <c r="M75" s="155">
        <v>0</v>
      </c>
      <c r="N75" s="155"/>
      <c r="O75" s="155"/>
      <c r="P75" s="35">
        <f t="shared" ref="P75:P76" si="35"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132">
        <f>D74+D75</f>
        <v>0</v>
      </c>
      <c r="E76" s="132">
        <f t="shared" ref="E76:H76" si="36">E74+E75</f>
        <v>0</v>
      </c>
      <c r="F76" s="132">
        <f t="shared" si="36"/>
        <v>0</v>
      </c>
      <c r="G76" s="132">
        <f t="shared" si="36"/>
        <v>0</v>
      </c>
      <c r="H76" s="132">
        <f t="shared" si="36"/>
        <v>0</v>
      </c>
      <c r="I76" s="155">
        <f t="shared" ref="I76:J76" si="37">I74+I75</f>
        <v>0</v>
      </c>
      <c r="J76" s="155">
        <f t="shared" si="37"/>
        <v>0</v>
      </c>
      <c r="K76" s="155">
        <f t="shared" ref="K76:L76" si="38">K74+K75</f>
        <v>0</v>
      </c>
      <c r="L76" s="155">
        <f t="shared" si="38"/>
        <v>0</v>
      </c>
      <c r="M76" s="155">
        <v>0</v>
      </c>
      <c r="N76" s="155">
        <f t="shared" ref="N76" si="39">N74+N75</f>
        <v>0</v>
      </c>
      <c r="O76" s="155">
        <v>0</v>
      </c>
      <c r="P76" s="35">
        <f t="shared" si="35"/>
        <v>0</v>
      </c>
    </row>
    <row r="77" spans="1:16" ht="15.6" x14ac:dyDescent="0.3">
      <c r="A77" s="690"/>
      <c r="B77" s="37" t="s">
        <v>81</v>
      </c>
      <c r="C77" s="5" t="s">
        <v>3</v>
      </c>
      <c r="D77" s="141">
        <f>D73+D74-D76</f>
        <v>0</v>
      </c>
      <c r="E77" s="141">
        <f t="shared" ref="E77:H77" si="40">E73+E74-E76</f>
        <v>0</v>
      </c>
      <c r="F77" s="141">
        <f t="shared" si="40"/>
        <v>0</v>
      </c>
      <c r="G77" s="141">
        <f t="shared" si="40"/>
        <v>0</v>
      </c>
      <c r="H77" s="141">
        <f t="shared" si="40"/>
        <v>0</v>
      </c>
      <c r="I77" s="158">
        <f t="shared" ref="I77:J77" si="41">I72+I73-I76</f>
        <v>0</v>
      </c>
      <c r="J77" s="158">
        <f t="shared" si="41"/>
        <v>0</v>
      </c>
      <c r="K77" s="158">
        <f t="shared" ref="K77:L77" si="42">K72+K73-K76</f>
        <v>0</v>
      </c>
      <c r="L77" s="158">
        <f t="shared" si="42"/>
        <v>0</v>
      </c>
      <c r="M77" s="158">
        <v>0</v>
      </c>
      <c r="N77" s="158">
        <f t="shared" ref="N77" si="43">N72+N73-N76</f>
        <v>0</v>
      </c>
      <c r="O77" s="158">
        <v>0</v>
      </c>
      <c r="P77" s="158">
        <f t="shared" ref="P77" si="44">P72+P73-P76</f>
        <v>0</v>
      </c>
    </row>
    <row r="78" spans="1:16" ht="15.6" customHeight="1" x14ac:dyDescent="0.3">
      <c r="A78" s="688" t="s">
        <v>107</v>
      </c>
      <c r="B78" s="37" t="s">
        <v>85</v>
      </c>
      <c r="C78" s="5" t="s">
        <v>3</v>
      </c>
      <c r="D78" s="132">
        <v>0</v>
      </c>
      <c r="E78" s="132">
        <f>D83</f>
        <v>0</v>
      </c>
      <c r="F78" s="132">
        <f t="shared" ref="F78:H78" si="45">E83</f>
        <v>0</v>
      </c>
      <c r="G78" s="132">
        <f t="shared" si="45"/>
        <v>0</v>
      </c>
      <c r="H78" s="132">
        <f t="shared" si="45"/>
        <v>0</v>
      </c>
      <c r="I78" s="157"/>
      <c r="J78" s="157"/>
      <c r="K78" s="157"/>
      <c r="L78" s="157"/>
      <c r="M78" s="157">
        <v>0</v>
      </c>
      <c r="N78" s="157"/>
      <c r="O78" s="157"/>
      <c r="P78" s="35">
        <f>D78</f>
        <v>0</v>
      </c>
    </row>
    <row r="79" spans="1:16" ht="15.6" x14ac:dyDescent="0.3">
      <c r="A79" s="689"/>
      <c r="B79" s="24" t="s">
        <v>104</v>
      </c>
      <c r="C79" s="5" t="s">
        <v>3</v>
      </c>
      <c r="D79" s="132">
        <v>0</v>
      </c>
      <c r="E79" s="132">
        <v>0</v>
      </c>
      <c r="F79" s="132">
        <v>0</v>
      </c>
      <c r="G79" s="132">
        <v>0</v>
      </c>
      <c r="H79" s="132">
        <v>0</v>
      </c>
      <c r="I79" s="155"/>
      <c r="J79" s="155"/>
      <c r="K79" s="155"/>
      <c r="L79" s="155"/>
      <c r="M79" s="155">
        <v>0</v>
      </c>
      <c r="N79" s="155"/>
      <c r="O79" s="155"/>
      <c r="P79" s="35">
        <f>SUM(D79:O79)</f>
        <v>0</v>
      </c>
    </row>
    <row r="80" spans="1:16" ht="27" x14ac:dyDescent="0.3">
      <c r="A80" s="689"/>
      <c r="B80" s="24" t="s">
        <v>103</v>
      </c>
      <c r="C80" s="5" t="s">
        <v>3</v>
      </c>
      <c r="D80" s="132">
        <v>0</v>
      </c>
      <c r="E80" s="132">
        <v>0</v>
      </c>
      <c r="F80" s="132">
        <v>0</v>
      </c>
      <c r="G80" s="132">
        <v>0</v>
      </c>
      <c r="H80" s="132">
        <v>0</v>
      </c>
      <c r="I80" s="155"/>
      <c r="J80" s="155"/>
      <c r="K80" s="155"/>
      <c r="L80" s="155"/>
      <c r="M80" s="155">
        <v>0</v>
      </c>
      <c r="N80" s="155"/>
      <c r="O80" s="155"/>
      <c r="P80" s="35">
        <f>SUM(D80:O80)</f>
        <v>0</v>
      </c>
    </row>
    <row r="81" spans="1:16" s="2" customFormat="1" ht="27" x14ac:dyDescent="0.3">
      <c r="A81" s="689"/>
      <c r="B81" s="24" t="s">
        <v>102</v>
      </c>
      <c r="C81" s="11" t="s">
        <v>3</v>
      </c>
      <c r="D81" s="132">
        <v>0</v>
      </c>
      <c r="E81" s="132">
        <v>0</v>
      </c>
      <c r="F81" s="132">
        <v>0</v>
      </c>
      <c r="G81" s="132">
        <v>0</v>
      </c>
      <c r="H81" s="132">
        <v>0</v>
      </c>
      <c r="I81" s="155"/>
      <c r="J81" s="155"/>
      <c r="K81" s="155"/>
      <c r="L81" s="155"/>
      <c r="M81" s="155">
        <v>0</v>
      </c>
      <c r="N81" s="155"/>
      <c r="O81" s="155"/>
      <c r="P81" s="74">
        <f>SUM(D81:O81)</f>
        <v>0</v>
      </c>
    </row>
    <row r="82" spans="1:16" s="2" customFormat="1" ht="15.6" x14ac:dyDescent="0.3">
      <c r="A82" s="689"/>
      <c r="B82" s="24" t="s">
        <v>188</v>
      </c>
      <c r="C82" s="11" t="s">
        <v>3</v>
      </c>
      <c r="D82" s="132">
        <f>D81+D80</f>
        <v>0</v>
      </c>
      <c r="E82" s="132">
        <f t="shared" ref="E82:H82" si="46">E81+E80</f>
        <v>0</v>
      </c>
      <c r="F82" s="132">
        <f t="shared" si="46"/>
        <v>0</v>
      </c>
      <c r="G82" s="132">
        <f t="shared" si="46"/>
        <v>0</v>
      </c>
      <c r="H82" s="132">
        <f t="shared" si="46"/>
        <v>0</v>
      </c>
      <c r="I82" s="155">
        <f t="shared" ref="I82" si="47">I81+I80</f>
        <v>0</v>
      </c>
      <c r="J82" s="155">
        <f t="shared" ref="J82:K82" si="48">J81+J80</f>
        <v>0</v>
      </c>
      <c r="K82" s="155">
        <f t="shared" si="48"/>
        <v>0</v>
      </c>
      <c r="L82" s="155">
        <f t="shared" ref="L82" si="49">L81+L80</f>
        <v>0</v>
      </c>
      <c r="M82" s="155">
        <v>0</v>
      </c>
      <c r="N82" s="155">
        <f t="shared" ref="N82" si="50">N81+N80</f>
        <v>0</v>
      </c>
      <c r="O82" s="155">
        <v>0</v>
      </c>
      <c r="P82" s="104">
        <f t="shared" ref="P82" si="51">P81+P80</f>
        <v>0</v>
      </c>
    </row>
    <row r="83" spans="1:16" ht="15.6" x14ac:dyDescent="0.3">
      <c r="A83" s="690"/>
      <c r="B83" s="37" t="s">
        <v>81</v>
      </c>
      <c r="C83" s="5" t="s">
        <v>3</v>
      </c>
      <c r="D83" s="141">
        <f>D78+D79-D82</f>
        <v>0</v>
      </c>
      <c r="E83" s="141">
        <f t="shared" ref="E83:H83" si="52">E78+E79-E82</f>
        <v>0</v>
      </c>
      <c r="F83" s="141">
        <f t="shared" si="52"/>
        <v>0</v>
      </c>
      <c r="G83" s="141">
        <f t="shared" si="52"/>
        <v>0</v>
      </c>
      <c r="H83" s="141">
        <f t="shared" si="52"/>
        <v>0</v>
      </c>
      <c r="I83" s="158">
        <f t="shared" ref="I83:J83" si="53">I78+I79-I82</f>
        <v>0</v>
      </c>
      <c r="J83" s="158">
        <f t="shared" si="53"/>
        <v>0</v>
      </c>
      <c r="K83" s="158">
        <f t="shared" ref="K83:L83" si="54">K78+K79-K82</f>
        <v>0</v>
      </c>
      <c r="L83" s="158">
        <f t="shared" si="54"/>
        <v>0</v>
      </c>
      <c r="M83" s="158">
        <v>0</v>
      </c>
      <c r="N83" s="158">
        <f t="shared" ref="N83" si="55">N78+N79-N82</f>
        <v>0</v>
      </c>
      <c r="O83" s="158">
        <v>0</v>
      </c>
      <c r="P83" s="158">
        <f t="shared" ref="P83" si="56">P78+P79-P82</f>
        <v>0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132">
        <v>0</v>
      </c>
      <c r="E84" s="132">
        <f>D89</f>
        <v>0</v>
      </c>
      <c r="F84" s="132">
        <f t="shared" ref="F84:H84" si="57">E89</f>
        <v>0</v>
      </c>
      <c r="G84" s="132">
        <f t="shared" si="57"/>
        <v>0</v>
      </c>
      <c r="H84" s="132">
        <f t="shared" si="57"/>
        <v>0</v>
      </c>
      <c r="I84" s="157"/>
      <c r="J84" s="157"/>
      <c r="K84" s="157"/>
      <c r="L84" s="157"/>
      <c r="M84" s="157">
        <v>0</v>
      </c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132">
        <v>0</v>
      </c>
      <c r="E85" s="132">
        <v>0</v>
      </c>
      <c r="F85" s="132">
        <v>0</v>
      </c>
      <c r="G85" s="132">
        <v>0</v>
      </c>
      <c r="H85" s="132">
        <v>0</v>
      </c>
      <c r="I85" s="155"/>
      <c r="J85" s="155"/>
      <c r="K85" s="155"/>
      <c r="L85" s="155"/>
      <c r="M85" s="155">
        <v>0</v>
      </c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132">
        <v>0</v>
      </c>
      <c r="E86" s="132">
        <v>0</v>
      </c>
      <c r="F86" s="132">
        <v>0</v>
      </c>
      <c r="G86" s="132">
        <v>0</v>
      </c>
      <c r="H86" s="132">
        <v>0</v>
      </c>
      <c r="I86" s="155"/>
      <c r="J86" s="155"/>
      <c r="K86" s="155"/>
      <c r="L86" s="155"/>
      <c r="M86" s="155">
        <v>0</v>
      </c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132">
        <v>0</v>
      </c>
      <c r="E87" s="132">
        <v>0</v>
      </c>
      <c r="F87" s="132">
        <v>0</v>
      </c>
      <c r="G87" s="132">
        <v>0</v>
      </c>
      <c r="H87" s="132">
        <v>0</v>
      </c>
      <c r="I87" s="155"/>
      <c r="J87" s="155"/>
      <c r="K87" s="155"/>
      <c r="L87" s="155"/>
      <c r="M87" s="155">
        <v>0</v>
      </c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132">
        <f>D86+D87</f>
        <v>0</v>
      </c>
      <c r="E88" s="132">
        <f t="shared" ref="E88:H88" si="58">E86+E87</f>
        <v>0</v>
      </c>
      <c r="F88" s="132">
        <f t="shared" si="58"/>
        <v>0</v>
      </c>
      <c r="G88" s="132">
        <f t="shared" si="58"/>
        <v>0</v>
      </c>
      <c r="H88" s="132">
        <f t="shared" si="58"/>
        <v>0</v>
      </c>
      <c r="I88" s="155">
        <v>0</v>
      </c>
      <c r="J88" s="155">
        <v>0</v>
      </c>
      <c r="K88" s="155">
        <v>0</v>
      </c>
      <c r="L88" s="155">
        <v>0</v>
      </c>
      <c r="M88" s="155">
        <v>0</v>
      </c>
      <c r="N88" s="155">
        <v>0</v>
      </c>
      <c r="O88" s="155">
        <v>0</v>
      </c>
      <c r="P88" s="74">
        <f>SUM(D88:O88)</f>
        <v>0</v>
      </c>
    </row>
    <row r="89" spans="1:16" ht="15.6" x14ac:dyDescent="0.3">
      <c r="A89" s="693"/>
      <c r="B89" s="36" t="s">
        <v>81</v>
      </c>
      <c r="C89" s="5" t="s">
        <v>3</v>
      </c>
      <c r="D89" s="141">
        <f>D84+D85-D88</f>
        <v>0</v>
      </c>
      <c r="E89" s="141">
        <f t="shared" ref="E89:H89" si="59">E84+E85-E88</f>
        <v>0</v>
      </c>
      <c r="F89" s="141">
        <f t="shared" si="59"/>
        <v>0</v>
      </c>
      <c r="G89" s="141">
        <f t="shared" si="59"/>
        <v>0</v>
      </c>
      <c r="H89" s="141">
        <f t="shared" si="59"/>
        <v>0</v>
      </c>
      <c r="I89" s="158">
        <f t="shared" ref="I89" si="60">I84+I85-I88</f>
        <v>0</v>
      </c>
      <c r="J89" s="158">
        <f t="shared" ref="J89:K89" si="61">J84+J85-J88</f>
        <v>0</v>
      </c>
      <c r="K89" s="158">
        <f t="shared" si="61"/>
        <v>0</v>
      </c>
      <c r="L89" s="158">
        <f t="shared" ref="L89" si="62">L84+L85-L88</f>
        <v>0</v>
      </c>
      <c r="M89" s="158">
        <v>0</v>
      </c>
      <c r="N89" s="158">
        <f t="shared" ref="N89:P89" si="63">N84+N85-N88</f>
        <v>0</v>
      </c>
      <c r="O89" s="158">
        <v>0</v>
      </c>
      <c r="P89" s="158">
        <f t="shared" si="63"/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135">
        <f t="shared" ref="D90:I90" si="64">D66+D72+D78+D84</f>
        <v>5</v>
      </c>
      <c r="E90" s="135">
        <f t="shared" si="64"/>
        <v>10</v>
      </c>
      <c r="F90" s="135">
        <f t="shared" si="64"/>
        <v>5</v>
      </c>
      <c r="G90" s="135">
        <f t="shared" si="64"/>
        <v>9</v>
      </c>
      <c r="H90" s="135">
        <f t="shared" si="64"/>
        <v>8</v>
      </c>
      <c r="I90" s="135">
        <f t="shared" si="64"/>
        <v>11</v>
      </c>
      <c r="J90" s="135">
        <f t="shared" ref="J90:K90" si="65">J66+J72+J78+J84</f>
        <v>9</v>
      </c>
      <c r="K90" s="135">
        <f t="shared" si="65"/>
        <v>5</v>
      </c>
      <c r="L90" s="135">
        <f t="shared" ref="L90:M90" si="66">L66+L72+L78+L84</f>
        <v>3</v>
      </c>
      <c r="M90" s="135">
        <f t="shared" si="66"/>
        <v>6</v>
      </c>
      <c r="N90" s="135">
        <f t="shared" ref="N90" si="67">N66+N72+N78+N84</f>
        <v>8</v>
      </c>
      <c r="O90" s="135">
        <v>7</v>
      </c>
      <c r="P90" s="35">
        <f>D90</f>
        <v>5</v>
      </c>
    </row>
    <row r="91" spans="1:16" ht="15.6" x14ac:dyDescent="0.3">
      <c r="A91" s="695"/>
      <c r="B91" s="24" t="s">
        <v>104</v>
      </c>
      <c r="C91" s="11" t="s">
        <v>3</v>
      </c>
      <c r="D91" s="135">
        <f t="shared" ref="D91:E93" si="68">D67+D73+D79+D85</f>
        <v>5</v>
      </c>
      <c r="E91" s="135">
        <f t="shared" si="68"/>
        <v>11</v>
      </c>
      <c r="F91" s="135">
        <f t="shared" ref="F91:G91" si="69">F67+F73+F79+F85</f>
        <v>5</v>
      </c>
      <c r="G91" s="135">
        <f t="shared" si="69"/>
        <v>0</v>
      </c>
      <c r="H91" s="135">
        <f t="shared" ref="H91:I91" si="70">H67+H73+H79+H85</f>
        <v>6</v>
      </c>
      <c r="I91" s="135">
        <f t="shared" si="70"/>
        <v>1</v>
      </c>
      <c r="J91" s="135">
        <f t="shared" ref="J91:K91" si="71">J67+J73+J79+J85</f>
        <v>0</v>
      </c>
      <c r="K91" s="135">
        <f t="shared" si="71"/>
        <v>6</v>
      </c>
      <c r="L91" s="135">
        <f t="shared" ref="L91:M91" si="72">L67+L73+L79+L85</f>
        <v>6</v>
      </c>
      <c r="M91" s="135">
        <f t="shared" si="72"/>
        <v>5</v>
      </c>
      <c r="N91" s="135">
        <f t="shared" ref="N91" si="73">N67+N73+N79+N85</f>
        <v>1</v>
      </c>
      <c r="O91" s="135">
        <v>1</v>
      </c>
      <c r="P91" s="35">
        <f>SUM(D91:O91)</f>
        <v>47</v>
      </c>
    </row>
    <row r="92" spans="1:16" ht="27" x14ac:dyDescent="0.3">
      <c r="A92" s="695"/>
      <c r="B92" s="24" t="s">
        <v>103</v>
      </c>
      <c r="C92" s="11" t="s">
        <v>3</v>
      </c>
      <c r="D92" s="135">
        <f t="shared" si="68"/>
        <v>0</v>
      </c>
      <c r="E92" s="135">
        <f t="shared" si="68"/>
        <v>8</v>
      </c>
      <c r="F92" s="135">
        <f t="shared" ref="F92:G92" si="74">F68+F74+F80+F86</f>
        <v>1</v>
      </c>
      <c r="G92" s="135">
        <f t="shared" si="74"/>
        <v>1</v>
      </c>
      <c r="H92" s="135">
        <f t="shared" ref="H92:I92" si="75">H68+H74+H80+H86</f>
        <v>3</v>
      </c>
      <c r="I92" s="135">
        <f t="shared" si="75"/>
        <v>3</v>
      </c>
      <c r="J92" s="135">
        <f t="shared" ref="J92:K92" si="76">J68+J74+J80+J86</f>
        <v>2</v>
      </c>
      <c r="K92" s="135">
        <f t="shared" si="76"/>
        <v>8</v>
      </c>
      <c r="L92" s="135">
        <f t="shared" ref="L92:M92" si="77">L68+L74+L80+L86</f>
        <v>3</v>
      </c>
      <c r="M92" s="135">
        <f t="shared" si="77"/>
        <v>3</v>
      </c>
      <c r="N92" s="135">
        <f t="shared" ref="N92" si="78">N68+N74+N80+N86</f>
        <v>2</v>
      </c>
      <c r="O92" s="135">
        <v>3</v>
      </c>
      <c r="P92" s="35">
        <f>SUM(D92:O92)</f>
        <v>37</v>
      </c>
    </row>
    <row r="93" spans="1:16" s="2" customFormat="1" ht="27" x14ac:dyDescent="0.3">
      <c r="A93" s="695"/>
      <c r="B93" s="24" t="s">
        <v>102</v>
      </c>
      <c r="C93" s="11"/>
      <c r="D93" s="135">
        <f t="shared" si="68"/>
        <v>0</v>
      </c>
      <c r="E93" s="135">
        <f t="shared" si="68"/>
        <v>8</v>
      </c>
      <c r="F93" s="135">
        <f t="shared" ref="F93:G93" si="79">F69+F75+F81+F87</f>
        <v>0</v>
      </c>
      <c r="G93" s="135">
        <f t="shared" si="79"/>
        <v>0</v>
      </c>
      <c r="H93" s="135">
        <f t="shared" ref="H93:I93" si="80">H69+H75+H81+H87</f>
        <v>0</v>
      </c>
      <c r="I93" s="135">
        <f t="shared" si="80"/>
        <v>0</v>
      </c>
      <c r="J93" s="135">
        <f t="shared" ref="J93:K93" si="81">J69+J75+J81+J87</f>
        <v>0</v>
      </c>
      <c r="K93" s="135">
        <f t="shared" si="81"/>
        <v>0</v>
      </c>
      <c r="L93" s="135">
        <f t="shared" ref="L93:M93" si="82">L69+L75+L81+L87</f>
        <v>0</v>
      </c>
      <c r="M93" s="135">
        <f t="shared" si="82"/>
        <v>0</v>
      </c>
      <c r="N93" s="135">
        <f t="shared" ref="N93" si="83">N69+N75+N81+N87</f>
        <v>0</v>
      </c>
      <c r="O93" s="135">
        <v>0</v>
      </c>
      <c r="P93" s="35">
        <f>SUM(D93:O93)</f>
        <v>8</v>
      </c>
    </row>
    <row r="94" spans="1:16" s="2" customFormat="1" ht="15.6" x14ac:dyDescent="0.3">
      <c r="A94" s="695"/>
      <c r="B94" s="24" t="s">
        <v>188</v>
      </c>
      <c r="C94" s="11" t="s">
        <v>3</v>
      </c>
      <c r="D94" s="136">
        <f>D93+D92</f>
        <v>0</v>
      </c>
      <c r="E94" s="136">
        <f t="shared" ref="E94:P94" si="84">E93+E92</f>
        <v>16</v>
      </c>
      <c r="F94" s="136">
        <f t="shared" ref="F94:G94" si="85">F93+F92</f>
        <v>1</v>
      </c>
      <c r="G94" s="136">
        <f t="shared" si="85"/>
        <v>1</v>
      </c>
      <c r="H94" s="136">
        <f t="shared" ref="H94:I94" si="86">H93+H92</f>
        <v>3</v>
      </c>
      <c r="I94" s="136">
        <f t="shared" si="86"/>
        <v>3</v>
      </c>
      <c r="J94" s="136">
        <f t="shared" ref="J94:K94" si="87">J93+J92</f>
        <v>2</v>
      </c>
      <c r="K94" s="136">
        <f t="shared" si="87"/>
        <v>8</v>
      </c>
      <c r="L94" s="136">
        <f t="shared" ref="L94:M94" si="88">L93+L92</f>
        <v>3</v>
      </c>
      <c r="M94" s="136">
        <f t="shared" si="88"/>
        <v>3</v>
      </c>
      <c r="N94" s="136">
        <f t="shared" ref="N94" si="89">N93+N92</f>
        <v>2</v>
      </c>
      <c r="O94" s="136">
        <v>3</v>
      </c>
      <c r="P94" s="143">
        <f t="shared" si="84"/>
        <v>45</v>
      </c>
    </row>
    <row r="95" spans="1:16" ht="16.2" thickBot="1" x14ac:dyDescent="0.35">
      <c r="A95" s="696"/>
      <c r="B95" s="24" t="s">
        <v>81</v>
      </c>
      <c r="C95" s="11" t="s">
        <v>3</v>
      </c>
      <c r="D95" s="137">
        <f>D90+D91-D94</f>
        <v>10</v>
      </c>
      <c r="E95" s="137">
        <f t="shared" ref="E95:P95" si="90">E90+E91-E94</f>
        <v>5</v>
      </c>
      <c r="F95" s="137">
        <f t="shared" ref="F95:G95" si="91">F90+F91-F94</f>
        <v>9</v>
      </c>
      <c r="G95" s="137">
        <f t="shared" si="91"/>
        <v>8</v>
      </c>
      <c r="H95" s="137">
        <f t="shared" ref="H95:I95" si="92">H90+H91-H94</f>
        <v>11</v>
      </c>
      <c r="I95" s="137">
        <f t="shared" si="92"/>
        <v>9</v>
      </c>
      <c r="J95" s="137">
        <f t="shared" ref="J95:K95" si="93">J90+J91-J94</f>
        <v>7</v>
      </c>
      <c r="K95" s="137">
        <f t="shared" si="93"/>
        <v>3</v>
      </c>
      <c r="L95" s="137">
        <f t="shared" ref="L95:M95" si="94">L90+L91-L94</f>
        <v>6</v>
      </c>
      <c r="M95" s="137">
        <f t="shared" si="94"/>
        <v>8</v>
      </c>
      <c r="N95" s="137">
        <f t="shared" ref="N95" si="95">N90+N91-N94</f>
        <v>7</v>
      </c>
      <c r="O95" s="137">
        <v>5</v>
      </c>
      <c r="P95" s="144">
        <f t="shared" si="90"/>
        <v>7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553">
        <v>0</v>
      </c>
      <c r="E98" s="553">
        <v>8</v>
      </c>
      <c r="F98" s="553">
        <v>0</v>
      </c>
      <c r="G98" s="553">
        <v>0</v>
      </c>
      <c r="H98" s="553">
        <v>0</v>
      </c>
      <c r="I98" s="553">
        <v>6</v>
      </c>
      <c r="J98" s="553">
        <v>0</v>
      </c>
      <c r="K98" s="71"/>
      <c r="L98" s="71"/>
      <c r="M98" s="71"/>
      <c r="N98" s="71"/>
      <c r="O98" s="71"/>
      <c r="P98" s="107">
        <f>SUM(D98:O98)</f>
        <v>14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132">
        <v>19</v>
      </c>
      <c r="E101" s="132">
        <v>19</v>
      </c>
      <c r="F101" s="4">
        <v>17</v>
      </c>
      <c r="G101" s="4">
        <v>17</v>
      </c>
      <c r="H101" s="4">
        <v>17</v>
      </c>
      <c r="I101" s="4">
        <v>18</v>
      </c>
      <c r="J101" s="4">
        <v>21</v>
      </c>
      <c r="K101" s="132">
        <v>21</v>
      </c>
      <c r="L101" s="4">
        <v>22</v>
      </c>
      <c r="M101" s="4">
        <v>24</v>
      </c>
      <c r="N101" s="4">
        <v>25</v>
      </c>
      <c r="O101" s="155">
        <v>25</v>
      </c>
      <c r="P101" s="32">
        <f t="shared" ref="P101:P116" si="96">O101</f>
        <v>25</v>
      </c>
    </row>
    <row r="102" spans="1:16" ht="15.6" x14ac:dyDescent="0.3">
      <c r="A102" s="661" t="s">
        <v>99</v>
      </c>
      <c r="B102" s="662"/>
      <c r="C102" s="11" t="s">
        <v>3</v>
      </c>
      <c r="D102" s="132">
        <v>1</v>
      </c>
      <c r="E102" s="132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132">
        <v>1</v>
      </c>
      <c r="L102" s="4">
        <v>1</v>
      </c>
      <c r="M102" s="4">
        <v>1</v>
      </c>
      <c r="N102" s="4">
        <v>1</v>
      </c>
      <c r="O102" s="155">
        <v>1</v>
      </c>
      <c r="P102" s="32">
        <f t="shared" si="96"/>
        <v>1</v>
      </c>
    </row>
    <row r="103" spans="1:16" ht="15.6" customHeight="1" x14ac:dyDescent="0.3">
      <c r="A103" s="663" t="s">
        <v>98</v>
      </c>
      <c r="B103" s="664"/>
      <c r="C103" s="11" t="s">
        <v>3</v>
      </c>
      <c r="D103" s="132">
        <v>11</v>
      </c>
      <c r="E103" s="132">
        <v>11</v>
      </c>
      <c r="F103" s="4">
        <v>11</v>
      </c>
      <c r="G103" s="4">
        <v>11</v>
      </c>
      <c r="H103" s="4">
        <v>11</v>
      </c>
      <c r="I103" s="4">
        <v>11</v>
      </c>
      <c r="J103" s="4">
        <v>11</v>
      </c>
      <c r="K103" s="132">
        <v>11</v>
      </c>
      <c r="L103" s="4">
        <v>11</v>
      </c>
      <c r="M103" s="4">
        <v>11</v>
      </c>
      <c r="N103" s="4">
        <v>11</v>
      </c>
      <c r="O103" s="155">
        <v>11</v>
      </c>
      <c r="P103" s="32">
        <f t="shared" si="96"/>
        <v>11</v>
      </c>
    </row>
    <row r="104" spans="1:16" ht="15.6" x14ac:dyDescent="0.3">
      <c r="A104" s="663" t="s">
        <v>97</v>
      </c>
      <c r="B104" s="664"/>
      <c r="C104" s="11" t="s">
        <v>3</v>
      </c>
      <c r="D104" s="132">
        <v>0</v>
      </c>
      <c r="E104" s="132">
        <v>0</v>
      </c>
      <c r="F104" s="4">
        <v>0</v>
      </c>
      <c r="G104" s="4"/>
      <c r="H104" s="4"/>
      <c r="I104" s="4"/>
      <c r="J104" s="4">
        <v>0</v>
      </c>
      <c r="K104" s="132">
        <v>0</v>
      </c>
      <c r="L104" s="4">
        <v>0</v>
      </c>
      <c r="M104" s="4"/>
      <c r="N104" s="4">
        <v>0</v>
      </c>
      <c r="O104" s="155">
        <v>0</v>
      </c>
      <c r="P104" s="32">
        <f t="shared" si="96"/>
        <v>0</v>
      </c>
    </row>
    <row r="105" spans="1:16" ht="15.6" x14ac:dyDescent="0.3">
      <c r="A105" s="686" t="s">
        <v>96</v>
      </c>
      <c r="B105" s="687"/>
      <c r="C105" s="11" t="s">
        <v>3</v>
      </c>
      <c r="D105" s="33">
        <f>SUM(D101:D104)</f>
        <v>31</v>
      </c>
      <c r="E105" s="33">
        <f t="shared" ref="E105:N105" si="97">SUM(E101:E104)</f>
        <v>31</v>
      </c>
      <c r="F105" s="33">
        <f t="shared" si="97"/>
        <v>29</v>
      </c>
      <c r="G105" s="33">
        <f t="shared" si="97"/>
        <v>29</v>
      </c>
      <c r="H105" s="33">
        <f t="shared" si="97"/>
        <v>29</v>
      </c>
      <c r="I105" s="33">
        <f t="shared" si="97"/>
        <v>30</v>
      </c>
      <c r="J105" s="33">
        <f t="shared" si="97"/>
        <v>33</v>
      </c>
      <c r="K105" s="33">
        <f t="shared" si="97"/>
        <v>33</v>
      </c>
      <c r="L105" s="33">
        <f t="shared" si="97"/>
        <v>34</v>
      </c>
      <c r="M105" s="33">
        <f t="shared" si="97"/>
        <v>36</v>
      </c>
      <c r="N105" s="33">
        <f t="shared" si="97"/>
        <v>37</v>
      </c>
      <c r="O105" s="169">
        <v>37</v>
      </c>
      <c r="P105" s="32">
        <f t="shared" si="96"/>
        <v>37</v>
      </c>
    </row>
    <row r="106" spans="1:16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132">
        <v>61</v>
      </c>
      <c r="E107" s="132">
        <v>69</v>
      </c>
      <c r="F107" s="4">
        <v>72</v>
      </c>
      <c r="G107" s="4">
        <v>73</v>
      </c>
      <c r="H107" s="4">
        <v>76</v>
      </c>
      <c r="I107" s="4">
        <v>78</v>
      </c>
      <c r="J107" s="4">
        <v>77</v>
      </c>
      <c r="K107" s="132">
        <v>85</v>
      </c>
      <c r="L107" s="4">
        <v>87</v>
      </c>
      <c r="M107" s="4">
        <v>88</v>
      </c>
      <c r="N107" s="4">
        <v>90</v>
      </c>
      <c r="O107" s="4">
        <v>92</v>
      </c>
      <c r="P107" s="32">
        <f t="shared" si="96"/>
        <v>92</v>
      </c>
    </row>
    <row r="108" spans="1:16" ht="15.6" x14ac:dyDescent="0.3">
      <c r="A108" s="661" t="s">
        <v>194</v>
      </c>
      <c r="B108" s="662"/>
      <c r="C108" s="11" t="s">
        <v>3</v>
      </c>
      <c r="D108" s="132">
        <v>6</v>
      </c>
      <c r="E108" s="132">
        <v>6</v>
      </c>
      <c r="F108" s="4">
        <v>6</v>
      </c>
      <c r="G108" s="4">
        <v>6</v>
      </c>
      <c r="H108" s="4">
        <v>1</v>
      </c>
      <c r="I108" s="4">
        <v>0</v>
      </c>
      <c r="J108" s="4">
        <v>0</v>
      </c>
      <c r="K108" s="132">
        <v>0</v>
      </c>
      <c r="L108" s="4">
        <v>0</v>
      </c>
      <c r="M108" s="4">
        <v>0</v>
      </c>
      <c r="N108" s="4">
        <v>0</v>
      </c>
      <c r="O108" s="4">
        <v>0</v>
      </c>
      <c r="P108" s="32">
        <f t="shared" si="96"/>
        <v>0</v>
      </c>
    </row>
    <row r="109" spans="1:16" ht="15.6" x14ac:dyDescent="0.3">
      <c r="A109" s="661" t="s">
        <v>195</v>
      </c>
      <c r="B109" s="662"/>
      <c r="C109" s="11" t="s">
        <v>3</v>
      </c>
      <c r="D109" s="132">
        <v>2</v>
      </c>
      <c r="E109" s="132">
        <v>2</v>
      </c>
      <c r="F109" s="4">
        <v>2</v>
      </c>
      <c r="G109" s="4">
        <v>2</v>
      </c>
      <c r="H109" s="4">
        <v>2</v>
      </c>
      <c r="I109" s="4">
        <v>2</v>
      </c>
      <c r="J109" s="4">
        <v>2</v>
      </c>
      <c r="K109" s="132">
        <v>2</v>
      </c>
      <c r="L109" s="4">
        <v>2</v>
      </c>
      <c r="M109" s="4">
        <v>2</v>
      </c>
      <c r="N109" s="4">
        <v>2</v>
      </c>
      <c r="O109" s="4">
        <v>2</v>
      </c>
      <c r="P109" s="32">
        <f t="shared" si="96"/>
        <v>2</v>
      </c>
    </row>
    <row r="110" spans="1:16" ht="15.6" x14ac:dyDescent="0.3">
      <c r="A110" s="661" t="s">
        <v>196</v>
      </c>
      <c r="B110" s="662"/>
      <c r="C110" s="11" t="s">
        <v>3</v>
      </c>
      <c r="D110" s="132">
        <v>0</v>
      </c>
      <c r="E110" s="132">
        <v>0</v>
      </c>
      <c r="F110" s="4">
        <v>0</v>
      </c>
      <c r="G110" s="4">
        <v>0</v>
      </c>
      <c r="H110" s="4"/>
      <c r="I110" s="4"/>
      <c r="J110" s="4">
        <v>0</v>
      </c>
      <c r="K110" s="132">
        <v>0</v>
      </c>
      <c r="L110" s="4">
        <v>0</v>
      </c>
      <c r="M110" s="4">
        <v>0</v>
      </c>
      <c r="N110" s="4">
        <v>0</v>
      </c>
      <c r="O110" s="4">
        <v>0</v>
      </c>
      <c r="P110" s="32">
        <f t="shared" si="96"/>
        <v>0</v>
      </c>
    </row>
    <row r="111" spans="1:16" ht="15.6" x14ac:dyDescent="0.3">
      <c r="A111" s="676" t="s">
        <v>95</v>
      </c>
      <c r="B111" s="677"/>
      <c r="C111" s="11" t="s">
        <v>3</v>
      </c>
      <c r="D111" s="33">
        <f>SUM(D107:D110)</f>
        <v>69</v>
      </c>
      <c r="E111" s="33">
        <f t="shared" ref="E111:N111" si="98">SUM(E107:E110)</f>
        <v>77</v>
      </c>
      <c r="F111" s="33">
        <f t="shared" si="98"/>
        <v>80</v>
      </c>
      <c r="G111" s="33">
        <f t="shared" si="98"/>
        <v>81</v>
      </c>
      <c r="H111" s="33">
        <f t="shared" si="98"/>
        <v>79</v>
      </c>
      <c r="I111" s="33">
        <f t="shared" si="98"/>
        <v>80</v>
      </c>
      <c r="J111" s="33">
        <f t="shared" si="98"/>
        <v>79</v>
      </c>
      <c r="K111" s="33">
        <f t="shared" si="98"/>
        <v>87</v>
      </c>
      <c r="L111" s="33">
        <f t="shared" si="98"/>
        <v>89</v>
      </c>
      <c r="M111" s="33">
        <f t="shared" si="98"/>
        <v>90</v>
      </c>
      <c r="N111" s="33">
        <f t="shared" si="98"/>
        <v>92</v>
      </c>
      <c r="O111" s="33">
        <v>94</v>
      </c>
      <c r="P111" s="32">
        <f t="shared" si="96"/>
        <v>94</v>
      </c>
    </row>
    <row r="112" spans="1:16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33">
        <v>48</v>
      </c>
      <c r="E113" s="133">
        <v>56</v>
      </c>
      <c r="F113" s="127">
        <v>56</v>
      </c>
      <c r="G113" s="127">
        <v>56</v>
      </c>
      <c r="H113" s="127">
        <v>56</v>
      </c>
      <c r="I113" s="127">
        <v>56</v>
      </c>
      <c r="J113" s="127">
        <v>56</v>
      </c>
      <c r="K113" s="133">
        <v>56</v>
      </c>
      <c r="L113" s="129">
        <v>56</v>
      </c>
      <c r="M113" s="129">
        <v>56</v>
      </c>
      <c r="N113" s="129">
        <v>56</v>
      </c>
      <c r="O113" s="129">
        <v>56</v>
      </c>
      <c r="P113" s="174">
        <f t="shared" si="96"/>
        <v>56</v>
      </c>
    </row>
    <row r="114" spans="1:16" ht="15.6" x14ac:dyDescent="0.3">
      <c r="A114" s="661" t="s">
        <v>198</v>
      </c>
      <c r="B114" s="662"/>
      <c r="C114" s="11" t="s">
        <v>3</v>
      </c>
      <c r="D114" s="133">
        <v>1</v>
      </c>
      <c r="E114" s="133">
        <v>1</v>
      </c>
      <c r="F114" s="127">
        <v>1</v>
      </c>
      <c r="G114" s="127">
        <v>1</v>
      </c>
      <c r="H114" s="574">
        <v>6</v>
      </c>
      <c r="I114" s="127">
        <v>7</v>
      </c>
      <c r="J114" s="127">
        <v>7</v>
      </c>
      <c r="K114" s="133">
        <v>7</v>
      </c>
      <c r="L114" s="129">
        <v>7</v>
      </c>
      <c r="M114" s="129">
        <v>7</v>
      </c>
      <c r="N114" s="129">
        <v>7</v>
      </c>
      <c r="O114" s="129">
        <v>7</v>
      </c>
      <c r="P114" s="174">
        <f t="shared" si="96"/>
        <v>7</v>
      </c>
    </row>
    <row r="115" spans="1:16" ht="15.6" x14ac:dyDescent="0.3">
      <c r="A115" s="661" t="s">
        <v>199</v>
      </c>
      <c r="B115" s="662"/>
      <c r="C115" s="11" t="s">
        <v>3</v>
      </c>
      <c r="D115" s="133">
        <v>8</v>
      </c>
      <c r="E115" s="133">
        <v>8</v>
      </c>
      <c r="F115" s="127">
        <v>8</v>
      </c>
      <c r="G115" s="127">
        <v>8</v>
      </c>
      <c r="H115" s="127">
        <v>8</v>
      </c>
      <c r="I115" s="127">
        <v>8</v>
      </c>
      <c r="J115" s="127">
        <v>8</v>
      </c>
      <c r="K115" s="133">
        <v>8</v>
      </c>
      <c r="L115" s="129">
        <v>8</v>
      </c>
      <c r="M115" s="129">
        <v>8</v>
      </c>
      <c r="N115" s="129">
        <v>8</v>
      </c>
      <c r="O115" s="129">
        <v>8</v>
      </c>
      <c r="P115" s="174">
        <f t="shared" si="96"/>
        <v>8</v>
      </c>
    </row>
    <row r="116" spans="1:16" ht="15.6" x14ac:dyDescent="0.3">
      <c r="A116" s="661" t="s">
        <v>200</v>
      </c>
      <c r="B116" s="662"/>
      <c r="C116" s="11" t="s">
        <v>3</v>
      </c>
      <c r="D116" s="133">
        <v>0</v>
      </c>
      <c r="E116" s="133">
        <v>0</v>
      </c>
      <c r="F116" s="127">
        <v>0</v>
      </c>
      <c r="G116" s="127">
        <v>0</v>
      </c>
      <c r="H116" s="127"/>
      <c r="I116" s="129"/>
      <c r="J116" s="129"/>
      <c r="K116" s="133">
        <v>0</v>
      </c>
      <c r="L116" s="129">
        <v>0</v>
      </c>
      <c r="M116" s="129">
        <v>0</v>
      </c>
      <c r="N116" s="129">
        <v>0</v>
      </c>
      <c r="O116" s="129">
        <v>0</v>
      </c>
      <c r="P116" s="174">
        <f t="shared" si="96"/>
        <v>0</v>
      </c>
    </row>
    <row r="117" spans="1:16" ht="15.6" x14ac:dyDescent="0.3">
      <c r="A117" s="676" t="s">
        <v>94</v>
      </c>
      <c r="B117" s="677"/>
      <c r="C117" s="11" t="s">
        <v>3</v>
      </c>
      <c r="D117" s="33">
        <f>SUM(D113:D116)</f>
        <v>57</v>
      </c>
      <c r="E117" s="33">
        <f t="shared" ref="E117:P117" si="99">SUM(E113:E116)</f>
        <v>65</v>
      </c>
      <c r="F117" s="33">
        <f t="shared" si="99"/>
        <v>65</v>
      </c>
      <c r="G117" s="33">
        <f t="shared" ref="G117:H117" si="100">SUM(G113:G116)</f>
        <v>65</v>
      </c>
      <c r="H117" s="33">
        <f t="shared" si="100"/>
        <v>70</v>
      </c>
      <c r="I117" s="169">
        <f t="shared" si="99"/>
        <v>71</v>
      </c>
      <c r="J117" s="169">
        <f t="shared" ref="J117:K117" si="101">SUM(J113:J116)</f>
        <v>71</v>
      </c>
      <c r="K117" s="169">
        <f t="shared" si="101"/>
        <v>71</v>
      </c>
      <c r="L117" s="169">
        <f t="shared" si="99"/>
        <v>71</v>
      </c>
      <c r="M117" s="169">
        <f t="shared" ref="M117:N117" si="102">SUM(M113:M116)</f>
        <v>71</v>
      </c>
      <c r="N117" s="169">
        <f t="shared" si="102"/>
        <v>71</v>
      </c>
      <c r="O117" s="169">
        <v>71</v>
      </c>
      <c r="P117" s="159">
        <f t="shared" si="99"/>
        <v>71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103">D111+D117</f>
        <v>126</v>
      </c>
      <c r="E118" s="33">
        <f t="shared" si="103"/>
        <v>142</v>
      </c>
      <c r="F118" s="33">
        <f t="shared" si="103"/>
        <v>145</v>
      </c>
      <c r="G118" s="33">
        <f t="shared" si="103"/>
        <v>146</v>
      </c>
      <c r="H118" s="33">
        <f t="shared" si="103"/>
        <v>149</v>
      </c>
      <c r="I118" s="169">
        <f t="shared" si="103"/>
        <v>151</v>
      </c>
      <c r="J118" s="169">
        <f t="shared" ref="J118:K118" si="104">J111+J117</f>
        <v>150</v>
      </c>
      <c r="K118" s="169">
        <f t="shared" si="104"/>
        <v>158</v>
      </c>
      <c r="L118" s="169">
        <f t="shared" ref="L118:M118" si="105">L111+L117</f>
        <v>160</v>
      </c>
      <c r="M118" s="169">
        <f t="shared" si="105"/>
        <v>161</v>
      </c>
      <c r="N118" s="169">
        <f t="shared" ref="N118:P118" si="106">N111+N117</f>
        <v>163</v>
      </c>
      <c r="O118" s="169">
        <v>165</v>
      </c>
      <c r="P118" s="169">
        <f t="shared" si="106"/>
        <v>165</v>
      </c>
    </row>
    <row r="119" spans="1:16" ht="15.6" x14ac:dyDescent="0.3">
      <c r="A119" s="676" t="s">
        <v>192</v>
      </c>
      <c r="B119" s="677"/>
      <c r="C119" s="11" t="s">
        <v>3</v>
      </c>
      <c r="D119" s="33">
        <f t="shared" ref="D119:I119" si="107">D118+D105</f>
        <v>157</v>
      </c>
      <c r="E119" s="33">
        <f t="shared" si="107"/>
        <v>173</v>
      </c>
      <c r="F119" s="33">
        <f t="shared" si="107"/>
        <v>174</v>
      </c>
      <c r="G119" s="33">
        <f t="shared" si="107"/>
        <v>175</v>
      </c>
      <c r="H119" s="33">
        <f t="shared" si="107"/>
        <v>178</v>
      </c>
      <c r="I119" s="169">
        <f t="shared" si="107"/>
        <v>181</v>
      </c>
      <c r="J119" s="169">
        <f t="shared" ref="J119:K119" si="108">J118+J105</f>
        <v>183</v>
      </c>
      <c r="K119" s="169">
        <f t="shared" si="108"/>
        <v>191</v>
      </c>
      <c r="L119" s="169">
        <f t="shared" ref="L119:M119" si="109">L118+L105</f>
        <v>194</v>
      </c>
      <c r="M119" s="169">
        <f t="shared" si="109"/>
        <v>197</v>
      </c>
      <c r="N119" s="169">
        <f t="shared" ref="N119:P119" si="110">N118+N105</f>
        <v>200</v>
      </c>
      <c r="O119" s="169">
        <v>202</v>
      </c>
      <c r="P119" s="169">
        <f t="shared" si="110"/>
        <v>202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5.6" x14ac:dyDescent="0.3">
      <c r="A121" s="661" t="s">
        <v>93</v>
      </c>
      <c r="B121" s="662"/>
      <c r="C121" s="5" t="s">
        <v>3</v>
      </c>
      <c r="D121" s="128">
        <f>4204+14</f>
        <v>4218</v>
      </c>
      <c r="E121" s="4">
        <v>4223</v>
      </c>
      <c r="F121" s="4">
        <v>4229</v>
      </c>
      <c r="G121" s="4">
        <v>4236</v>
      </c>
      <c r="H121" s="4">
        <v>4259</v>
      </c>
      <c r="I121" s="4">
        <v>4268</v>
      </c>
      <c r="J121" s="4">
        <v>4270</v>
      </c>
      <c r="K121" s="4">
        <v>4291</v>
      </c>
      <c r="L121" s="128">
        <v>4305</v>
      </c>
      <c r="M121" s="128">
        <v>4313</v>
      </c>
      <c r="N121" s="4">
        <v>4317</v>
      </c>
      <c r="O121" s="128">
        <v>4339</v>
      </c>
      <c r="P121" s="31">
        <f>O121</f>
        <v>4339</v>
      </c>
    </row>
    <row r="122" spans="1:16" ht="15.6" x14ac:dyDescent="0.3">
      <c r="A122" s="661" t="s">
        <v>92</v>
      </c>
      <c r="B122" s="662"/>
      <c r="C122" s="5" t="s">
        <v>3</v>
      </c>
      <c r="D122" s="128">
        <v>3911</v>
      </c>
      <c r="E122" s="4">
        <f>3911+8*4</f>
        <v>3943</v>
      </c>
      <c r="F122" s="4">
        <f>3943+5</f>
        <v>3948</v>
      </c>
      <c r="G122" s="4">
        <f>3948+5</f>
        <v>3953</v>
      </c>
      <c r="H122" s="4">
        <f>3953+3*4</f>
        <v>3965</v>
      </c>
      <c r="I122" s="4">
        <f>3965+3*4</f>
        <v>3977</v>
      </c>
      <c r="J122" s="4">
        <f>3977+2</f>
        <v>3979</v>
      </c>
      <c r="K122" s="4">
        <f>3979+8</f>
        <v>3987</v>
      </c>
      <c r="L122" s="128">
        <v>3999</v>
      </c>
      <c r="M122" s="128">
        <v>4002</v>
      </c>
      <c r="N122" s="4">
        <v>4005</v>
      </c>
      <c r="O122" s="128">
        <v>4009</v>
      </c>
      <c r="P122" s="31">
        <f>O122</f>
        <v>4009</v>
      </c>
    </row>
    <row r="123" spans="1:16" ht="15.6" x14ac:dyDescent="0.3">
      <c r="A123" s="678" t="s">
        <v>91</v>
      </c>
      <c r="B123" s="679"/>
      <c r="C123" s="30" t="s">
        <v>6</v>
      </c>
      <c r="D123" s="29">
        <f t="shared" ref="D123:G123" si="111">D122/D121</f>
        <v>0.9272166903745851</v>
      </c>
      <c r="E123" s="29">
        <f t="shared" si="111"/>
        <v>0.93369642434288425</v>
      </c>
      <c r="F123" s="29">
        <f t="shared" si="111"/>
        <v>0.93355403168597773</v>
      </c>
      <c r="G123" s="29">
        <f t="shared" si="111"/>
        <v>0.9331916902738433</v>
      </c>
      <c r="H123" s="29">
        <f t="shared" ref="H123:P123" si="112">H122/H121</f>
        <v>0.9309697111998122</v>
      </c>
      <c r="I123" s="29">
        <f t="shared" si="112"/>
        <v>0.93181818181818177</v>
      </c>
      <c r="J123" s="29">
        <f t="shared" si="112"/>
        <v>0.93185011709601873</v>
      </c>
      <c r="K123" s="29">
        <f t="shared" si="112"/>
        <v>0.92915404334653928</v>
      </c>
      <c r="L123" s="29">
        <f t="shared" si="112"/>
        <v>0.92891986062717768</v>
      </c>
      <c r="M123" s="29">
        <f t="shared" si="112"/>
        <v>0.92789241827034552</v>
      </c>
      <c r="N123" s="29">
        <f t="shared" si="112"/>
        <v>0.92772758860319671</v>
      </c>
      <c r="O123" s="29">
        <v>0.92394560958746252</v>
      </c>
      <c r="P123" s="108">
        <f t="shared" si="112"/>
        <v>0.92394560958746252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1</v>
      </c>
      <c r="F125" s="132">
        <f t="shared" ref="F125:H125" si="113">E129</f>
        <v>0</v>
      </c>
      <c r="G125" s="132">
        <f t="shared" si="113"/>
        <v>0</v>
      </c>
      <c r="H125" s="132">
        <f t="shared" si="113"/>
        <v>0</v>
      </c>
      <c r="I125" s="157"/>
      <c r="J125" s="157"/>
      <c r="K125" s="157"/>
      <c r="L125" s="157"/>
      <c r="M125" s="157">
        <v>0</v>
      </c>
      <c r="N125" s="157"/>
      <c r="O125" s="157"/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1</v>
      </c>
      <c r="E126" s="132">
        <v>0</v>
      </c>
      <c r="F126" s="132">
        <v>0</v>
      </c>
      <c r="G126" s="132">
        <v>0</v>
      </c>
      <c r="H126" s="132">
        <v>0</v>
      </c>
      <c r="I126" s="155"/>
      <c r="J126" s="155"/>
      <c r="K126" s="155"/>
      <c r="L126" s="155"/>
      <c r="M126" s="155">
        <v>0</v>
      </c>
      <c r="N126" s="155"/>
      <c r="O126" s="155"/>
      <c r="P126" s="18">
        <f>SUM(D126:O126)</f>
        <v>1</v>
      </c>
    </row>
    <row r="127" spans="1:16" ht="15.6" x14ac:dyDescent="0.3">
      <c r="A127" s="674"/>
      <c r="B127" s="82" t="s">
        <v>88</v>
      </c>
      <c r="C127" s="11" t="s">
        <v>3</v>
      </c>
      <c r="D127" s="132">
        <v>0</v>
      </c>
      <c r="E127" s="132">
        <v>1</v>
      </c>
      <c r="F127" s="132">
        <v>0</v>
      </c>
      <c r="G127" s="132">
        <v>0</v>
      </c>
      <c r="H127" s="132">
        <v>0</v>
      </c>
      <c r="I127" s="155"/>
      <c r="J127" s="155"/>
      <c r="K127" s="155"/>
      <c r="L127" s="155"/>
      <c r="M127" s="155">
        <v>0</v>
      </c>
      <c r="N127" s="155"/>
      <c r="O127" s="155"/>
      <c r="P127" s="18">
        <f>SUM(D127:O127)</f>
        <v>1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155"/>
      <c r="J128" s="155"/>
      <c r="K128" s="155"/>
      <c r="L128" s="155"/>
      <c r="M128" s="155">
        <v>0</v>
      </c>
      <c r="N128" s="155"/>
      <c r="O128" s="155"/>
      <c r="P128" s="18">
        <f>SUM(D128:O128)</f>
        <v>0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1</v>
      </c>
      <c r="E129" s="132">
        <f t="shared" ref="E129:H129" si="114">E125+E126-E127-E128</f>
        <v>0</v>
      </c>
      <c r="F129" s="132">
        <f t="shared" si="114"/>
        <v>0</v>
      </c>
      <c r="G129" s="132">
        <f t="shared" si="114"/>
        <v>0</v>
      </c>
      <c r="H129" s="132">
        <f t="shared" si="114"/>
        <v>0</v>
      </c>
      <c r="I129" s="157">
        <f t="shared" ref="I129" si="115">I125+I126-I127-I128</f>
        <v>0</v>
      </c>
      <c r="J129" s="157">
        <f t="shared" ref="J129:K129" si="116">J125+J126-J127-J128</f>
        <v>0</v>
      </c>
      <c r="K129" s="157">
        <f t="shared" si="116"/>
        <v>0</v>
      </c>
      <c r="L129" s="157">
        <f t="shared" ref="L129" si="117">L125+L126-L127-L128</f>
        <v>0</v>
      </c>
      <c r="M129" s="157">
        <v>0</v>
      </c>
      <c r="N129" s="157">
        <f t="shared" ref="N129" si="118">N125+N126-N127-N128</f>
        <v>0</v>
      </c>
      <c r="O129" s="157">
        <v>0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0</v>
      </c>
      <c r="E130" s="132">
        <f>D134</f>
        <v>0</v>
      </c>
      <c r="F130" s="132">
        <f t="shared" ref="F130:H130" si="119">E134</f>
        <v>0</v>
      </c>
      <c r="G130" s="132">
        <f t="shared" si="119"/>
        <v>0</v>
      </c>
      <c r="H130" s="132">
        <f t="shared" si="119"/>
        <v>0</v>
      </c>
      <c r="I130" s="157"/>
      <c r="J130" s="157"/>
      <c r="K130" s="157"/>
      <c r="L130" s="157"/>
      <c r="M130" s="157">
        <v>0</v>
      </c>
      <c r="N130" s="157"/>
      <c r="O130" s="157"/>
      <c r="P130" s="25">
        <f>D130</f>
        <v>0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155"/>
      <c r="J131" s="155"/>
      <c r="K131" s="155"/>
      <c r="L131" s="155"/>
      <c r="M131" s="155">
        <v>0</v>
      </c>
      <c r="N131" s="155"/>
      <c r="O131" s="155"/>
      <c r="P131" s="18">
        <f>SUM(D131:O131)</f>
        <v>0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155"/>
      <c r="J132" s="155"/>
      <c r="K132" s="155"/>
      <c r="L132" s="155"/>
      <c r="M132" s="155">
        <v>0</v>
      </c>
      <c r="N132" s="155"/>
      <c r="O132" s="155"/>
      <c r="P132" s="18">
        <f>SUM(D132:O132)</f>
        <v>0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155"/>
      <c r="J133" s="155"/>
      <c r="K133" s="155"/>
      <c r="L133" s="155"/>
      <c r="M133" s="155">
        <v>0</v>
      </c>
      <c r="N133" s="155"/>
      <c r="O133" s="155"/>
      <c r="P133" s="18">
        <f>SUM(D133:O133)</f>
        <v>0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0</v>
      </c>
      <c r="E134" s="132">
        <f t="shared" ref="E134:H134" si="120">E130+E131-E132-E133</f>
        <v>0</v>
      </c>
      <c r="F134" s="132">
        <f t="shared" si="120"/>
        <v>0</v>
      </c>
      <c r="G134" s="132">
        <f t="shared" si="120"/>
        <v>0</v>
      </c>
      <c r="H134" s="132">
        <f t="shared" si="120"/>
        <v>0</v>
      </c>
      <c r="I134" s="157">
        <f t="shared" ref="I134" si="121">I130+I131-I132-I133</f>
        <v>0</v>
      </c>
      <c r="J134" s="157">
        <f t="shared" ref="J134:K134" si="122">J130+J131-J132-J133</f>
        <v>0</v>
      </c>
      <c r="K134" s="157">
        <f t="shared" si="122"/>
        <v>0</v>
      </c>
      <c r="L134" s="157">
        <f t="shared" ref="L134" si="123">L130+L131-L132-L133</f>
        <v>0</v>
      </c>
      <c r="M134" s="157">
        <v>0</v>
      </c>
      <c r="N134" s="157">
        <f t="shared" ref="N134" si="124">N130+N131-N132-N133</f>
        <v>0</v>
      </c>
      <c r="O134" s="157">
        <v>0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f>D139</f>
        <v>0</v>
      </c>
      <c r="F135" s="132">
        <f t="shared" ref="F135:H135" si="125">E139</f>
        <v>0</v>
      </c>
      <c r="G135" s="132">
        <f t="shared" si="125"/>
        <v>0</v>
      </c>
      <c r="H135" s="132">
        <f t="shared" si="125"/>
        <v>0</v>
      </c>
      <c r="I135" s="157"/>
      <c r="J135" s="157"/>
      <c r="K135" s="157"/>
      <c r="L135" s="157"/>
      <c r="M135" s="157">
        <v>0</v>
      </c>
      <c r="N135" s="157"/>
      <c r="O135" s="157"/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55"/>
      <c r="J136" s="155"/>
      <c r="K136" s="155"/>
      <c r="L136" s="155"/>
      <c r="M136" s="155">
        <v>0</v>
      </c>
      <c r="N136" s="155"/>
      <c r="O136" s="155"/>
      <c r="P136" s="18">
        <f>SUM(D136:O136)</f>
        <v>0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155"/>
      <c r="J137" s="155"/>
      <c r="K137" s="155"/>
      <c r="L137" s="155"/>
      <c r="M137" s="155">
        <v>0</v>
      </c>
      <c r="N137" s="155"/>
      <c r="O137" s="155"/>
      <c r="P137" s="18">
        <f>SUM(D137:O137)</f>
        <v>0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155"/>
      <c r="J138" s="155"/>
      <c r="K138" s="155"/>
      <c r="L138" s="155"/>
      <c r="M138" s="155">
        <v>0</v>
      </c>
      <c r="N138" s="155"/>
      <c r="O138" s="155"/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H139" si="126">E135+E136-E137-E138</f>
        <v>0</v>
      </c>
      <c r="F139" s="132">
        <f t="shared" si="126"/>
        <v>0</v>
      </c>
      <c r="G139" s="132">
        <f t="shared" si="126"/>
        <v>0</v>
      </c>
      <c r="H139" s="132">
        <f t="shared" si="126"/>
        <v>0</v>
      </c>
      <c r="I139" s="157">
        <f t="shared" ref="I139" si="127">I135+I136-I137-I138</f>
        <v>0</v>
      </c>
      <c r="J139" s="157">
        <f t="shared" ref="J139:L139" si="128">J135+J136-J137-J138</f>
        <v>0</v>
      </c>
      <c r="K139" s="157">
        <f t="shared" si="128"/>
        <v>0</v>
      </c>
      <c r="L139" s="157">
        <f t="shared" si="128"/>
        <v>0</v>
      </c>
      <c r="M139" s="157">
        <v>0</v>
      </c>
      <c r="N139" s="157">
        <f t="shared" ref="N139" si="129">N135+N136-N137-N138</f>
        <v>0</v>
      </c>
      <c r="O139" s="157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0</v>
      </c>
      <c r="E140" s="132">
        <f>D144</f>
        <v>0</v>
      </c>
      <c r="F140" s="132">
        <f t="shared" ref="F140:H140" si="130">E144</f>
        <v>1</v>
      </c>
      <c r="G140" s="132">
        <f t="shared" si="130"/>
        <v>0</v>
      </c>
      <c r="H140" s="132">
        <f t="shared" si="130"/>
        <v>0</v>
      </c>
      <c r="I140" s="157"/>
      <c r="J140" s="157"/>
      <c r="K140" s="157"/>
      <c r="L140" s="157">
        <v>2</v>
      </c>
      <c r="M140" s="157">
        <v>2</v>
      </c>
      <c r="N140" s="157"/>
      <c r="O140" s="157"/>
      <c r="P140" s="25">
        <f>D140</f>
        <v>0</v>
      </c>
    </row>
    <row r="141" spans="1:16" ht="15.6" x14ac:dyDescent="0.3">
      <c r="A141" s="674"/>
      <c r="B141" s="24" t="s">
        <v>84</v>
      </c>
      <c r="C141" s="11" t="s">
        <v>3</v>
      </c>
      <c r="D141" s="132">
        <v>0</v>
      </c>
      <c r="E141" s="132">
        <v>1</v>
      </c>
      <c r="F141" s="132">
        <v>0</v>
      </c>
      <c r="G141" s="132">
        <v>1</v>
      </c>
      <c r="H141" s="132">
        <v>0</v>
      </c>
      <c r="I141" s="155"/>
      <c r="J141" s="155"/>
      <c r="K141" s="132">
        <v>2</v>
      </c>
      <c r="L141" s="157">
        <v>0</v>
      </c>
      <c r="M141" s="155">
        <v>0</v>
      </c>
      <c r="N141" s="155"/>
      <c r="O141" s="155"/>
      <c r="P141" s="18">
        <f>SUM(D141:O141)</f>
        <v>4</v>
      </c>
    </row>
    <row r="142" spans="1:16" ht="15.6" x14ac:dyDescent="0.3">
      <c r="A142" s="674"/>
      <c r="B142" s="24" t="s">
        <v>83</v>
      </c>
      <c r="C142" s="11" t="s">
        <v>3</v>
      </c>
      <c r="D142" s="132">
        <v>0</v>
      </c>
      <c r="E142" s="132">
        <v>0</v>
      </c>
      <c r="F142" s="132">
        <v>0</v>
      </c>
      <c r="G142" s="132">
        <v>1</v>
      </c>
      <c r="H142" s="132">
        <v>0</v>
      </c>
      <c r="I142" s="155"/>
      <c r="J142" s="155"/>
      <c r="K142" s="155"/>
      <c r="L142" s="155">
        <v>0</v>
      </c>
      <c r="M142" s="155">
        <v>0</v>
      </c>
      <c r="N142" s="155"/>
      <c r="O142" s="155"/>
      <c r="P142" s="18">
        <f>SUM(D142:O142)</f>
        <v>1</v>
      </c>
    </row>
    <row r="143" spans="1:16" ht="15.6" x14ac:dyDescent="0.3">
      <c r="A143" s="674"/>
      <c r="B143" s="24" t="s">
        <v>82</v>
      </c>
      <c r="C143" s="11" t="s">
        <v>3</v>
      </c>
      <c r="D143" s="132">
        <v>0</v>
      </c>
      <c r="E143" s="132">
        <v>0</v>
      </c>
      <c r="F143" s="132">
        <v>1</v>
      </c>
      <c r="G143" s="132">
        <v>0</v>
      </c>
      <c r="H143" s="132">
        <v>0</v>
      </c>
      <c r="I143" s="155"/>
      <c r="J143" s="155"/>
      <c r="K143" s="155"/>
      <c r="L143" s="155">
        <v>0</v>
      </c>
      <c r="M143" s="155">
        <v>2</v>
      </c>
      <c r="N143" s="155"/>
      <c r="O143" s="155"/>
      <c r="P143" s="18">
        <f>SUM(D143:O143)</f>
        <v>3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0</v>
      </c>
      <c r="E144" s="132">
        <f t="shared" ref="E144:H144" si="131">E140+E141-E142-E143</f>
        <v>1</v>
      </c>
      <c r="F144" s="132">
        <f t="shared" si="131"/>
        <v>0</v>
      </c>
      <c r="G144" s="132">
        <f t="shared" si="131"/>
        <v>0</v>
      </c>
      <c r="H144" s="132">
        <f t="shared" si="131"/>
        <v>0</v>
      </c>
      <c r="I144" s="157">
        <f t="shared" ref="I144" si="132">I140+I141-I142-I143</f>
        <v>0</v>
      </c>
      <c r="J144" s="157">
        <f t="shared" ref="J144:K144" si="133">J140+J141-J142-J143</f>
        <v>0</v>
      </c>
      <c r="K144" s="157">
        <f t="shared" si="133"/>
        <v>2</v>
      </c>
      <c r="L144" s="157">
        <v>2</v>
      </c>
      <c r="M144" s="157">
        <v>0</v>
      </c>
      <c r="N144" s="157">
        <f t="shared" ref="N144" si="134">N140+N141-N142-N143</f>
        <v>0</v>
      </c>
      <c r="O144" s="157">
        <v>0</v>
      </c>
      <c r="P144" s="25">
        <f>P140+P141-P142-P143</f>
        <v>0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23">
        <f t="shared" ref="D145:I145" si="135">D125+D130+D135+D140</f>
        <v>0</v>
      </c>
      <c r="E145" s="23">
        <f t="shared" si="135"/>
        <v>1</v>
      </c>
      <c r="F145" s="23">
        <f t="shared" si="135"/>
        <v>1</v>
      </c>
      <c r="G145" s="23">
        <f t="shared" si="135"/>
        <v>0</v>
      </c>
      <c r="H145" s="23">
        <f t="shared" si="135"/>
        <v>0</v>
      </c>
      <c r="I145" s="23">
        <f t="shared" si="135"/>
        <v>0</v>
      </c>
      <c r="J145" s="23">
        <f t="shared" ref="J145:K145" si="136">J125+J130+J135+J140</f>
        <v>0</v>
      </c>
      <c r="K145" s="23">
        <f t="shared" si="136"/>
        <v>0</v>
      </c>
      <c r="L145" s="23">
        <v>2</v>
      </c>
      <c r="M145" s="23">
        <f t="shared" ref="M145" si="137">M125+M130+M135+M140</f>
        <v>2</v>
      </c>
      <c r="N145" s="23">
        <f t="shared" ref="N145" si="138">N125+N130+N135+N140</f>
        <v>0</v>
      </c>
      <c r="O145" s="23">
        <v>0</v>
      </c>
      <c r="P145" s="109">
        <f t="shared" ref="P145:P149" si="139">P125+P130+P135+P140</f>
        <v>0</v>
      </c>
    </row>
    <row r="146" spans="1:16" ht="15.6" x14ac:dyDescent="0.3">
      <c r="A146" s="674"/>
      <c r="B146" s="24" t="s">
        <v>84</v>
      </c>
      <c r="C146" s="11" t="s">
        <v>3</v>
      </c>
      <c r="D146" s="23">
        <f t="shared" ref="D146:E148" si="140">D126+D131+D136+D141</f>
        <v>1</v>
      </c>
      <c r="E146" s="23">
        <f t="shared" si="140"/>
        <v>1</v>
      </c>
      <c r="F146" s="23">
        <f t="shared" ref="F146:G146" si="141">F126+F131+F136+F141</f>
        <v>0</v>
      </c>
      <c r="G146" s="23">
        <f t="shared" si="141"/>
        <v>1</v>
      </c>
      <c r="H146" s="23">
        <f t="shared" ref="H146:I146" si="142">H126+H131+H136+H141</f>
        <v>0</v>
      </c>
      <c r="I146" s="23">
        <f t="shared" si="142"/>
        <v>0</v>
      </c>
      <c r="J146" s="23">
        <f t="shared" ref="J146:K146" si="143">J126+J131+J136+J141</f>
        <v>0</v>
      </c>
      <c r="K146" s="23">
        <f t="shared" si="143"/>
        <v>2</v>
      </c>
      <c r="L146" s="23">
        <f>L126+L131+L136+L142</f>
        <v>0</v>
      </c>
      <c r="M146" s="23">
        <f t="shared" ref="M146" si="144">M126+M131+M136+M141</f>
        <v>0</v>
      </c>
      <c r="N146" s="23">
        <f t="shared" ref="N146" si="145">N126+N131+N136+N141</f>
        <v>0</v>
      </c>
      <c r="O146" s="23">
        <v>0</v>
      </c>
      <c r="P146" s="109">
        <f t="shared" si="139"/>
        <v>5</v>
      </c>
    </row>
    <row r="147" spans="1:16" ht="15.6" x14ac:dyDescent="0.3">
      <c r="A147" s="674"/>
      <c r="B147" s="24" t="s">
        <v>83</v>
      </c>
      <c r="C147" s="11" t="s">
        <v>3</v>
      </c>
      <c r="D147" s="23">
        <f t="shared" si="140"/>
        <v>0</v>
      </c>
      <c r="E147" s="23">
        <f t="shared" si="140"/>
        <v>1</v>
      </c>
      <c r="F147" s="23">
        <f t="shared" ref="F147:G147" si="146">F127+F132+F137+F142</f>
        <v>0</v>
      </c>
      <c r="G147" s="23">
        <f t="shared" si="146"/>
        <v>1</v>
      </c>
      <c r="H147" s="23">
        <f t="shared" ref="H147:I147" si="147">H127+H132+H137+H142</f>
        <v>0</v>
      </c>
      <c r="I147" s="23">
        <f t="shared" si="147"/>
        <v>0</v>
      </c>
      <c r="J147" s="23">
        <f t="shared" ref="J147:K147" si="148">J127+J132+J137+J142</f>
        <v>0</v>
      </c>
      <c r="K147" s="23">
        <f t="shared" si="148"/>
        <v>0</v>
      </c>
      <c r="L147" s="23">
        <f>L127+L132+L137+L143</f>
        <v>0</v>
      </c>
      <c r="M147" s="23">
        <f t="shared" ref="M147" si="149">M127+M132+M137+M142</f>
        <v>0</v>
      </c>
      <c r="N147" s="23">
        <f t="shared" ref="N147" si="150">N127+N132+N137+N142</f>
        <v>0</v>
      </c>
      <c r="O147" s="23">
        <v>0</v>
      </c>
      <c r="P147" s="109">
        <f t="shared" si="139"/>
        <v>2</v>
      </c>
    </row>
    <row r="148" spans="1:16" ht="15.6" x14ac:dyDescent="0.3">
      <c r="A148" s="674"/>
      <c r="B148" s="24" t="s">
        <v>82</v>
      </c>
      <c r="C148" s="11" t="s">
        <v>3</v>
      </c>
      <c r="D148" s="23">
        <f t="shared" si="140"/>
        <v>0</v>
      </c>
      <c r="E148" s="23">
        <f t="shared" si="140"/>
        <v>0</v>
      </c>
      <c r="F148" s="23">
        <f t="shared" ref="F148:G148" si="151">F128+F133+F138+F143</f>
        <v>1</v>
      </c>
      <c r="G148" s="23">
        <f t="shared" si="151"/>
        <v>0</v>
      </c>
      <c r="H148" s="23">
        <f t="shared" ref="H148:I148" si="152">H128+H133+H138+H143</f>
        <v>0</v>
      </c>
      <c r="I148" s="23">
        <f t="shared" si="152"/>
        <v>0</v>
      </c>
      <c r="J148" s="23">
        <f t="shared" ref="J148:K148" si="153">J128+J133+J138+J143</f>
        <v>0</v>
      </c>
      <c r="K148" s="23">
        <f t="shared" si="153"/>
        <v>0</v>
      </c>
      <c r="L148" s="23">
        <v>0</v>
      </c>
      <c r="M148" s="23">
        <f t="shared" ref="M148" si="154">M128+M133+M138+M143</f>
        <v>2</v>
      </c>
      <c r="N148" s="23">
        <f t="shared" ref="N148" si="155">N128+N133+N138+N143</f>
        <v>0</v>
      </c>
      <c r="O148" s="23">
        <v>0</v>
      </c>
      <c r="P148" s="109">
        <f t="shared" si="139"/>
        <v>3</v>
      </c>
    </row>
    <row r="149" spans="1:16" ht="15.6" x14ac:dyDescent="0.3">
      <c r="A149" s="675"/>
      <c r="B149" s="24" t="s">
        <v>81</v>
      </c>
      <c r="C149" s="11" t="s">
        <v>3</v>
      </c>
      <c r="D149" s="157">
        <f t="shared" ref="D149:I149" si="156">D145+D146-D147-D148</f>
        <v>1</v>
      </c>
      <c r="E149" s="157">
        <f t="shared" si="156"/>
        <v>1</v>
      </c>
      <c r="F149" s="157">
        <f t="shared" si="156"/>
        <v>0</v>
      </c>
      <c r="G149" s="157">
        <f t="shared" si="156"/>
        <v>0</v>
      </c>
      <c r="H149" s="157">
        <f t="shared" si="156"/>
        <v>0</v>
      </c>
      <c r="I149" s="157">
        <f t="shared" si="156"/>
        <v>0</v>
      </c>
      <c r="J149" s="157">
        <f t="shared" ref="J149:L149" si="157">J145+J146-J147-J148</f>
        <v>0</v>
      </c>
      <c r="K149" s="157">
        <f t="shared" si="157"/>
        <v>2</v>
      </c>
      <c r="L149" s="157">
        <f t="shared" si="157"/>
        <v>2</v>
      </c>
      <c r="M149" s="157">
        <f t="shared" ref="M149" si="158">M145+M146-M147-M148</f>
        <v>0</v>
      </c>
      <c r="N149" s="157">
        <f t="shared" ref="N149" si="159">N145+N146-N147-N148</f>
        <v>0</v>
      </c>
      <c r="O149" s="157">
        <v>0</v>
      </c>
      <c r="P149" s="109">
        <f t="shared" si="139"/>
        <v>0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132">
        <v>2</v>
      </c>
      <c r="E153" s="132">
        <v>1</v>
      </c>
      <c r="F153" s="4">
        <v>1</v>
      </c>
      <c r="G153" s="4">
        <v>2</v>
      </c>
      <c r="H153" s="4">
        <v>3</v>
      </c>
      <c r="I153" s="4">
        <v>0</v>
      </c>
      <c r="J153" s="4">
        <v>1</v>
      </c>
      <c r="K153" s="132">
        <v>2</v>
      </c>
      <c r="L153" s="155">
        <v>4</v>
      </c>
      <c r="M153" s="155">
        <v>3</v>
      </c>
      <c r="N153" s="132">
        <v>4</v>
      </c>
      <c r="O153" s="155">
        <v>6</v>
      </c>
      <c r="P153" s="18">
        <f t="shared" ref="P153:P165" si="160">SUM(D153:O153)</f>
        <v>29</v>
      </c>
    </row>
    <row r="154" spans="1:16" ht="15.6" x14ac:dyDescent="0.3">
      <c r="A154" s="671"/>
      <c r="B154" s="19" t="s">
        <v>72</v>
      </c>
      <c r="C154" s="11" t="s">
        <v>57</v>
      </c>
      <c r="D154" s="132">
        <v>0</v>
      </c>
      <c r="E154" s="132">
        <v>2</v>
      </c>
      <c r="F154" s="4">
        <v>1</v>
      </c>
      <c r="G154" s="4">
        <v>1</v>
      </c>
      <c r="H154" s="4">
        <v>1</v>
      </c>
      <c r="I154" s="4">
        <v>2</v>
      </c>
      <c r="J154" s="155"/>
      <c r="K154" s="132">
        <v>3</v>
      </c>
      <c r="L154" s="155"/>
      <c r="M154" s="155">
        <v>1</v>
      </c>
      <c r="N154" s="132">
        <v>0</v>
      </c>
      <c r="O154" s="155">
        <v>2</v>
      </c>
      <c r="P154" s="18">
        <f t="shared" si="160"/>
        <v>13</v>
      </c>
    </row>
    <row r="155" spans="1:16" ht="15.6" x14ac:dyDescent="0.3">
      <c r="A155" s="671"/>
      <c r="B155" s="19" t="s">
        <v>53</v>
      </c>
      <c r="C155" s="11" t="s">
        <v>57</v>
      </c>
      <c r="D155" s="132">
        <v>0</v>
      </c>
      <c r="E155" s="132">
        <v>0</v>
      </c>
      <c r="F155" s="4">
        <v>0</v>
      </c>
      <c r="G155" s="4"/>
      <c r="H155" s="4"/>
      <c r="I155" s="4">
        <v>0</v>
      </c>
      <c r="J155" s="155"/>
      <c r="K155" s="155"/>
      <c r="L155" s="155"/>
      <c r="M155" s="155">
        <v>2</v>
      </c>
      <c r="N155" s="132">
        <v>0</v>
      </c>
      <c r="O155" s="155"/>
      <c r="P155" s="18">
        <f t="shared" si="160"/>
        <v>2</v>
      </c>
    </row>
    <row r="156" spans="1:16" ht="15.6" x14ac:dyDescent="0.3">
      <c r="A156" s="671"/>
      <c r="B156" s="19" t="s">
        <v>71</v>
      </c>
      <c r="C156" s="11" t="s">
        <v>57</v>
      </c>
      <c r="D156" s="132">
        <v>1</v>
      </c>
      <c r="E156" s="132">
        <v>0</v>
      </c>
      <c r="F156" s="4">
        <v>0</v>
      </c>
      <c r="G156" s="4"/>
      <c r="H156" s="4"/>
      <c r="I156" s="4">
        <v>0</v>
      </c>
      <c r="J156" s="155"/>
      <c r="K156" s="155"/>
      <c r="L156" s="155"/>
      <c r="M156" s="155"/>
      <c r="N156" s="132">
        <v>0</v>
      </c>
      <c r="O156" s="155">
        <v>3</v>
      </c>
      <c r="P156" s="18">
        <f t="shared" si="160"/>
        <v>4</v>
      </c>
    </row>
    <row r="157" spans="1:16" ht="15.6" x14ac:dyDescent="0.3">
      <c r="A157" s="671"/>
      <c r="B157" s="19" t="s">
        <v>52</v>
      </c>
      <c r="C157" s="11" t="s">
        <v>57</v>
      </c>
      <c r="D157" s="132">
        <v>0</v>
      </c>
      <c r="E157" s="132">
        <v>0</v>
      </c>
      <c r="F157" s="4">
        <v>0</v>
      </c>
      <c r="G157" s="4"/>
      <c r="H157" s="4">
        <v>3</v>
      </c>
      <c r="I157" s="4">
        <v>0</v>
      </c>
      <c r="J157" s="155"/>
      <c r="K157" s="155"/>
      <c r="L157" s="155"/>
      <c r="M157" s="155"/>
      <c r="N157" s="132">
        <v>2</v>
      </c>
      <c r="O157" s="155"/>
      <c r="P157" s="18">
        <f t="shared" si="160"/>
        <v>5</v>
      </c>
    </row>
    <row r="158" spans="1:16" ht="15.6" x14ac:dyDescent="0.3">
      <c r="A158" s="671"/>
      <c r="B158" s="19" t="s">
        <v>51</v>
      </c>
      <c r="C158" s="11" t="s">
        <v>57</v>
      </c>
      <c r="D158" s="132">
        <v>0</v>
      </c>
      <c r="E158" s="132">
        <v>1</v>
      </c>
      <c r="F158" s="4">
        <v>0</v>
      </c>
      <c r="G158" s="4"/>
      <c r="H158" s="4"/>
      <c r="I158" s="4">
        <v>0</v>
      </c>
      <c r="J158" s="155"/>
      <c r="K158" s="155"/>
      <c r="L158" s="155"/>
      <c r="M158" s="155"/>
      <c r="N158" s="155"/>
      <c r="O158" s="155">
        <v>1</v>
      </c>
      <c r="P158" s="18">
        <f t="shared" si="160"/>
        <v>2</v>
      </c>
    </row>
    <row r="159" spans="1:16" ht="15.6" x14ac:dyDescent="0.3">
      <c r="A159" s="671"/>
      <c r="B159" s="19" t="s">
        <v>62</v>
      </c>
      <c r="C159" s="11" t="s">
        <v>57</v>
      </c>
      <c r="D159" s="132"/>
      <c r="E159" s="132"/>
      <c r="F159" s="4">
        <v>0</v>
      </c>
      <c r="G159" s="4"/>
      <c r="H159" s="4"/>
      <c r="I159" s="4">
        <v>1</v>
      </c>
      <c r="J159" s="155"/>
      <c r="K159" s="155"/>
      <c r="L159" s="155"/>
      <c r="M159" s="155"/>
      <c r="N159" s="155"/>
      <c r="O159" s="155"/>
      <c r="P159" s="18">
        <f t="shared" si="160"/>
        <v>1</v>
      </c>
    </row>
    <row r="160" spans="1:16" ht="15.6" x14ac:dyDescent="0.3">
      <c r="A160" s="671"/>
      <c r="B160" s="19" t="s">
        <v>50</v>
      </c>
      <c r="C160" s="11" t="s">
        <v>57</v>
      </c>
      <c r="D160" s="132"/>
      <c r="E160" s="132"/>
      <c r="F160" s="4">
        <v>1</v>
      </c>
      <c r="G160" s="4"/>
      <c r="H160" s="4"/>
      <c r="I160" s="155"/>
      <c r="J160" s="155"/>
      <c r="K160" s="132">
        <v>1</v>
      </c>
      <c r="L160" s="155"/>
      <c r="M160" s="155"/>
      <c r="N160" s="155"/>
      <c r="O160" s="155"/>
      <c r="P160" s="18">
        <f t="shared" si="160"/>
        <v>2</v>
      </c>
    </row>
    <row r="161" spans="1:16" ht="15.6" x14ac:dyDescent="0.3">
      <c r="A161" s="671"/>
      <c r="B161" s="19" t="s">
        <v>49</v>
      </c>
      <c r="C161" s="11" t="s">
        <v>57</v>
      </c>
      <c r="D161" s="132">
        <v>1</v>
      </c>
      <c r="E161" s="132"/>
      <c r="F161" s="4"/>
      <c r="G161" s="4"/>
      <c r="H161" s="4"/>
      <c r="I161" s="155"/>
      <c r="J161" s="155"/>
      <c r="K161" s="132">
        <v>1</v>
      </c>
      <c r="L161" s="155"/>
      <c r="M161" s="155">
        <v>1</v>
      </c>
      <c r="N161" s="155"/>
      <c r="O161" s="155"/>
      <c r="P161" s="18">
        <f t="shared" si="160"/>
        <v>3</v>
      </c>
    </row>
    <row r="162" spans="1:16" ht="15.6" x14ac:dyDescent="0.3">
      <c r="A162" s="671"/>
      <c r="B162" s="19" t="s">
        <v>77</v>
      </c>
      <c r="C162" s="11" t="s">
        <v>57</v>
      </c>
      <c r="D162" s="132">
        <v>1</v>
      </c>
      <c r="E162" s="132"/>
      <c r="F162" s="4"/>
      <c r="G162" s="4"/>
      <c r="H162" s="4"/>
      <c r="I162" s="155"/>
      <c r="J162" s="4">
        <v>1</v>
      </c>
      <c r="K162" s="155"/>
      <c r="L162" s="155">
        <v>1</v>
      </c>
      <c r="M162" s="155"/>
      <c r="N162" s="155"/>
      <c r="O162" s="155">
        <v>1</v>
      </c>
      <c r="P162" s="18">
        <f t="shared" si="160"/>
        <v>4</v>
      </c>
    </row>
    <row r="163" spans="1:16" ht="15.6" x14ac:dyDescent="0.3">
      <c r="A163" s="671"/>
      <c r="B163" s="19" t="s">
        <v>69</v>
      </c>
      <c r="C163" s="11" t="s">
        <v>57</v>
      </c>
      <c r="D163" s="132"/>
      <c r="E163" s="132"/>
      <c r="F163" s="4"/>
      <c r="G163" s="4"/>
      <c r="H163" s="4"/>
      <c r="I163" s="155"/>
      <c r="J163" s="155"/>
      <c r="K163" s="155"/>
      <c r="L163" s="155"/>
      <c r="M163" s="155"/>
      <c r="N163" s="155"/>
      <c r="O163" s="155"/>
      <c r="P163" s="18">
        <f t="shared" si="160"/>
        <v>0</v>
      </c>
    </row>
    <row r="164" spans="1:16" ht="15.6" x14ac:dyDescent="0.3">
      <c r="A164" s="671"/>
      <c r="B164" s="19" t="s">
        <v>68</v>
      </c>
      <c r="C164" s="11" t="s">
        <v>57</v>
      </c>
      <c r="D164" s="132"/>
      <c r="E164" s="132"/>
      <c r="F164" s="4"/>
      <c r="G164" s="4"/>
      <c r="H164" s="4"/>
      <c r="I164" s="155"/>
      <c r="J164" s="155"/>
      <c r="K164" s="155"/>
      <c r="L164" s="155"/>
      <c r="M164" s="155"/>
      <c r="N164" s="155"/>
      <c r="O164" s="155"/>
      <c r="P164" s="18">
        <f t="shared" si="160"/>
        <v>0</v>
      </c>
    </row>
    <row r="165" spans="1:16" ht="15.6" x14ac:dyDescent="0.3">
      <c r="A165" s="672"/>
      <c r="B165" s="19" t="s">
        <v>76</v>
      </c>
      <c r="C165" s="11" t="s">
        <v>57</v>
      </c>
      <c r="D165" s="132"/>
      <c r="E165" s="132"/>
      <c r="F165" s="4"/>
      <c r="G165" s="4"/>
      <c r="H165" s="4"/>
      <c r="I165" s="155"/>
      <c r="J165" s="155"/>
      <c r="K165" s="155"/>
      <c r="L165" s="155"/>
      <c r="M165" s="155"/>
      <c r="N165" s="155"/>
      <c r="O165" s="155"/>
      <c r="P165" s="18">
        <f t="shared" si="160"/>
        <v>0</v>
      </c>
    </row>
    <row r="166" spans="1:16" ht="15.6" x14ac:dyDescent="0.3">
      <c r="A166" s="670" t="s">
        <v>75</v>
      </c>
      <c r="B166" s="21" t="s">
        <v>63</v>
      </c>
      <c r="C166" s="11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8"/>
    </row>
    <row r="167" spans="1:16" ht="15.6" x14ac:dyDescent="0.3">
      <c r="A167" s="671"/>
      <c r="B167" s="19" t="s">
        <v>74</v>
      </c>
      <c r="C167" s="11" t="s">
        <v>57</v>
      </c>
      <c r="D167" s="132"/>
      <c r="E167" s="132"/>
      <c r="F167" s="4"/>
      <c r="G167" s="4"/>
      <c r="H167" s="4"/>
      <c r="I167" s="155"/>
      <c r="J167" s="155"/>
      <c r="K167" s="155"/>
      <c r="L167" s="155"/>
      <c r="M167" s="155"/>
      <c r="N167" s="155"/>
      <c r="O167" s="155"/>
      <c r="P167" s="18">
        <f t="shared" ref="P167:P175" si="161">SUM(D167:O167)</f>
        <v>0</v>
      </c>
    </row>
    <row r="168" spans="1:16" ht="15.6" x14ac:dyDescent="0.3">
      <c r="A168" s="671"/>
      <c r="B168" s="19" t="s">
        <v>73</v>
      </c>
      <c r="C168" s="11" t="s">
        <v>57</v>
      </c>
      <c r="D168" s="132"/>
      <c r="E168" s="132"/>
      <c r="F168" s="4"/>
      <c r="G168" s="4"/>
      <c r="H168" s="4"/>
      <c r="I168" s="155"/>
      <c r="J168" s="155"/>
      <c r="K168" s="155"/>
      <c r="L168" s="155"/>
      <c r="M168" s="155"/>
      <c r="N168" s="155"/>
      <c r="O168" s="155"/>
      <c r="P168" s="18">
        <f t="shared" si="161"/>
        <v>0</v>
      </c>
    </row>
    <row r="169" spans="1:16" ht="15.6" x14ac:dyDescent="0.3">
      <c r="A169" s="671"/>
      <c r="B169" s="19" t="s">
        <v>72</v>
      </c>
      <c r="C169" s="11" t="s">
        <v>57</v>
      </c>
      <c r="D169" s="132"/>
      <c r="E169" s="132"/>
      <c r="F169" s="4"/>
      <c r="G169" s="4"/>
      <c r="H169" s="4"/>
      <c r="I169" s="155"/>
      <c r="J169" s="155"/>
      <c r="K169" s="155"/>
      <c r="L169" s="155"/>
      <c r="M169" s="155"/>
      <c r="N169" s="155"/>
      <c r="O169" s="155"/>
      <c r="P169" s="18">
        <f t="shared" si="161"/>
        <v>0</v>
      </c>
    </row>
    <row r="170" spans="1:16" ht="15.6" x14ac:dyDescent="0.3">
      <c r="A170" s="671"/>
      <c r="B170" s="19" t="s">
        <v>71</v>
      </c>
      <c r="C170" s="11" t="s">
        <v>57</v>
      </c>
      <c r="D170" s="132"/>
      <c r="E170" s="132"/>
      <c r="F170" s="4"/>
      <c r="G170" s="4"/>
      <c r="H170" s="4"/>
      <c r="I170" s="155"/>
      <c r="J170" s="155"/>
      <c r="K170" s="155"/>
      <c r="L170" s="155"/>
      <c r="M170" s="155"/>
      <c r="N170" s="155"/>
      <c r="O170" s="155"/>
      <c r="P170" s="18">
        <f t="shared" si="161"/>
        <v>0</v>
      </c>
    </row>
    <row r="171" spans="1:16" ht="15.6" x14ac:dyDescent="0.3">
      <c r="A171" s="671"/>
      <c r="B171" s="19" t="s">
        <v>52</v>
      </c>
      <c r="C171" s="11" t="s">
        <v>57</v>
      </c>
      <c r="D171" s="132"/>
      <c r="E171" s="132"/>
      <c r="F171" s="4"/>
      <c r="G171" s="4"/>
      <c r="H171" s="4"/>
      <c r="I171" s="155"/>
      <c r="J171" s="155"/>
      <c r="K171" s="155"/>
      <c r="L171" s="155"/>
      <c r="M171" s="155"/>
      <c r="N171" s="155"/>
      <c r="O171" s="155"/>
      <c r="P171" s="18">
        <f t="shared" si="161"/>
        <v>0</v>
      </c>
    </row>
    <row r="172" spans="1:16" ht="15.6" x14ac:dyDescent="0.3">
      <c r="A172" s="671"/>
      <c r="B172" s="19" t="s">
        <v>62</v>
      </c>
      <c r="C172" s="11" t="s">
        <v>57</v>
      </c>
      <c r="D172" s="132"/>
      <c r="E172" s="132"/>
      <c r="F172" s="4"/>
      <c r="G172" s="4"/>
      <c r="H172" s="4"/>
      <c r="I172" s="155"/>
      <c r="J172" s="155"/>
      <c r="K172" s="155"/>
      <c r="L172" s="155"/>
      <c r="M172" s="155"/>
      <c r="N172" s="155"/>
      <c r="O172" s="155"/>
      <c r="P172" s="18">
        <f t="shared" si="161"/>
        <v>0</v>
      </c>
    </row>
    <row r="173" spans="1:16" ht="15.6" x14ac:dyDescent="0.3">
      <c r="A173" s="671"/>
      <c r="B173" s="19" t="s">
        <v>61</v>
      </c>
      <c r="C173" s="11" t="s">
        <v>57</v>
      </c>
      <c r="D173" s="132"/>
      <c r="E173" s="132"/>
      <c r="F173" s="4"/>
      <c r="G173" s="4"/>
      <c r="H173" s="4"/>
      <c r="I173" s="155"/>
      <c r="J173" s="155"/>
      <c r="K173" s="155"/>
      <c r="L173" s="155"/>
      <c r="M173" s="155"/>
      <c r="N173" s="155"/>
      <c r="O173" s="155"/>
      <c r="P173" s="18">
        <f t="shared" si="161"/>
        <v>0</v>
      </c>
    </row>
    <row r="174" spans="1:16" ht="15.6" x14ac:dyDescent="0.3">
      <c r="A174" s="671"/>
      <c r="B174" s="19" t="s">
        <v>60</v>
      </c>
      <c r="C174" s="11" t="s">
        <v>57</v>
      </c>
      <c r="D174" s="132"/>
      <c r="E174" s="132"/>
      <c r="F174" s="4"/>
      <c r="G174" s="4"/>
      <c r="H174" s="4"/>
      <c r="I174" s="155"/>
      <c r="J174" s="155"/>
      <c r="K174" s="155"/>
      <c r="L174" s="155"/>
      <c r="M174" s="155"/>
      <c r="N174" s="155"/>
      <c r="O174" s="155"/>
      <c r="P174" s="18">
        <f t="shared" si="161"/>
        <v>0</v>
      </c>
    </row>
    <row r="175" spans="1:16" ht="15.6" x14ac:dyDescent="0.3">
      <c r="A175" s="672"/>
      <c r="B175" s="19" t="s">
        <v>69</v>
      </c>
      <c r="C175" s="11" t="s">
        <v>57</v>
      </c>
      <c r="D175" s="132"/>
      <c r="E175" s="132"/>
      <c r="F175" s="4"/>
      <c r="G175" s="4"/>
      <c r="H175" s="4"/>
      <c r="I175" s="155"/>
      <c r="J175" s="155"/>
      <c r="K175" s="155"/>
      <c r="L175" s="155"/>
      <c r="M175" s="155"/>
      <c r="N175" s="155"/>
      <c r="O175" s="155"/>
      <c r="P175" s="18">
        <f t="shared" si="161"/>
        <v>0</v>
      </c>
    </row>
    <row r="176" spans="1:16" ht="15.6" x14ac:dyDescent="0.3">
      <c r="A176" s="670" t="s">
        <v>70</v>
      </c>
      <c r="B176" s="21" t="s">
        <v>63</v>
      </c>
      <c r="C176" s="11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8"/>
    </row>
    <row r="177" spans="1:16" ht="15.6" x14ac:dyDescent="0.3">
      <c r="A177" s="671"/>
      <c r="B177" s="19" t="s">
        <v>60</v>
      </c>
      <c r="C177" s="11" t="s">
        <v>57</v>
      </c>
      <c r="D177" s="155"/>
      <c r="E177" s="155"/>
      <c r="F177" s="155"/>
      <c r="G177" s="4"/>
      <c r="H177" s="4"/>
      <c r="I177" s="155"/>
      <c r="J177" s="155"/>
      <c r="K177" s="155"/>
      <c r="L177" s="155"/>
      <c r="M177" s="155"/>
      <c r="N177" s="155"/>
      <c r="O177" s="155"/>
      <c r="P177" s="18">
        <f t="shared" ref="P177:P182" si="162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155"/>
      <c r="E178" s="155"/>
      <c r="F178" s="155"/>
      <c r="G178" s="4"/>
      <c r="H178" s="4"/>
      <c r="I178" s="155"/>
      <c r="J178" s="155"/>
      <c r="K178" s="155"/>
      <c r="L178" s="155"/>
      <c r="M178" s="155"/>
      <c r="N178" s="155"/>
      <c r="O178" s="155"/>
      <c r="P178" s="18">
        <f t="shared" si="162"/>
        <v>0</v>
      </c>
    </row>
    <row r="179" spans="1:16" ht="15.6" x14ac:dyDescent="0.3">
      <c r="A179" s="671"/>
      <c r="B179" s="19" t="s">
        <v>68</v>
      </c>
      <c r="C179" s="11" t="s">
        <v>57</v>
      </c>
      <c r="D179" s="155"/>
      <c r="E179" s="155"/>
      <c r="F179" s="155"/>
      <c r="G179" s="4"/>
      <c r="H179" s="4"/>
      <c r="I179" s="155"/>
      <c r="J179" s="155"/>
      <c r="K179" s="155"/>
      <c r="L179" s="155"/>
      <c r="M179" s="155"/>
      <c r="N179" s="155"/>
      <c r="O179" s="155"/>
      <c r="P179" s="18">
        <f t="shared" si="162"/>
        <v>0</v>
      </c>
    </row>
    <row r="180" spans="1:16" ht="15.6" x14ac:dyDescent="0.3">
      <c r="A180" s="671"/>
      <c r="B180" s="19" t="s">
        <v>67</v>
      </c>
      <c r="C180" s="11" t="s">
        <v>57</v>
      </c>
      <c r="D180" s="155"/>
      <c r="E180" s="155"/>
      <c r="F180" s="155"/>
      <c r="G180" s="4"/>
      <c r="H180" s="4"/>
      <c r="I180" s="155"/>
      <c r="J180" s="155"/>
      <c r="K180" s="155"/>
      <c r="L180" s="155"/>
      <c r="M180" s="155"/>
      <c r="N180" s="155"/>
      <c r="O180" s="155"/>
      <c r="P180" s="18">
        <f t="shared" si="162"/>
        <v>0</v>
      </c>
    </row>
    <row r="181" spans="1:16" ht="15.6" x14ac:dyDescent="0.3">
      <c r="A181" s="671"/>
      <c r="B181" s="19" t="s">
        <v>66</v>
      </c>
      <c r="C181" s="11" t="s">
        <v>57</v>
      </c>
      <c r="D181" s="155"/>
      <c r="E181" s="155"/>
      <c r="F181" s="155"/>
      <c r="G181" s="4"/>
      <c r="H181" s="4"/>
      <c r="I181" s="155"/>
      <c r="J181" s="155"/>
      <c r="K181" s="155"/>
      <c r="L181" s="155"/>
      <c r="M181" s="155"/>
      <c r="N181" s="155"/>
      <c r="O181" s="155"/>
      <c r="P181" s="18">
        <f t="shared" si="162"/>
        <v>0</v>
      </c>
    </row>
    <row r="182" spans="1:16" ht="15.6" x14ac:dyDescent="0.3">
      <c r="A182" s="672"/>
      <c r="B182" s="19" t="s">
        <v>65</v>
      </c>
      <c r="C182" s="11" t="s">
        <v>57</v>
      </c>
      <c r="D182" s="155"/>
      <c r="E182" s="155"/>
      <c r="F182" s="155"/>
      <c r="G182" s="4"/>
      <c r="H182" s="4"/>
      <c r="I182" s="155"/>
      <c r="J182" s="155"/>
      <c r="K182" s="155"/>
      <c r="L182" s="155"/>
      <c r="M182" s="155"/>
      <c r="N182" s="155"/>
      <c r="O182" s="155"/>
      <c r="P182" s="18">
        <f t="shared" si="162"/>
        <v>0</v>
      </c>
    </row>
    <row r="183" spans="1:16" ht="15.6" x14ac:dyDescent="0.3">
      <c r="A183" s="670" t="s">
        <v>209</v>
      </c>
      <c r="B183" s="21" t="s">
        <v>63</v>
      </c>
      <c r="C183" s="11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8"/>
    </row>
    <row r="184" spans="1:16" ht="15.6" x14ac:dyDescent="0.3">
      <c r="A184" s="671"/>
      <c r="B184" s="19" t="s">
        <v>73</v>
      </c>
      <c r="C184" s="11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8"/>
    </row>
    <row r="189" spans="1:16" ht="15.6" x14ac:dyDescent="0.3">
      <c r="A189" s="671"/>
      <c r="B189" s="20" t="s">
        <v>52</v>
      </c>
      <c r="C189" s="11" t="s">
        <v>57</v>
      </c>
      <c r="D189" s="155"/>
      <c r="E189" s="155"/>
      <c r="F189" s="155"/>
      <c r="G189" s="4"/>
      <c r="H189" s="4"/>
      <c r="I189" s="155"/>
      <c r="J189" s="155"/>
      <c r="K189" s="155"/>
      <c r="L189" s="155"/>
      <c r="M189" s="155"/>
      <c r="N189" s="155"/>
      <c r="O189" s="155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155"/>
      <c r="E190" s="155"/>
      <c r="F190" s="155"/>
      <c r="G190" s="4"/>
      <c r="H190" s="4"/>
      <c r="I190" s="155"/>
      <c r="J190" s="155"/>
      <c r="K190" s="155"/>
      <c r="L190" s="155"/>
      <c r="M190" s="155"/>
      <c r="N190" s="155"/>
      <c r="O190" s="155"/>
      <c r="P190" s="18">
        <f>SUM(D190:O190)</f>
        <v>0</v>
      </c>
    </row>
    <row r="191" spans="1:16" ht="15.6" x14ac:dyDescent="0.3">
      <c r="A191" s="671"/>
      <c r="B191" s="19" t="s">
        <v>61</v>
      </c>
      <c r="C191" s="11" t="s">
        <v>57</v>
      </c>
      <c r="D191" s="155"/>
      <c r="E191" s="155"/>
      <c r="F191" s="155"/>
      <c r="G191" s="4"/>
      <c r="H191" s="4"/>
      <c r="I191" s="155"/>
      <c r="J191" s="155"/>
      <c r="K191" s="155"/>
      <c r="L191" s="155"/>
      <c r="M191" s="155"/>
      <c r="N191" s="155"/>
      <c r="O191" s="155"/>
      <c r="P191" s="18">
        <f>SUM(D191:O191)</f>
        <v>0</v>
      </c>
    </row>
    <row r="192" spans="1:16" ht="15.6" x14ac:dyDescent="0.3">
      <c r="A192" s="672"/>
      <c r="B192" s="19" t="s">
        <v>60</v>
      </c>
      <c r="C192" s="11" t="s">
        <v>57</v>
      </c>
      <c r="D192" s="155"/>
      <c r="E192" s="155"/>
      <c r="F192" s="155"/>
      <c r="G192" s="4"/>
      <c r="H192" s="4"/>
      <c r="I192" s="155"/>
      <c r="J192" s="155"/>
      <c r="K192" s="155"/>
      <c r="L192" s="155"/>
      <c r="M192" s="155"/>
      <c r="N192" s="155"/>
      <c r="O192" s="155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8">
        <f>SUM(D153:D192)</f>
        <v>5</v>
      </c>
      <c r="E193" s="158">
        <f t="shared" ref="E193:P193" si="163">SUM(E153:E192)</f>
        <v>4</v>
      </c>
      <c r="F193" s="158">
        <f t="shared" si="163"/>
        <v>3</v>
      </c>
      <c r="G193" s="158">
        <f t="shared" si="163"/>
        <v>3</v>
      </c>
      <c r="H193" s="158">
        <f t="shared" si="163"/>
        <v>7</v>
      </c>
      <c r="I193" s="158">
        <f t="shared" si="163"/>
        <v>3</v>
      </c>
      <c r="J193" s="158">
        <f>SUM(J153:J192)</f>
        <v>2</v>
      </c>
      <c r="K193" s="158">
        <f t="shared" si="163"/>
        <v>7</v>
      </c>
      <c r="L193" s="158">
        <f t="shared" si="163"/>
        <v>5</v>
      </c>
      <c r="M193" s="158">
        <f t="shared" si="163"/>
        <v>7</v>
      </c>
      <c r="N193" s="158">
        <f t="shared" si="163"/>
        <v>6</v>
      </c>
      <c r="O193" s="158">
        <v>13</v>
      </c>
      <c r="P193" s="160">
        <f t="shared" si="163"/>
        <v>65</v>
      </c>
    </row>
    <row r="194" spans="1:16" ht="15.6" x14ac:dyDescent="0.3">
      <c r="A194" s="665" t="s">
        <v>58</v>
      </c>
      <c r="B194" s="666"/>
      <c r="C194" s="11" t="s">
        <v>57</v>
      </c>
      <c r="D194" s="132">
        <v>2</v>
      </c>
      <c r="E194" s="132">
        <v>2</v>
      </c>
      <c r="F194" s="4">
        <v>4</v>
      </c>
      <c r="G194" s="4">
        <v>2</v>
      </c>
      <c r="H194" s="4">
        <v>5</v>
      </c>
      <c r="I194" s="4">
        <v>2</v>
      </c>
      <c r="J194" s="4">
        <v>7</v>
      </c>
      <c r="K194" s="132">
        <v>9</v>
      </c>
      <c r="L194" s="155">
        <v>5</v>
      </c>
      <c r="M194" s="155">
        <v>7</v>
      </c>
      <c r="N194" s="132">
        <v>5</v>
      </c>
      <c r="O194" s="155">
        <v>1</v>
      </c>
      <c r="P194" s="18">
        <f>SUM(D194:O194)</f>
        <v>51</v>
      </c>
    </row>
    <row r="195" spans="1:16" ht="15.6" x14ac:dyDescent="0.3">
      <c r="A195" s="667"/>
      <c r="B195" s="668"/>
      <c r="C195" s="16" t="s">
        <v>55</v>
      </c>
      <c r="D195" s="132">
        <v>28</v>
      </c>
      <c r="E195" s="132">
        <v>48</v>
      </c>
      <c r="F195" s="4">
        <v>280</v>
      </c>
      <c r="G195" s="4">
        <v>24</v>
      </c>
      <c r="H195" s="4">
        <v>120</v>
      </c>
      <c r="I195" s="4">
        <v>28</v>
      </c>
      <c r="J195" s="4">
        <v>42</v>
      </c>
      <c r="K195" s="132">
        <v>12</v>
      </c>
      <c r="L195" s="155">
        <v>18</v>
      </c>
      <c r="M195" s="155">
        <v>15</v>
      </c>
      <c r="N195" s="132">
        <v>8</v>
      </c>
      <c r="O195" s="155">
        <v>23</v>
      </c>
      <c r="P195" s="18">
        <f>SUM(D195:O195)</f>
        <v>646</v>
      </c>
    </row>
    <row r="196" spans="1:16" ht="15.6" x14ac:dyDescent="0.3">
      <c r="A196" s="85" t="s">
        <v>202</v>
      </c>
      <c r="B196" s="86"/>
      <c r="C196" s="16" t="s">
        <v>55</v>
      </c>
      <c r="D196" s="132">
        <v>24</v>
      </c>
      <c r="E196" s="132">
        <v>24</v>
      </c>
      <c r="F196" s="4">
        <v>24</v>
      </c>
      <c r="G196" s="4">
        <v>24</v>
      </c>
      <c r="H196" s="4">
        <v>24</v>
      </c>
      <c r="I196" s="4">
        <v>24</v>
      </c>
      <c r="J196" s="4">
        <v>24</v>
      </c>
      <c r="K196" s="132">
        <v>24</v>
      </c>
      <c r="L196" s="155">
        <v>24</v>
      </c>
      <c r="M196" s="155">
        <v>24</v>
      </c>
      <c r="N196" s="132">
        <v>24</v>
      </c>
      <c r="O196" s="155">
        <v>24</v>
      </c>
      <c r="P196" s="18">
        <f>SUM(D196:O196)/12</f>
        <v>24</v>
      </c>
    </row>
    <row r="197" spans="1:16" ht="15.6" x14ac:dyDescent="0.3">
      <c r="A197" s="661" t="s">
        <v>56</v>
      </c>
      <c r="B197" s="662"/>
      <c r="C197" s="16" t="s">
        <v>55</v>
      </c>
      <c r="D197" s="132">
        <v>52</v>
      </c>
      <c r="E197" s="132">
        <v>48</v>
      </c>
      <c r="F197" s="4">
        <v>80</v>
      </c>
      <c r="G197" s="4">
        <v>72</v>
      </c>
      <c r="H197" s="4">
        <v>120</v>
      </c>
      <c r="I197" s="4">
        <v>48</v>
      </c>
      <c r="J197" s="4">
        <v>42</v>
      </c>
      <c r="K197" s="132">
        <v>108</v>
      </c>
      <c r="L197" s="155">
        <v>270</v>
      </c>
      <c r="M197" s="155">
        <v>105</v>
      </c>
      <c r="N197" s="132">
        <v>40</v>
      </c>
      <c r="O197" s="155">
        <v>21</v>
      </c>
      <c r="P197" s="18">
        <f>SUM(D197:O197)</f>
        <v>1006</v>
      </c>
    </row>
    <row r="198" spans="1:16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79" t="s">
        <v>53</v>
      </c>
      <c r="C199" s="11" t="s">
        <v>47</v>
      </c>
      <c r="D199" s="4">
        <v>0</v>
      </c>
      <c r="E199" s="4">
        <v>180</v>
      </c>
      <c r="F199" s="4">
        <v>0</v>
      </c>
      <c r="G199" s="4">
        <v>0</v>
      </c>
      <c r="H199" s="4"/>
      <c r="I199" s="4"/>
      <c r="J199" s="4"/>
      <c r="K199" s="4"/>
      <c r="L199" s="4"/>
      <c r="M199" s="4">
        <v>1520</v>
      </c>
      <c r="N199" s="4"/>
      <c r="O199" s="4"/>
      <c r="P199" s="9">
        <f t="shared" ref="P199:P204" si="164">SUM(D199:O199)</f>
        <v>1700</v>
      </c>
    </row>
    <row r="200" spans="1:16" ht="15.6" x14ac:dyDescent="0.3">
      <c r="A200" s="669"/>
      <c r="B200" s="79" t="s">
        <v>52</v>
      </c>
      <c r="C200" s="11" t="s">
        <v>47</v>
      </c>
      <c r="D200" s="4">
        <v>0</v>
      </c>
      <c r="E200" s="4">
        <v>240</v>
      </c>
      <c r="F200" s="4">
        <v>0</v>
      </c>
      <c r="G200" s="4">
        <v>0</v>
      </c>
      <c r="H200" s="4"/>
      <c r="I200" s="4"/>
      <c r="J200" s="4"/>
      <c r="K200" s="4"/>
      <c r="L200" s="4"/>
      <c r="M200" s="4"/>
      <c r="N200" s="4"/>
      <c r="O200" s="4"/>
      <c r="P200" s="9">
        <f t="shared" si="164"/>
        <v>240</v>
      </c>
    </row>
    <row r="201" spans="1:16" ht="15.6" x14ac:dyDescent="0.3">
      <c r="A201" s="669"/>
      <c r="B201" s="79" t="s">
        <v>51</v>
      </c>
      <c r="C201" s="11" t="s">
        <v>47</v>
      </c>
      <c r="D201" s="4">
        <v>0</v>
      </c>
      <c r="E201" s="4">
        <v>0</v>
      </c>
      <c r="F201" s="4">
        <v>0</v>
      </c>
      <c r="G201" s="4">
        <v>42</v>
      </c>
      <c r="H201" s="4"/>
      <c r="I201" s="4">
        <v>42</v>
      </c>
      <c r="J201" s="4"/>
      <c r="K201" s="4"/>
      <c r="L201" s="4"/>
      <c r="M201" s="4"/>
      <c r="N201" s="4"/>
      <c r="O201" s="4"/>
      <c r="P201" s="9">
        <f t="shared" si="164"/>
        <v>84</v>
      </c>
    </row>
    <row r="202" spans="1:16" ht="15.6" x14ac:dyDescent="0.3">
      <c r="A202" s="669"/>
      <c r="B202" s="79" t="s">
        <v>50</v>
      </c>
      <c r="C202" s="11" t="s">
        <v>47</v>
      </c>
      <c r="D202" s="4">
        <v>0</v>
      </c>
      <c r="E202" s="4">
        <v>0</v>
      </c>
      <c r="F202" s="4">
        <v>0</v>
      </c>
      <c r="G202" s="4">
        <v>0</v>
      </c>
      <c r="H202" s="4"/>
      <c r="I202" s="4"/>
      <c r="J202" s="4"/>
      <c r="K202" s="4"/>
      <c r="L202" s="4"/>
      <c r="M202" s="4"/>
      <c r="N202" s="4"/>
      <c r="O202" s="4"/>
      <c r="P202" s="9">
        <f t="shared" si="164"/>
        <v>0</v>
      </c>
    </row>
    <row r="203" spans="1:16" ht="15.6" x14ac:dyDescent="0.3">
      <c r="A203" s="667"/>
      <c r="B203" s="79" t="s">
        <v>49</v>
      </c>
      <c r="C203" s="11" t="s">
        <v>47</v>
      </c>
      <c r="D203" s="4">
        <v>0</v>
      </c>
      <c r="E203" s="4">
        <v>0</v>
      </c>
      <c r="F203" s="4">
        <v>0</v>
      </c>
      <c r="G203" s="4">
        <v>0</v>
      </c>
      <c r="H203" s="4"/>
      <c r="I203" s="4"/>
      <c r="J203" s="4"/>
      <c r="K203" s="4"/>
      <c r="L203" s="4"/>
      <c r="M203" s="4"/>
      <c r="N203" s="4"/>
      <c r="O203" s="4"/>
      <c r="P203" s="9">
        <f t="shared" si="164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65">SUM(D199:D203)</f>
        <v>0</v>
      </c>
      <c r="E204" s="15">
        <f t="shared" si="165"/>
        <v>420</v>
      </c>
      <c r="F204" s="15">
        <f t="shared" si="165"/>
        <v>0</v>
      </c>
      <c r="G204" s="15">
        <f t="shared" si="165"/>
        <v>42</v>
      </c>
      <c r="H204" s="15">
        <f t="shared" si="165"/>
        <v>0</v>
      </c>
      <c r="I204" s="15">
        <f t="shared" si="165"/>
        <v>42</v>
      </c>
      <c r="J204" s="15">
        <f t="shared" si="165"/>
        <v>0</v>
      </c>
      <c r="K204" s="15">
        <f t="shared" si="165"/>
        <v>0</v>
      </c>
      <c r="L204" s="15">
        <f t="shared" si="165"/>
        <v>0</v>
      </c>
      <c r="M204" s="15">
        <f t="shared" si="165"/>
        <v>1520</v>
      </c>
      <c r="N204" s="15">
        <f t="shared" si="165"/>
        <v>0</v>
      </c>
      <c r="O204" s="15">
        <v>0</v>
      </c>
      <c r="P204" s="110">
        <f t="shared" si="164"/>
        <v>2024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v>182000</v>
      </c>
      <c r="E206" s="13">
        <v>290650</v>
      </c>
      <c r="F206" s="13">
        <v>356074.99</v>
      </c>
      <c r="G206" s="13">
        <v>383575.74</v>
      </c>
      <c r="H206" s="555">
        <v>112770</v>
      </c>
      <c r="I206" s="13">
        <v>428880.34</v>
      </c>
      <c r="J206" s="555">
        <v>141000</v>
      </c>
      <c r="K206" s="555">
        <v>324501</v>
      </c>
      <c r="L206" s="13">
        <v>465192</v>
      </c>
      <c r="M206" s="13">
        <v>450375</v>
      </c>
      <c r="N206" s="13">
        <v>512756.38</v>
      </c>
      <c r="O206" s="13">
        <v>311350</v>
      </c>
      <c r="P206" s="9">
        <f>SUM(D206:O206)</f>
        <v>3959125.45</v>
      </c>
    </row>
    <row r="207" spans="1:16" ht="15.6" x14ac:dyDescent="0.3">
      <c r="A207" s="661" t="s">
        <v>42</v>
      </c>
      <c r="B207" s="662"/>
      <c r="C207" s="11" t="s">
        <v>31</v>
      </c>
      <c r="D207" s="13"/>
      <c r="E207" s="13">
        <v>0</v>
      </c>
      <c r="F207" s="13"/>
      <c r="G207" s="13">
        <v>0</v>
      </c>
      <c r="H207" s="555">
        <v>0</v>
      </c>
      <c r="I207" s="13">
        <v>0</v>
      </c>
      <c r="J207" s="13"/>
      <c r="K207" s="13"/>
      <c r="L207" s="13"/>
      <c r="M207" s="13">
        <v>0</v>
      </c>
      <c r="N207" s="13"/>
      <c r="O207" s="13"/>
      <c r="P207" s="9">
        <f>SUM(D207:O207)</f>
        <v>0</v>
      </c>
    </row>
    <row r="208" spans="1:16" ht="15.6" x14ac:dyDescent="0.3">
      <c r="A208" s="663" t="s">
        <v>41</v>
      </c>
      <c r="B208" s="664"/>
      <c r="C208" s="11" t="s">
        <v>31</v>
      </c>
      <c r="D208" s="13">
        <v>10000</v>
      </c>
      <c r="E208" s="13">
        <v>185000</v>
      </c>
      <c r="F208" s="13">
        <v>315000</v>
      </c>
      <c r="G208" s="13">
        <v>0</v>
      </c>
      <c r="H208" s="555">
        <v>420000</v>
      </c>
      <c r="I208" s="13">
        <v>500000</v>
      </c>
      <c r="J208" s="13"/>
      <c r="K208" s="13"/>
      <c r="L208" s="13">
        <v>90000</v>
      </c>
      <c r="M208" s="13">
        <v>0</v>
      </c>
      <c r="N208" s="13"/>
      <c r="O208" s="13"/>
      <c r="P208" s="9">
        <f>SUM(D208:O208)</f>
        <v>1520000</v>
      </c>
    </row>
    <row r="209" spans="1:16" ht="15.6" x14ac:dyDescent="0.3">
      <c r="A209" s="661" t="s">
        <v>40</v>
      </c>
      <c r="B209" s="662"/>
      <c r="C209" s="11" t="s">
        <v>31</v>
      </c>
      <c r="D209" s="13"/>
      <c r="E209" s="13">
        <v>32829239.789999999</v>
      </c>
      <c r="F209" s="13">
        <v>0</v>
      </c>
      <c r="G209" s="13">
        <v>0</v>
      </c>
      <c r="H209" s="555">
        <v>142032033</v>
      </c>
      <c r="I209" s="13">
        <v>142032032.65000001</v>
      </c>
      <c r="J209" s="13"/>
      <c r="K209" s="13"/>
      <c r="L209" s="13"/>
      <c r="M209" s="13">
        <v>95816202</v>
      </c>
      <c r="N209" s="13"/>
      <c r="O209" s="13"/>
      <c r="P209" s="9">
        <f>SUM(D209:O209)</f>
        <v>412709507.44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166">SUM(D206:D209)</f>
        <v>192000</v>
      </c>
      <c r="E210" s="10">
        <f t="shared" si="166"/>
        <v>33304889.789999999</v>
      </c>
      <c r="F210" s="10">
        <f t="shared" si="166"/>
        <v>671074.99</v>
      </c>
      <c r="G210" s="10">
        <f t="shared" si="166"/>
        <v>383575.74</v>
      </c>
      <c r="H210" s="10">
        <f t="shared" si="166"/>
        <v>142564803</v>
      </c>
      <c r="I210" s="10">
        <f t="shared" si="166"/>
        <v>142960912.99000001</v>
      </c>
      <c r="J210" s="10">
        <f t="shared" si="166"/>
        <v>141000</v>
      </c>
      <c r="K210" s="10">
        <f t="shared" si="166"/>
        <v>324501</v>
      </c>
      <c r="L210" s="10">
        <f t="shared" si="166"/>
        <v>555192</v>
      </c>
      <c r="M210" s="10">
        <f t="shared" si="166"/>
        <v>96266577</v>
      </c>
      <c r="N210" s="10">
        <f t="shared" si="166"/>
        <v>512756.38</v>
      </c>
      <c r="O210" s="10">
        <v>311350</v>
      </c>
      <c r="P210" s="9">
        <f>SUM(D210:O210)</f>
        <v>418188632.88999999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13">
        <f>128350+604.32</f>
        <v>128954.32</v>
      </c>
      <c r="E212" s="13">
        <v>226700</v>
      </c>
      <c r="F212" s="13">
        <v>247263.95</v>
      </c>
      <c r="G212" s="13">
        <v>378300</v>
      </c>
      <c r="H212" s="13">
        <v>335180</v>
      </c>
      <c r="I212" s="13">
        <v>339700</v>
      </c>
      <c r="J212" s="13">
        <f>317000</f>
        <v>317000</v>
      </c>
      <c r="K212" s="13">
        <f>15300+255700</f>
        <v>271000</v>
      </c>
      <c r="L212" s="13">
        <v>289680</v>
      </c>
      <c r="M212" s="13">
        <v>222100</v>
      </c>
      <c r="N212" s="13">
        <v>258600</v>
      </c>
      <c r="O212" s="13">
        <v>314500</v>
      </c>
      <c r="P212" s="9">
        <f>SUM(D212:O212)</f>
        <v>3328978.27</v>
      </c>
    </row>
    <row r="213" spans="1:16" ht="15.6" x14ac:dyDescent="0.3">
      <c r="A213" s="661" t="s">
        <v>42</v>
      </c>
      <c r="B213" s="662"/>
      <c r="C213" s="11" t="s">
        <v>31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9">
        <f>SUM(D213:O213)</f>
        <v>0</v>
      </c>
    </row>
    <row r="214" spans="1:16" ht="15.6" x14ac:dyDescent="0.3">
      <c r="A214" s="663" t="s">
        <v>41</v>
      </c>
      <c r="B214" s="664"/>
      <c r="C214" s="11" t="s">
        <v>31</v>
      </c>
      <c r="D214" s="13">
        <v>2415000</v>
      </c>
      <c r="E214" s="13">
        <v>2438500</v>
      </c>
      <c r="F214" s="13">
        <v>2210300</v>
      </c>
      <c r="G214" s="13">
        <v>3225000</v>
      </c>
      <c r="H214" s="13">
        <v>3132000</v>
      </c>
      <c r="I214" s="13">
        <v>3071000</v>
      </c>
      <c r="J214" s="13">
        <v>3065000</v>
      </c>
      <c r="K214" s="13">
        <v>3223500</v>
      </c>
      <c r="L214" s="13">
        <v>6185000</v>
      </c>
      <c r="M214" s="13">
        <v>3214400</v>
      </c>
      <c r="N214" s="13">
        <v>3079000</v>
      </c>
      <c r="O214" s="13">
        <v>3127000</v>
      </c>
      <c r="P214" s="9">
        <f>SUM(D214:O214)</f>
        <v>38385700</v>
      </c>
    </row>
    <row r="215" spans="1:16" ht="15.6" x14ac:dyDescent="0.3">
      <c r="A215" s="661" t="s">
        <v>40</v>
      </c>
      <c r="B215" s="662"/>
      <c r="C215" s="11" t="s">
        <v>31</v>
      </c>
      <c r="D215" s="13">
        <v>0</v>
      </c>
      <c r="E215" s="13">
        <v>0</v>
      </c>
      <c r="F215" s="13">
        <v>0</v>
      </c>
      <c r="G215" s="13"/>
      <c r="H215" s="13">
        <v>33098039.760000002</v>
      </c>
      <c r="I215" s="13">
        <v>30200000</v>
      </c>
      <c r="J215" s="13">
        <v>30000000</v>
      </c>
      <c r="K215" s="13">
        <v>30530000</v>
      </c>
      <c r="L215" s="13">
        <v>30500000</v>
      </c>
      <c r="M215" s="13">
        <v>0</v>
      </c>
      <c r="N215" s="13">
        <v>30500000</v>
      </c>
      <c r="O215" s="13">
        <v>32500000</v>
      </c>
      <c r="P215" s="9">
        <f>SUM(D215:O215)</f>
        <v>217328039.75999999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167">SUM(D212:D215)</f>
        <v>2543954.3199999998</v>
      </c>
      <c r="E216" s="10">
        <f t="shared" si="167"/>
        <v>2665200</v>
      </c>
      <c r="F216" s="10">
        <f t="shared" si="167"/>
        <v>2457563.9500000002</v>
      </c>
      <c r="G216" s="10">
        <f t="shared" si="167"/>
        <v>3603300</v>
      </c>
      <c r="H216" s="10">
        <f t="shared" si="167"/>
        <v>36565219.760000005</v>
      </c>
      <c r="I216" s="10">
        <f t="shared" si="167"/>
        <v>33610700</v>
      </c>
      <c r="J216" s="10">
        <f t="shared" si="167"/>
        <v>33382000</v>
      </c>
      <c r="K216" s="10">
        <f t="shared" si="167"/>
        <v>34024500</v>
      </c>
      <c r="L216" s="10">
        <f t="shared" si="167"/>
        <v>36974680</v>
      </c>
      <c r="M216" s="10">
        <f t="shared" si="167"/>
        <v>3436500</v>
      </c>
      <c r="N216" s="10">
        <f t="shared" si="167"/>
        <v>33837600</v>
      </c>
      <c r="O216" s="10">
        <v>35941500</v>
      </c>
      <c r="P216" s="9">
        <f>SUM(D216:O216)</f>
        <v>259042718.03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2735954.32</v>
      </c>
      <c r="E217" s="10">
        <f t="shared" ref="E217:P217" si="168">E210+E216</f>
        <v>35970089.789999999</v>
      </c>
      <c r="F217" s="10">
        <f t="shared" si="168"/>
        <v>3128638.9400000004</v>
      </c>
      <c r="G217" s="10">
        <f t="shared" si="168"/>
        <v>3986875.74</v>
      </c>
      <c r="H217" s="10">
        <f t="shared" si="168"/>
        <v>179130022.75999999</v>
      </c>
      <c r="I217" s="10">
        <f t="shared" si="168"/>
        <v>176571612.99000001</v>
      </c>
      <c r="J217" s="10">
        <f t="shared" si="168"/>
        <v>33523000</v>
      </c>
      <c r="K217" s="10">
        <f t="shared" si="168"/>
        <v>34349001</v>
      </c>
      <c r="L217" s="10">
        <f t="shared" si="168"/>
        <v>37529872</v>
      </c>
      <c r="M217" s="10">
        <f t="shared" si="168"/>
        <v>99703077</v>
      </c>
      <c r="N217" s="10">
        <f t="shared" si="168"/>
        <v>34350356.380000003</v>
      </c>
      <c r="O217" s="10">
        <v>36252850</v>
      </c>
      <c r="P217" s="40">
        <f t="shared" si="168"/>
        <v>677231350.91999996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>
        <f>116716.7+292133</f>
        <v>408849.7</v>
      </c>
      <c r="E219" s="13">
        <f>157427.63+486408.84</f>
        <v>643836.47</v>
      </c>
      <c r="F219" s="13">
        <f>156823.13+691293.22</f>
        <v>848116.35</v>
      </c>
      <c r="G219" s="13">
        <f>173840.87+511689.92</f>
        <v>685530.79</v>
      </c>
      <c r="H219" s="13">
        <f>187138.52+667189.85</f>
        <v>854328.37</v>
      </c>
      <c r="I219" s="13">
        <f>163194.14+666491.78</f>
        <v>829685.92</v>
      </c>
      <c r="J219" s="13">
        <f>154566.78+734706.7</f>
        <v>889273.48</v>
      </c>
      <c r="K219" s="13">
        <f>102377.28+798074.14</f>
        <v>900451.42</v>
      </c>
      <c r="L219" s="13">
        <v>806342.57000000007</v>
      </c>
      <c r="M219" s="13">
        <v>687435.13</v>
      </c>
      <c r="N219" s="13">
        <f>110006.61+684977.62</f>
        <v>794984.23</v>
      </c>
      <c r="O219" s="13">
        <v>1020354.29</v>
      </c>
      <c r="P219" s="9">
        <f>SUM(D219:O219)</f>
        <v>9369188.7199999988</v>
      </c>
    </row>
    <row r="220" spans="1:16" ht="15.6" x14ac:dyDescent="0.3">
      <c r="A220" s="661" t="s">
        <v>34</v>
      </c>
      <c r="B220" s="662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9">
        <f>SUM(D220:O220)</f>
        <v>0</v>
      </c>
    </row>
    <row r="221" spans="1:16" ht="15.6" x14ac:dyDescent="0.3">
      <c r="A221" s="661" t="s">
        <v>33</v>
      </c>
      <c r="B221" s="662"/>
      <c r="C221" s="11" t="s">
        <v>31</v>
      </c>
      <c r="D221" s="13">
        <v>30984130.559999999</v>
      </c>
      <c r="E221" s="13">
        <v>32496887.989999998</v>
      </c>
      <c r="F221" s="13">
        <v>19769743.719999999</v>
      </c>
      <c r="G221" s="13">
        <v>29355873.390000001</v>
      </c>
      <c r="H221" s="13">
        <v>26655525.09</v>
      </c>
      <c r="I221" s="13">
        <v>78082.25</v>
      </c>
      <c r="J221" s="13">
        <v>78082.25</v>
      </c>
      <c r="K221" s="13">
        <v>79052.740000000005</v>
      </c>
      <c r="L221" s="13">
        <v>95748.13</v>
      </c>
      <c r="M221" s="13">
        <v>74937.27</v>
      </c>
      <c r="N221" s="13">
        <v>78082.25</v>
      </c>
      <c r="O221" s="13">
        <v>59212.37</v>
      </c>
      <c r="P221" s="9">
        <f>SUM(D221:O221)</f>
        <v>139805358.01000002</v>
      </c>
    </row>
    <row r="222" spans="1:16" ht="15.6" x14ac:dyDescent="0.3">
      <c r="A222" s="661" t="s">
        <v>32</v>
      </c>
      <c r="B222" s="662"/>
      <c r="C222" s="11" t="s">
        <v>31</v>
      </c>
      <c r="D222" s="13">
        <v>138867.69</v>
      </c>
      <c r="E222" s="13">
        <v>268657.46000000002</v>
      </c>
      <c r="F222" s="13">
        <v>218678.63</v>
      </c>
      <c r="G222" s="13">
        <v>227765.69</v>
      </c>
      <c r="H222" s="13">
        <v>245939.81</v>
      </c>
      <c r="I222" s="13">
        <v>268657.46000000002</v>
      </c>
      <c r="J222" s="13">
        <v>168699.8</v>
      </c>
      <c r="K222" s="13">
        <v>118720.97</v>
      </c>
      <c r="L222" s="13">
        <v>82372.73</v>
      </c>
      <c r="M222" s="13">
        <v>64198.61</v>
      </c>
      <c r="N222" s="13">
        <v>118720.97</v>
      </c>
      <c r="O222" s="13">
        <v>19957.759999999998</v>
      </c>
      <c r="P222" s="9">
        <f>SUM(D222:O222)</f>
        <v>1941237.58</v>
      </c>
    </row>
    <row r="223" spans="1:16" ht="15.6" x14ac:dyDescent="0.3">
      <c r="A223" s="647" t="s">
        <v>36</v>
      </c>
      <c r="B223" s="648"/>
      <c r="C223" s="11" t="s">
        <v>31</v>
      </c>
      <c r="D223" s="12">
        <f t="shared" ref="D223:N223" si="169">SUM(D219:D222)</f>
        <v>31531847.949999999</v>
      </c>
      <c r="E223" s="10">
        <f t="shared" si="169"/>
        <v>33409381.919999998</v>
      </c>
      <c r="F223" s="10">
        <f t="shared" si="169"/>
        <v>20836538.699999999</v>
      </c>
      <c r="G223" s="10">
        <f t="shared" si="169"/>
        <v>30269169.870000001</v>
      </c>
      <c r="H223" s="10">
        <f t="shared" si="169"/>
        <v>27755793.27</v>
      </c>
      <c r="I223" s="10">
        <f t="shared" si="169"/>
        <v>1176425.6300000001</v>
      </c>
      <c r="J223" s="14">
        <f t="shared" si="169"/>
        <v>1136055.53</v>
      </c>
      <c r="K223" s="14">
        <f t="shared" si="169"/>
        <v>1098225.1300000001</v>
      </c>
      <c r="L223" s="14">
        <f t="shared" si="169"/>
        <v>984463.43</v>
      </c>
      <c r="M223" s="14">
        <f t="shared" si="169"/>
        <v>826571.01</v>
      </c>
      <c r="N223" s="14">
        <f t="shared" si="169"/>
        <v>991787.45</v>
      </c>
      <c r="O223" s="14">
        <v>1099524.4200000002</v>
      </c>
      <c r="P223" s="9">
        <f>SUM(D223:O223)</f>
        <v>151115784.30999997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70">SUM(D225:O225)</f>
        <v>0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70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9">
        <f t="shared" si="170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70"/>
        <v>0</v>
      </c>
    </row>
    <row r="229" spans="1:16" ht="15.6" x14ac:dyDescent="0.3">
      <c r="A229" s="647" t="s">
        <v>212</v>
      </c>
      <c r="B229" s="648"/>
      <c r="C229" s="11" t="s">
        <v>31</v>
      </c>
      <c r="D229" s="555">
        <f>158.5+2392000</f>
        <v>2392158.5</v>
      </c>
      <c r="E229" s="555">
        <f>222240+2438500</f>
        <v>2660740</v>
      </c>
      <c r="F229" s="13">
        <f>252900+2214300</f>
        <v>2467200</v>
      </c>
      <c r="G229" s="13">
        <f>371300+3215000+10000</f>
        <v>3596300</v>
      </c>
      <c r="H229" s="13">
        <f>332780+3132000+33098039.76</f>
        <v>36562819.760000005</v>
      </c>
      <c r="I229" s="13">
        <f>333700+30200000+3071000</f>
        <v>33604700</v>
      </c>
      <c r="J229" s="586">
        <f>310880+30000000+3065000</f>
        <v>33375880</v>
      </c>
      <c r="K229" s="586">
        <f>15300+252700+30512000+3223500</f>
        <v>34003500</v>
      </c>
      <c r="L229" s="14">
        <v>36950680</v>
      </c>
      <c r="M229" s="14">
        <v>3431835.68</v>
      </c>
      <c r="N229" s="584">
        <f>255900+32500000+3079000</f>
        <v>35834900</v>
      </c>
      <c r="O229" s="14">
        <v>35932500</v>
      </c>
      <c r="P229" s="9">
        <f t="shared" si="170"/>
        <v>260813213.94</v>
      </c>
    </row>
    <row r="230" spans="1:16" ht="15.6" x14ac:dyDescent="0.3">
      <c r="A230" s="76" t="s">
        <v>213</v>
      </c>
      <c r="B230" s="119"/>
      <c r="C230" s="11" t="s">
        <v>31</v>
      </c>
      <c r="D230" s="12">
        <f>D223+D229</f>
        <v>33924006.450000003</v>
      </c>
      <c r="E230" s="12">
        <f t="shared" ref="E230:N230" si="171">E223+E229</f>
        <v>36070121.920000002</v>
      </c>
      <c r="F230" s="12">
        <f t="shared" si="171"/>
        <v>23303738.699999999</v>
      </c>
      <c r="G230" s="12">
        <f t="shared" si="171"/>
        <v>33865469.870000005</v>
      </c>
      <c r="H230" s="12">
        <f t="shared" si="171"/>
        <v>64318613.030000001</v>
      </c>
      <c r="I230" s="12">
        <f t="shared" si="171"/>
        <v>34781125.630000003</v>
      </c>
      <c r="J230" s="12">
        <f t="shared" si="171"/>
        <v>34511935.530000001</v>
      </c>
      <c r="K230" s="12">
        <f t="shared" si="171"/>
        <v>35101725.130000003</v>
      </c>
      <c r="L230" s="12">
        <f t="shared" si="171"/>
        <v>37935143.43</v>
      </c>
      <c r="M230" s="12">
        <f t="shared" si="171"/>
        <v>4258406.6900000004</v>
      </c>
      <c r="N230" s="12">
        <f t="shared" si="171"/>
        <v>36826687.450000003</v>
      </c>
      <c r="O230" s="12">
        <v>37032024.420000002</v>
      </c>
      <c r="P230" s="9">
        <f t="shared" si="170"/>
        <v>411928998.25000006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f>5598.48+16513</f>
        <v>22111.48</v>
      </c>
      <c r="E232" s="13">
        <f>8397.72+28732.62</f>
        <v>37130.339999999997</v>
      </c>
      <c r="F232" s="13">
        <f>8397.72+30218.79</f>
        <v>38616.51</v>
      </c>
      <c r="G232" s="13">
        <f>8397.72+30714.18</f>
        <v>39111.9</v>
      </c>
      <c r="H232" s="13">
        <f>8397.72+32200.35</f>
        <v>40598.07</v>
      </c>
      <c r="I232" s="13">
        <f>7697+33191.13</f>
        <v>40888.129999999997</v>
      </c>
      <c r="J232" s="13">
        <f>7697.91+32695.74</f>
        <v>40393.65</v>
      </c>
      <c r="K232" s="13">
        <f>7697.91+36658.86</f>
        <v>44356.770000000004</v>
      </c>
      <c r="L232" s="13">
        <v>45347.55</v>
      </c>
      <c r="M232" s="13">
        <v>44356.770000000004</v>
      </c>
      <c r="N232" s="13">
        <f>7697.91+38640.42</f>
        <v>46338.33</v>
      </c>
      <c r="O232" s="13">
        <v>47824.5</v>
      </c>
      <c r="P232" s="9">
        <f>SUM(D232:O232)</f>
        <v>487074</v>
      </c>
    </row>
    <row r="233" spans="1:16" ht="15.6" x14ac:dyDescent="0.3">
      <c r="A233" s="661" t="s">
        <v>28</v>
      </c>
      <c r="B233" s="662"/>
      <c r="C233" s="11" t="s">
        <v>18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9">
        <f>SUM(D233:O233)</f>
        <v>0</v>
      </c>
    </row>
    <row r="234" spans="1:16" ht="15.6" x14ac:dyDescent="0.3">
      <c r="A234" s="661" t="s">
        <v>27</v>
      </c>
      <c r="B234" s="662"/>
      <c r="C234" s="11" t="s">
        <v>18</v>
      </c>
      <c r="D234" s="13">
        <v>14397.25</v>
      </c>
      <c r="E234" s="13">
        <v>21595.91</v>
      </c>
      <c r="F234" s="13">
        <v>21595.91</v>
      </c>
      <c r="G234" s="13">
        <v>21595.91</v>
      </c>
      <c r="H234" s="13">
        <v>21595.91</v>
      </c>
      <c r="I234" s="13">
        <v>6170.26</v>
      </c>
      <c r="J234" s="13">
        <v>6170.26</v>
      </c>
      <c r="K234" s="13">
        <v>6170.26</v>
      </c>
      <c r="L234" s="13">
        <v>6170.26</v>
      </c>
      <c r="M234" s="13">
        <v>6170.26</v>
      </c>
      <c r="N234" s="13">
        <v>6170.26</v>
      </c>
      <c r="O234" s="13">
        <v>6170.26</v>
      </c>
      <c r="P234" s="9">
        <f>SUM(D234:O234)</f>
        <v>143972.71000000002</v>
      </c>
    </row>
    <row r="235" spans="1:16" ht="15.6" x14ac:dyDescent="0.3">
      <c r="A235" s="661" t="s">
        <v>26</v>
      </c>
      <c r="B235" s="662"/>
      <c r="C235" s="11" t="s">
        <v>18</v>
      </c>
      <c r="D235" s="13">
        <v>2810.51</v>
      </c>
      <c r="E235" s="13">
        <v>4215.7700000000004</v>
      </c>
      <c r="F235" s="13">
        <v>4215.7700000000004</v>
      </c>
      <c r="G235" s="13">
        <v>4215.7700000000004</v>
      </c>
      <c r="H235" s="13">
        <v>4215.7700000000004</v>
      </c>
      <c r="I235" s="13">
        <v>4215.7700000000004</v>
      </c>
      <c r="J235" s="13">
        <v>4215.7700000000004</v>
      </c>
      <c r="K235" s="13">
        <v>4215.7700000000004</v>
      </c>
      <c r="L235" s="13">
        <v>4215.7700000000004</v>
      </c>
      <c r="M235" s="13">
        <v>4215.7700000000004</v>
      </c>
      <c r="N235" s="13">
        <v>4215.7700000000004</v>
      </c>
      <c r="O235" s="13">
        <v>4215.7700000000004</v>
      </c>
      <c r="P235" s="9">
        <f>SUM(D235:O235)</f>
        <v>49183.98000000001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N236" si="172">SUM(D232:D235)</f>
        <v>39319.24</v>
      </c>
      <c r="E236" s="12">
        <f t="shared" si="172"/>
        <v>62942.020000000004</v>
      </c>
      <c r="F236" s="12">
        <f t="shared" si="172"/>
        <v>64428.19</v>
      </c>
      <c r="G236" s="12">
        <f t="shared" si="172"/>
        <v>64923.58</v>
      </c>
      <c r="H236" s="12">
        <f t="shared" si="172"/>
        <v>66409.75</v>
      </c>
      <c r="I236" s="12">
        <f t="shared" si="172"/>
        <v>51274.16</v>
      </c>
      <c r="J236" s="12">
        <f t="shared" si="172"/>
        <v>50779.680000000008</v>
      </c>
      <c r="K236" s="12">
        <f t="shared" si="172"/>
        <v>54742.8</v>
      </c>
      <c r="L236" s="12">
        <f t="shared" si="172"/>
        <v>55733.58</v>
      </c>
      <c r="M236" s="12">
        <f t="shared" si="172"/>
        <v>54742.8</v>
      </c>
      <c r="N236" s="12">
        <f t="shared" si="172"/>
        <v>56724.36</v>
      </c>
      <c r="O236" s="12">
        <v>58210.53</v>
      </c>
      <c r="P236" s="40">
        <f t="shared" ref="P236" si="173">SUM(P232:P235)</f>
        <v>680230.69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f>10716+44650</f>
        <v>55366</v>
      </c>
      <c r="E238" s="13">
        <f>10716+51794</f>
        <v>62510</v>
      </c>
      <c r="F238" s="13">
        <f>10716+54473</f>
        <v>65189</v>
      </c>
      <c r="G238" s="13">
        <f>10716+55366</f>
        <v>66082</v>
      </c>
      <c r="H238" s="13">
        <f>10716+58045</f>
        <v>68761</v>
      </c>
      <c r="I238" s="13">
        <f>9823+59831</f>
        <v>69654</v>
      </c>
      <c r="J238" s="13">
        <v>68761</v>
      </c>
      <c r="K238" s="13">
        <f>9823+66082</f>
        <v>75905</v>
      </c>
      <c r="L238" s="13">
        <v>77691</v>
      </c>
      <c r="M238" s="13">
        <v>75905</v>
      </c>
      <c r="N238" s="13">
        <f>9823+69654</f>
        <v>79477</v>
      </c>
      <c r="O238" s="13">
        <v>82156</v>
      </c>
      <c r="P238" s="9">
        <f>SUM(D238:O238)</f>
        <v>847457</v>
      </c>
    </row>
    <row r="239" spans="1:16" ht="15.6" x14ac:dyDescent="0.3">
      <c r="A239" s="661" t="s">
        <v>22</v>
      </c>
      <c r="B239" s="662"/>
      <c r="C239" s="11" t="s">
        <v>18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9">
        <f>SUM(D239:O239)</f>
        <v>0</v>
      </c>
    </row>
    <row r="240" spans="1:16" ht="15.6" x14ac:dyDescent="0.3">
      <c r="A240" s="661" t="s">
        <v>21</v>
      </c>
      <c r="B240" s="662"/>
      <c r="C240" s="11" t="s">
        <v>18</v>
      </c>
      <c r="D240" s="15">
        <v>6251</v>
      </c>
      <c r="E240" s="15">
        <v>6251</v>
      </c>
      <c r="F240" s="15">
        <v>6251</v>
      </c>
      <c r="G240" s="15">
        <v>6251</v>
      </c>
      <c r="H240" s="15">
        <v>6251</v>
      </c>
      <c r="I240" s="15">
        <v>1785</v>
      </c>
      <c r="J240" s="15">
        <v>1786</v>
      </c>
      <c r="K240" s="15">
        <v>1786</v>
      </c>
      <c r="L240" s="15">
        <v>1786</v>
      </c>
      <c r="M240" s="15">
        <v>1786</v>
      </c>
      <c r="N240" s="15">
        <v>1786</v>
      </c>
      <c r="O240" s="15">
        <v>1786</v>
      </c>
      <c r="P240" s="9">
        <f>SUM(D240:O240)</f>
        <v>43756</v>
      </c>
    </row>
    <row r="241" spans="1:16" ht="15.6" x14ac:dyDescent="0.3">
      <c r="A241" s="661" t="s">
        <v>20</v>
      </c>
      <c r="B241" s="662"/>
      <c r="C241" s="11" t="s">
        <v>18</v>
      </c>
      <c r="D241" s="15">
        <v>893</v>
      </c>
      <c r="E241" s="15">
        <v>893</v>
      </c>
      <c r="F241" s="15">
        <v>893</v>
      </c>
      <c r="G241" s="15">
        <v>8931</v>
      </c>
      <c r="H241" s="15">
        <v>893</v>
      </c>
      <c r="I241" s="15">
        <v>893</v>
      </c>
      <c r="J241" s="15">
        <v>893</v>
      </c>
      <c r="K241" s="15">
        <v>893</v>
      </c>
      <c r="L241" s="15">
        <v>893</v>
      </c>
      <c r="M241" s="15">
        <v>893</v>
      </c>
      <c r="N241" s="15">
        <v>893</v>
      </c>
      <c r="O241" s="15">
        <v>893</v>
      </c>
      <c r="P241" s="9">
        <f>SUM(D241:O241)</f>
        <v>18754</v>
      </c>
    </row>
    <row r="242" spans="1:16" ht="15.6" x14ac:dyDescent="0.3">
      <c r="A242" s="647" t="s">
        <v>19</v>
      </c>
      <c r="B242" s="648"/>
      <c r="C242" s="11" t="s">
        <v>18</v>
      </c>
      <c r="D242" s="12">
        <f>SUM(D238:D241)</f>
        <v>62510</v>
      </c>
      <c r="E242" s="12">
        <f t="shared" ref="E242:P242" si="174">SUM(E238:E241)</f>
        <v>69654</v>
      </c>
      <c r="F242" s="12">
        <f t="shared" si="174"/>
        <v>72333</v>
      </c>
      <c r="G242" s="12">
        <f t="shared" si="174"/>
        <v>81264</v>
      </c>
      <c r="H242" s="12">
        <f t="shared" si="174"/>
        <v>75905</v>
      </c>
      <c r="I242" s="12">
        <f t="shared" si="174"/>
        <v>72332</v>
      </c>
      <c r="J242" s="12">
        <f t="shared" si="174"/>
        <v>71440</v>
      </c>
      <c r="K242" s="12">
        <f t="shared" si="174"/>
        <v>78584</v>
      </c>
      <c r="L242" s="12">
        <f t="shared" si="174"/>
        <v>80370</v>
      </c>
      <c r="M242" s="12">
        <f t="shared" si="174"/>
        <v>78584</v>
      </c>
      <c r="N242" s="12">
        <f t="shared" si="174"/>
        <v>82156</v>
      </c>
      <c r="O242" s="12">
        <v>84835</v>
      </c>
      <c r="P242" s="40">
        <f t="shared" si="174"/>
        <v>909967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34025835.690000005</v>
      </c>
      <c r="E243" s="10">
        <f t="shared" ref="E243:N243" si="175">E230+E236+E242</f>
        <v>36202717.940000005</v>
      </c>
      <c r="F243" s="10">
        <f t="shared" si="175"/>
        <v>23440499.890000001</v>
      </c>
      <c r="G243" s="10">
        <f t="shared" si="175"/>
        <v>34011657.450000003</v>
      </c>
      <c r="H243" s="10">
        <f t="shared" si="175"/>
        <v>64460927.780000001</v>
      </c>
      <c r="I243" s="10">
        <f t="shared" si="175"/>
        <v>34904731.789999999</v>
      </c>
      <c r="J243" s="10">
        <f t="shared" si="175"/>
        <v>34634155.210000001</v>
      </c>
      <c r="K243" s="10">
        <f t="shared" si="175"/>
        <v>35235051.93</v>
      </c>
      <c r="L243" s="10">
        <f t="shared" si="175"/>
        <v>38071247.009999998</v>
      </c>
      <c r="M243" s="10">
        <f t="shared" si="175"/>
        <v>4391733.49</v>
      </c>
      <c r="N243" s="10">
        <f t="shared" si="175"/>
        <v>36965567.810000002</v>
      </c>
      <c r="O243" s="10">
        <v>37175069.950000003</v>
      </c>
      <c r="P243" s="40">
        <f t="shared" ref="P243" si="176">P216+P223+P236+P242</f>
        <v>411748700.02999997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56">
        <f>146367577.39-D246</f>
        <v>3772372.619999975</v>
      </c>
      <c r="E245" s="154">
        <f>146509768.26-E246</f>
        <v>4050509</v>
      </c>
      <c r="F245" s="154">
        <f>2181784.05</f>
        <v>2181784.0499999998</v>
      </c>
      <c r="G245" s="154">
        <v>5114621.66</v>
      </c>
      <c r="H245" s="154">
        <v>5481924.9500000002</v>
      </c>
      <c r="I245" s="154">
        <f>44323839.27-I246</f>
        <v>5838300.5100000054</v>
      </c>
      <c r="J245" s="154">
        <v>7187075.04</v>
      </c>
      <c r="K245" s="156">
        <v>7923187.29</v>
      </c>
      <c r="L245" s="156">
        <v>7956477.2999999998</v>
      </c>
      <c r="M245" s="156">
        <v>6875216</v>
      </c>
      <c r="N245" s="156">
        <v>7286520.1100000003</v>
      </c>
      <c r="O245" s="156">
        <v>-292637168.90999997</v>
      </c>
      <c r="P245" s="165">
        <f>O245</f>
        <v>-292637168.90999997</v>
      </c>
    </row>
    <row r="246" spans="1:16" ht="15.6" x14ac:dyDescent="0.3">
      <c r="A246" s="657" t="s">
        <v>206</v>
      </c>
      <c r="B246" s="658"/>
      <c r="C246" s="11" t="s">
        <v>18</v>
      </c>
      <c r="D246" s="556">
        <v>142595204.77000001</v>
      </c>
      <c r="E246" s="154">
        <v>142459259.25999999</v>
      </c>
      <c r="F246" s="154">
        <v>162141524.88</v>
      </c>
      <c r="G246" s="154">
        <v>191125551.08000001</v>
      </c>
      <c r="H246" s="154">
        <v>217965505.81</v>
      </c>
      <c r="I246" s="154">
        <v>38485538.759999998</v>
      </c>
      <c r="J246" s="154">
        <v>21164316.82</v>
      </c>
      <c r="K246" s="156">
        <v>75493230.659999996</v>
      </c>
      <c r="L246" s="156">
        <v>75493230.659999996</v>
      </c>
      <c r="M246" s="156">
        <v>909367.67</v>
      </c>
      <c r="N246" s="156">
        <v>1016806.37</v>
      </c>
      <c r="O246" s="156">
        <v>1125285.1100000001</v>
      </c>
      <c r="P246" s="165">
        <f>O246</f>
        <v>1125285.1100000001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146367577.38999999</v>
      </c>
      <c r="E247" s="142">
        <f>E245+E246</f>
        <v>146509768.25999999</v>
      </c>
      <c r="F247" s="142">
        <f t="shared" ref="F247:P247" si="177">F245+F246</f>
        <v>164323308.93000001</v>
      </c>
      <c r="G247" s="142">
        <f t="shared" si="177"/>
        <v>196240172.74000001</v>
      </c>
      <c r="H247" s="142">
        <f t="shared" si="177"/>
        <v>223447430.75999999</v>
      </c>
      <c r="I247" s="142">
        <f t="shared" si="177"/>
        <v>44323839.270000003</v>
      </c>
      <c r="J247" s="142">
        <f t="shared" si="177"/>
        <v>28351391.859999999</v>
      </c>
      <c r="K247" s="142">
        <f t="shared" si="177"/>
        <v>83416417.950000003</v>
      </c>
      <c r="L247" s="142">
        <f t="shared" si="177"/>
        <v>83449707.959999993</v>
      </c>
      <c r="M247" s="142">
        <f t="shared" si="177"/>
        <v>7784583.6699999999</v>
      </c>
      <c r="N247" s="156">
        <f t="shared" si="177"/>
        <v>8303326.4800000004</v>
      </c>
      <c r="O247" s="156">
        <v>-291511883.79999995</v>
      </c>
      <c r="P247" s="165">
        <f t="shared" si="177"/>
        <v>-291511883.79999995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8">
        <f>D58/D243</f>
        <v>0.11446670462364768</v>
      </c>
      <c r="E249" s="8">
        <f t="shared" ref="E249:F249" si="178">E58/E243</f>
        <v>9.9849355122755168E-2</v>
      </c>
      <c r="F249" s="8">
        <f t="shared" si="178"/>
        <v>0.13012509431598132</v>
      </c>
      <c r="G249" s="8">
        <f t="shared" ref="G249:P249" si="179">G58/G243%</f>
        <v>9.7853632828470101</v>
      </c>
      <c r="H249" s="8">
        <f t="shared" si="179"/>
        <v>5.2939825069641584</v>
      </c>
      <c r="I249" s="8">
        <f t="shared" si="179"/>
        <v>9.6106883536090351</v>
      </c>
      <c r="J249" s="8">
        <f t="shared" si="179"/>
        <v>9.632391746736646</v>
      </c>
      <c r="K249" s="8">
        <f t="shared" si="179"/>
        <v>9.888816569426865</v>
      </c>
      <c r="L249" s="8">
        <f t="shared" si="179"/>
        <v>10.411314579369751</v>
      </c>
      <c r="M249" s="8">
        <f t="shared" si="179"/>
        <v>114.82488037997952</v>
      </c>
      <c r="N249" s="8">
        <f t="shared" si="179"/>
        <v>3.7044097294497904</v>
      </c>
      <c r="O249" s="8">
        <v>4.5257841606294003</v>
      </c>
      <c r="P249" s="111">
        <f t="shared" si="179"/>
        <v>9.6014648618488803</v>
      </c>
    </row>
    <row r="250" spans="1:16" ht="15.6" x14ac:dyDescent="0.3">
      <c r="A250" s="643" t="s">
        <v>208</v>
      </c>
      <c r="B250" s="644"/>
      <c r="C250" s="5" t="s">
        <v>6</v>
      </c>
      <c r="D250" s="29">
        <f>D210/(D223+D245)</f>
        <v>5.4384432484300025E-3</v>
      </c>
      <c r="E250" s="29">
        <f t="shared" ref="E250:F250" si="180">E210/(E223+E245)</f>
        <v>0.88908133398269906</v>
      </c>
      <c r="F250" s="29">
        <f t="shared" si="180"/>
        <v>2.9153948238908937E-2</v>
      </c>
      <c r="G250" s="29">
        <f t="shared" ref="G250:P250" si="181">G210/(G223+G245)%</f>
        <v>1.0840436352751708</v>
      </c>
      <c r="H250" s="29">
        <f t="shared" si="181"/>
        <v>428.92475968526338</v>
      </c>
      <c r="I250" s="29">
        <f t="shared" si="181"/>
        <v>2038.0113227057489</v>
      </c>
      <c r="J250" s="29">
        <f t="shared" si="181"/>
        <v>1.6940741084637341</v>
      </c>
      <c r="K250" s="29">
        <f t="shared" si="181"/>
        <v>3.5970088151673258</v>
      </c>
      <c r="L250" s="29">
        <f t="shared" si="181"/>
        <v>6.2095479297512348</v>
      </c>
      <c r="M250" s="29">
        <f t="shared" si="181"/>
        <v>1249.9252040468982</v>
      </c>
      <c r="N250" s="29">
        <f t="shared" si="181"/>
        <v>6.1939759580519853</v>
      </c>
      <c r="O250" s="29">
        <v>-0.10679581381150921</v>
      </c>
      <c r="P250" s="108">
        <f t="shared" si="181"/>
        <v>-295.49501234176029</v>
      </c>
    </row>
    <row r="251" spans="1:16" ht="16.2" thickBot="1" x14ac:dyDescent="0.35">
      <c r="A251" s="652" t="s">
        <v>15</v>
      </c>
      <c r="B251" s="653"/>
      <c r="C251" s="5" t="s">
        <v>6</v>
      </c>
      <c r="D251" s="29">
        <f>D210/D223</f>
        <v>6.0890817532944499E-3</v>
      </c>
      <c r="E251" s="29">
        <f t="shared" ref="E251:F251" si="182">E210/E223</f>
        <v>0.99687237165146581</v>
      </c>
      <c r="F251" s="29">
        <f t="shared" si="182"/>
        <v>3.2206644283006562E-2</v>
      </c>
      <c r="G251" s="7">
        <f t="shared" ref="G251:P251" si="183">G210/G223%</f>
        <v>1.2672159218352557</v>
      </c>
      <c r="H251" s="7">
        <f t="shared" si="183"/>
        <v>513.63980705999836</v>
      </c>
      <c r="I251" s="7">
        <f t="shared" si="183"/>
        <v>12152.141992180161</v>
      </c>
      <c r="J251" s="7">
        <f t="shared" si="183"/>
        <v>12.41136513811081</v>
      </c>
      <c r="K251" s="7">
        <f t="shared" si="183"/>
        <v>29.5477667680032</v>
      </c>
      <c r="L251" s="7">
        <f t="shared" si="183"/>
        <v>56.39539093900116</v>
      </c>
      <c r="M251" s="7">
        <f t="shared" si="183"/>
        <v>11646.498103048641</v>
      </c>
      <c r="N251" s="7">
        <f t="shared" si="183"/>
        <v>51.700228713319575</v>
      </c>
      <c r="O251" s="7">
        <v>28.316788089163129</v>
      </c>
      <c r="P251" s="112">
        <f t="shared" si="183"/>
        <v>276.73391949058407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" customHeight="1" x14ac:dyDescent="0.3">
      <c r="A253" s="643" t="s">
        <v>13</v>
      </c>
      <c r="B253" s="644"/>
      <c r="C253" s="5" t="s">
        <v>3</v>
      </c>
      <c r="D253" s="4">
        <v>5</v>
      </c>
      <c r="E253" s="4">
        <v>11</v>
      </c>
      <c r="F253" s="4">
        <v>5</v>
      </c>
      <c r="G253" s="4">
        <v>0</v>
      </c>
      <c r="H253" s="4">
        <v>6</v>
      </c>
      <c r="I253" s="4">
        <v>1</v>
      </c>
      <c r="J253" s="4">
        <v>2</v>
      </c>
      <c r="K253" s="4">
        <v>2</v>
      </c>
      <c r="L253" s="155">
        <v>4</v>
      </c>
      <c r="M253" s="155">
        <v>6</v>
      </c>
      <c r="N253" s="4">
        <v>1</v>
      </c>
      <c r="O253" s="155">
        <v>1</v>
      </c>
      <c r="P253" s="113">
        <f>SUM(D253:O253)</f>
        <v>44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3</v>
      </c>
      <c r="E254" s="4">
        <v>7</v>
      </c>
      <c r="F254" s="4">
        <v>3</v>
      </c>
      <c r="G254" s="4">
        <v>0</v>
      </c>
      <c r="H254" s="4">
        <v>3</v>
      </c>
      <c r="I254" s="4">
        <v>1</v>
      </c>
      <c r="J254" s="4">
        <v>1</v>
      </c>
      <c r="K254" s="4">
        <v>1</v>
      </c>
      <c r="L254" s="155">
        <v>2</v>
      </c>
      <c r="M254" s="155">
        <v>5</v>
      </c>
      <c r="N254" s="4">
        <v>1</v>
      </c>
      <c r="O254" s="155">
        <v>1</v>
      </c>
      <c r="P254" s="113">
        <f>SUM(D254:O254)</f>
        <v>28</v>
      </c>
    </row>
    <row r="255" spans="1:16" ht="15.75" customHeight="1" x14ac:dyDescent="0.3">
      <c r="A255" s="643" t="s">
        <v>11</v>
      </c>
      <c r="B255" s="644"/>
      <c r="C255" s="5" t="s">
        <v>3</v>
      </c>
      <c r="D255" s="4">
        <v>5</v>
      </c>
      <c r="E255" s="4">
        <v>11</v>
      </c>
      <c r="F255" s="4">
        <v>5</v>
      </c>
      <c r="G255" s="4">
        <v>4</v>
      </c>
      <c r="H255" s="4">
        <v>14</v>
      </c>
      <c r="I255" s="4">
        <v>1</v>
      </c>
      <c r="J255" s="4">
        <v>2</v>
      </c>
      <c r="K255" s="4">
        <v>2</v>
      </c>
      <c r="L255" s="155">
        <v>4</v>
      </c>
      <c r="M255" s="155">
        <f t="shared" ref="M255:N255" si="184">M95</f>
        <v>8</v>
      </c>
      <c r="N255" s="155">
        <f t="shared" si="184"/>
        <v>7</v>
      </c>
      <c r="O255" s="155">
        <v>5</v>
      </c>
      <c r="P255" s="113">
        <f>SUM(D255:O255)</f>
        <v>68</v>
      </c>
    </row>
    <row r="256" spans="1:16" ht="15.6" x14ac:dyDescent="0.3">
      <c r="A256" s="643" t="s">
        <v>10</v>
      </c>
      <c r="B256" s="644"/>
      <c r="C256" s="5" t="s">
        <v>3</v>
      </c>
      <c r="D256" s="4">
        <v>10</v>
      </c>
      <c r="E256" s="4">
        <v>21</v>
      </c>
      <c r="F256" s="4">
        <v>9</v>
      </c>
      <c r="G256" s="4">
        <v>4</v>
      </c>
      <c r="H256" s="4">
        <v>11</v>
      </c>
      <c r="I256" s="4">
        <v>4</v>
      </c>
      <c r="J256" s="4">
        <v>2</v>
      </c>
      <c r="K256" s="4">
        <v>2</v>
      </c>
      <c r="L256" s="155">
        <v>6</v>
      </c>
      <c r="M256" s="155">
        <f t="shared" ref="M256:N256" si="185">M91</f>
        <v>5</v>
      </c>
      <c r="N256" s="155">
        <f t="shared" si="185"/>
        <v>1</v>
      </c>
      <c r="O256" s="155">
        <v>1</v>
      </c>
      <c r="P256" s="113">
        <f>SUM(D256:O256)</f>
        <v>76</v>
      </c>
    </row>
    <row r="257" spans="1:16" ht="15.6" customHeight="1" x14ac:dyDescent="0.3">
      <c r="A257" s="643" t="s">
        <v>9</v>
      </c>
      <c r="B257" s="644"/>
      <c r="C257" s="5" t="s">
        <v>3</v>
      </c>
      <c r="D257" s="4">
        <v>1</v>
      </c>
      <c r="E257" s="4">
        <v>10</v>
      </c>
      <c r="F257" s="4">
        <v>30</v>
      </c>
      <c r="G257" s="4">
        <v>1</v>
      </c>
      <c r="H257" s="4">
        <v>3</v>
      </c>
      <c r="I257" s="4">
        <v>5</v>
      </c>
      <c r="J257" s="4">
        <v>4</v>
      </c>
      <c r="K257" s="4">
        <v>2</v>
      </c>
      <c r="L257" s="155">
        <v>1</v>
      </c>
      <c r="M257" s="155">
        <v>14</v>
      </c>
      <c r="N257" s="4">
        <v>1</v>
      </c>
      <c r="O257" s="155">
        <v>1</v>
      </c>
      <c r="P257" s="113">
        <f>SUM(D257:O257)</f>
        <v>73</v>
      </c>
    </row>
    <row r="258" spans="1:16" ht="15.6" x14ac:dyDescent="0.3">
      <c r="A258" s="647" t="s">
        <v>8</v>
      </c>
      <c r="B258" s="648"/>
      <c r="C258" s="5" t="s">
        <v>3</v>
      </c>
      <c r="D258" s="1">
        <f t="shared" ref="D258:P258" si="186">D257/D256</f>
        <v>0.1</v>
      </c>
      <c r="E258" s="1">
        <f t="shared" si="186"/>
        <v>0.47619047619047616</v>
      </c>
      <c r="F258" s="1">
        <f t="shared" si="186"/>
        <v>3.3333333333333335</v>
      </c>
      <c r="G258" s="1">
        <f t="shared" si="186"/>
        <v>0.25</v>
      </c>
      <c r="H258" s="3">
        <f t="shared" si="186"/>
        <v>0.27272727272727271</v>
      </c>
      <c r="I258" s="3">
        <f t="shared" si="186"/>
        <v>1.25</v>
      </c>
      <c r="J258" s="3">
        <f t="shared" si="186"/>
        <v>2</v>
      </c>
      <c r="K258" s="3">
        <f t="shared" si="186"/>
        <v>1</v>
      </c>
      <c r="L258" s="3">
        <f t="shared" si="186"/>
        <v>0.16666666666666666</v>
      </c>
      <c r="M258" s="3">
        <f t="shared" si="186"/>
        <v>2.8</v>
      </c>
      <c r="N258" s="3">
        <f t="shared" si="186"/>
        <v>1</v>
      </c>
      <c r="O258" s="3">
        <v>1</v>
      </c>
      <c r="P258" s="113">
        <f t="shared" si="186"/>
        <v>0.96052631578947367</v>
      </c>
    </row>
    <row r="259" spans="1:16" ht="15.6" x14ac:dyDescent="0.3">
      <c r="A259" s="647" t="s">
        <v>7</v>
      </c>
      <c r="B259" s="648"/>
      <c r="C259" s="5" t="s">
        <v>6</v>
      </c>
      <c r="D259" s="1">
        <f t="shared" ref="D259:P259" si="187">D92/D255*100</f>
        <v>0</v>
      </c>
      <c r="E259" s="1">
        <f>E92/E255*100</f>
        <v>72.727272727272734</v>
      </c>
      <c r="F259" s="1">
        <f t="shared" si="187"/>
        <v>20</v>
      </c>
      <c r="G259" s="161">
        <f t="shared" si="187"/>
        <v>25</v>
      </c>
      <c r="H259" s="6">
        <f t="shared" si="187"/>
        <v>21.428571428571427</v>
      </c>
      <c r="I259" s="161">
        <f t="shared" si="187"/>
        <v>300</v>
      </c>
      <c r="J259" s="6">
        <f t="shared" si="187"/>
        <v>100</v>
      </c>
      <c r="K259" s="6">
        <f t="shared" si="187"/>
        <v>400</v>
      </c>
      <c r="L259" s="6">
        <f t="shared" si="187"/>
        <v>75</v>
      </c>
      <c r="M259" s="6">
        <f t="shared" si="187"/>
        <v>37.5</v>
      </c>
      <c r="N259" s="6">
        <f t="shared" si="187"/>
        <v>28.571428571428569</v>
      </c>
      <c r="O259" s="6">
        <v>60</v>
      </c>
      <c r="P259" s="114">
        <f t="shared" si="187"/>
        <v>54.411764705882348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" customHeight="1" x14ac:dyDescent="0.3">
      <c r="A261" s="643" t="s">
        <v>4</v>
      </c>
      <c r="B261" s="644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/>
      <c r="I261" s="4"/>
      <c r="J261" s="4"/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0">
        <f>SUM(D261:O261)</f>
        <v>5</v>
      </c>
    </row>
    <row r="262" spans="1:16" s="2" customFormat="1" ht="15.75" customHeight="1" x14ac:dyDescent="0.3">
      <c r="A262" s="643" t="s">
        <v>2</v>
      </c>
      <c r="B262" s="644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/>
      <c r="I262" s="4"/>
      <c r="J262" s="4"/>
      <c r="K262" s="4">
        <v>4</v>
      </c>
      <c r="L262" s="4">
        <v>1</v>
      </c>
      <c r="M262" s="4">
        <v>1</v>
      </c>
      <c r="N262" s="4">
        <v>2</v>
      </c>
      <c r="O262" s="4">
        <v>1</v>
      </c>
      <c r="P262" s="40">
        <f>SUM(D262:O262)</f>
        <v>9</v>
      </c>
    </row>
    <row r="263" spans="1:16" ht="16.2" thickBot="1" x14ac:dyDescent="0.35">
      <c r="A263" s="645" t="s">
        <v>1</v>
      </c>
      <c r="B263" s="646"/>
      <c r="C263" s="115" t="s">
        <v>0</v>
      </c>
      <c r="D263" s="116" t="e">
        <f t="shared" ref="D263:N263" si="188">D261/D262</f>
        <v>#DIV/0!</v>
      </c>
      <c r="E263" s="116" t="e">
        <f t="shared" si="188"/>
        <v>#DIV/0!</v>
      </c>
      <c r="F263" s="116" t="e">
        <f t="shared" si="188"/>
        <v>#DIV/0!</v>
      </c>
      <c r="G263" s="116" t="e">
        <f t="shared" si="188"/>
        <v>#DIV/0!</v>
      </c>
      <c r="H263" s="116" t="e">
        <f t="shared" si="188"/>
        <v>#DIV/0!</v>
      </c>
      <c r="I263" s="116" t="e">
        <f t="shared" si="188"/>
        <v>#DIV/0!</v>
      </c>
      <c r="J263" s="116" t="e">
        <f t="shared" si="188"/>
        <v>#DIV/0!</v>
      </c>
      <c r="K263" s="116">
        <f t="shared" si="188"/>
        <v>0.25</v>
      </c>
      <c r="L263" s="116">
        <f t="shared" si="188"/>
        <v>1</v>
      </c>
      <c r="M263" s="116">
        <f t="shared" si="188"/>
        <v>1</v>
      </c>
      <c r="N263" s="116">
        <f t="shared" si="188"/>
        <v>0.5</v>
      </c>
      <c r="O263" s="116">
        <v>1</v>
      </c>
      <c r="P263" s="202">
        <f t="shared" ref="P263" si="189">P261/P262</f>
        <v>0.55555555555555558</v>
      </c>
    </row>
  </sheetData>
  <mergeCells count="158"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63"/>
  <sheetViews>
    <sheetView workbookViewId="0">
      <pane xSplit="3" topLeftCell="O1" activePane="topRight" state="frozen"/>
      <selection pane="top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179">
        <v>8853</v>
      </c>
      <c r="E9" s="179">
        <v>17966</v>
      </c>
      <c r="F9" s="179">
        <v>13530</v>
      </c>
      <c r="G9" s="179">
        <v>8346</v>
      </c>
      <c r="H9" s="179">
        <v>11917</v>
      </c>
      <c r="I9" s="179">
        <v>10995</v>
      </c>
      <c r="J9" s="179">
        <v>10454</v>
      </c>
      <c r="K9" s="179">
        <v>10025</v>
      </c>
      <c r="L9" s="57">
        <v>9226</v>
      </c>
      <c r="M9" s="57">
        <v>9471</v>
      </c>
      <c r="N9" s="179">
        <v>9893</v>
      </c>
      <c r="O9" s="57">
        <v>8353</v>
      </c>
      <c r="P9" s="56">
        <f>SUM(D9:O9)</f>
        <v>129029</v>
      </c>
    </row>
    <row r="10" spans="1:16" x14ac:dyDescent="0.3">
      <c r="A10" s="649" t="s">
        <v>177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f>4+512+3329</f>
        <v>3845</v>
      </c>
      <c r="E11" s="26">
        <f>7+766+13396</f>
        <v>14169</v>
      </c>
      <c r="F11" s="26">
        <f>7+789+4099</f>
        <v>4895</v>
      </c>
      <c r="G11" s="26">
        <f>8+693+3910</f>
        <v>4611</v>
      </c>
      <c r="H11" s="26">
        <f>24+705+4340</f>
        <v>5069</v>
      </c>
      <c r="I11" s="26">
        <f>10+753+5193</f>
        <v>5956</v>
      </c>
      <c r="J11" s="26">
        <v>5657</v>
      </c>
      <c r="K11" s="26">
        <v>5700</v>
      </c>
      <c r="L11" s="26">
        <v>5045</v>
      </c>
      <c r="M11" s="26">
        <v>4578</v>
      </c>
      <c r="N11" s="26">
        <f>5+593+4185</f>
        <v>4783</v>
      </c>
      <c r="O11" s="26">
        <v>4288</v>
      </c>
      <c r="P11" s="55">
        <f>SUM(D11:O11)</f>
        <v>68596</v>
      </c>
    </row>
    <row r="12" spans="1:16" ht="15.6" x14ac:dyDescent="0.3">
      <c r="A12" s="663" t="s">
        <v>156</v>
      </c>
      <c r="B12" s="664"/>
      <c r="C12" s="11" t="s">
        <v>152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5">
        <f>SUM(D12:O12)</f>
        <v>0</v>
      </c>
    </row>
    <row r="13" spans="1:16" ht="15.6" x14ac:dyDescent="0.3">
      <c r="A13" s="663" t="s">
        <v>155</v>
      </c>
      <c r="B13" s="664"/>
      <c r="C13" s="11" t="s">
        <v>152</v>
      </c>
      <c r="D13" s="26">
        <v>352</v>
      </c>
      <c r="E13" s="26">
        <v>480</v>
      </c>
      <c r="F13" s="26">
        <v>401</v>
      </c>
      <c r="G13" s="26">
        <v>63</v>
      </c>
      <c r="H13" s="26">
        <v>27</v>
      </c>
      <c r="I13" s="26">
        <v>32</v>
      </c>
      <c r="J13" s="26">
        <v>33</v>
      </c>
      <c r="K13" s="26">
        <v>31</v>
      </c>
      <c r="L13" s="26">
        <v>9</v>
      </c>
      <c r="M13" s="26">
        <v>10</v>
      </c>
      <c r="N13" s="26">
        <v>26</v>
      </c>
      <c r="O13" s="26">
        <v>14</v>
      </c>
      <c r="P13" s="55">
        <f>SUM(D13:O13)</f>
        <v>1478</v>
      </c>
    </row>
    <row r="14" spans="1:16" ht="15.6" x14ac:dyDescent="0.3">
      <c r="A14" s="661" t="s">
        <v>154</v>
      </c>
      <c r="B14" s="662"/>
      <c r="C14" s="11" t="s">
        <v>152</v>
      </c>
      <c r="D14" s="26">
        <v>53</v>
      </c>
      <c r="E14" s="26">
        <v>53</v>
      </c>
      <c r="F14" s="26">
        <v>37</v>
      </c>
      <c r="G14" s="26">
        <v>47</v>
      </c>
      <c r="H14" s="26">
        <v>45</v>
      </c>
      <c r="I14" s="26">
        <v>37</v>
      </c>
      <c r="J14" s="26">
        <v>45</v>
      </c>
      <c r="K14" s="26">
        <v>17</v>
      </c>
      <c r="L14" s="26">
        <v>21</v>
      </c>
      <c r="M14" s="26">
        <v>23</v>
      </c>
      <c r="N14" s="26">
        <v>21</v>
      </c>
      <c r="O14" s="26">
        <v>23</v>
      </c>
      <c r="P14" s="55">
        <f>SUM(D14:O14)</f>
        <v>422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P15" si="0">SUM(D11:D14)</f>
        <v>4250</v>
      </c>
      <c r="E15" s="34">
        <f t="shared" si="0"/>
        <v>14702</v>
      </c>
      <c r="F15" s="34">
        <f t="shared" si="0"/>
        <v>5333</v>
      </c>
      <c r="G15" s="34">
        <f t="shared" si="0"/>
        <v>4721</v>
      </c>
      <c r="H15" s="34">
        <f t="shared" si="0"/>
        <v>5141</v>
      </c>
      <c r="I15" s="34">
        <f t="shared" si="0"/>
        <v>6025</v>
      </c>
      <c r="J15" s="34">
        <f t="shared" si="0"/>
        <v>5735</v>
      </c>
      <c r="K15" s="34">
        <f t="shared" si="0"/>
        <v>5748</v>
      </c>
      <c r="L15" s="34">
        <f t="shared" si="0"/>
        <v>5075</v>
      </c>
      <c r="M15" s="34">
        <f t="shared" si="0"/>
        <v>4611</v>
      </c>
      <c r="N15" s="34">
        <f t="shared" si="0"/>
        <v>4830</v>
      </c>
      <c r="O15" s="34">
        <v>4325</v>
      </c>
      <c r="P15" s="55">
        <f t="shared" si="0"/>
        <v>70496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v>738</v>
      </c>
      <c r="E17" s="26">
        <f>2+684</f>
        <v>686</v>
      </c>
      <c r="F17" s="26">
        <v>911</v>
      </c>
      <c r="G17" s="26">
        <f>783</f>
        <v>783</v>
      </c>
      <c r="H17" s="26">
        <v>1421.4</v>
      </c>
      <c r="I17" s="26">
        <v>802</v>
      </c>
      <c r="J17" s="26">
        <v>992.1</v>
      </c>
      <c r="K17" s="588">
        <f>19+896.2</f>
        <v>915.2</v>
      </c>
      <c r="L17" s="26">
        <v>858</v>
      </c>
      <c r="M17" s="26">
        <v>1684</v>
      </c>
      <c r="N17" s="588">
        <v>430.3</v>
      </c>
      <c r="O17" s="26">
        <v>785.7</v>
      </c>
      <c r="P17" s="55">
        <f>SUM(D17:O17)</f>
        <v>11006.7</v>
      </c>
      <c r="Q17" s="172">
        <f>P17/14458%</f>
        <v>76.128786830820303</v>
      </c>
    </row>
    <row r="18" spans="1:17" s="2" customFormat="1" ht="15.6" x14ac:dyDescent="0.3">
      <c r="A18" s="663" t="s">
        <v>181</v>
      </c>
      <c r="B18" s="664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588">
        <v>0</v>
      </c>
      <c r="L18" s="26">
        <v>0</v>
      </c>
      <c r="M18" s="26">
        <v>0</v>
      </c>
      <c r="N18" s="588"/>
      <c r="O18" s="26">
        <v>0</v>
      </c>
      <c r="P18" s="55">
        <f>SUM(D18:O18)</f>
        <v>0</v>
      </c>
      <c r="Q18" s="172">
        <f t="shared" ref="Q18:Q20" si="1">P18/14458%</f>
        <v>0</v>
      </c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f>864+27</f>
        <v>891</v>
      </c>
      <c r="E19" s="26">
        <v>118</v>
      </c>
      <c r="F19" s="26">
        <v>3803</v>
      </c>
      <c r="G19" s="26">
        <v>92</v>
      </c>
      <c r="H19" s="26">
        <v>978</v>
      </c>
      <c r="I19" s="26">
        <v>148</v>
      </c>
      <c r="J19" s="26">
        <f>48</f>
        <v>48</v>
      </c>
      <c r="K19" s="588">
        <v>108</v>
      </c>
      <c r="L19" s="26">
        <v>90</v>
      </c>
      <c r="M19" s="26">
        <v>384</v>
      </c>
      <c r="N19" s="588">
        <v>2104</v>
      </c>
      <c r="O19" s="26">
        <v>224</v>
      </c>
      <c r="P19" s="55">
        <f>SUM(D19:O19)</f>
        <v>8988</v>
      </c>
      <c r="Q19" s="172">
        <f t="shared" si="1"/>
        <v>62.166274726794846</v>
      </c>
    </row>
    <row r="20" spans="1:17" s="2" customFormat="1" ht="15.6" x14ac:dyDescent="0.3">
      <c r="A20" s="661" t="s">
        <v>183</v>
      </c>
      <c r="B20" s="662"/>
      <c r="C20" s="11" t="s">
        <v>152</v>
      </c>
      <c r="D20" s="26">
        <v>102</v>
      </c>
      <c r="E20" s="26">
        <v>72</v>
      </c>
      <c r="F20" s="26">
        <f>4981-4848</f>
        <v>133</v>
      </c>
      <c r="G20" s="26">
        <v>37</v>
      </c>
      <c r="H20" s="26">
        <v>53.6</v>
      </c>
      <c r="I20" s="26">
        <v>51</v>
      </c>
      <c r="J20" s="26">
        <f>65.6+5</f>
        <v>70.599999999999994</v>
      </c>
      <c r="K20" s="588">
        <v>76.3</v>
      </c>
      <c r="L20" s="26">
        <v>37</v>
      </c>
      <c r="M20" s="26">
        <v>76</v>
      </c>
      <c r="N20" s="588">
        <v>63</v>
      </c>
      <c r="O20" s="26">
        <v>65</v>
      </c>
      <c r="P20" s="55">
        <f>SUM(D20:O20)</f>
        <v>836.5</v>
      </c>
      <c r="Q20" s="172">
        <f t="shared" si="1"/>
        <v>5.7857241665513897</v>
      </c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1731</v>
      </c>
      <c r="E21" s="34">
        <f t="shared" ref="E21:P21" si="2">SUM(E17:E20)</f>
        <v>876</v>
      </c>
      <c r="F21" s="34">
        <f t="shared" si="2"/>
        <v>4847</v>
      </c>
      <c r="G21" s="34">
        <f t="shared" si="2"/>
        <v>912</v>
      </c>
      <c r="H21" s="34">
        <f t="shared" si="2"/>
        <v>2453</v>
      </c>
      <c r="I21" s="34">
        <f t="shared" si="2"/>
        <v>1001</v>
      </c>
      <c r="J21" s="34">
        <f t="shared" si="2"/>
        <v>1110.6999999999998</v>
      </c>
      <c r="K21" s="34">
        <f t="shared" si="2"/>
        <v>1099.5</v>
      </c>
      <c r="L21" s="34">
        <f t="shared" si="2"/>
        <v>985</v>
      </c>
      <c r="M21" s="34">
        <f t="shared" si="2"/>
        <v>2144</v>
      </c>
      <c r="N21" s="34">
        <f t="shared" si="2"/>
        <v>2597.3000000000002</v>
      </c>
      <c r="O21" s="34">
        <v>1074.7</v>
      </c>
      <c r="P21" s="55">
        <f t="shared" si="2"/>
        <v>20831.2</v>
      </c>
      <c r="Q21" s="172">
        <f>P21/14458%</f>
        <v>144.08078572416653</v>
      </c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5981</v>
      </c>
      <c r="E22" s="34">
        <f t="shared" ref="E22:P22" si="3">E21+E15</f>
        <v>15578</v>
      </c>
      <c r="F22" s="34">
        <f t="shared" si="3"/>
        <v>10180</v>
      </c>
      <c r="G22" s="34">
        <f t="shared" si="3"/>
        <v>5633</v>
      </c>
      <c r="H22" s="34">
        <f t="shared" si="3"/>
        <v>7594</v>
      </c>
      <c r="I22" s="34">
        <f t="shared" si="3"/>
        <v>7026</v>
      </c>
      <c r="J22" s="34">
        <f t="shared" si="3"/>
        <v>6845.7</v>
      </c>
      <c r="K22" s="34">
        <f t="shared" si="3"/>
        <v>6847.5</v>
      </c>
      <c r="L22" s="34">
        <f t="shared" si="3"/>
        <v>6060</v>
      </c>
      <c r="M22" s="34">
        <f t="shared" si="3"/>
        <v>6755</v>
      </c>
      <c r="N22" s="34">
        <f t="shared" si="3"/>
        <v>7427.3</v>
      </c>
      <c r="O22" s="34">
        <v>5399.7</v>
      </c>
      <c r="P22" s="55">
        <f t="shared" si="3"/>
        <v>91327.2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130">
        <f>D9-D22</f>
        <v>2872</v>
      </c>
      <c r="E24" s="130">
        <f>E9-E22</f>
        <v>2388</v>
      </c>
      <c r="F24" s="54">
        <f t="shared" ref="F24:P24" si="4">F9-F22</f>
        <v>3350</v>
      </c>
      <c r="G24" s="54">
        <f>G9-G22</f>
        <v>2713</v>
      </c>
      <c r="H24" s="54">
        <f t="shared" si="4"/>
        <v>4323</v>
      </c>
      <c r="I24" s="54">
        <f t="shared" si="4"/>
        <v>3969</v>
      </c>
      <c r="J24" s="54">
        <f t="shared" si="4"/>
        <v>3608.3</v>
      </c>
      <c r="K24" s="54">
        <f t="shared" si="4"/>
        <v>3177.5</v>
      </c>
      <c r="L24" s="54">
        <f t="shared" si="4"/>
        <v>3166</v>
      </c>
      <c r="M24" s="54">
        <f t="shared" si="4"/>
        <v>2716</v>
      </c>
      <c r="N24" s="54">
        <f t="shared" si="4"/>
        <v>2465.6999999999998</v>
      </c>
      <c r="O24" s="54">
        <v>2953.3</v>
      </c>
      <c r="P24" s="99">
        <f t="shared" si="4"/>
        <v>37701.800000000003</v>
      </c>
    </row>
    <row r="25" spans="1:17" ht="15.6" x14ac:dyDescent="0.3">
      <c r="A25" s="716"/>
      <c r="B25" s="53" t="s">
        <v>151</v>
      </c>
      <c r="C25" s="52" t="s">
        <v>6</v>
      </c>
      <c r="D25" s="51">
        <f t="shared" ref="D25:P25" si="5">D24/D9</f>
        <v>0.32440980458601604</v>
      </c>
      <c r="E25" s="51">
        <f t="shared" si="5"/>
        <v>0.13291773349660468</v>
      </c>
      <c r="F25" s="51">
        <f t="shared" si="5"/>
        <v>0.24759793052475979</v>
      </c>
      <c r="G25" s="51">
        <f>G24/G9</f>
        <v>0.32506589983225498</v>
      </c>
      <c r="H25" s="51">
        <f t="shared" si="5"/>
        <v>0.3627590836619955</v>
      </c>
      <c r="I25" s="51">
        <f t="shared" si="5"/>
        <v>0.36098226466575717</v>
      </c>
      <c r="J25" s="51">
        <f t="shared" si="5"/>
        <v>0.34515974746508515</v>
      </c>
      <c r="K25" s="51">
        <f t="shared" si="5"/>
        <v>0.31695760598503742</v>
      </c>
      <c r="L25" s="51">
        <f t="shared" si="5"/>
        <v>0.34316063299371341</v>
      </c>
      <c r="M25" s="51">
        <f t="shared" si="5"/>
        <v>0.28677014042867699</v>
      </c>
      <c r="N25" s="51">
        <f t="shared" si="5"/>
        <v>0.24923683412513897</v>
      </c>
      <c r="O25" s="51">
        <v>0.35356159463665748</v>
      </c>
      <c r="P25" s="100">
        <f t="shared" si="5"/>
        <v>0.29219632795728095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3">
        <v>30</v>
      </c>
      <c r="E29" s="43">
        <v>31</v>
      </c>
      <c r="F29" s="43">
        <v>30</v>
      </c>
      <c r="G29" s="43">
        <v>30</v>
      </c>
      <c r="H29" s="43">
        <v>25</v>
      </c>
      <c r="I29" s="43">
        <v>24</v>
      </c>
      <c r="J29" s="43">
        <v>24</v>
      </c>
      <c r="K29" s="43">
        <v>24</v>
      </c>
      <c r="L29" s="43">
        <v>24</v>
      </c>
      <c r="M29" s="43">
        <v>24</v>
      </c>
      <c r="N29" s="43">
        <v>24</v>
      </c>
      <c r="O29" s="43">
        <v>24</v>
      </c>
      <c r="P29" s="45">
        <f>SUM(D29:O29)</f>
        <v>314</v>
      </c>
    </row>
    <row r="30" spans="1:17" ht="15.6" x14ac:dyDescent="0.3">
      <c r="A30" s="711"/>
      <c r="B30" s="642"/>
      <c r="C30" s="42" t="s">
        <v>139</v>
      </c>
      <c r="D30" s="15">
        <f t="shared" ref="D30:F30" si="6">D29/(D9/1000)</f>
        <v>3.3886818027787191</v>
      </c>
      <c r="E30" s="15">
        <f t="shared" si="6"/>
        <v>1.7254814649894243</v>
      </c>
      <c r="F30" s="15">
        <f t="shared" si="6"/>
        <v>2.2172949002217295</v>
      </c>
      <c r="G30" s="15">
        <f>G29/(G9/1000)</f>
        <v>3.5945363048166787</v>
      </c>
      <c r="H30" s="15">
        <f t="shared" ref="H30:P30" si="7">H29/(H9/1000)</f>
        <v>2.0978434169673577</v>
      </c>
      <c r="I30" s="15">
        <f t="shared" si="7"/>
        <v>2.1828103683492497</v>
      </c>
      <c r="J30" s="15">
        <f t="shared" si="7"/>
        <v>2.2957719533193033</v>
      </c>
      <c r="K30" s="15">
        <f t="shared" si="7"/>
        <v>2.3940149625935163</v>
      </c>
      <c r="L30" s="15">
        <v>2.6013440277476696</v>
      </c>
      <c r="M30" s="15">
        <f t="shared" si="7"/>
        <v>2.5340513145391195</v>
      </c>
      <c r="N30" s="15">
        <f t="shared" si="7"/>
        <v>2.4259577479025571</v>
      </c>
      <c r="O30" s="15">
        <v>2.8732192026816712</v>
      </c>
      <c r="P30" s="102">
        <f t="shared" si="7"/>
        <v>2.4335614474265475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>
        <f>G31/(G9/1000)</f>
        <v>0</v>
      </c>
      <c r="H32" s="15">
        <f t="shared" ref="H32:P32" si="9">H31/(H9/1000)</f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5">
        <v>0</v>
      </c>
      <c r="P32" s="102">
        <f t="shared" si="9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>
        <f>G33/(G9/1000)</f>
        <v>0</v>
      </c>
      <c r="H34" s="15">
        <f t="shared" ref="H34:P34" si="11">H33/(H9/1000)</f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5">
        <v>0</v>
      </c>
      <c r="P34" s="102">
        <f t="shared" si="11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2"/>
    </row>
    <row r="36" spans="1:16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>
        <f>G37/(G9/1000)</f>
        <v>0</v>
      </c>
      <c r="H38" s="15">
        <f t="shared" ref="H38:P38" si="13">H37/(H9/1000)</f>
        <v>0</v>
      </c>
      <c r="I38" s="15">
        <f t="shared" si="13"/>
        <v>0</v>
      </c>
      <c r="J38" s="15">
        <f t="shared" si="13"/>
        <v>0</v>
      </c>
      <c r="K38" s="15">
        <f t="shared" si="13"/>
        <v>0</v>
      </c>
      <c r="L38" s="15">
        <f t="shared" si="13"/>
        <v>0</v>
      </c>
      <c r="M38" s="15">
        <f t="shared" si="13"/>
        <v>0</v>
      </c>
      <c r="N38" s="15">
        <f t="shared" si="13"/>
        <v>0</v>
      </c>
      <c r="O38" s="15">
        <v>0</v>
      </c>
      <c r="P38" s="102">
        <f t="shared" si="13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G39/(G9/1000)</f>
        <v>0</v>
      </c>
      <c r="H40" s="15">
        <f t="shared" ref="H40:P40" si="15">H39/(H9/1000)</f>
        <v>0</v>
      </c>
      <c r="I40" s="15">
        <f t="shared" si="15"/>
        <v>0</v>
      </c>
      <c r="J40" s="15">
        <f t="shared" si="15"/>
        <v>0</v>
      </c>
      <c r="K40" s="15">
        <f t="shared" si="15"/>
        <v>0</v>
      </c>
      <c r="L40" s="15">
        <f t="shared" si="15"/>
        <v>0</v>
      </c>
      <c r="M40" s="15">
        <f t="shared" si="15"/>
        <v>0</v>
      </c>
      <c r="N40" s="15">
        <f t="shared" si="15"/>
        <v>0</v>
      </c>
      <c r="O40" s="15">
        <v>0</v>
      </c>
      <c r="P40" s="102">
        <f t="shared" si="15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153350.1</v>
      </c>
      <c r="E41" s="41">
        <f t="shared" ref="E41:N41" si="16">(E29*$B29)+(E31*$B31)+(E33*$B33)+(E35*$B35)+(E37*$B37)+(E39*$B39)</f>
        <v>158461.76999999999</v>
      </c>
      <c r="F41" s="41">
        <f t="shared" si="16"/>
        <v>153350.1</v>
      </c>
      <c r="G41" s="41">
        <f t="shared" si="16"/>
        <v>153350.1</v>
      </c>
      <c r="H41" s="41">
        <f t="shared" si="16"/>
        <v>127791.75</v>
      </c>
      <c r="I41" s="41">
        <f t="shared" si="16"/>
        <v>122680.08</v>
      </c>
      <c r="J41" s="41">
        <f t="shared" si="16"/>
        <v>122680.08</v>
      </c>
      <c r="K41" s="41">
        <f t="shared" si="16"/>
        <v>122680.08</v>
      </c>
      <c r="L41" s="41">
        <f t="shared" si="16"/>
        <v>122680.08</v>
      </c>
      <c r="M41" s="41">
        <f t="shared" si="16"/>
        <v>122680.08</v>
      </c>
      <c r="N41" s="41">
        <f t="shared" si="16"/>
        <v>122680.08</v>
      </c>
      <c r="O41" s="41">
        <v>122680.08</v>
      </c>
      <c r="P41" s="39">
        <f>SUM(D41:O41)</f>
        <v>1605064.3800000001</v>
      </c>
    </row>
    <row r="42" spans="1:16" ht="15.6" x14ac:dyDescent="0.3">
      <c r="A42" s="708" t="s">
        <v>137</v>
      </c>
      <c r="B42" s="709"/>
      <c r="C42" s="42" t="s">
        <v>115</v>
      </c>
      <c r="D42" s="15">
        <f t="shared" ref="D42:P42" si="17">D41/D9</f>
        <v>17.321823110809895</v>
      </c>
      <c r="E42" s="15">
        <f t="shared" si="17"/>
        <v>8.8200918401424904</v>
      </c>
      <c r="F42" s="15">
        <f t="shared" si="17"/>
        <v>11.334079822616408</v>
      </c>
      <c r="G42" s="15">
        <f>G41/G9</f>
        <v>18.374083393242273</v>
      </c>
      <c r="H42" s="15">
        <f t="shared" si="17"/>
        <v>10.723483259209532</v>
      </c>
      <c r="I42" s="15">
        <f t="shared" si="17"/>
        <v>11.157806275579809</v>
      </c>
      <c r="J42" s="15">
        <f t="shared" si="17"/>
        <v>11.735228620623685</v>
      </c>
      <c r="K42" s="15">
        <f t="shared" si="17"/>
        <v>12.237414463840398</v>
      </c>
      <c r="L42" s="15">
        <f t="shared" si="17"/>
        <v>13.297212226316931</v>
      </c>
      <c r="M42" s="15">
        <f t="shared" si="17"/>
        <v>12.95323408299018</v>
      </c>
      <c r="N42" s="15">
        <f t="shared" si="17"/>
        <v>12.400695441221066</v>
      </c>
      <c r="O42" s="15">
        <v>14.686948401771819</v>
      </c>
      <c r="P42" s="44">
        <f t="shared" si="17"/>
        <v>12.439563043966862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3">
        <v>1461.78</v>
      </c>
      <c r="E44" s="43">
        <v>1662.36</v>
      </c>
      <c r="F44" s="43">
        <v>1424.83</v>
      </c>
      <c r="G44" s="43">
        <v>0</v>
      </c>
      <c r="H44" s="43"/>
      <c r="I44" s="43"/>
      <c r="J44" s="43"/>
      <c r="K44" s="43"/>
      <c r="L44" s="43"/>
      <c r="M44" s="43"/>
      <c r="N44" s="43"/>
      <c r="O44" s="43"/>
      <c r="P44" s="39">
        <f>SUM(D44:O44)</f>
        <v>4548.9699999999993</v>
      </c>
    </row>
    <row r="45" spans="1:16" ht="15.6" x14ac:dyDescent="0.3">
      <c r="A45" s="708" t="s">
        <v>133</v>
      </c>
      <c r="B45" s="709"/>
      <c r="C45" s="42" t="s">
        <v>132</v>
      </c>
      <c r="D45" s="15">
        <f t="shared" ref="D45:P45" si="18">D44/D9</f>
        <v>0.16511690952219588</v>
      </c>
      <c r="E45" s="15">
        <f t="shared" si="18"/>
        <v>9.2528108649671592E-2</v>
      </c>
      <c r="F45" s="15">
        <f t="shared" si="18"/>
        <v>0.1053089430894309</v>
      </c>
      <c r="G45" s="15">
        <f>G44/G9</f>
        <v>0</v>
      </c>
      <c r="H45" s="15">
        <f t="shared" si="18"/>
        <v>0</v>
      </c>
      <c r="I45" s="15">
        <f t="shared" si="18"/>
        <v>0</v>
      </c>
      <c r="J45" s="15">
        <f t="shared" si="18"/>
        <v>0</v>
      </c>
      <c r="K45" s="15">
        <f t="shared" si="18"/>
        <v>0</v>
      </c>
      <c r="L45" s="15">
        <f t="shared" si="18"/>
        <v>0</v>
      </c>
      <c r="M45" s="15">
        <f t="shared" si="18"/>
        <v>0</v>
      </c>
      <c r="N45" s="15">
        <f t="shared" si="18"/>
        <v>0</v>
      </c>
      <c r="O45" s="15">
        <v>0</v>
      </c>
      <c r="P45" s="102">
        <f t="shared" si="18"/>
        <v>3.5255407699044394E-2</v>
      </c>
    </row>
    <row r="46" spans="1:16" ht="15.6" x14ac:dyDescent="0.3">
      <c r="A46" s="643" t="s">
        <v>131</v>
      </c>
      <c r="B46" s="644"/>
      <c r="C46" s="5" t="s">
        <v>31</v>
      </c>
      <c r="D46" s="3">
        <f t="shared" ref="D46:N46" si="19">1.165*(14100+(D44*119.1))</f>
        <v>219250.66767</v>
      </c>
      <c r="E46" s="3">
        <f t="shared" si="19"/>
        <v>247081.44353999998</v>
      </c>
      <c r="F46" s="3">
        <f t="shared" si="19"/>
        <v>214123.799745</v>
      </c>
      <c r="G46" s="41">
        <f t="shared" ref="G46" si="20">122.92*G44</f>
        <v>0</v>
      </c>
      <c r="H46" s="3">
        <v>0</v>
      </c>
      <c r="I46" s="3">
        <f t="shared" si="19"/>
        <v>16426.5</v>
      </c>
      <c r="J46" s="3">
        <f t="shared" si="19"/>
        <v>16426.5</v>
      </c>
      <c r="K46" s="3">
        <f t="shared" si="19"/>
        <v>16426.5</v>
      </c>
      <c r="L46" s="3">
        <f t="shared" si="19"/>
        <v>16426.5</v>
      </c>
      <c r="M46" s="3">
        <f t="shared" si="19"/>
        <v>16426.5</v>
      </c>
      <c r="N46" s="3">
        <f t="shared" si="19"/>
        <v>16426.5</v>
      </c>
      <c r="O46" s="3">
        <v>16426.5</v>
      </c>
      <c r="P46" s="39">
        <f>SUM(D46:O46)</f>
        <v>795441.41095499997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>
        <f t="shared" ref="D47:P47" si="21">D46/D9</f>
        <v>24.765691592680447</v>
      </c>
      <c r="E47" s="15">
        <f t="shared" si="21"/>
        <v>13.752724231325837</v>
      </c>
      <c r="F47" s="15">
        <f t="shared" si="21"/>
        <v>15.825853639689578</v>
      </c>
      <c r="G47" s="15">
        <f>G46/G9</f>
        <v>0</v>
      </c>
      <c r="H47" s="15">
        <f t="shared" si="21"/>
        <v>0</v>
      </c>
      <c r="I47" s="15">
        <f t="shared" si="21"/>
        <v>1.4939972714870395</v>
      </c>
      <c r="J47" s="15">
        <f t="shared" si="21"/>
        <v>1.571312416299981</v>
      </c>
      <c r="K47" s="15">
        <f t="shared" si="21"/>
        <v>1.6385536159600997</v>
      </c>
      <c r="L47" s="15">
        <f t="shared" si="21"/>
        <v>1.7804574029915456</v>
      </c>
      <c r="M47" s="15">
        <f t="shared" si="21"/>
        <v>1.7343997465948686</v>
      </c>
      <c r="N47" s="15">
        <f t="shared" si="21"/>
        <v>1.6604164560800565</v>
      </c>
      <c r="O47" s="15">
        <v>1.9665389680354364</v>
      </c>
      <c r="P47" s="102">
        <f t="shared" si="21"/>
        <v>6.1648265967728184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>
        <v>0</v>
      </c>
      <c r="E49" s="43">
        <v>0</v>
      </c>
      <c r="F49" s="43">
        <v>0</v>
      </c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0</v>
      </c>
    </row>
    <row r="50" spans="1:16" ht="15.6" x14ac:dyDescent="0.3">
      <c r="A50" s="661" t="s">
        <v>187</v>
      </c>
      <c r="B50" s="662"/>
      <c r="C50" s="5" t="s">
        <v>126</v>
      </c>
      <c r="D50" s="15">
        <f t="shared" ref="D50:F50" si="22">D49/D14</f>
        <v>0</v>
      </c>
      <c r="E50" s="15">
        <f t="shared" si="22"/>
        <v>0</v>
      </c>
      <c r="F50" s="15">
        <f t="shared" si="22"/>
        <v>0</v>
      </c>
      <c r="G50" s="4"/>
      <c r="H50" s="4"/>
      <c r="I50" s="4"/>
      <c r="J50" s="4"/>
      <c r="K50" s="4"/>
      <c r="L50" s="4"/>
      <c r="M50" s="4"/>
      <c r="N50" s="4"/>
      <c r="O50" s="4"/>
      <c r="P50" s="39">
        <f>SUM(D50:O50)</f>
        <v>0</v>
      </c>
    </row>
    <row r="51" spans="1:16" ht="15.6" x14ac:dyDescent="0.3">
      <c r="A51" s="643" t="s">
        <v>125</v>
      </c>
      <c r="B51" s="644"/>
      <c r="C51" s="5" t="s">
        <v>31</v>
      </c>
      <c r="D51" s="41">
        <f>122.92*D49</f>
        <v>0</v>
      </c>
      <c r="E51" s="41">
        <f t="shared" ref="E51:F51" si="23">122.92*E49</f>
        <v>0</v>
      </c>
      <c r="F51" s="41">
        <f t="shared" si="23"/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40">
        <f>SUM(D51:O51)</f>
        <v>0</v>
      </c>
    </row>
    <row r="52" spans="1:16" ht="15.6" x14ac:dyDescent="0.3">
      <c r="A52" s="661" t="s">
        <v>124</v>
      </c>
      <c r="B52" s="662"/>
      <c r="C52" s="5" t="s">
        <v>31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>
        <v>1750757.74</v>
      </c>
      <c r="E54" s="13">
        <v>1942624.23</v>
      </c>
      <c r="F54" s="13">
        <v>1896374.24</v>
      </c>
      <c r="G54" s="13">
        <f>AVERAGE(D54:F54)</f>
        <v>1863252.07</v>
      </c>
      <c r="H54" s="13">
        <v>1789263.91</v>
      </c>
      <c r="I54" s="13">
        <f>AVERAGE(D54:H54)</f>
        <v>1848454.4379999998</v>
      </c>
      <c r="J54" s="13">
        <v>1811843.27</v>
      </c>
      <c r="K54" s="13">
        <v>1864452.31</v>
      </c>
      <c r="L54" s="13">
        <v>2050897.5410000002</v>
      </c>
      <c r="M54" s="13">
        <v>3872791.74</v>
      </c>
      <c r="N54" s="598">
        <v>2901325.93</v>
      </c>
      <c r="O54" s="13">
        <v>2825711</v>
      </c>
      <c r="P54" s="39">
        <f>SUM(D54:O54)</f>
        <v>26417748.419</v>
      </c>
    </row>
    <row r="55" spans="1:16" ht="15.6" x14ac:dyDescent="0.3">
      <c r="A55" s="78" t="s">
        <v>121</v>
      </c>
      <c r="B55" s="79"/>
      <c r="C55" s="11" t="s">
        <v>18</v>
      </c>
      <c r="D55" s="13">
        <v>420056.31</v>
      </c>
      <c r="E55" s="13">
        <v>461087</v>
      </c>
      <c r="F55" s="13">
        <v>412831.22</v>
      </c>
      <c r="G55" s="13">
        <f>AVERAGE(D55:F55)</f>
        <v>431324.84333333332</v>
      </c>
      <c r="H55" s="13">
        <v>408875.62</v>
      </c>
      <c r="I55" s="13">
        <f>AVERAGE(D55:H55)</f>
        <v>426834.99866666662</v>
      </c>
      <c r="J55" s="13">
        <v>396977.8</v>
      </c>
      <c r="K55" s="13">
        <v>403872.26</v>
      </c>
      <c r="L55" s="13">
        <v>434692</v>
      </c>
      <c r="M55" s="13">
        <v>721527.84</v>
      </c>
      <c r="N55" s="13"/>
      <c r="O55" s="13">
        <v>653326</v>
      </c>
      <c r="P55" s="39">
        <f>SUM(D55:O55)</f>
        <v>5171405.8919999991</v>
      </c>
    </row>
    <row r="56" spans="1:16" ht="15.6" x14ac:dyDescent="0.3">
      <c r="A56" s="661" t="s">
        <v>120</v>
      </c>
      <c r="B56" s="662"/>
      <c r="C56" s="5" t="s">
        <v>18</v>
      </c>
      <c r="D56" s="13">
        <v>167915</v>
      </c>
      <c r="E56" s="13">
        <v>189700</v>
      </c>
      <c r="F56" s="13">
        <v>158960</v>
      </c>
      <c r="G56" s="13">
        <f>AVERAGE(D56:F56)</f>
        <v>172191.66666666666</v>
      </c>
      <c r="H56" s="13">
        <v>162367.56</v>
      </c>
      <c r="I56" s="13">
        <f>AVERAGE(D56:H56)</f>
        <v>170226.8453333333</v>
      </c>
      <c r="J56" s="13">
        <f>AVERAGE(G56:I56)</f>
        <v>168262.024</v>
      </c>
      <c r="K56" s="13">
        <v>172400</v>
      </c>
      <c r="L56" s="13">
        <v>189082.62</v>
      </c>
      <c r="M56" s="13">
        <v>174992.87233333333</v>
      </c>
      <c r="N56" s="13">
        <v>76000</v>
      </c>
      <c r="O56" s="13">
        <v>18600</v>
      </c>
      <c r="P56" s="39">
        <f>SUM(D56:O56)</f>
        <v>1820698.5883333334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2711329.8176700003</v>
      </c>
      <c r="E58" s="13">
        <f t="shared" ref="E58:F58" si="24">E41+E46+E51+E52+E54+E55+E56</f>
        <v>2998954.4435399999</v>
      </c>
      <c r="F58" s="13">
        <f t="shared" si="24"/>
        <v>2835639.3597449996</v>
      </c>
      <c r="G58" s="13">
        <f t="shared" ref="G58:N58" si="25">G41+G46+G51+G52+G54+G55+G56</f>
        <v>2620118.6800000002</v>
      </c>
      <c r="H58" s="13">
        <f t="shared" si="25"/>
        <v>2488298.84</v>
      </c>
      <c r="I58" s="13">
        <f t="shared" si="25"/>
        <v>2584622.8619999997</v>
      </c>
      <c r="J58" s="13">
        <f t="shared" si="25"/>
        <v>2516189.6740000001</v>
      </c>
      <c r="K58" s="13">
        <f t="shared" si="25"/>
        <v>2579831.1500000004</v>
      </c>
      <c r="L58" s="13">
        <f t="shared" si="25"/>
        <v>2813778.7410000004</v>
      </c>
      <c r="M58" s="13">
        <f t="shared" si="25"/>
        <v>4908419.032333333</v>
      </c>
      <c r="N58" s="13">
        <f t="shared" si="25"/>
        <v>3116432.5100000002</v>
      </c>
      <c r="O58" s="13">
        <v>3636743.58</v>
      </c>
      <c r="P58" s="64">
        <f>SUM(D58:O58)</f>
        <v>35810358.690288335</v>
      </c>
    </row>
    <row r="59" spans="1:16" ht="15.6" x14ac:dyDescent="0.3">
      <c r="A59" s="643" t="s">
        <v>117</v>
      </c>
      <c r="B59" s="644"/>
      <c r="C59" s="5" t="s">
        <v>115</v>
      </c>
      <c r="D59" s="15">
        <f t="shared" ref="D59:F59" si="26">D58/D9</f>
        <v>306.26113381565574</v>
      </c>
      <c r="E59" s="15">
        <f t="shared" si="26"/>
        <v>166.92388086051429</v>
      </c>
      <c r="F59" s="15">
        <f t="shared" si="26"/>
        <v>209.58162304101992</v>
      </c>
      <c r="G59" s="15">
        <f>G58/G9</f>
        <v>313.93705727294514</v>
      </c>
      <c r="H59" s="15">
        <f t="shared" ref="H59:P59" si="27">H58/H9</f>
        <v>208.80245363766048</v>
      </c>
      <c r="I59" s="15">
        <f t="shared" si="27"/>
        <v>235.07256589358798</v>
      </c>
      <c r="J59" s="15">
        <f t="shared" si="27"/>
        <v>240.69157011670174</v>
      </c>
      <c r="K59" s="15">
        <f t="shared" si="27"/>
        <v>257.33976558603496</v>
      </c>
      <c r="L59" s="15">
        <f t="shared" si="27"/>
        <v>304.98360513765448</v>
      </c>
      <c r="M59" s="15">
        <f t="shared" si="27"/>
        <v>518.25773754971317</v>
      </c>
      <c r="N59" s="15">
        <f t="shared" si="27"/>
        <v>315.01389972707977</v>
      </c>
      <c r="O59" s="15">
        <v>435.38172872022028</v>
      </c>
      <c r="P59" s="102">
        <f t="shared" si="27"/>
        <v>277.53728766624818</v>
      </c>
    </row>
    <row r="60" spans="1:16" ht="15.6" x14ac:dyDescent="0.3">
      <c r="A60" s="643" t="s">
        <v>116</v>
      </c>
      <c r="B60" s="644"/>
      <c r="C60" s="5" t="s">
        <v>115</v>
      </c>
      <c r="D60" s="15">
        <f>D58/D22</f>
        <v>453.32382840160511</v>
      </c>
      <c r="E60" s="15">
        <f t="shared" ref="E60:F60" si="28">E58/E22</f>
        <v>192.51216096674798</v>
      </c>
      <c r="F60" s="15">
        <f t="shared" si="28"/>
        <v>278.55003533840858</v>
      </c>
      <c r="G60" s="15">
        <f t="shared" ref="G60:N60" si="29">G58/G22</f>
        <v>465.13734777205752</v>
      </c>
      <c r="H60" s="15">
        <f t="shared" si="29"/>
        <v>327.66642612588885</v>
      </c>
      <c r="I60" s="15">
        <f t="shared" si="29"/>
        <v>367.86547993168227</v>
      </c>
      <c r="J60" s="15">
        <f t="shared" si="29"/>
        <v>367.55768935244026</v>
      </c>
      <c r="K60" s="15">
        <f t="shared" si="29"/>
        <v>376.75518802482662</v>
      </c>
      <c r="L60" s="15">
        <f t="shared" si="29"/>
        <v>464.31992425742578</v>
      </c>
      <c r="M60" s="15">
        <f t="shared" si="29"/>
        <v>726.63494187021956</v>
      </c>
      <c r="N60" s="15">
        <f t="shared" si="29"/>
        <v>419.59157567352878</v>
      </c>
      <c r="O60" s="15">
        <v>673.50845046947052</v>
      </c>
      <c r="P60" s="103">
        <f>P58/P22</f>
        <v>392.11055074817074</v>
      </c>
    </row>
    <row r="61" spans="1:16" ht="15.6" x14ac:dyDescent="0.3">
      <c r="A61" s="661" t="s">
        <v>114</v>
      </c>
      <c r="B61" s="662"/>
      <c r="C61" s="5" t="s">
        <v>3</v>
      </c>
      <c r="D61" s="4">
        <v>4</v>
      </c>
      <c r="E61" s="4">
        <v>4</v>
      </c>
      <c r="F61" s="4">
        <v>4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5</v>
      </c>
      <c r="M61" s="4">
        <v>5</v>
      </c>
      <c r="N61" s="4">
        <v>5</v>
      </c>
      <c r="O61" s="4">
        <v>5</v>
      </c>
      <c r="P61" s="9">
        <f>O61</f>
        <v>5</v>
      </c>
    </row>
    <row r="62" spans="1:16" ht="15.6" customHeight="1" x14ac:dyDescent="0.3">
      <c r="A62" s="643" t="s">
        <v>113</v>
      </c>
      <c r="B62" s="644"/>
      <c r="C62" s="5" t="s">
        <v>112</v>
      </c>
      <c r="D62" s="15">
        <f t="shared" ref="D62:F62" si="30">(D61*1000*31)/D9</f>
        <v>14.006551451485372</v>
      </c>
      <c r="E62" s="15">
        <f t="shared" si="30"/>
        <v>6.9019258599576983</v>
      </c>
      <c r="F62" s="15">
        <f t="shared" si="30"/>
        <v>9.1648189209164812</v>
      </c>
      <c r="G62" s="15">
        <f>(G61*1000*31)/G9</f>
        <v>14.857416726575606</v>
      </c>
      <c r="H62" s="15">
        <f t="shared" ref="H62:I62" si="31">(H61*1000*31)/H9</f>
        <v>10.405303348158094</v>
      </c>
      <c r="I62" s="15">
        <f t="shared" si="31"/>
        <v>11.277853569804456</v>
      </c>
      <c r="J62" s="15">
        <f t="shared" ref="J62:P62" si="32">(J61*1000*31)/J9</f>
        <v>11.861488425483069</v>
      </c>
      <c r="K62" s="15">
        <f t="shared" si="32"/>
        <v>12.369077306733168</v>
      </c>
      <c r="L62" s="15">
        <f t="shared" si="32"/>
        <v>16.800346845870365</v>
      </c>
      <c r="M62" s="15">
        <f t="shared" si="32"/>
        <v>16.365748073065145</v>
      </c>
      <c r="N62" s="15">
        <f t="shared" si="32"/>
        <v>15.667643788537349</v>
      </c>
      <c r="O62" s="15">
        <v>18.556207350652461</v>
      </c>
      <c r="P62" s="102">
        <f t="shared" si="32"/>
        <v>1.2012803323283914</v>
      </c>
    </row>
    <row r="63" spans="1:16" ht="15.6" x14ac:dyDescent="0.3">
      <c r="A63" s="700" t="s">
        <v>111</v>
      </c>
      <c r="B63" s="701"/>
      <c r="C63" s="38" t="s">
        <v>3</v>
      </c>
      <c r="D63" s="4">
        <v>12</v>
      </c>
      <c r="E63" s="4">
        <v>7</v>
      </c>
      <c r="F63" s="4">
        <v>7</v>
      </c>
      <c r="G63" s="4">
        <v>7</v>
      </c>
      <c r="H63" s="4">
        <v>7</v>
      </c>
      <c r="I63" s="4">
        <v>7</v>
      </c>
      <c r="J63" s="4">
        <v>7</v>
      </c>
      <c r="K63" s="4">
        <v>7</v>
      </c>
      <c r="L63" s="4">
        <v>7</v>
      </c>
      <c r="M63" s="4">
        <v>8</v>
      </c>
      <c r="N63" s="4">
        <v>8</v>
      </c>
      <c r="O63" s="4">
        <v>8</v>
      </c>
      <c r="P63" s="9">
        <f>SUM(D63:O63)</f>
        <v>92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78</v>
      </c>
      <c r="E66" s="4">
        <f>D71</f>
        <v>78</v>
      </c>
      <c r="F66" s="4">
        <f t="shared" ref="F66:K66" si="33">E71</f>
        <v>78</v>
      </c>
      <c r="G66" s="4">
        <f t="shared" si="33"/>
        <v>52</v>
      </c>
      <c r="H66" s="4">
        <f t="shared" si="33"/>
        <v>39</v>
      </c>
      <c r="I66" s="4">
        <f t="shared" si="33"/>
        <v>34</v>
      </c>
      <c r="J66" s="4">
        <f t="shared" si="33"/>
        <v>29</v>
      </c>
      <c r="K66" s="4">
        <f t="shared" si="33"/>
        <v>46</v>
      </c>
      <c r="L66" s="157">
        <v>46</v>
      </c>
      <c r="M66" s="157">
        <v>45</v>
      </c>
      <c r="N66" s="4">
        <f>M71</f>
        <v>46</v>
      </c>
      <c r="O66" s="157">
        <v>48</v>
      </c>
      <c r="P66" s="35">
        <f>D66</f>
        <v>78</v>
      </c>
    </row>
    <row r="67" spans="1:16" ht="15.6" x14ac:dyDescent="0.3">
      <c r="A67" s="689"/>
      <c r="B67" s="24" t="s">
        <v>104</v>
      </c>
      <c r="C67" s="5" t="s">
        <v>3</v>
      </c>
      <c r="D67" s="4">
        <v>4</v>
      </c>
      <c r="E67" s="4">
        <v>5</v>
      </c>
      <c r="F67" s="4">
        <v>2</v>
      </c>
      <c r="G67" s="4">
        <v>1</v>
      </c>
      <c r="H67" s="4">
        <v>1</v>
      </c>
      <c r="I67" s="4">
        <v>1</v>
      </c>
      <c r="J67" s="4">
        <v>19</v>
      </c>
      <c r="K67" s="4">
        <v>0</v>
      </c>
      <c r="L67" s="155">
        <v>0</v>
      </c>
      <c r="M67" s="155">
        <v>1</v>
      </c>
      <c r="N67" s="4">
        <v>2</v>
      </c>
      <c r="O67" s="155">
        <v>1</v>
      </c>
      <c r="P67" s="35">
        <f>SUM(D67:O67)</f>
        <v>37</v>
      </c>
    </row>
    <row r="68" spans="1:16" ht="27" x14ac:dyDescent="0.3">
      <c r="A68" s="689"/>
      <c r="B68" s="24" t="s">
        <v>103</v>
      </c>
      <c r="C68" s="5" t="s">
        <v>3</v>
      </c>
      <c r="D68" s="4">
        <v>4</v>
      </c>
      <c r="E68" s="4">
        <v>5</v>
      </c>
      <c r="F68" s="4">
        <v>3</v>
      </c>
      <c r="G68" s="4">
        <v>8</v>
      </c>
      <c r="H68" s="4">
        <v>6</v>
      </c>
      <c r="I68" s="4">
        <v>5</v>
      </c>
      <c r="J68" s="4">
        <v>2</v>
      </c>
      <c r="K68" s="132">
        <v>0</v>
      </c>
      <c r="L68" s="155">
        <v>0</v>
      </c>
      <c r="M68" s="155">
        <v>0</v>
      </c>
      <c r="N68" s="132">
        <v>0</v>
      </c>
      <c r="O68" s="155">
        <v>4</v>
      </c>
      <c r="P68" s="35">
        <f>SUM(D68:O68)</f>
        <v>37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0</v>
      </c>
      <c r="F69" s="4">
        <v>25</v>
      </c>
      <c r="G69" s="4">
        <v>6</v>
      </c>
      <c r="H69" s="4">
        <v>0</v>
      </c>
      <c r="I69" s="4">
        <v>1</v>
      </c>
      <c r="J69" s="4">
        <v>0</v>
      </c>
      <c r="K69" s="132">
        <v>0</v>
      </c>
      <c r="L69" s="155">
        <v>1</v>
      </c>
      <c r="M69" s="155">
        <v>0</v>
      </c>
      <c r="N69" s="132">
        <v>0</v>
      </c>
      <c r="O69" s="155">
        <v>0</v>
      </c>
      <c r="P69" s="74">
        <f>SUM(D69:O69)</f>
        <v>33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4</v>
      </c>
      <c r="E70" s="4">
        <f t="shared" ref="E70:K70" si="34">E68+E69</f>
        <v>5</v>
      </c>
      <c r="F70" s="4">
        <f t="shared" si="34"/>
        <v>28</v>
      </c>
      <c r="G70" s="4">
        <f t="shared" si="34"/>
        <v>14</v>
      </c>
      <c r="H70" s="4">
        <f t="shared" si="34"/>
        <v>6</v>
      </c>
      <c r="I70" s="4">
        <f t="shared" si="34"/>
        <v>6</v>
      </c>
      <c r="J70" s="4">
        <f t="shared" si="34"/>
        <v>2</v>
      </c>
      <c r="K70" s="132">
        <f t="shared" si="34"/>
        <v>0</v>
      </c>
      <c r="L70" s="155">
        <v>1</v>
      </c>
      <c r="M70" s="155">
        <v>0</v>
      </c>
      <c r="N70" s="132">
        <f t="shared" ref="N70" si="35">N68+N69</f>
        <v>0</v>
      </c>
      <c r="O70" s="155">
        <v>4</v>
      </c>
      <c r="P70" s="207">
        <f t="shared" ref="P70" si="36">P68+P69</f>
        <v>70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78</v>
      </c>
      <c r="E71" s="26">
        <f t="shared" ref="E71:K71" si="37">E66+E67-E70</f>
        <v>78</v>
      </c>
      <c r="F71" s="26">
        <f t="shared" si="37"/>
        <v>52</v>
      </c>
      <c r="G71" s="26">
        <f t="shared" si="37"/>
        <v>39</v>
      </c>
      <c r="H71" s="26">
        <f t="shared" si="37"/>
        <v>34</v>
      </c>
      <c r="I71" s="26">
        <f t="shared" si="37"/>
        <v>29</v>
      </c>
      <c r="J71" s="26">
        <f t="shared" si="37"/>
        <v>46</v>
      </c>
      <c r="K71" s="141">
        <f t="shared" si="37"/>
        <v>46</v>
      </c>
      <c r="L71" s="158">
        <v>45</v>
      </c>
      <c r="M71" s="158">
        <v>46</v>
      </c>
      <c r="N71" s="158">
        <f t="shared" ref="N71" si="38">N66+N67-N70</f>
        <v>48</v>
      </c>
      <c r="O71" s="158">
        <v>45</v>
      </c>
      <c r="P71" s="159">
        <f>P66+P67-P70</f>
        <v>45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4">
        <v>0</v>
      </c>
      <c r="E72" s="4">
        <f>D77</f>
        <v>0</v>
      </c>
      <c r="F72" s="4">
        <f t="shared" ref="F72:H72" si="39">E77</f>
        <v>0</v>
      </c>
      <c r="G72" s="4">
        <f t="shared" si="39"/>
        <v>0</v>
      </c>
      <c r="H72" s="4">
        <f t="shared" si="39"/>
        <v>0</v>
      </c>
      <c r="I72" s="157"/>
      <c r="J72" s="157"/>
      <c r="K72" s="157"/>
      <c r="L72" s="157"/>
      <c r="M72" s="157">
        <v>0</v>
      </c>
      <c r="N72" s="157"/>
      <c r="O72" s="157">
        <v>4</v>
      </c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4">
        <v>0</v>
      </c>
      <c r="E73" s="4"/>
      <c r="F73" s="4">
        <v>0</v>
      </c>
      <c r="G73" s="4">
        <v>0</v>
      </c>
      <c r="H73" s="4">
        <v>0</v>
      </c>
      <c r="I73" s="155"/>
      <c r="J73" s="155"/>
      <c r="K73" s="155"/>
      <c r="L73" s="155"/>
      <c r="M73" s="155">
        <v>0</v>
      </c>
      <c r="N73" s="155"/>
      <c r="O73" s="155">
        <v>0</v>
      </c>
      <c r="P73" s="35">
        <f>SUM(D73:O73)</f>
        <v>0</v>
      </c>
    </row>
    <row r="74" spans="1:16" ht="27" x14ac:dyDescent="0.3">
      <c r="A74" s="689"/>
      <c r="B74" s="24" t="s">
        <v>103</v>
      </c>
      <c r="C74" s="5" t="s">
        <v>3</v>
      </c>
      <c r="D74" s="4">
        <v>0</v>
      </c>
      <c r="E74" s="4"/>
      <c r="F74" s="4">
        <v>0</v>
      </c>
      <c r="G74" s="4">
        <v>0</v>
      </c>
      <c r="H74" s="4">
        <v>0</v>
      </c>
      <c r="I74" s="155"/>
      <c r="J74" s="155"/>
      <c r="K74" s="155"/>
      <c r="L74" s="155"/>
      <c r="M74" s="155">
        <v>0</v>
      </c>
      <c r="N74" s="155"/>
      <c r="O74" s="155">
        <v>0</v>
      </c>
      <c r="P74" s="35">
        <f>SUM(D74:O74)</f>
        <v>0</v>
      </c>
    </row>
    <row r="75" spans="1:16" s="2" customFormat="1" ht="27" x14ac:dyDescent="0.3">
      <c r="A75" s="689"/>
      <c r="B75" s="24" t="s">
        <v>102</v>
      </c>
      <c r="C75" s="11" t="s">
        <v>3</v>
      </c>
      <c r="D75" s="4">
        <v>0</v>
      </c>
      <c r="E75" s="4"/>
      <c r="F75" s="4">
        <v>0</v>
      </c>
      <c r="G75" s="4">
        <v>0</v>
      </c>
      <c r="H75" s="4">
        <v>0</v>
      </c>
      <c r="I75" s="155"/>
      <c r="J75" s="155"/>
      <c r="K75" s="155"/>
      <c r="L75" s="155"/>
      <c r="M75" s="155">
        <v>0</v>
      </c>
      <c r="N75" s="155"/>
      <c r="O75" s="155">
        <v>0</v>
      </c>
      <c r="P75" s="35">
        <f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H76" si="40">E74+E75</f>
        <v>0</v>
      </c>
      <c r="F76" s="4">
        <f t="shared" si="40"/>
        <v>0</v>
      </c>
      <c r="G76" s="4">
        <f t="shared" si="40"/>
        <v>0</v>
      </c>
      <c r="H76" s="4">
        <f t="shared" si="40"/>
        <v>0</v>
      </c>
      <c r="I76" s="155">
        <f t="shared" ref="I76" si="41">I74+I75</f>
        <v>0</v>
      </c>
      <c r="J76" s="155">
        <f t="shared" ref="J76:K76" si="42">J74+J75</f>
        <v>0</v>
      </c>
      <c r="K76" s="155">
        <f t="shared" si="42"/>
        <v>0</v>
      </c>
      <c r="L76" s="155">
        <f t="shared" ref="L76" si="43">L74+L75</f>
        <v>0</v>
      </c>
      <c r="M76" s="155">
        <v>0</v>
      </c>
      <c r="N76" s="155">
        <f t="shared" ref="N76" si="44">N74+N75</f>
        <v>0</v>
      </c>
      <c r="O76" s="155">
        <v>0</v>
      </c>
      <c r="P76" s="162">
        <f t="shared" ref="P76" si="45">P74+P75</f>
        <v>0</v>
      </c>
    </row>
    <row r="77" spans="1:16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H77" si="46">E73+E74-E76</f>
        <v>0</v>
      </c>
      <c r="F77" s="26">
        <f t="shared" si="46"/>
        <v>0</v>
      </c>
      <c r="G77" s="26">
        <f t="shared" si="46"/>
        <v>0</v>
      </c>
      <c r="H77" s="26">
        <f t="shared" si="46"/>
        <v>0</v>
      </c>
      <c r="I77" s="158">
        <f t="shared" ref="I77:P77" si="47">I72+I73-I76</f>
        <v>0</v>
      </c>
      <c r="J77" s="158">
        <f t="shared" si="47"/>
        <v>0</v>
      </c>
      <c r="K77" s="158">
        <f t="shared" si="47"/>
        <v>0</v>
      </c>
      <c r="L77" s="158">
        <f t="shared" si="47"/>
        <v>0</v>
      </c>
      <c r="M77" s="158">
        <v>0</v>
      </c>
      <c r="N77" s="158">
        <f t="shared" si="47"/>
        <v>0</v>
      </c>
      <c r="O77" s="158">
        <v>4</v>
      </c>
      <c r="P77" s="158">
        <f t="shared" si="47"/>
        <v>0</v>
      </c>
    </row>
    <row r="78" spans="1:16" ht="15.6" customHeight="1" x14ac:dyDescent="0.3">
      <c r="A78" s="688" t="s">
        <v>107</v>
      </c>
      <c r="B78" s="37" t="s">
        <v>85</v>
      </c>
      <c r="C78" s="5" t="s">
        <v>3</v>
      </c>
      <c r="D78" s="4">
        <v>4</v>
      </c>
      <c r="E78" s="4">
        <f>D83</f>
        <v>4</v>
      </c>
      <c r="F78" s="4">
        <f t="shared" ref="F78:K78" si="48">E83</f>
        <v>4</v>
      </c>
      <c r="G78" s="4">
        <f t="shared" si="48"/>
        <v>4</v>
      </c>
      <c r="H78" s="4">
        <f t="shared" si="48"/>
        <v>4</v>
      </c>
      <c r="I78" s="4">
        <f t="shared" si="48"/>
        <v>4</v>
      </c>
      <c r="J78" s="4">
        <f t="shared" si="48"/>
        <v>4</v>
      </c>
      <c r="K78" s="132">
        <f t="shared" si="48"/>
        <v>4</v>
      </c>
      <c r="L78" s="157">
        <v>4</v>
      </c>
      <c r="M78" s="157">
        <v>4</v>
      </c>
      <c r="N78" s="132">
        <f t="shared" ref="N78" si="49">M83</f>
        <v>4</v>
      </c>
      <c r="O78" s="157"/>
      <c r="P78" s="35">
        <f>D78</f>
        <v>4</v>
      </c>
    </row>
    <row r="79" spans="1:16" ht="15.6" x14ac:dyDescent="0.3">
      <c r="A79" s="689"/>
      <c r="B79" s="24" t="s">
        <v>104</v>
      </c>
      <c r="C79" s="5" t="s">
        <v>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155"/>
      <c r="J79" s="155"/>
      <c r="K79" s="155"/>
      <c r="L79" s="155">
        <v>0</v>
      </c>
      <c r="M79" s="155">
        <v>0</v>
      </c>
      <c r="N79" s="132">
        <v>0</v>
      </c>
      <c r="O79" s="155"/>
      <c r="P79" s="35">
        <f>SUM(D79:O79)</f>
        <v>0</v>
      </c>
    </row>
    <row r="80" spans="1:16" ht="27" x14ac:dyDescent="0.3">
      <c r="A80" s="689"/>
      <c r="B80" s="24" t="s">
        <v>103</v>
      </c>
      <c r="C80" s="5" t="s">
        <v>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155"/>
      <c r="J80" s="155"/>
      <c r="K80" s="155"/>
      <c r="L80" s="155">
        <v>0</v>
      </c>
      <c r="M80" s="155">
        <v>0</v>
      </c>
      <c r="N80" s="132">
        <v>0</v>
      </c>
      <c r="O80" s="155"/>
      <c r="P80" s="35">
        <f>SUM(D80:O80)</f>
        <v>0</v>
      </c>
    </row>
    <row r="81" spans="1:16" s="2" customFormat="1" ht="27" x14ac:dyDescent="0.3">
      <c r="A81" s="689"/>
      <c r="B81" s="24" t="s">
        <v>102</v>
      </c>
      <c r="C81" s="11" t="s">
        <v>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155"/>
      <c r="J81" s="155"/>
      <c r="K81" s="155"/>
      <c r="L81" s="155">
        <v>0</v>
      </c>
      <c r="M81" s="155">
        <v>0</v>
      </c>
      <c r="N81" s="132">
        <v>0</v>
      </c>
      <c r="O81" s="155"/>
      <c r="P81" s="74">
        <f>SUM(D81:O81)</f>
        <v>0</v>
      </c>
    </row>
    <row r="82" spans="1:16" s="2" customFormat="1" ht="15.6" x14ac:dyDescent="0.3">
      <c r="A82" s="689"/>
      <c r="B82" s="24" t="s">
        <v>188</v>
      </c>
      <c r="C82" s="11" t="s">
        <v>3</v>
      </c>
      <c r="D82" s="4">
        <f>D81+D80</f>
        <v>0</v>
      </c>
      <c r="E82" s="4">
        <f t="shared" ref="E82:H82" si="50">E81+E80</f>
        <v>0</v>
      </c>
      <c r="F82" s="4">
        <f t="shared" si="50"/>
        <v>0</v>
      </c>
      <c r="G82" s="4">
        <f t="shared" si="50"/>
        <v>0</v>
      </c>
      <c r="H82" s="4">
        <f t="shared" si="50"/>
        <v>0</v>
      </c>
      <c r="I82" s="155">
        <f t="shared" ref="I82" si="51">I81+I80</f>
        <v>0</v>
      </c>
      <c r="J82" s="155">
        <f t="shared" ref="J82:K82" si="52">J81+J80</f>
        <v>0</v>
      </c>
      <c r="K82" s="155">
        <f t="shared" si="52"/>
        <v>0</v>
      </c>
      <c r="L82" s="155">
        <v>0</v>
      </c>
      <c r="M82" s="155">
        <v>0</v>
      </c>
      <c r="N82" s="132">
        <f t="shared" ref="N82" si="53">N81+N80</f>
        <v>0</v>
      </c>
      <c r="O82" s="155">
        <v>0</v>
      </c>
      <c r="P82" s="162">
        <f t="shared" ref="P82" si="54">P81+P80</f>
        <v>0</v>
      </c>
    </row>
    <row r="83" spans="1:16" ht="15.6" x14ac:dyDescent="0.3">
      <c r="A83" s="690"/>
      <c r="B83" s="37" t="s">
        <v>81</v>
      </c>
      <c r="C83" s="5" t="s">
        <v>3</v>
      </c>
      <c r="D83" s="26">
        <f>D78+D79-D82</f>
        <v>4</v>
      </c>
      <c r="E83" s="26">
        <f t="shared" ref="E83:G83" si="55">E78+E79-E82</f>
        <v>4</v>
      </c>
      <c r="F83" s="26">
        <f t="shared" si="55"/>
        <v>4</v>
      </c>
      <c r="G83" s="26">
        <f t="shared" si="55"/>
        <v>4</v>
      </c>
      <c r="H83" s="131">
        <f t="shared" ref="H83:I83" si="56">H78+H79-H82</f>
        <v>4</v>
      </c>
      <c r="I83" s="131">
        <f t="shared" si="56"/>
        <v>4</v>
      </c>
      <c r="J83" s="131">
        <f t="shared" ref="J83:K83" si="57">J78+J79-J82</f>
        <v>4</v>
      </c>
      <c r="K83" s="131">
        <f t="shared" si="57"/>
        <v>4</v>
      </c>
      <c r="L83" s="131">
        <v>4</v>
      </c>
      <c r="M83" s="131">
        <v>4</v>
      </c>
      <c r="N83" s="141">
        <f t="shared" ref="N83" si="58">N78+N79-N82</f>
        <v>4</v>
      </c>
      <c r="O83" s="131">
        <v>0</v>
      </c>
      <c r="P83" s="160">
        <f t="shared" ref="P83" si="59">P78+P79-P82</f>
        <v>4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4">
        <v>0</v>
      </c>
      <c r="E84" s="4">
        <f>D89</f>
        <v>0</v>
      </c>
      <c r="F84" s="4">
        <f t="shared" ref="F84:H84" si="60">E89</f>
        <v>0</v>
      </c>
      <c r="G84" s="4">
        <f t="shared" si="60"/>
        <v>0</v>
      </c>
      <c r="H84" s="4">
        <f t="shared" si="60"/>
        <v>0</v>
      </c>
      <c r="I84" s="157"/>
      <c r="J84" s="157"/>
      <c r="K84" s="157"/>
      <c r="L84" s="157"/>
      <c r="M84" s="157">
        <v>0</v>
      </c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155"/>
      <c r="J85" s="155"/>
      <c r="K85" s="155"/>
      <c r="L85" s="155"/>
      <c r="M85" s="155">
        <v>0</v>
      </c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155"/>
      <c r="J86" s="155"/>
      <c r="K86" s="155"/>
      <c r="L86" s="155"/>
      <c r="M86" s="155">
        <v>0</v>
      </c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155"/>
      <c r="J87" s="155"/>
      <c r="K87" s="155"/>
      <c r="L87" s="155"/>
      <c r="M87" s="155">
        <v>0</v>
      </c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H88" si="61">E86+E87</f>
        <v>0</v>
      </c>
      <c r="F88" s="4">
        <f t="shared" si="61"/>
        <v>0</v>
      </c>
      <c r="G88" s="4">
        <f t="shared" si="61"/>
        <v>0</v>
      </c>
      <c r="H88" s="4">
        <f t="shared" si="61"/>
        <v>0</v>
      </c>
      <c r="I88" s="155">
        <v>0</v>
      </c>
      <c r="J88" s="155">
        <v>0</v>
      </c>
      <c r="K88" s="155">
        <v>0</v>
      </c>
      <c r="L88" s="155">
        <v>0</v>
      </c>
      <c r="M88" s="155">
        <v>0</v>
      </c>
      <c r="N88" s="155">
        <v>0</v>
      </c>
      <c r="O88" s="155">
        <v>0</v>
      </c>
      <c r="P88" s="74">
        <f>SUM(D88:O88)</f>
        <v>0</v>
      </c>
    </row>
    <row r="89" spans="1:16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f t="shared" ref="E89:H89" si="62">E84+E85-E88</f>
        <v>0</v>
      </c>
      <c r="F89" s="26">
        <f t="shared" si="62"/>
        <v>0</v>
      </c>
      <c r="G89" s="26">
        <f t="shared" si="62"/>
        <v>0</v>
      </c>
      <c r="H89" s="26">
        <f t="shared" si="62"/>
        <v>0</v>
      </c>
      <c r="I89" s="158">
        <f t="shared" ref="I89:P89" si="63">I84+I85-I88</f>
        <v>0</v>
      </c>
      <c r="J89" s="158">
        <f t="shared" si="63"/>
        <v>0</v>
      </c>
      <c r="K89" s="158">
        <f t="shared" si="63"/>
        <v>0</v>
      </c>
      <c r="L89" s="158">
        <f t="shared" si="63"/>
        <v>0</v>
      </c>
      <c r="M89" s="158">
        <v>0</v>
      </c>
      <c r="N89" s="158">
        <f t="shared" si="63"/>
        <v>0</v>
      </c>
      <c r="O89" s="158">
        <v>0</v>
      </c>
      <c r="P89" s="158">
        <f t="shared" si="63"/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135">
        <f t="shared" ref="D90:I90" si="64">D66+D72+D78+D84</f>
        <v>82</v>
      </c>
      <c r="E90" s="135">
        <f t="shared" si="64"/>
        <v>82</v>
      </c>
      <c r="F90" s="135">
        <f t="shared" si="64"/>
        <v>82</v>
      </c>
      <c r="G90" s="135">
        <f t="shared" si="64"/>
        <v>56</v>
      </c>
      <c r="H90" s="135">
        <f t="shared" si="64"/>
        <v>43</v>
      </c>
      <c r="I90" s="135">
        <f t="shared" si="64"/>
        <v>38</v>
      </c>
      <c r="J90" s="135">
        <f t="shared" ref="J90:K90" si="65">J66+J72+J78+J84</f>
        <v>33</v>
      </c>
      <c r="K90" s="135">
        <f t="shared" si="65"/>
        <v>50</v>
      </c>
      <c r="L90" s="135">
        <f t="shared" ref="L90:M90" si="66">L66+L72+L78+L84</f>
        <v>50</v>
      </c>
      <c r="M90" s="135">
        <f t="shared" si="66"/>
        <v>49</v>
      </c>
      <c r="N90" s="135">
        <f t="shared" ref="N90" si="67">N66+N72+N78+N84</f>
        <v>50</v>
      </c>
      <c r="O90" s="135">
        <v>52</v>
      </c>
      <c r="P90" s="35">
        <f>D90</f>
        <v>82</v>
      </c>
    </row>
    <row r="91" spans="1:16" ht="15.6" x14ac:dyDescent="0.3">
      <c r="A91" s="695"/>
      <c r="B91" s="24" t="s">
        <v>104</v>
      </c>
      <c r="C91" s="11" t="s">
        <v>3</v>
      </c>
      <c r="D91" s="135">
        <f t="shared" ref="D91:D93" si="68">D67+D73+D79+D85</f>
        <v>4</v>
      </c>
      <c r="E91" s="135">
        <f t="shared" ref="E91:F93" si="69">E67+E73+E79+E85</f>
        <v>5</v>
      </c>
      <c r="F91" s="135">
        <f t="shared" si="69"/>
        <v>2</v>
      </c>
      <c r="G91" s="135">
        <f t="shared" ref="G91:H91" si="70">G67+G73+G79+G85</f>
        <v>1</v>
      </c>
      <c r="H91" s="135">
        <f t="shared" si="70"/>
        <v>1</v>
      </c>
      <c r="I91" s="135">
        <f t="shared" ref="I91:J91" si="71">I67+I73+I79+I85</f>
        <v>1</v>
      </c>
      <c r="J91" s="135">
        <f t="shared" si="71"/>
        <v>19</v>
      </c>
      <c r="K91" s="135">
        <f t="shared" ref="K91:L91" si="72">K67+K73+K79+K85</f>
        <v>0</v>
      </c>
      <c r="L91" s="135">
        <f t="shared" si="72"/>
        <v>0</v>
      </c>
      <c r="M91" s="135">
        <f t="shared" ref="M91:N91" si="73">M67+M73+M79+M85</f>
        <v>1</v>
      </c>
      <c r="N91" s="135">
        <f t="shared" si="73"/>
        <v>2</v>
      </c>
      <c r="O91" s="135">
        <v>1</v>
      </c>
      <c r="P91" s="35">
        <f>SUM(D91:O91)</f>
        <v>37</v>
      </c>
    </row>
    <row r="92" spans="1:16" ht="27" x14ac:dyDescent="0.3">
      <c r="A92" s="695"/>
      <c r="B92" s="24" t="s">
        <v>103</v>
      </c>
      <c r="C92" s="11" t="s">
        <v>3</v>
      </c>
      <c r="D92" s="135">
        <f t="shared" si="68"/>
        <v>4</v>
      </c>
      <c r="E92" s="135">
        <f t="shared" si="69"/>
        <v>5</v>
      </c>
      <c r="F92" s="135">
        <f t="shared" si="69"/>
        <v>3</v>
      </c>
      <c r="G92" s="135">
        <f t="shared" ref="G92:H92" si="74">G68+G74+G80+G86</f>
        <v>8</v>
      </c>
      <c r="H92" s="135">
        <f t="shared" si="74"/>
        <v>6</v>
      </c>
      <c r="I92" s="135">
        <f t="shared" ref="I92:J92" si="75">I68+I74+I80+I86</f>
        <v>5</v>
      </c>
      <c r="J92" s="135">
        <f t="shared" si="75"/>
        <v>2</v>
      </c>
      <c r="K92" s="135">
        <f t="shared" ref="K92:L92" si="76">K68+K74+K80+K86</f>
        <v>0</v>
      </c>
      <c r="L92" s="135">
        <f t="shared" si="76"/>
        <v>0</v>
      </c>
      <c r="M92" s="135">
        <f t="shared" ref="M92:N92" si="77">M68+M74+M80+M86</f>
        <v>0</v>
      </c>
      <c r="N92" s="135">
        <f t="shared" si="77"/>
        <v>0</v>
      </c>
      <c r="O92" s="135">
        <v>4</v>
      </c>
      <c r="P92" s="35">
        <f>SUM(D92:O92)</f>
        <v>37</v>
      </c>
    </row>
    <row r="93" spans="1:16" s="2" customFormat="1" ht="27" x14ac:dyDescent="0.3">
      <c r="A93" s="695"/>
      <c r="B93" s="24" t="s">
        <v>102</v>
      </c>
      <c r="C93" s="11"/>
      <c r="D93" s="135">
        <f t="shared" si="68"/>
        <v>0</v>
      </c>
      <c r="E93" s="135">
        <f t="shared" si="69"/>
        <v>0</v>
      </c>
      <c r="F93" s="135">
        <f t="shared" si="69"/>
        <v>25</v>
      </c>
      <c r="G93" s="135">
        <f t="shared" ref="G93:H93" si="78">G69+G75+G81+G87</f>
        <v>6</v>
      </c>
      <c r="H93" s="135">
        <f t="shared" si="78"/>
        <v>0</v>
      </c>
      <c r="I93" s="135">
        <f t="shared" ref="I93:J93" si="79">I69+I75+I81+I87</f>
        <v>1</v>
      </c>
      <c r="J93" s="135">
        <f t="shared" si="79"/>
        <v>0</v>
      </c>
      <c r="K93" s="135">
        <f t="shared" ref="K93:L93" si="80">K69+K75+K81+K87</f>
        <v>0</v>
      </c>
      <c r="L93" s="135">
        <f t="shared" si="80"/>
        <v>1</v>
      </c>
      <c r="M93" s="135">
        <f t="shared" ref="M93:N93" si="81">M69+M75+M81+M87</f>
        <v>0</v>
      </c>
      <c r="N93" s="135">
        <f t="shared" si="81"/>
        <v>0</v>
      </c>
      <c r="O93" s="135">
        <v>0</v>
      </c>
      <c r="P93" s="35">
        <f>SUM(D93:O93)</f>
        <v>33</v>
      </c>
    </row>
    <row r="94" spans="1:16" s="2" customFormat="1" ht="15.6" x14ac:dyDescent="0.3">
      <c r="A94" s="695"/>
      <c r="B94" s="24" t="s">
        <v>188</v>
      </c>
      <c r="C94" s="11" t="s">
        <v>3</v>
      </c>
      <c r="D94" s="136">
        <f t="shared" ref="D94:I94" si="82">D93+D92</f>
        <v>4</v>
      </c>
      <c r="E94" s="136">
        <f t="shared" si="82"/>
        <v>5</v>
      </c>
      <c r="F94" s="136">
        <f t="shared" si="82"/>
        <v>28</v>
      </c>
      <c r="G94" s="136">
        <f t="shared" si="82"/>
        <v>14</v>
      </c>
      <c r="H94" s="136">
        <f t="shared" si="82"/>
        <v>6</v>
      </c>
      <c r="I94" s="136">
        <f t="shared" si="82"/>
        <v>6</v>
      </c>
      <c r="J94" s="136">
        <f t="shared" ref="J94:K94" si="83">J93+J92</f>
        <v>2</v>
      </c>
      <c r="K94" s="136">
        <f t="shared" si="83"/>
        <v>0</v>
      </c>
      <c r="L94" s="136">
        <f t="shared" ref="L94:M94" si="84">L93+L92</f>
        <v>1</v>
      </c>
      <c r="M94" s="136">
        <f t="shared" si="84"/>
        <v>0</v>
      </c>
      <c r="N94" s="136">
        <f t="shared" ref="N94" si="85">N93+N92</f>
        <v>0</v>
      </c>
      <c r="O94" s="136">
        <v>4</v>
      </c>
      <c r="P94" s="106">
        <f t="shared" ref="P94" si="86">P93+P92</f>
        <v>70</v>
      </c>
    </row>
    <row r="95" spans="1:16" ht="16.2" thickBot="1" x14ac:dyDescent="0.35">
      <c r="A95" s="696"/>
      <c r="B95" s="24" t="s">
        <v>81</v>
      </c>
      <c r="C95" s="11" t="s">
        <v>3</v>
      </c>
      <c r="D95" s="137">
        <f t="shared" ref="D95:I95" si="87">D90+D91-D94</f>
        <v>82</v>
      </c>
      <c r="E95" s="137">
        <f t="shared" si="87"/>
        <v>82</v>
      </c>
      <c r="F95" s="137">
        <f t="shared" si="87"/>
        <v>56</v>
      </c>
      <c r="G95" s="137">
        <f t="shared" si="87"/>
        <v>43</v>
      </c>
      <c r="H95" s="137">
        <f t="shared" si="87"/>
        <v>38</v>
      </c>
      <c r="I95" s="137">
        <f t="shared" si="87"/>
        <v>33</v>
      </c>
      <c r="J95" s="137">
        <f t="shared" ref="J95:K95" si="88">J90+J91-J94</f>
        <v>50</v>
      </c>
      <c r="K95" s="137">
        <f t="shared" si="88"/>
        <v>50</v>
      </c>
      <c r="L95" s="137">
        <f t="shared" ref="L95:M95" si="89">L90+L91-L94</f>
        <v>49</v>
      </c>
      <c r="M95" s="137">
        <f t="shared" si="89"/>
        <v>50</v>
      </c>
      <c r="N95" s="137">
        <f t="shared" ref="N95" si="90">N90+N91-N94</f>
        <v>52</v>
      </c>
      <c r="O95" s="137">
        <v>49</v>
      </c>
      <c r="P95" s="144">
        <f t="shared" ref="P95" si="91">P90+P91-P94</f>
        <v>49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553">
        <v>0</v>
      </c>
      <c r="E98" s="553">
        <v>4</v>
      </c>
      <c r="F98" s="553">
        <v>27</v>
      </c>
      <c r="G98" s="553">
        <v>7</v>
      </c>
      <c r="H98" s="553">
        <v>2</v>
      </c>
      <c r="I98" s="553">
        <v>1</v>
      </c>
      <c r="J98" s="553">
        <v>3</v>
      </c>
      <c r="K98" s="71"/>
      <c r="L98" s="71">
        <v>1</v>
      </c>
      <c r="M98" s="71"/>
      <c r="N98" s="71"/>
      <c r="O98" s="71"/>
      <c r="P98" s="107">
        <f>SUM(D98:O98)</f>
        <v>45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4">
        <v>214</v>
      </c>
      <c r="E101" s="4">
        <v>213</v>
      </c>
      <c r="F101" s="4">
        <v>207</v>
      </c>
      <c r="G101" s="4">
        <v>207</v>
      </c>
      <c r="H101" s="4">
        <v>218</v>
      </c>
      <c r="I101" s="4">
        <v>219</v>
      </c>
      <c r="J101" s="155">
        <v>218</v>
      </c>
      <c r="K101" s="4">
        <v>213</v>
      </c>
      <c r="L101" s="4">
        <v>214</v>
      </c>
      <c r="M101" s="4">
        <v>246</v>
      </c>
      <c r="N101" s="4">
        <v>243</v>
      </c>
      <c r="O101" s="4">
        <v>238</v>
      </c>
      <c r="P101" s="32">
        <f t="shared" ref="P101:P116" si="92">O101</f>
        <v>238</v>
      </c>
    </row>
    <row r="102" spans="1:16" ht="15.6" x14ac:dyDescent="0.3">
      <c r="A102" s="661" t="s">
        <v>99</v>
      </c>
      <c r="B102" s="662"/>
      <c r="C102" s="11" t="s">
        <v>3</v>
      </c>
      <c r="D102" s="4">
        <v>12</v>
      </c>
      <c r="E102" s="4">
        <v>12</v>
      </c>
      <c r="F102" s="4">
        <v>14</v>
      </c>
      <c r="G102" s="4">
        <v>17</v>
      </c>
      <c r="H102" s="4">
        <v>17</v>
      </c>
      <c r="I102" s="4">
        <v>17</v>
      </c>
      <c r="J102" s="155">
        <v>17</v>
      </c>
      <c r="K102" s="4">
        <v>14</v>
      </c>
      <c r="L102" s="4">
        <v>14</v>
      </c>
      <c r="M102" s="4">
        <v>14</v>
      </c>
      <c r="N102" s="4">
        <v>14</v>
      </c>
      <c r="O102" s="4">
        <v>14</v>
      </c>
      <c r="P102" s="32">
        <f t="shared" si="92"/>
        <v>14</v>
      </c>
    </row>
    <row r="103" spans="1:16" ht="15.6" customHeight="1" x14ac:dyDescent="0.3">
      <c r="A103" s="663" t="s">
        <v>98</v>
      </c>
      <c r="B103" s="664"/>
      <c r="C103" s="11" t="s">
        <v>3</v>
      </c>
      <c r="D103" s="4">
        <v>24</v>
      </c>
      <c r="E103" s="4">
        <v>24</v>
      </c>
      <c r="F103" s="4">
        <v>24</v>
      </c>
      <c r="G103" s="4">
        <v>24</v>
      </c>
      <c r="H103" s="4">
        <v>24</v>
      </c>
      <c r="I103" s="4">
        <v>25</v>
      </c>
      <c r="J103" s="155">
        <v>25</v>
      </c>
      <c r="K103" s="4">
        <v>25</v>
      </c>
      <c r="L103" s="4">
        <v>25</v>
      </c>
      <c r="M103" s="4">
        <v>25</v>
      </c>
      <c r="N103" s="4">
        <v>25</v>
      </c>
      <c r="O103" s="4">
        <v>25</v>
      </c>
      <c r="P103" s="32">
        <f t="shared" si="92"/>
        <v>25</v>
      </c>
    </row>
    <row r="104" spans="1:16" ht="15.6" x14ac:dyDescent="0.3">
      <c r="A104" s="663" t="s">
        <v>97</v>
      </c>
      <c r="B104" s="664"/>
      <c r="C104" s="11" t="s">
        <v>3</v>
      </c>
      <c r="D104" s="4">
        <v>0</v>
      </c>
      <c r="E104" s="4">
        <v>0</v>
      </c>
      <c r="F104" s="4">
        <v>0</v>
      </c>
      <c r="G104" s="4">
        <v>0</v>
      </c>
      <c r="H104" s="4"/>
      <c r="I104" s="155"/>
      <c r="J104" s="155"/>
      <c r="K104" s="4"/>
      <c r="L104" s="4"/>
      <c r="M104" s="4">
        <v>0</v>
      </c>
      <c r="N104" s="4"/>
      <c r="O104" s="4"/>
      <c r="P104" s="32">
        <f t="shared" si="92"/>
        <v>0</v>
      </c>
    </row>
    <row r="105" spans="1:16" ht="15.6" x14ac:dyDescent="0.3">
      <c r="A105" s="686" t="s">
        <v>96</v>
      </c>
      <c r="B105" s="687"/>
      <c r="C105" s="11" t="s">
        <v>3</v>
      </c>
      <c r="D105" s="33">
        <f>SUM(D101:D104)</f>
        <v>250</v>
      </c>
      <c r="E105" s="33">
        <f t="shared" ref="E105:N105" si="93">SUM(E101:E104)</f>
        <v>249</v>
      </c>
      <c r="F105" s="33">
        <f t="shared" si="93"/>
        <v>245</v>
      </c>
      <c r="G105" s="33">
        <f t="shared" si="93"/>
        <v>248</v>
      </c>
      <c r="H105" s="33">
        <f t="shared" si="93"/>
        <v>259</v>
      </c>
      <c r="I105" s="169">
        <f t="shared" si="93"/>
        <v>261</v>
      </c>
      <c r="J105" s="169">
        <f t="shared" si="93"/>
        <v>260</v>
      </c>
      <c r="K105" s="33">
        <f t="shared" si="93"/>
        <v>252</v>
      </c>
      <c r="L105" s="33">
        <f t="shared" si="93"/>
        <v>253</v>
      </c>
      <c r="M105" s="33">
        <f t="shared" si="93"/>
        <v>285</v>
      </c>
      <c r="N105" s="33">
        <f t="shared" si="93"/>
        <v>282</v>
      </c>
      <c r="O105" s="33">
        <v>277</v>
      </c>
      <c r="P105" s="32">
        <f t="shared" si="92"/>
        <v>277</v>
      </c>
    </row>
    <row r="106" spans="1:16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4">
        <v>526</v>
      </c>
      <c r="E107" s="4">
        <v>532</v>
      </c>
      <c r="F107" s="4">
        <v>534</v>
      </c>
      <c r="G107" s="4">
        <v>542</v>
      </c>
      <c r="H107" s="4">
        <v>548</v>
      </c>
      <c r="I107" s="4">
        <v>552</v>
      </c>
      <c r="J107" s="155">
        <v>553</v>
      </c>
      <c r="K107" s="4">
        <v>556</v>
      </c>
      <c r="L107" s="132">
        <v>555</v>
      </c>
      <c r="M107" s="155">
        <v>523</v>
      </c>
      <c r="N107" s="4">
        <v>526</v>
      </c>
      <c r="O107" s="155">
        <v>535</v>
      </c>
      <c r="P107" s="32">
        <f t="shared" si="92"/>
        <v>535</v>
      </c>
    </row>
    <row r="108" spans="1:16" ht="15.6" x14ac:dyDescent="0.3">
      <c r="A108" s="661" t="s">
        <v>194</v>
      </c>
      <c r="B108" s="662"/>
      <c r="C108" s="11" t="s">
        <v>3</v>
      </c>
      <c r="D108" s="4">
        <v>11</v>
      </c>
      <c r="E108" s="4">
        <v>11</v>
      </c>
      <c r="F108" s="4">
        <v>9</v>
      </c>
      <c r="G108" s="4">
        <v>4</v>
      </c>
      <c r="H108" s="4">
        <v>3</v>
      </c>
      <c r="I108" s="4">
        <v>3</v>
      </c>
      <c r="J108" s="155">
        <v>3</v>
      </c>
      <c r="K108" s="4">
        <v>2</v>
      </c>
      <c r="L108" s="132">
        <v>2</v>
      </c>
      <c r="M108" s="155">
        <v>2</v>
      </c>
      <c r="N108" s="4">
        <v>2</v>
      </c>
      <c r="O108" s="155">
        <v>2</v>
      </c>
      <c r="P108" s="32">
        <f t="shared" si="92"/>
        <v>2</v>
      </c>
    </row>
    <row r="109" spans="1:16" ht="15.6" x14ac:dyDescent="0.3">
      <c r="A109" s="661" t="s">
        <v>195</v>
      </c>
      <c r="B109" s="662"/>
      <c r="C109" s="11" t="s">
        <v>3</v>
      </c>
      <c r="D109" s="4">
        <v>5</v>
      </c>
      <c r="E109" s="4">
        <v>5</v>
      </c>
      <c r="F109" s="4">
        <v>5</v>
      </c>
      <c r="G109" s="4">
        <v>4</v>
      </c>
      <c r="H109" s="4">
        <v>4</v>
      </c>
      <c r="I109" s="4">
        <v>3</v>
      </c>
      <c r="J109" s="155">
        <v>3</v>
      </c>
      <c r="K109" s="4">
        <v>2</v>
      </c>
      <c r="L109" s="132">
        <v>2</v>
      </c>
      <c r="M109" s="155">
        <v>3</v>
      </c>
      <c r="N109" s="4">
        <v>3</v>
      </c>
      <c r="O109" s="155">
        <v>3</v>
      </c>
      <c r="P109" s="32">
        <f t="shared" si="92"/>
        <v>3</v>
      </c>
    </row>
    <row r="110" spans="1:16" ht="15.6" x14ac:dyDescent="0.3">
      <c r="A110" s="661" t="s">
        <v>196</v>
      </c>
      <c r="B110" s="662"/>
      <c r="C110" s="11" t="s">
        <v>3</v>
      </c>
      <c r="D110" s="4">
        <v>0</v>
      </c>
      <c r="E110" s="4">
        <v>0</v>
      </c>
      <c r="F110" s="4">
        <v>0</v>
      </c>
      <c r="G110" s="4">
        <v>0</v>
      </c>
      <c r="H110" s="4"/>
      <c r="I110" s="155"/>
      <c r="J110" s="155"/>
      <c r="K110" s="155"/>
      <c r="L110" s="132"/>
      <c r="M110" s="155">
        <v>0</v>
      </c>
      <c r="N110" s="155"/>
      <c r="O110" s="155"/>
      <c r="P110" s="32">
        <f t="shared" si="92"/>
        <v>0</v>
      </c>
    </row>
    <row r="111" spans="1:16" ht="15.6" x14ac:dyDescent="0.3">
      <c r="A111" s="676" t="s">
        <v>95</v>
      </c>
      <c r="B111" s="677"/>
      <c r="C111" s="11" t="s">
        <v>3</v>
      </c>
      <c r="D111" s="33">
        <f>SUM(D107:D110)</f>
        <v>542</v>
      </c>
      <c r="E111" s="33">
        <f t="shared" ref="E111:N111" si="94">SUM(E107:E110)</f>
        <v>548</v>
      </c>
      <c r="F111" s="33">
        <f t="shared" si="94"/>
        <v>548</v>
      </c>
      <c r="G111" s="33">
        <f t="shared" si="94"/>
        <v>550</v>
      </c>
      <c r="H111" s="33">
        <f t="shared" si="94"/>
        <v>555</v>
      </c>
      <c r="I111" s="33">
        <f t="shared" si="94"/>
        <v>558</v>
      </c>
      <c r="J111" s="169">
        <f t="shared" si="94"/>
        <v>559</v>
      </c>
      <c r="K111" s="33">
        <f t="shared" si="94"/>
        <v>560</v>
      </c>
      <c r="L111" s="134">
        <f t="shared" si="94"/>
        <v>559</v>
      </c>
      <c r="M111" s="169">
        <f t="shared" si="94"/>
        <v>528</v>
      </c>
      <c r="N111" s="169">
        <f t="shared" si="94"/>
        <v>531</v>
      </c>
      <c r="O111" s="169">
        <v>540</v>
      </c>
      <c r="P111" s="32">
        <f t="shared" si="92"/>
        <v>540</v>
      </c>
    </row>
    <row r="112" spans="1:16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27">
        <v>165</v>
      </c>
      <c r="E113" s="33">
        <v>165</v>
      </c>
      <c r="F113" s="33">
        <v>191</v>
      </c>
      <c r="G113" s="33">
        <v>198</v>
      </c>
      <c r="H113" s="33">
        <v>198</v>
      </c>
      <c r="I113" s="33">
        <v>199</v>
      </c>
      <c r="J113" s="129">
        <v>199</v>
      </c>
      <c r="K113" s="33">
        <v>199</v>
      </c>
      <c r="L113" s="129">
        <v>200</v>
      </c>
      <c r="M113" s="129">
        <v>200</v>
      </c>
      <c r="N113" s="33">
        <v>200</v>
      </c>
      <c r="O113" s="129">
        <v>200</v>
      </c>
      <c r="P113" s="32">
        <f t="shared" si="92"/>
        <v>200</v>
      </c>
    </row>
    <row r="114" spans="1:16" ht="15.6" x14ac:dyDescent="0.3">
      <c r="A114" s="661" t="s">
        <v>198</v>
      </c>
      <c r="B114" s="662"/>
      <c r="C114" s="11" t="s">
        <v>3</v>
      </c>
      <c r="D114" s="127">
        <v>17</v>
      </c>
      <c r="E114" s="33">
        <v>17</v>
      </c>
      <c r="F114" s="33">
        <v>17</v>
      </c>
      <c r="G114" s="33">
        <v>18</v>
      </c>
      <c r="H114" s="33">
        <v>18</v>
      </c>
      <c r="I114" s="33">
        <v>18</v>
      </c>
      <c r="J114" s="129">
        <v>18</v>
      </c>
      <c r="K114" s="33">
        <v>20</v>
      </c>
      <c r="L114" s="129">
        <v>20</v>
      </c>
      <c r="M114" s="129">
        <v>20</v>
      </c>
      <c r="N114" s="33">
        <v>20</v>
      </c>
      <c r="O114" s="129">
        <v>20</v>
      </c>
      <c r="P114" s="32">
        <f t="shared" si="92"/>
        <v>20</v>
      </c>
    </row>
    <row r="115" spans="1:16" ht="15.6" x14ac:dyDescent="0.3">
      <c r="A115" s="661" t="s">
        <v>199</v>
      </c>
      <c r="B115" s="662"/>
      <c r="C115" s="11" t="s">
        <v>3</v>
      </c>
      <c r="D115" s="127">
        <v>15</v>
      </c>
      <c r="E115" s="33">
        <v>15</v>
      </c>
      <c r="F115" s="33">
        <v>14</v>
      </c>
      <c r="G115" s="33">
        <v>14</v>
      </c>
      <c r="H115" s="33">
        <v>16</v>
      </c>
      <c r="I115" s="33">
        <v>16</v>
      </c>
      <c r="J115" s="129">
        <v>16</v>
      </c>
      <c r="K115" s="33">
        <v>16</v>
      </c>
      <c r="L115" s="129">
        <v>16</v>
      </c>
      <c r="M115" s="129">
        <v>16</v>
      </c>
      <c r="N115" s="33">
        <v>16</v>
      </c>
      <c r="O115" s="129">
        <v>16</v>
      </c>
      <c r="P115" s="32">
        <f t="shared" si="92"/>
        <v>16</v>
      </c>
    </row>
    <row r="116" spans="1:16" ht="15.6" x14ac:dyDescent="0.3">
      <c r="A116" s="661" t="s">
        <v>200</v>
      </c>
      <c r="B116" s="662"/>
      <c r="C116" s="11" t="s">
        <v>3</v>
      </c>
      <c r="D116" s="127">
        <v>0</v>
      </c>
      <c r="E116" s="33">
        <v>0</v>
      </c>
      <c r="F116" s="33">
        <v>0</v>
      </c>
      <c r="G116" s="33">
        <v>0</v>
      </c>
      <c r="H116" s="127"/>
      <c r="I116" s="129"/>
      <c r="J116" s="129"/>
      <c r="K116" s="33">
        <v>0</v>
      </c>
      <c r="L116" s="129"/>
      <c r="M116" s="129">
        <v>0</v>
      </c>
      <c r="N116" s="33">
        <v>0</v>
      </c>
      <c r="O116" s="129">
        <v>0</v>
      </c>
      <c r="P116" s="32">
        <f t="shared" si="92"/>
        <v>0</v>
      </c>
    </row>
    <row r="117" spans="1:16" ht="15.6" x14ac:dyDescent="0.3">
      <c r="A117" s="676" t="s">
        <v>94</v>
      </c>
      <c r="B117" s="677"/>
      <c r="C117" s="11" t="s">
        <v>3</v>
      </c>
      <c r="D117" s="33">
        <f>SUM(D113:D116)</f>
        <v>197</v>
      </c>
      <c r="E117" s="33">
        <f t="shared" ref="E117:P117" si="95">SUM(E113:E116)</f>
        <v>197</v>
      </c>
      <c r="F117" s="33">
        <f t="shared" si="95"/>
        <v>222</v>
      </c>
      <c r="G117" s="33">
        <f t="shared" si="95"/>
        <v>230</v>
      </c>
      <c r="H117" s="33">
        <f t="shared" ref="H117" si="96">SUM(H113:H116)</f>
        <v>232</v>
      </c>
      <c r="I117" s="169">
        <f t="shared" si="95"/>
        <v>233</v>
      </c>
      <c r="J117" s="169">
        <f t="shared" ref="J117:K117" si="97">SUM(J113:J116)</f>
        <v>233</v>
      </c>
      <c r="K117" s="169">
        <f t="shared" si="97"/>
        <v>235</v>
      </c>
      <c r="L117" s="33">
        <f t="shared" si="95"/>
        <v>236</v>
      </c>
      <c r="M117" s="33">
        <f t="shared" ref="M117:N117" si="98">SUM(M113:M116)</f>
        <v>236</v>
      </c>
      <c r="N117" s="33">
        <f t="shared" si="98"/>
        <v>236</v>
      </c>
      <c r="O117" s="33">
        <v>236</v>
      </c>
      <c r="P117" s="55">
        <f t="shared" si="95"/>
        <v>236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33">
        <f t="shared" ref="D118:I118" si="99">D111+D117</f>
        <v>739</v>
      </c>
      <c r="E118" s="33">
        <f t="shared" si="99"/>
        <v>745</v>
      </c>
      <c r="F118" s="33">
        <f t="shared" si="99"/>
        <v>770</v>
      </c>
      <c r="G118" s="33">
        <f t="shared" si="99"/>
        <v>780</v>
      </c>
      <c r="H118" s="33">
        <f t="shared" si="99"/>
        <v>787</v>
      </c>
      <c r="I118" s="169">
        <f t="shared" si="99"/>
        <v>791</v>
      </c>
      <c r="J118" s="169">
        <f t="shared" ref="J118:K118" si="100">J111+J117</f>
        <v>792</v>
      </c>
      <c r="K118" s="169">
        <f t="shared" si="100"/>
        <v>795</v>
      </c>
      <c r="L118" s="169">
        <f t="shared" ref="L118:M118" si="101">L111+L117</f>
        <v>795</v>
      </c>
      <c r="M118" s="169">
        <f t="shared" si="101"/>
        <v>764</v>
      </c>
      <c r="N118" s="169">
        <f t="shared" ref="N118" si="102">N111+N117</f>
        <v>767</v>
      </c>
      <c r="O118" s="169">
        <v>776</v>
      </c>
      <c r="P118" s="169">
        <f t="shared" ref="P118" si="103">P111+P117</f>
        <v>776</v>
      </c>
    </row>
    <row r="119" spans="1:16" ht="15.6" x14ac:dyDescent="0.3">
      <c r="A119" s="676" t="s">
        <v>192</v>
      </c>
      <c r="B119" s="677"/>
      <c r="C119" s="11" t="s">
        <v>3</v>
      </c>
      <c r="D119" s="33">
        <f t="shared" ref="D119:I119" si="104">D118+D105</f>
        <v>989</v>
      </c>
      <c r="E119" s="33">
        <f t="shared" si="104"/>
        <v>994</v>
      </c>
      <c r="F119" s="33">
        <f t="shared" si="104"/>
        <v>1015</v>
      </c>
      <c r="G119" s="33">
        <f t="shared" si="104"/>
        <v>1028</v>
      </c>
      <c r="H119" s="33">
        <f t="shared" si="104"/>
        <v>1046</v>
      </c>
      <c r="I119" s="169">
        <f t="shared" si="104"/>
        <v>1052</v>
      </c>
      <c r="J119" s="169">
        <f t="shared" ref="J119:K119" si="105">J118+J105</f>
        <v>1052</v>
      </c>
      <c r="K119" s="169">
        <f t="shared" si="105"/>
        <v>1047</v>
      </c>
      <c r="L119" s="169">
        <f t="shared" ref="L119:M119" si="106">L118+L105</f>
        <v>1048</v>
      </c>
      <c r="M119" s="169">
        <f t="shared" si="106"/>
        <v>1049</v>
      </c>
      <c r="N119" s="169">
        <f t="shared" ref="N119" si="107">N118+N105</f>
        <v>1049</v>
      </c>
      <c r="O119" s="169">
        <v>1053</v>
      </c>
      <c r="P119" s="169">
        <f t="shared" ref="P119" si="108">P118+P105</f>
        <v>1053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7.399999999999999" x14ac:dyDescent="0.3">
      <c r="A121" s="661" t="s">
        <v>93</v>
      </c>
      <c r="B121" s="662"/>
      <c r="C121" s="5" t="s">
        <v>3</v>
      </c>
      <c r="D121" s="562">
        <v>9917</v>
      </c>
      <c r="E121" s="4">
        <v>9926</v>
      </c>
      <c r="F121" s="4">
        <v>9933</v>
      </c>
      <c r="G121" s="4">
        <v>9939</v>
      </c>
      <c r="H121" s="4">
        <v>9947</v>
      </c>
      <c r="I121" s="4">
        <v>9958</v>
      </c>
      <c r="J121" s="4">
        <v>9964</v>
      </c>
      <c r="K121" s="4">
        <v>9973</v>
      </c>
      <c r="L121" s="128">
        <v>9978</v>
      </c>
      <c r="M121" s="128">
        <v>9984</v>
      </c>
      <c r="N121" s="4">
        <v>9996</v>
      </c>
      <c r="O121" s="128">
        <v>10003</v>
      </c>
      <c r="P121" s="31">
        <f>O121</f>
        <v>10003</v>
      </c>
    </row>
    <row r="122" spans="1:16" ht="17.399999999999999" x14ac:dyDescent="0.3">
      <c r="A122" s="661" t="s">
        <v>92</v>
      </c>
      <c r="B122" s="662"/>
      <c r="C122" s="5" t="s">
        <v>3</v>
      </c>
      <c r="D122" s="562">
        <f>7162+4*5</f>
        <v>7182</v>
      </c>
      <c r="E122" s="4">
        <f>7182+5*5</f>
        <v>7207</v>
      </c>
      <c r="F122" s="4">
        <f>7207+10</f>
        <v>7217</v>
      </c>
      <c r="G122" s="4">
        <f>7217+14*5</f>
        <v>7287</v>
      </c>
      <c r="H122" s="4">
        <f>7287+6*5</f>
        <v>7317</v>
      </c>
      <c r="I122" s="4">
        <f>7317+6*5</f>
        <v>7347</v>
      </c>
      <c r="J122" s="4">
        <f>7347+2*5</f>
        <v>7357</v>
      </c>
      <c r="K122" s="4">
        <v>7357</v>
      </c>
      <c r="L122" s="128">
        <v>7362</v>
      </c>
      <c r="M122" s="128">
        <v>7362</v>
      </c>
      <c r="N122" s="4">
        <v>7362</v>
      </c>
      <c r="O122" s="128">
        <v>7382</v>
      </c>
      <c r="P122" s="31">
        <f>O122</f>
        <v>7382</v>
      </c>
    </row>
    <row r="123" spans="1:16" ht="15.6" x14ac:dyDescent="0.3">
      <c r="A123" s="678" t="s">
        <v>91</v>
      </c>
      <c r="B123" s="679"/>
      <c r="C123" s="30" t="s">
        <v>6</v>
      </c>
      <c r="D123" s="29">
        <f t="shared" ref="D123:F123" si="109">D122/D121</f>
        <v>0.72421095089240695</v>
      </c>
      <c r="E123" s="29">
        <f t="shared" si="109"/>
        <v>0.72607293975418097</v>
      </c>
      <c r="F123" s="29">
        <f t="shared" si="109"/>
        <v>0.72656800563777313</v>
      </c>
      <c r="G123" s="29">
        <f t="shared" ref="G123:P123" si="110">G122/G121</f>
        <v>0.73317235134319347</v>
      </c>
      <c r="H123" s="29">
        <f t="shared" si="110"/>
        <v>0.73559867296672365</v>
      </c>
      <c r="I123" s="29">
        <f t="shared" si="110"/>
        <v>0.73779875477003409</v>
      </c>
      <c r="J123" s="29">
        <f t="shared" si="110"/>
        <v>0.738358089120835</v>
      </c>
      <c r="K123" s="29">
        <f t="shared" si="110"/>
        <v>0.73769176777298706</v>
      </c>
      <c r="L123" s="29">
        <f t="shared" si="110"/>
        <v>0.73782321106434157</v>
      </c>
      <c r="M123" s="29">
        <f t="shared" si="110"/>
        <v>0.73737980769230771</v>
      </c>
      <c r="N123" s="29">
        <f t="shared" si="110"/>
        <v>0.73649459783913562</v>
      </c>
      <c r="O123" s="29">
        <v>0.73797860641807456</v>
      </c>
      <c r="P123" s="108">
        <f t="shared" si="110"/>
        <v>0.73797860641807456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1</v>
      </c>
      <c r="F125" s="132">
        <f t="shared" ref="F125:H125" si="111">E129</f>
        <v>0</v>
      </c>
      <c r="G125" s="132">
        <f t="shared" si="111"/>
        <v>0</v>
      </c>
      <c r="H125" s="132">
        <f t="shared" si="111"/>
        <v>0</v>
      </c>
      <c r="I125" s="157"/>
      <c r="J125" s="157"/>
      <c r="K125" s="157"/>
      <c r="L125" s="157"/>
      <c r="M125" s="157">
        <v>0</v>
      </c>
      <c r="N125" s="157"/>
      <c r="O125" s="157"/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1</v>
      </c>
      <c r="E126" s="132">
        <v>0</v>
      </c>
      <c r="F126" s="132">
        <v>0</v>
      </c>
      <c r="G126" s="132">
        <v>0</v>
      </c>
      <c r="H126" s="132">
        <v>0</v>
      </c>
      <c r="I126" s="155"/>
      <c r="J126" s="155"/>
      <c r="K126" s="155"/>
      <c r="L126" s="155"/>
      <c r="M126" s="155">
        <v>0</v>
      </c>
      <c r="N126" s="155"/>
      <c r="O126" s="155"/>
      <c r="P126" s="18">
        <f>SUM(D126:O126)</f>
        <v>1</v>
      </c>
    </row>
    <row r="127" spans="1:16" ht="15.6" x14ac:dyDescent="0.3">
      <c r="A127" s="674"/>
      <c r="B127" s="82" t="s">
        <v>88</v>
      </c>
      <c r="C127" s="11" t="s">
        <v>3</v>
      </c>
      <c r="D127" s="132">
        <v>0</v>
      </c>
      <c r="E127" s="132">
        <v>1</v>
      </c>
      <c r="F127" s="132">
        <v>0</v>
      </c>
      <c r="G127" s="132">
        <v>0</v>
      </c>
      <c r="H127" s="132">
        <v>0</v>
      </c>
      <c r="I127" s="155"/>
      <c r="J127" s="155"/>
      <c r="K127" s="155"/>
      <c r="L127" s="155"/>
      <c r="M127" s="155">
        <v>0</v>
      </c>
      <c r="N127" s="155"/>
      <c r="O127" s="155"/>
      <c r="P127" s="18">
        <f>SUM(D127:O127)</f>
        <v>1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155"/>
      <c r="J128" s="155"/>
      <c r="K128" s="155"/>
      <c r="L128" s="155"/>
      <c r="M128" s="155">
        <v>0</v>
      </c>
      <c r="N128" s="155"/>
      <c r="O128" s="155"/>
      <c r="P128" s="18">
        <f>SUM(D128:O128)</f>
        <v>0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1</v>
      </c>
      <c r="E129" s="132">
        <f t="shared" ref="E129:H129" si="112">E125+E126-E127-E128</f>
        <v>0</v>
      </c>
      <c r="F129" s="132">
        <f t="shared" si="112"/>
        <v>0</v>
      </c>
      <c r="G129" s="132">
        <f t="shared" si="112"/>
        <v>0</v>
      </c>
      <c r="H129" s="132">
        <f t="shared" si="112"/>
        <v>0</v>
      </c>
      <c r="I129" s="157">
        <f t="shared" ref="I129" si="113">I125+I126-I127-I128</f>
        <v>0</v>
      </c>
      <c r="J129" s="157">
        <f t="shared" ref="J129:K129" si="114">J125+J126-J127-J128</f>
        <v>0</v>
      </c>
      <c r="K129" s="157">
        <f t="shared" si="114"/>
        <v>0</v>
      </c>
      <c r="L129" s="157">
        <f t="shared" ref="L129" si="115">L125+L126-L127-L128</f>
        <v>0</v>
      </c>
      <c r="M129" s="157">
        <v>0</v>
      </c>
      <c r="N129" s="157">
        <f t="shared" ref="N129" si="116">N125+N126-N127-N128</f>
        <v>0</v>
      </c>
      <c r="O129" s="157">
        <v>0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0</v>
      </c>
      <c r="E130" s="132">
        <f>D134</f>
        <v>0</v>
      </c>
      <c r="F130" s="132">
        <f t="shared" ref="F130:H130" si="117">E134</f>
        <v>0</v>
      </c>
      <c r="G130" s="132">
        <f t="shared" si="117"/>
        <v>0</v>
      </c>
      <c r="H130" s="132">
        <f t="shared" si="117"/>
        <v>0</v>
      </c>
      <c r="I130" s="157"/>
      <c r="J130" s="157"/>
      <c r="K130" s="157"/>
      <c r="L130" s="157">
        <v>1</v>
      </c>
      <c r="M130" s="157">
        <v>1</v>
      </c>
      <c r="N130" s="157"/>
      <c r="O130" s="157"/>
      <c r="P130" s="25">
        <f>D130</f>
        <v>0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155"/>
      <c r="J131" s="155"/>
      <c r="K131" s="132">
        <v>1</v>
      </c>
      <c r="L131" s="155">
        <v>0</v>
      </c>
      <c r="M131" s="155">
        <v>0</v>
      </c>
      <c r="N131" s="155"/>
      <c r="O131" s="155"/>
      <c r="P131" s="18">
        <f>SUM(D131:O131)</f>
        <v>1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155"/>
      <c r="J132" s="155"/>
      <c r="K132" s="155"/>
      <c r="L132" s="155">
        <v>0</v>
      </c>
      <c r="M132" s="155">
        <v>1</v>
      </c>
      <c r="N132" s="155"/>
      <c r="O132" s="155"/>
      <c r="P132" s="18">
        <f>SUM(D132:O132)</f>
        <v>1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155"/>
      <c r="J133" s="155"/>
      <c r="K133" s="155"/>
      <c r="L133" s="155">
        <v>0</v>
      </c>
      <c r="M133" s="155">
        <v>0</v>
      </c>
      <c r="N133" s="155"/>
      <c r="O133" s="155"/>
      <c r="P133" s="18">
        <f>SUM(D133:O133)</f>
        <v>0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0</v>
      </c>
      <c r="E134" s="132">
        <f t="shared" ref="E134:H134" si="118">E130+E131-E132-E133</f>
        <v>0</v>
      </c>
      <c r="F134" s="132">
        <f t="shared" si="118"/>
        <v>0</v>
      </c>
      <c r="G134" s="132">
        <f t="shared" si="118"/>
        <v>0</v>
      </c>
      <c r="H134" s="132">
        <f t="shared" si="118"/>
        <v>0</v>
      </c>
      <c r="I134" s="157">
        <f t="shared" ref="I134" si="119">I130+I131-I132-I133</f>
        <v>0</v>
      </c>
      <c r="J134" s="157">
        <f t="shared" ref="J134:K134" si="120">J130+J131-J132-J133</f>
        <v>0</v>
      </c>
      <c r="K134" s="157">
        <f t="shared" si="120"/>
        <v>1</v>
      </c>
      <c r="L134" s="157">
        <v>1</v>
      </c>
      <c r="M134" s="157">
        <v>0</v>
      </c>
      <c r="N134" s="157">
        <f t="shared" ref="N134" si="121">N130+N131-N132-N133</f>
        <v>0</v>
      </c>
      <c r="O134" s="157">
        <v>0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f>D139</f>
        <v>0</v>
      </c>
      <c r="F135" s="132">
        <f t="shared" ref="F135:H135" si="122">E139</f>
        <v>0</v>
      </c>
      <c r="G135" s="132">
        <f t="shared" si="122"/>
        <v>0</v>
      </c>
      <c r="H135" s="132">
        <f t="shared" si="122"/>
        <v>0</v>
      </c>
      <c r="I135" s="155"/>
      <c r="J135" s="155"/>
      <c r="K135" s="155"/>
      <c r="L135" s="155"/>
      <c r="M135" s="155">
        <v>0</v>
      </c>
      <c r="N135" s="155"/>
      <c r="O135" s="155"/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55"/>
      <c r="J136" s="155"/>
      <c r="K136" s="155"/>
      <c r="L136" s="155"/>
      <c r="M136" s="155">
        <v>0</v>
      </c>
      <c r="N136" s="155"/>
      <c r="O136" s="155"/>
      <c r="P136" s="18">
        <f>SUM(D136:O136)</f>
        <v>0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155"/>
      <c r="J137" s="155"/>
      <c r="K137" s="155"/>
      <c r="L137" s="155"/>
      <c r="M137" s="155">
        <v>0</v>
      </c>
      <c r="N137" s="155"/>
      <c r="O137" s="155"/>
      <c r="P137" s="18">
        <f>SUM(D137:O137)</f>
        <v>0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155"/>
      <c r="J138" s="155"/>
      <c r="K138" s="155"/>
      <c r="L138" s="155"/>
      <c r="M138" s="155">
        <v>0</v>
      </c>
      <c r="N138" s="155"/>
      <c r="O138" s="155"/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H139" si="123">E135+E136-E137-E138</f>
        <v>0</v>
      </c>
      <c r="F139" s="132">
        <f t="shared" si="123"/>
        <v>0</v>
      </c>
      <c r="G139" s="132">
        <f t="shared" si="123"/>
        <v>0</v>
      </c>
      <c r="H139" s="132">
        <f t="shared" si="123"/>
        <v>0</v>
      </c>
      <c r="I139" s="157">
        <f t="shared" ref="I139" si="124">I135+I136-I137-I138</f>
        <v>0</v>
      </c>
      <c r="J139" s="157">
        <f t="shared" ref="J139:K139" si="125">J135+J136-J137-J138</f>
        <v>0</v>
      </c>
      <c r="K139" s="157">
        <f t="shared" si="125"/>
        <v>0</v>
      </c>
      <c r="L139" s="157">
        <f t="shared" ref="L139" si="126">L135+L136-L137-L138</f>
        <v>0</v>
      </c>
      <c r="M139" s="157">
        <v>0</v>
      </c>
      <c r="N139" s="157">
        <f t="shared" ref="N139" si="127">N135+N136-N137-N138</f>
        <v>0</v>
      </c>
      <c r="O139" s="157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15</v>
      </c>
      <c r="E140" s="132">
        <f>D144</f>
        <v>70</v>
      </c>
      <c r="F140" s="132">
        <f t="shared" ref="F140:K140" si="128">E144</f>
        <v>37</v>
      </c>
      <c r="G140" s="132">
        <f t="shared" si="128"/>
        <v>35</v>
      </c>
      <c r="H140" s="132">
        <f t="shared" si="128"/>
        <v>26</v>
      </c>
      <c r="I140" s="132">
        <f t="shared" si="128"/>
        <v>8</v>
      </c>
      <c r="J140" s="132">
        <f t="shared" si="128"/>
        <v>10</v>
      </c>
      <c r="K140" s="132">
        <f t="shared" si="128"/>
        <v>12</v>
      </c>
      <c r="L140" s="157">
        <v>12</v>
      </c>
      <c r="M140" s="157">
        <v>22</v>
      </c>
      <c r="N140" s="132">
        <f t="shared" ref="N140" si="129">M144</f>
        <v>0</v>
      </c>
      <c r="O140" s="157"/>
      <c r="P140" s="25">
        <f>D140</f>
        <v>15</v>
      </c>
    </row>
    <row r="141" spans="1:16" ht="15.6" x14ac:dyDescent="0.3">
      <c r="A141" s="674"/>
      <c r="B141" s="24" t="s">
        <v>84</v>
      </c>
      <c r="C141" s="11" t="s">
        <v>3</v>
      </c>
      <c r="D141" s="132">
        <v>59</v>
      </c>
      <c r="E141" s="132">
        <v>11</v>
      </c>
      <c r="F141" s="132">
        <v>16</v>
      </c>
      <c r="G141" s="132">
        <v>17</v>
      </c>
      <c r="H141" s="132">
        <v>27</v>
      </c>
      <c r="I141" s="132">
        <v>13</v>
      </c>
      <c r="J141" s="132">
        <v>10</v>
      </c>
      <c r="K141" s="132">
        <v>16</v>
      </c>
      <c r="L141" s="155">
        <v>20</v>
      </c>
      <c r="M141" s="155">
        <v>7</v>
      </c>
      <c r="N141" s="132">
        <v>10</v>
      </c>
      <c r="O141" s="155">
        <v>2</v>
      </c>
      <c r="P141" s="18">
        <f>SUM(D141:O141)</f>
        <v>208</v>
      </c>
    </row>
    <row r="142" spans="1:16" ht="15.6" x14ac:dyDescent="0.3">
      <c r="A142" s="674"/>
      <c r="B142" s="24" t="s">
        <v>83</v>
      </c>
      <c r="C142" s="11" t="s">
        <v>3</v>
      </c>
      <c r="D142" s="132">
        <v>2</v>
      </c>
      <c r="E142" s="132">
        <v>41</v>
      </c>
      <c r="F142" s="132">
        <v>12</v>
      </c>
      <c r="G142" s="132">
        <v>25</v>
      </c>
      <c r="H142" s="132">
        <v>5</v>
      </c>
      <c r="I142" s="132">
        <v>7</v>
      </c>
      <c r="J142" s="132">
        <v>7</v>
      </c>
      <c r="K142" s="132">
        <v>13</v>
      </c>
      <c r="L142" s="155">
        <v>10</v>
      </c>
      <c r="M142" s="155">
        <v>11</v>
      </c>
      <c r="N142" s="132">
        <v>0</v>
      </c>
      <c r="O142" s="155">
        <v>0</v>
      </c>
      <c r="P142" s="18">
        <f>SUM(D142:O142)</f>
        <v>133</v>
      </c>
    </row>
    <row r="143" spans="1:16" ht="15.6" x14ac:dyDescent="0.3">
      <c r="A143" s="674"/>
      <c r="B143" s="24" t="s">
        <v>82</v>
      </c>
      <c r="C143" s="11" t="s">
        <v>3</v>
      </c>
      <c r="D143" s="132">
        <v>2</v>
      </c>
      <c r="E143" s="132">
        <v>3</v>
      </c>
      <c r="F143" s="132">
        <v>6</v>
      </c>
      <c r="G143" s="132">
        <v>1</v>
      </c>
      <c r="H143" s="132">
        <v>40</v>
      </c>
      <c r="I143" s="132">
        <v>4</v>
      </c>
      <c r="J143" s="132">
        <v>1</v>
      </c>
      <c r="K143" s="132">
        <v>3</v>
      </c>
      <c r="L143" s="155">
        <v>0</v>
      </c>
      <c r="M143" s="155">
        <v>18</v>
      </c>
      <c r="N143" s="132">
        <v>10</v>
      </c>
      <c r="O143" s="155">
        <v>0</v>
      </c>
      <c r="P143" s="18">
        <f>SUM(D143:O143)</f>
        <v>88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70</v>
      </c>
      <c r="E144" s="132">
        <f t="shared" ref="E144:K144" si="130">E140+E141-E142-E143</f>
        <v>37</v>
      </c>
      <c r="F144" s="132">
        <f t="shared" si="130"/>
        <v>35</v>
      </c>
      <c r="G144" s="132">
        <f t="shared" si="130"/>
        <v>26</v>
      </c>
      <c r="H144" s="132">
        <f t="shared" si="130"/>
        <v>8</v>
      </c>
      <c r="I144" s="132">
        <f t="shared" si="130"/>
        <v>10</v>
      </c>
      <c r="J144" s="132">
        <f t="shared" si="130"/>
        <v>12</v>
      </c>
      <c r="K144" s="132">
        <f t="shared" si="130"/>
        <v>12</v>
      </c>
      <c r="L144" s="157">
        <v>22</v>
      </c>
      <c r="M144" s="157">
        <v>0</v>
      </c>
      <c r="N144" s="132">
        <f t="shared" ref="N144" si="131">N140+N141-N142-N143</f>
        <v>0</v>
      </c>
      <c r="O144" s="157">
        <v>2</v>
      </c>
      <c r="P144" s="25">
        <f>P140+P141-P142-P143</f>
        <v>2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23">
        <f t="shared" ref="D145:I145" si="132">D125+D130+D135+D140</f>
        <v>15</v>
      </c>
      <c r="E145" s="23">
        <f t="shared" si="132"/>
        <v>71</v>
      </c>
      <c r="F145" s="23">
        <f t="shared" si="132"/>
        <v>37</v>
      </c>
      <c r="G145" s="23">
        <f t="shared" si="132"/>
        <v>35</v>
      </c>
      <c r="H145" s="23">
        <f t="shared" si="132"/>
        <v>26</v>
      </c>
      <c r="I145" s="23">
        <f t="shared" si="132"/>
        <v>8</v>
      </c>
      <c r="J145" s="23">
        <f t="shared" ref="J145:K145" si="133">J125+J130+J135+J140</f>
        <v>10</v>
      </c>
      <c r="K145" s="23">
        <f t="shared" si="133"/>
        <v>12</v>
      </c>
      <c r="L145" s="23">
        <f t="shared" ref="L145:M145" si="134">L125+L130+L135+L140</f>
        <v>13</v>
      </c>
      <c r="M145" s="23">
        <f t="shared" si="134"/>
        <v>23</v>
      </c>
      <c r="N145" s="23">
        <f t="shared" ref="N145" si="135">N125+N130+N135+N140</f>
        <v>0</v>
      </c>
      <c r="O145" s="23">
        <v>0</v>
      </c>
      <c r="P145" s="109">
        <f t="shared" ref="P145:P149" si="136">P125+P130+P135+P140</f>
        <v>15</v>
      </c>
    </row>
    <row r="146" spans="1:16" ht="15.6" x14ac:dyDescent="0.3">
      <c r="A146" s="674"/>
      <c r="B146" s="24" t="s">
        <v>84</v>
      </c>
      <c r="C146" s="11" t="s">
        <v>3</v>
      </c>
      <c r="D146" s="23">
        <f t="shared" ref="D146:E148" si="137">D126+D131+D136+D141</f>
        <v>60</v>
      </c>
      <c r="E146" s="23">
        <f t="shared" si="137"/>
        <v>11</v>
      </c>
      <c r="F146" s="23">
        <f t="shared" ref="F146:G146" si="138">F126+F131+F136+F141</f>
        <v>16</v>
      </c>
      <c r="G146" s="23">
        <f t="shared" si="138"/>
        <v>17</v>
      </c>
      <c r="H146" s="23">
        <f t="shared" ref="H146:I146" si="139">H126+H131+H136+H141</f>
        <v>27</v>
      </c>
      <c r="I146" s="23">
        <f t="shared" si="139"/>
        <v>13</v>
      </c>
      <c r="J146" s="23">
        <f t="shared" ref="J146:K146" si="140">J126+J131+J136+J141</f>
        <v>10</v>
      </c>
      <c r="K146" s="23">
        <f t="shared" si="140"/>
        <v>17</v>
      </c>
      <c r="L146" s="23">
        <f t="shared" ref="L146:M146" si="141">L126+L131+L136+L141</f>
        <v>20</v>
      </c>
      <c r="M146" s="23">
        <f t="shared" si="141"/>
        <v>7</v>
      </c>
      <c r="N146" s="23">
        <f t="shared" ref="N146" si="142">N126+N131+N136+N141</f>
        <v>10</v>
      </c>
      <c r="O146" s="23">
        <v>2</v>
      </c>
      <c r="P146" s="109">
        <f t="shared" si="136"/>
        <v>210</v>
      </c>
    </row>
    <row r="147" spans="1:16" ht="15.6" x14ac:dyDescent="0.3">
      <c r="A147" s="674"/>
      <c r="B147" s="24" t="s">
        <v>83</v>
      </c>
      <c r="C147" s="11" t="s">
        <v>3</v>
      </c>
      <c r="D147" s="23">
        <f t="shared" si="137"/>
        <v>2</v>
      </c>
      <c r="E147" s="23">
        <f t="shared" si="137"/>
        <v>42</v>
      </c>
      <c r="F147" s="23">
        <f t="shared" ref="F147:G147" si="143">F127+F132+F137+F142</f>
        <v>12</v>
      </c>
      <c r="G147" s="23">
        <f t="shared" si="143"/>
        <v>25</v>
      </c>
      <c r="H147" s="23">
        <f t="shared" ref="H147:I147" si="144">H127+H132+H137+H142</f>
        <v>5</v>
      </c>
      <c r="I147" s="23">
        <f t="shared" si="144"/>
        <v>7</v>
      </c>
      <c r="J147" s="23">
        <f t="shared" ref="J147:K147" si="145">J127+J132+J137+J142</f>
        <v>7</v>
      </c>
      <c r="K147" s="23">
        <f t="shared" si="145"/>
        <v>13</v>
      </c>
      <c r="L147" s="23">
        <f t="shared" ref="L147:M147" si="146">L127+L132+L137+L142</f>
        <v>10</v>
      </c>
      <c r="M147" s="23">
        <f t="shared" si="146"/>
        <v>12</v>
      </c>
      <c r="N147" s="23">
        <f t="shared" ref="N147" si="147">N127+N132+N137+N142</f>
        <v>0</v>
      </c>
      <c r="O147" s="23">
        <v>0</v>
      </c>
      <c r="P147" s="109">
        <f t="shared" si="136"/>
        <v>135</v>
      </c>
    </row>
    <row r="148" spans="1:16" ht="15.6" x14ac:dyDescent="0.3">
      <c r="A148" s="674"/>
      <c r="B148" s="24" t="s">
        <v>82</v>
      </c>
      <c r="C148" s="11" t="s">
        <v>3</v>
      </c>
      <c r="D148" s="23">
        <f t="shared" si="137"/>
        <v>2</v>
      </c>
      <c r="E148" s="23">
        <f t="shared" si="137"/>
        <v>3</v>
      </c>
      <c r="F148" s="23">
        <f t="shared" ref="F148:G148" si="148">F128+F133+F138+F143</f>
        <v>6</v>
      </c>
      <c r="G148" s="23">
        <f t="shared" si="148"/>
        <v>1</v>
      </c>
      <c r="H148" s="23">
        <f t="shared" ref="H148:I148" si="149">H128+H133+H138+H143</f>
        <v>40</v>
      </c>
      <c r="I148" s="23">
        <f t="shared" si="149"/>
        <v>4</v>
      </c>
      <c r="J148" s="23">
        <f t="shared" ref="J148:K148" si="150">J128+J133+J138+J143</f>
        <v>1</v>
      </c>
      <c r="K148" s="23">
        <f t="shared" si="150"/>
        <v>3</v>
      </c>
      <c r="L148" s="23">
        <f t="shared" ref="L148:M148" si="151">L128+L133+L138+L143</f>
        <v>0</v>
      </c>
      <c r="M148" s="23">
        <f t="shared" si="151"/>
        <v>18</v>
      </c>
      <c r="N148" s="23">
        <f t="shared" ref="N148" si="152">N128+N133+N138+N143</f>
        <v>10</v>
      </c>
      <c r="O148" s="23">
        <v>0</v>
      </c>
      <c r="P148" s="109">
        <f t="shared" si="136"/>
        <v>88</v>
      </c>
    </row>
    <row r="149" spans="1:16" ht="15.6" x14ac:dyDescent="0.3">
      <c r="A149" s="675"/>
      <c r="B149" s="24" t="s">
        <v>81</v>
      </c>
      <c r="C149" s="11" t="s">
        <v>3</v>
      </c>
      <c r="D149" s="157">
        <f t="shared" ref="D149:I149" si="153">D145+D146-D147-D148</f>
        <v>71</v>
      </c>
      <c r="E149" s="157">
        <f t="shared" si="153"/>
        <v>37</v>
      </c>
      <c r="F149" s="157">
        <f t="shared" si="153"/>
        <v>35</v>
      </c>
      <c r="G149" s="157">
        <f t="shared" si="153"/>
        <v>26</v>
      </c>
      <c r="H149" s="157">
        <f t="shared" si="153"/>
        <v>8</v>
      </c>
      <c r="I149" s="157">
        <f t="shared" si="153"/>
        <v>10</v>
      </c>
      <c r="J149" s="157">
        <f t="shared" ref="J149:K149" si="154">J145+J146-J147-J148</f>
        <v>12</v>
      </c>
      <c r="K149" s="157">
        <f t="shared" si="154"/>
        <v>13</v>
      </c>
      <c r="L149" s="157">
        <f t="shared" ref="L149:M149" si="155">L145+L146-L147-L148</f>
        <v>23</v>
      </c>
      <c r="M149" s="157">
        <f t="shared" si="155"/>
        <v>0</v>
      </c>
      <c r="N149" s="157">
        <f t="shared" ref="N149" si="156">N145+N146-N147-N148</f>
        <v>0</v>
      </c>
      <c r="O149" s="157">
        <v>2</v>
      </c>
      <c r="P149" s="109">
        <f t="shared" si="136"/>
        <v>2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4">
        <v>10</v>
      </c>
      <c r="E153" s="4">
        <v>13</v>
      </c>
      <c r="F153" s="4">
        <v>8</v>
      </c>
      <c r="G153" s="4">
        <v>8</v>
      </c>
      <c r="H153" s="4">
        <v>8</v>
      </c>
      <c r="I153" s="4">
        <v>6</v>
      </c>
      <c r="J153" s="4">
        <v>6</v>
      </c>
      <c r="K153" s="132">
        <v>5</v>
      </c>
      <c r="L153" s="132">
        <v>6</v>
      </c>
      <c r="M153" s="4">
        <v>8</v>
      </c>
      <c r="N153" s="132">
        <v>5</v>
      </c>
      <c r="O153" s="155">
        <v>6</v>
      </c>
      <c r="P153" s="18">
        <f t="shared" ref="P153:P165" si="157">SUM(D153:O153)</f>
        <v>89</v>
      </c>
    </row>
    <row r="154" spans="1:16" ht="15.6" x14ac:dyDescent="0.3">
      <c r="A154" s="671"/>
      <c r="B154" s="19" t="s">
        <v>72</v>
      </c>
      <c r="C154" s="11" t="s">
        <v>57</v>
      </c>
      <c r="D154" s="4">
        <v>5</v>
      </c>
      <c r="E154" s="4">
        <v>7</v>
      </c>
      <c r="F154" s="4">
        <v>5</v>
      </c>
      <c r="G154" s="4">
        <v>4</v>
      </c>
      <c r="H154" s="4">
        <v>5</v>
      </c>
      <c r="I154" s="4">
        <v>5</v>
      </c>
      <c r="J154" s="4">
        <v>4</v>
      </c>
      <c r="K154" s="132">
        <v>5</v>
      </c>
      <c r="L154" s="132">
        <v>4</v>
      </c>
      <c r="M154" s="4">
        <v>5</v>
      </c>
      <c r="N154" s="132">
        <v>8</v>
      </c>
      <c r="O154" s="155">
        <v>5</v>
      </c>
      <c r="P154" s="18">
        <f t="shared" si="157"/>
        <v>62</v>
      </c>
    </row>
    <row r="155" spans="1:16" ht="15.6" x14ac:dyDescent="0.3">
      <c r="A155" s="671"/>
      <c r="B155" s="19" t="s">
        <v>53</v>
      </c>
      <c r="C155" s="11" t="s">
        <v>57</v>
      </c>
      <c r="D155" s="4">
        <v>8</v>
      </c>
      <c r="E155" s="4">
        <v>5</v>
      </c>
      <c r="F155" s="4">
        <v>5</v>
      </c>
      <c r="G155" s="4">
        <v>6</v>
      </c>
      <c r="H155" s="4">
        <v>5</v>
      </c>
      <c r="I155" s="4">
        <v>5</v>
      </c>
      <c r="J155" s="4">
        <v>6</v>
      </c>
      <c r="K155" s="132">
        <v>3</v>
      </c>
      <c r="L155" s="132">
        <v>4</v>
      </c>
      <c r="M155" s="4">
        <v>5</v>
      </c>
      <c r="N155" s="132">
        <v>4</v>
      </c>
      <c r="O155" s="155">
        <v>5</v>
      </c>
      <c r="P155" s="18">
        <f t="shared" si="157"/>
        <v>61</v>
      </c>
    </row>
    <row r="156" spans="1:16" ht="15.6" x14ac:dyDescent="0.3">
      <c r="A156" s="671"/>
      <c r="B156" s="19" t="s">
        <v>71</v>
      </c>
      <c r="C156" s="11" t="s">
        <v>57</v>
      </c>
      <c r="D156" s="4">
        <v>0</v>
      </c>
      <c r="E156" s="4">
        <v>0</v>
      </c>
      <c r="F156" s="4">
        <v>2</v>
      </c>
      <c r="G156" s="4">
        <v>0</v>
      </c>
      <c r="H156" s="4">
        <v>3</v>
      </c>
      <c r="I156" s="4">
        <v>0</v>
      </c>
      <c r="J156" s="4">
        <v>0</v>
      </c>
      <c r="K156" s="132">
        <v>2</v>
      </c>
      <c r="L156" s="132">
        <v>1</v>
      </c>
      <c r="M156" s="4">
        <v>3</v>
      </c>
      <c r="N156" s="132">
        <v>2</v>
      </c>
      <c r="O156" s="155">
        <v>2</v>
      </c>
      <c r="P156" s="18">
        <f t="shared" si="157"/>
        <v>15</v>
      </c>
    </row>
    <row r="157" spans="1:16" ht="15.6" x14ac:dyDescent="0.3">
      <c r="A157" s="671"/>
      <c r="B157" s="19" t="s">
        <v>52</v>
      </c>
      <c r="C157" s="11" t="s">
        <v>57</v>
      </c>
      <c r="D157" s="4">
        <v>2</v>
      </c>
      <c r="E157" s="4">
        <v>1</v>
      </c>
      <c r="F157" s="4">
        <v>3</v>
      </c>
      <c r="G157" s="4">
        <v>3</v>
      </c>
      <c r="H157" s="4">
        <v>2</v>
      </c>
      <c r="I157" s="4">
        <v>3</v>
      </c>
      <c r="J157" s="4">
        <v>2</v>
      </c>
      <c r="K157" s="132">
        <v>3</v>
      </c>
      <c r="L157" s="132">
        <v>3</v>
      </c>
      <c r="M157" s="4">
        <v>2</v>
      </c>
      <c r="N157" s="132">
        <v>3</v>
      </c>
      <c r="O157" s="155">
        <v>4</v>
      </c>
      <c r="P157" s="18">
        <f t="shared" si="157"/>
        <v>31</v>
      </c>
    </row>
    <row r="158" spans="1:16" ht="15.6" x14ac:dyDescent="0.3">
      <c r="A158" s="671"/>
      <c r="B158" s="19" t="s">
        <v>51</v>
      </c>
      <c r="C158" s="11" t="s">
        <v>57</v>
      </c>
      <c r="D158" s="4">
        <v>2</v>
      </c>
      <c r="E158" s="4">
        <v>1</v>
      </c>
      <c r="F158" s="4">
        <v>2</v>
      </c>
      <c r="G158" s="4">
        <v>3</v>
      </c>
      <c r="H158" s="4">
        <v>3</v>
      </c>
      <c r="I158" s="4">
        <v>3</v>
      </c>
      <c r="J158" s="4">
        <v>2</v>
      </c>
      <c r="K158" s="132">
        <v>2</v>
      </c>
      <c r="L158" s="132">
        <v>1</v>
      </c>
      <c r="M158" s="4">
        <v>1</v>
      </c>
      <c r="N158" s="132">
        <v>3</v>
      </c>
      <c r="O158" s="155">
        <v>2</v>
      </c>
      <c r="P158" s="18">
        <f t="shared" si="157"/>
        <v>25</v>
      </c>
    </row>
    <row r="159" spans="1:16" ht="15.6" x14ac:dyDescent="0.3">
      <c r="A159" s="671"/>
      <c r="B159" s="19" t="s">
        <v>62</v>
      </c>
      <c r="C159" s="11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132">
        <v>1</v>
      </c>
      <c r="L159" s="132">
        <v>1</v>
      </c>
      <c r="M159" s="4">
        <v>0</v>
      </c>
      <c r="N159" s="132">
        <v>0</v>
      </c>
      <c r="O159" s="155">
        <v>1</v>
      </c>
      <c r="P159" s="18">
        <f t="shared" si="157"/>
        <v>3</v>
      </c>
    </row>
    <row r="160" spans="1:16" ht="15.6" x14ac:dyDescent="0.3">
      <c r="A160" s="671"/>
      <c r="B160" s="19" t="s">
        <v>50</v>
      </c>
      <c r="C160" s="11" t="s">
        <v>57</v>
      </c>
      <c r="D160" s="4">
        <v>1</v>
      </c>
      <c r="E160" s="4">
        <v>0</v>
      </c>
      <c r="F160" s="4">
        <v>2</v>
      </c>
      <c r="G160" s="4">
        <v>2</v>
      </c>
      <c r="H160" s="4">
        <v>1</v>
      </c>
      <c r="I160" s="4">
        <v>0</v>
      </c>
      <c r="J160" s="4">
        <v>1</v>
      </c>
      <c r="K160" s="132">
        <v>1</v>
      </c>
      <c r="L160" s="4">
        <v>1</v>
      </c>
      <c r="M160" s="4">
        <v>1</v>
      </c>
      <c r="N160" s="132">
        <v>1</v>
      </c>
      <c r="O160" s="155">
        <v>0</v>
      </c>
      <c r="P160" s="18">
        <f t="shared" si="157"/>
        <v>11</v>
      </c>
    </row>
    <row r="161" spans="1:16" ht="15.6" x14ac:dyDescent="0.3">
      <c r="A161" s="671"/>
      <c r="B161" s="19" t="s">
        <v>49</v>
      </c>
      <c r="C161" s="11" t="s">
        <v>57</v>
      </c>
      <c r="D161" s="4">
        <v>2</v>
      </c>
      <c r="E161" s="4">
        <v>0</v>
      </c>
      <c r="F161" s="4">
        <v>1</v>
      </c>
      <c r="G161" s="4">
        <v>2</v>
      </c>
      <c r="H161" s="4">
        <v>1</v>
      </c>
      <c r="I161" s="4">
        <v>2</v>
      </c>
      <c r="J161" s="4">
        <v>0</v>
      </c>
      <c r="K161" s="4"/>
      <c r="L161" s="4">
        <v>1</v>
      </c>
      <c r="M161" s="4">
        <v>1</v>
      </c>
      <c r="N161" s="4"/>
      <c r="O161" s="155">
        <v>1</v>
      </c>
      <c r="P161" s="18">
        <f t="shared" si="157"/>
        <v>11</v>
      </c>
    </row>
    <row r="162" spans="1:16" ht="15.6" x14ac:dyDescent="0.3">
      <c r="A162" s="671"/>
      <c r="B162" s="19" t="s">
        <v>77</v>
      </c>
      <c r="C162" s="11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8">
        <f t="shared" si="157"/>
        <v>0</v>
      </c>
    </row>
    <row r="163" spans="1:16" ht="15.6" x14ac:dyDescent="0.3">
      <c r="A163" s="671"/>
      <c r="B163" s="19" t="s">
        <v>69</v>
      </c>
      <c r="C163" s="11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8">
        <f t="shared" si="157"/>
        <v>0</v>
      </c>
    </row>
    <row r="164" spans="1:16" ht="15.6" x14ac:dyDescent="0.3">
      <c r="A164" s="671"/>
      <c r="B164" s="19" t="s">
        <v>68</v>
      </c>
      <c r="C164" s="11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8">
        <f t="shared" si="157"/>
        <v>0</v>
      </c>
    </row>
    <row r="165" spans="1:16" ht="15.6" x14ac:dyDescent="0.3">
      <c r="A165" s="672"/>
      <c r="B165" s="19" t="s">
        <v>76</v>
      </c>
      <c r="C165" s="11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8">
        <f t="shared" si="157"/>
        <v>0</v>
      </c>
    </row>
    <row r="166" spans="1:16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8"/>
    </row>
    <row r="167" spans="1:16" ht="15.6" x14ac:dyDescent="0.3">
      <c r="A167" s="671"/>
      <c r="B167" s="19" t="s">
        <v>74</v>
      </c>
      <c r="C167" s="11" t="s">
        <v>57</v>
      </c>
      <c r="D167" s="4">
        <v>0</v>
      </c>
      <c r="E167" s="4">
        <v>1</v>
      </c>
      <c r="F167" s="4"/>
      <c r="G167" s="4"/>
      <c r="H167" s="4"/>
      <c r="I167" s="4">
        <v>1</v>
      </c>
      <c r="J167" s="4"/>
      <c r="K167" s="132">
        <v>1</v>
      </c>
      <c r="L167" s="4"/>
      <c r="M167" s="4">
        <v>1</v>
      </c>
      <c r="N167" s="132">
        <v>1</v>
      </c>
      <c r="O167" s="4"/>
      <c r="P167" s="18">
        <f t="shared" ref="P167:P175" si="158">SUM(D167:O167)</f>
        <v>5</v>
      </c>
    </row>
    <row r="168" spans="1:16" ht="15.6" x14ac:dyDescent="0.3">
      <c r="A168" s="671"/>
      <c r="B168" s="19" t="s">
        <v>73</v>
      </c>
      <c r="C168" s="11" t="s">
        <v>57</v>
      </c>
      <c r="D168" s="4"/>
      <c r="E168" s="4"/>
      <c r="F168" s="4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18">
        <f t="shared" si="158"/>
        <v>1</v>
      </c>
    </row>
    <row r="169" spans="1:16" ht="15.6" x14ac:dyDescent="0.3">
      <c r="A169" s="671"/>
      <c r="B169" s="19" t="s">
        <v>72</v>
      </c>
      <c r="C169" s="11" t="s">
        <v>57</v>
      </c>
      <c r="D169" s="4"/>
      <c r="E169" s="4"/>
      <c r="F169" s="4"/>
      <c r="G169" s="4"/>
      <c r="H169" s="4"/>
      <c r="I169" s="4"/>
      <c r="J169" s="4">
        <v>1</v>
      </c>
      <c r="K169" s="4"/>
      <c r="L169" s="4"/>
      <c r="M169" s="4"/>
      <c r="N169" s="4"/>
      <c r="O169" s="4"/>
      <c r="P169" s="18">
        <f t="shared" si="158"/>
        <v>1</v>
      </c>
    </row>
    <row r="170" spans="1:16" ht="15.6" x14ac:dyDescent="0.3">
      <c r="A170" s="671"/>
      <c r="B170" s="19" t="s">
        <v>71</v>
      </c>
      <c r="C170" s="11" t="s">
        <v>57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8">
        <f t="shared" si="158"/>
        <v>0</v>
      </c>
    </row>
    <row r="171" spans="1:16" ht="15.6" x14ac:dyDescent="0.3">
      <c r="A171" s="671"/>
      <c r="B171" s="19" t="s">
        <v>52</v>
      </c>
      <c r="C171" s="11" t="s">
        <v>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8">
        <f t="shared" si="158"/>
        <v>0</v>
      </c>
    </row>
    <row r="172" spans="1:16" ht="15.6" x14ac:dyDescent="0.3">
      <c r="A172" s="671"/>
      <c r="B172" s="19" t="s">
        <v>62</v>
      </c>
      <c r="C172" s="11" t="s">
        <v>57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8">
        <f t="shared" si="158"/>
        <v>0</v>
      </c>
    </row>
    <row r="173" spans="1:16" ht="15.6" x14ac:dyDescent="0.3">
      <c r="A173" s="671"/>
      <c r="B173" s="19" t="s">
        <v>61</v>
      </c>
      <c r="C173" s="11" t="s">
        <v>57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8">
        <f t="shared" si="158"/>
        <v>0</v>
      </c>
    </row>
    <row r="174" spans="1:16" ht="15.6" x14ac:dyDescent="0.3">
      <c r="A174" s="671"/>
      <c r="B174" s="19" t="s">
        <v>60</v>
      </c>
      <c r="C174" s="11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8">
        <f t="shared" si="158"/>
        <v>0</v>
      </c>
    </row>
    <row r="175" spans="1:16" ht="15.6" x14ac:dyDescent="0.3">
      <c r="A175" s="672"/>
      <c r="B175" s="19" t="s">
        <v>69</v>
      </c>
      <c r="C175" s="11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8">
        <f t="shared" si="158"/>
        <v>0</v>
      </c>
    </row>
    <row r="176" spans="1:16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8"/>
    </row>
    <row r="177" spans="1:16" ht="15.6" x14ac:dyDescent="0.3">
      <c r="A177" s="671"/>
      <c r="B177" s="19" t="s">
        <v>60</v>
      </c>
      <c r="C177" s="11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8">
        <f t="shared" ref="P177:P182" si="159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8">
        <f t="shared" si="159"/>
        <v>0</v>
      </c>
    </row>
    <row r="179" spans="1:16" ht="15.6" x14ac:dyDescent="0.3">
      <c r="A179" s="671"/>
      <c r="B179" s="19" t="s">
        <v>68</v>
      </c>
      <c r="C179" s="11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8">
        <f t="shared" si="159"/>
        <v>0</v>
      </c>
    </row>
    <row r="180" spans="1:16" ht="15.6" x14ac:dyDescent="0.3">
      <c r="A180" s="671"/>
      <c r="B180" s="19" t="s">
        <v>67</v>
      </c>
      <c r="C180" s="11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8">
        <f t="shared" si="159"/>
        <v>0</v>
      </c>
    </row>
    <row r="181" spans="1:16" ht="15.6" x14ac:dyDescent="0.3">
      <c r="A181" s="671"/>
      <c r="B181" s="19" t="s">
        <v>66</v>
      </c>
      <c r="C181" s="11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8">
        <f t="shared" si="159"/>
        <v>0</v>
      </c>
    </row>
    <row r="182" spans="1:16" ht="15.6" x14ac:dyDescent="0.3">
      <c r="A182" s="672"/>
      <c r="B182" s="19" t="s">
        <v>65</v>
      </c>
      <c r="C182" s="11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8">
        <f t="shared" si="159"/>
        <v>0</v>
      </c>
    </row>
    <row r="183" spans="1:16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8"/>
    </row>
    <row r="184" spans="1:16" ht="15.6" x14ac:dyDescent="0.3">
      <c r="A184" s="671"/>
      <c r="B184" s="19" t="s">
        <v>73</v>
      </c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8"/>
    </row>
    <row r="189" spans="1:16" ht="15.6" x14ac:dyDescent="0.3">
      <c r="A189" s="671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8">
        <f>SUM(D190:O190)</f>
        <v>0</v>
      </c>
    </row>
    <row r="191" spans="1:16" ht="15.6" x14ac:dyDescent="0.3">
      <c r="A191" s="671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8">
        <f>SUM(D191:O191)</f>
        <v>0</v>
      </c>
    </row>
    <row r="192" spans="1:16" ht="15.6" x14ac:dyDescent="0.3">
      <c r="A192" s="672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0">
        <f>SUM(D153:D192)</f>
        <v>30</v>
      </c>
      <c r="E193" s="10">
        <f t="shared" ref="E193:P193" si="160">SUM(E153:E192)</f>
        <v>28</v>
      </c>
      <c r="F193" s="10">
        <f t="shared" si="160"/>
        <v>29</v>
      </c>
      <c r="G193" s="10">
        <f t="shared" si="160"/>
        <v>28</v>
      </c>
      <c r="H193" s="10">
        <f t="shared" si="160"/>
        <v>28</v>
      </c>
      <c r="I193" s="10">
        <f t="shared" si="160"/>
        <v>25</v>
      </c>
      <c r="J193" s="10">
        <f t="shared" si="160"/>
        <v>22</v>
      </c>
      <c r="K193" s="10">
        <f t="shared" si="160"/>
        <v>23</v>
      </c>
      <c r="L193" s="10">
        <f t="shared" si="160"/>
        <v>22</v>
      </c>
      <c r="M193" s="10">
        <f t="shared" si="160"/>
        <v>27</v>
      </c>
      <c r="N193" s="10">
        <f t="shared" si="160"/>
        <v>27</v>
      </c>
      <c r="O193" s="10">
        <v>26</v>
      </c>
      <c r="P193" s="102">
        <f t="shared" si="160"/>
        <v>315</v>
      </c>
    </row>
    <row r="194" spans="1:16" ht="15.6" x14ac:dyDescent="0.3">
      <c r="A194" s="665" t="s">
        <v>58</v>
      </c>
      <c r="B194" s="666"/>
      <c r="C194" s="11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667"/>
      <c r="B195" s="668"/>
      <c r="C195" s="16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85" t="s">
        <v>202</v>
      </c>
      <c r="B196" s="86"/>
      <c r="C196" s="16" t="s">
        <v>55</v>
      </c>
      <c r="D196" s="4">
        <v>24</v>
      </c>
      <c r="E196" s="4">
        <v>24</v>
      </c>
      <c r="F196" s="4">
        <v>24</v>
      </c>
      <c r="G196" s="4">
        <v>24</v>
      </c>
      <c r="H196" s="4">
        <v>24</v>
      </c>
      <c r="I196" s="4">
        <v>24</v>
      </c>
      <c r="J196" s="4">
        <v>24</v>
      </c>
      <c r="K196" s="4">
        <v>24</v>
      </c>
      <c r="L196" s="4">
        <v>24</v>
      </c>
      <c r="M196" s="4">
        <v>24</v>
      </c>
      <c r="N196" s="4">
        <v>24</v>
      </c>
      <c r="O196" s="4">
        <v>24</v>
      </c>
      <c r="P196" s="9">
        <f>SUM(D196:O196)/12</f>
        <v>24</v>
      </c>
    </row>
    <row r="197" spans="1:16" ht="15.6" x14ac:dyDescent="0.3">
      <c r="A197" s="661" t="s">
        <v>56</v>
      </c>
      <c r="B197" s="662"/>
      <c r="C197" s="16" t="s">
        <v>55</v>
      </c>
      <c r="D197" s="4">
        <v>0</v>
      </c>
      <c r="E197" s="4">
        <v>0</v>
      </c>
      <c r="F197" s="4">
        <v>0</v>
      </c>
      <c r="G197" s="4">
        <v>0</v>
      </c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79" t="s">
        <v>53</v>
      </c>
      <c r="C199" s="11" t="s">
        <v>47</v>
      </c>
      <c r="D199" s="4"/>
      <c r="E199" s="4"/>
      <c r="F199" s="4"/>
      <c r="G199" s="4">
        <v>0</v>
      </c>
      <c r="H199" s="4">
        <v>258</v>
      </c>
      <c r="I199" s="4"/>
      <c r="J199" s="4"/>
      <c r="K199" s="4"/>
      <c r="L199" s="4"/>
      <c r="M199" s="4"/>
      <c r="N199" s="4"/>
      <c r="O199" s="4"/>
      <c r="P199" s="9">
        <f t="shared" ref="P199:P204" si="161">SUM(D199:O199)</f>
        <v>258</v>
      </c>
    </row>
    <row r="200" spans="1:16" ht="15.6" x14ac:dyDescent="0.3">
      <c r="A200" s="669"/>
      <c r="B200" s="79" t="s">
        <v>52</v>
      </c>
      <c r="C200" s="11" t="s">
        <v>47</v>
      </c>
      <c r="D200" s="4"/>
      <c r="E200" s="4"/>
      <c r="F200" s="4"/>
      <c r="G200" s="4">
        <v>0</v>
      </c>
      <c r="H200" s="4">
        <v>156</v>
      </c>
      <c r="I200" s="4"/>
      <c r="J200" s="4"/>
      <c r="K200" s="4"/>
      <c r="L200" s="4"/>
      <c r="M200" s="4"/>
      <c r="N200" s="4"/>
      <c r="O200" s="4"/>
      <c r="P200" s="9">
        <f t="shared" si="161"/>
        <v>156</v>
      </c>
    </row>
    <row r="201" spans="1:16" ht="15.6" x14ac:dyDescent="0.3">
      <c r="A201" s="669"/>
      <c r="B201" s="79" t="s">
        <v>51</v>
      </c>
      <c r="C201" s="11" t="s">
        <v>47</v>
      </c>
      <c r="D201" s="4"/>
      <c r="E201" s="4"/>
      <c r="F201" s="4"/>
      <c r="G201" s="4">
        <v>0</v>
      </c>
      <c r="H201" s="4">
        <v>0</v>
      </c>
      <c r="I201" s="4"/>
      <c r="J201" s="4"/>
      <c r="K201" s="4"/>
      <c r="L201" s="4"/>
      <c r="M201" s="4"/>
      <c r="N201" s="4"/>
      <c r="O201" s="4"/>
      <c r="P201" s="9">
        <f t="shared" si="161"/>
        <v>0</v>
      </c>
    </row>
    <row r="202" spans="1:16" ht="15.6" x14ac:dyDescent="0.3">
      <c r="A202" s="669"/>
      <c r="B202" s="79" t="s">
        <v>50</v>
      </c>
      <c r="C202" s="11" t="s">
        <v>47</v>
      </c>
      <c r="D202" s="4"/>
      <c r="E202" s="4"/>
      <c r="F202" s="4"/>
      <c r="G202" s="4">
        <v>0</v>
      </c>
      <c r="H202" s="4">
        <v>0</v>
      </c>
      <c r="I202" s="4"/>
      <c r="J202" s="4"/>
      <c r="K202" s="4"/>
      <c r="L202" s="4"/>
      <c r="M202" s="4"/>
      <c r="N202" s="4"/>
      <c r="O202" s="4"/>
      <c r="P202" s="9">
        <f t="shared" si="161"/>
        <v>0</v>
      </c>
    </row>
    <row r="203" spans="1:16" ht="15.6" x14ac:dyDescent="0.3">
      <c r="A203" s="667"/>
      <c r="B203" s="79" t="s">
        <v>49</v>
      </c>
      <c r="C203" s="11" t="s">
        <v>47</v>
      </c>
      <c r="D203" s="4"/>
      <c r="E203" s="4"/>
      <c r="F203" s="4"/>
      <c r="G203" s="4">
        <v>0</v>
      </c>
      <c r="H203" s="4">
        <v>0</v>
      </c>
      <c r="I203" s="4"/>
      <c r="J203" s="4"/>
      <c r="K203" s="4"/>
      <c r="L203" s="4"/>
      <c r="M203" s="4"/>
      <c r="N203" s="4"/>
      <c r="O203" s="4"/>
      <c r="P203" s="9">
        <f t="shared" si="161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62">SUM(D199:D203)</f>
        <v>0</v>
      </c>
      <c r="E204" s="15">
        <f t="shared" si="162"/>
        <v>0</v>
      </c>
      <c r="F204" s="15">
        <f t="shared" si="162"/>
        <v>0</v>
      </c>
      <c r="G204" s="15">
        <f t="shared" ref="G204" si="163">SUM(G199:G203)</f>
        <v>0</v>
      </c>
      <c r="H204" s="15">
        <f t="shared" si="162"/>
        <v>414</v>
      </c>
      <c r="I204" s="15">
        <f t="shared" si="162"/>
        <v>0</v>
      </c>
      <c r="J204" s="15">
        <f t="shared" si="162"/>
        <v>0</v>
      </c>
      <c r="K204" s="15">
        <f t="shared" si="162"/>
        <v>0</v>
      </c>
      <c r="L204" s="15">
        <f t="shared" si="162"/>
        <v>0</v>
      </c>
      <c r="M204" s="15">
        <f t="shared" si="162"/>
        <v>0</v>
      </c>
      <c r="N204" s="15">
        <f t="shared" si="162"/>
        <v>0</v>
      </c>
      <c r="O204" s="15">
        <v>0</v>
      </c>
      <c r="P204" s="110">
        <f t="shared" si="161"/>
        <v>414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f>194000+1017017.66</f>
        <v>1211017.6600000001</v>
      </c>
      <c r="E206" s="13">
        <f>327700+2979443.72</f>
        <v>3307143.72</v>
      </c>
      <c r="F206" s="13">
        <f>585340.9+2604027</f>
        <v>3189367.9</v>
      </c>
      <c r="G206" s="13">
        <f>563900+3495990</f>
        <v>4059890</v>
      </c>
      <c r="H206" s="13">
        <f>246100+1592404</f>
        <v>1838504</v>
      </c>
      <c r="I206" s="13">
        <f>657000+3834981.83</f>
        <v>4491981.83</v>
      </c>
      <c r="J206" s="13">
        <f>371000+1624147</f>
        <v>1995147</v>
      </c>
      <c r="K206" s="13">
        <f>1096780+7362764.65</f>
        <v>8459544.6500000004</v>
      </c>
      <c r="L206" s="13">
        <v>1961322</v>
      </c>
      <c r="M206" s="13">
        <v>3877084</v>
      </c>
      <c r="N206" s="13">
        <f>531950+4215405.71</f>
        <v>4747355.71</v>
      </c>
      <c r="O206" s="13">
        <v>2742711</v>
      </c>
      <c r="P206" s="9">
        <f>SUM(D206:O206)</f>
        <v>41881069.469999999</v>
      </c>
    </row>
    <row r="207" spans="1:16" ht="15.6" x14ac:dyDescent="0.3">
      <c r="A207" s="661" t="s">
        <v>42</v>
      </c>
      <c r="B207" s="662"/>
      <c r="C207" s="11" t="s">
        <v>31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/>
      <c r="P207" s="9">
        <f>SUM(D207:O207)</f>
        <v>0</v>
      </c>
    </row>
    <row r="208" spans="1:16" ht="15.6" x14ac:dyDescent="0.3">
      <c r="A208" s="663" t="s">
        <v>41</v>
      </c>
      <c r="B208" s="664"/>
      <c r="C208" s="11" t="s">
        <v>31</v>
      </c>
      <c r="D208" s="13">
        <v>76328.62</v>
      </c>
      <c r="E208" s="13">
        <v>158000</v>
      </c>
      <c r="F208" s="13">
        <v>729463.93</v>
      </c>
      <c r="G208" s="13">
        <v>59411</v>
      </c>
      <c r="H208" s="13">
        <v>25067</v>
      </c>
      <c r="I208" s="13">
        <v>25066.53</v>
      </c>
      <c r="J208" s="13">
        <v>96569</v>
      </c>
      <c r="K208" s="13">
        <v>58144.38</v>
      </c>
      <c r="L208" s="13">
        <v>96144</v>
      </c>
      <c r="M208" s="13">
        <v>21989</v>
      </c>
      <c r="N208" s="13">
        <v>123266.53</v>
      </c>
      <c r="O208" s="13"/>
      <c r="P208" s="9">
        <f>SUM(D208:O208)</f>
        <v>1469449.99</v>
      </c>
    </row>
    <row r="209" spans="1:16" ht="15.6" x14ac:dyDescent="0.3">
      <c r="A209" s="661" t="s">
        <v>40</v>
      </c>
      <c r="B209" s="662"/>
      <c r="C209" s="11" t="s">
        <v>31</v>
      </c>
      <c r="D209" s="13">
        <v>142250</v>
      </c>
      <c r="E209" s="13">
        <v>1000000</v>
      </c>
      <c r="F209" s="13">
        <v>81000</v>
      </c>
      <c r="G209" s="13">
        <v>42000</v>
      </c>
      <c r="H209" s="13">
        <v>12049670</v>
      </c>
      <c r="I209" s="13">
        <v>462732</v>
      </c>
      <c r="J209" s="13">
        <v>1000</v>
      </c>
      <c r="K209" s="13">
        <v>210000</v>
      </c>
      <c r="L209" s="13">
        <v>0</v>
      </c>
      <c r="M209" s="13">
        <v>18555800</v>
      </c>
      <c r="N209" s="13">
        <v>4215405.71</v>
      </c>
      <c r="O209" s="13"/>
      <c r="P209" s="9">
        <f>SUM(D209:O209)</f>
        <v>36759857.710000001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164">SUM(D206:D209)</f>
        <v>1429596.2800000003</v>
      </c>
      <c r="E210" s="10">
        <f t="shared" si="164"/>
        <v>4465143.7200000007</v>
      </c>
      <c r="F210" s="10">
        <f t="shared" si="164"/>
        <v>3999831.83</v>
      </c>
      <c r="G210" s="10">
        <f t="shared" si="164"/>
        <v>4161301</v>
      </c>
      <c r="H210" s="10">
        <f t="shared" si="164"/>
        <v>13913241</v>
      </c>
      <c r="I210" s="10">
        <f t="shared" si="164"/>
        <v>4979780.3600000003</v>
      </c>
      <c r="J210" s="10">
        <f t="shared" si="164"/>
        <v>2092716</v>
      </c>
      <c r="K210" s="10">
        <f t="shared" si="164"/>
        <v>8727689.0300000012</v>
      </c>
      <c r="L210" s="10">
        <f t="shared" si="164"/>
        <v>2057466</v>
      </c>
      <c r="M210" s="10">
        <f t="shared" si="164"/>
        <v>22454873</v>
      </c>
      <c r="N210" s="10">
        <f t="shared" si="164"/>
        <v>9086027.9499999993</v>
      </c>
      <c r="O210" s="10">
        <v>2742711</v>
      </c>
      <c r="P210" s="9">
        <f>SUM(D210:O210)</f>
        <v>80110377.170000002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555">
        <v>593740</v>
      </c>
      <c r="E212" s="13">
        <f>3620.89+544485</f>
        <v>548105.89</v>
      </c>
      <c r="F212" s="13">
        <f>579270+6496.27+9577.69</f>
        <v>595343.96</v>
      </c>
      <c r="G212" s="13">
        <f>913437+113.31+283.27</f>
        <v>913833.58000000007</v>
      </c>
      <c r="H212" s="555">
        <f>1658794</f>
        <v>1658794</v>
      </c>
      <c r="I212" s="13">
        <v>1194875</v>
      </c>
      <c r="J212" s="13">
        <v>1160438</v>
      </c>
      <c r="K212" s="555">
        <f>21600+1026710</f>
        <v>1048310</v>
      </c>
      <c r="L212" s="13">
        <v>1068709.3600000001</v>
      </c>
      <c r="M212" s="13">
        <v>3696452</v>
      </c>
      <c r="N212" s="555">
        <v>1888231</v>
      </c>
      <c r="O212" s="13">
        <v>905575</v>
      </c>
      <c r="P212" s="9">
        <f>SUM(D212:O212)</f>
        <v>15272407.789999999</v>
      </c>
    </row>
    <row r="213" spans="1:16" ht="15.6" x14ac:dyDescent="0.3">
      <c r="A213" s="661" t="s">
        <v>42</v>
      </c>
      <c r="B213" s="662"/>
      <c r="C213" s="11" t="s">
        <v>31</v>
      </c>
      <c r="D213" s="555">
        <v>0</v>
      </c>
      <c r="E213" s="13">
        <v>0</v>
      </c>
      <c r="F213" s="13">
        <v>0</v>
      </c>
      <c r="G213" s="13">
        <v>0</v>
      </c>
      <c r="H213" s="555">
        <v>0</v>
      </c>
      <c r="I213" s="13">
        <v>0</v>
      </c>
      <c r="J213" s="13">
        <v>0</v>
      </c>
      <c r="K213" s="555">
        <v>0</v>
      </c>
      <c r="L213" s="13">
        <v>0</v>
      </c>
      <c r="M213" s="13">
        <v>0</v>
      </c>
      <c r="N213" s="555">
        <v>0</v>
      </c>
      <c r="O213" s="13">
        <v>0</v>
      </c>
      <c r="P213" s="9">
        <f>SUM(D213:O213)</f>
        <v>0</v>
      </c>
    </row>
    <row r="214" spans="1:16" ht="15.6" x14ac:dyDescent="0.3">
      <c r="A214" s="663" t="s">
        <v>41</v>
      </c>
      <c r="B214" s="664"/>
      <c r="C214" s="11" t="s">
        <v>31</v>
      </c>
      <c r="D214" s="555">
        <v>344900</v>
      </c>
      <c r="E214" s="13">
        <v>240500</v>
      </c>
      <c r="F214" s="13">
        <v>501400</v>
      </c>
      <c r="G214" s="13">
        <v>213500</v>
      </c>
      <c r="H214" s="555">
        <v>304200</v>
      </c>
      <c r="I214" s="13">
        <v>269457</v>
      </c>
      <c r="J214" s="13">
        <f>126700+2763.09*2</f>
        <v>132226.18</v>
      </c>
      <c r="K214" s="555">
        <v>437664.14</v>
      </c>
      <c r="L214" s="13">
        <v>179200</v>
      </c>
      <c r="M214" s="13">
        <v>358400</v>
      </c>
      <c r="N214" s="555">
        <v>269900</v>
      </c>
      <c r="O214" s="13">
        <v>274500</v>
      </c>
      <c r="P214" s="9">
        <f>SUM(D214:O214)</f>
        <v>3525847.32</v>
      </c>
    </row>
    <row r="215" spans="1:16" ht="15.6" x14ac:dyDescent="0.3">
      <c r="A215" s="661" t="s">
        <v>40</v>
      </c>
      <c r="B215" s="662"/>
      <c r="C215" s="11" t="s">
        <v>31</v>
      </c>
      <c r="D215" s="555">
        <f>3901293+50000+75.54</f>
        <v>3951368.54</v>
      </c>
      <c r="E215" s="13">
        <v>223700</v>
      </c>
      <c r="F215" s="13">
        <v>2140682</v>
      </c>
      <c r="G215" s="13">
        <f>2</f>
        <v>2</v>
      </c>
      <c r="H215" s="555">
        <v>4276585</v>
      </c>
      <c r="I215" s="13">
        <f>1682380-1464332</f>
        <v>218048</v>
      </c>
      <c r="J215" s="13">
        <f>368678+14000</f>
        <v>382678</v>
      </c>
      <c r="K215" s="555">
        <v>469600</v>
      </c>
      <c r="L215" s="13">
        <v>362426.62</v>
      </c>
      <c r="M215" s="13">
        <v>1060000</v>
      </c>
      <c r="N215" s="555">
        <v>1855312.67</v>
      </c>
      <c r="O215" s="13">
        <v>625000</v>
      </c>
      <c r="P215" s="9">
        <f>SUM(D215:O215)</f>
        <v>15565402.829999998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165">SUM(D212:D215)</f>
        <v>4890008.54</v>
      </c>
      <c r="E216" s="10">
        <f t="shared" si="165"/>
        <v>1012305.89</v>
      </c>
      <c r="F216" s="10">
        <f t="shared" si="165"/>
        <v>3237425.96</v>
      </c>
      <c r="G216" s="10">
        <f t="shared" si="165"/>
        <v>1127335.58</v>
      </c>
      <c r="H216" s="10">
        <f t="shared" si="165"/>
        <v>6239579</v>
      </c>
      <c r="I216" s="10">
        <f t="shared" si="165"/>
        <v>1682380</v>
      </c>
      <c r="J216" s="10">
        <f t="shared" si="165"/>
        <v>1675342.18</v>
      </c>
      <c r="K216" s="10">
        <f t="shared" si="165"/>
        <v>1955574.1400000001</v>
      </c>
      <c r="L216" s="10">
        <f t="shared" si="165"/>
        <v>1610335.98</v>
      </c>
      <c r="M216" s="10">
        <f t="shared" si="165"/>
        <v>5114852</v>
      </c>
      <c r="N216" s="10">
        <f t="shared" si="165"/>
        <v>4013443.67</v>
      </c>
      <c r="O216" s="10">
        <v>1805075</v>
      </c>
      <c r="P216" s="9">
        <f>SUM(D216:O216)</f>
        <v>34363657.939999998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6319604.8200000003</v>
      </c>
      <c r="E217" s="10">
        <f t="shared" ref="E217:P217" si="166">E210+E216</f>
        <v>5477449.6100000003</v>
      </c>
      <c r="F217" s="10">
        <f t="shared" si="166"/>
        <v>7237257.79</v>
      </c>
      <c r="G217" s="10">
        <f t="shared" si="166"/>
        <v>5288636.58</v>
      </c>
      <c r="H217" s="10">
        <f t="shared" si="166"/>
        <v>20152820</v>
      </c>
      <c r="I217" s="10">
        <f t="shared" si="166"/>
        <v>6662160.3600000003</v>
      </c>
      <c r="J217" s="10">
        <f t="shared" si="166"/>
        <v>3768058.1799999997</v>
      </c>
      <c r="K217" s="10">
        <f t="shared" si="166"/>
        <v>10683263.170000002</v>
      </c>
      <c r="L217" s="10">
        <f t="shared" si="166"/>
        <v>3667801.98</v>
      </c>
      <c r="M217" s="10">
        <f t="shared" si="166"/>
        <v>27569725</v>
      </c>
      <c r="N217" s="10">
        <f t="shared" si="166"/>
        <v>13099471.619999999</v>
      </c>
      <c r="O217" s="10">
        <v>4547786</v>
      </c>
      <c r="P217" s="40">
        <f t="shared" si="166"/>
        <v>114474035.11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>
        <f>2024.4+269997.2+1746395.71</f>
        <v>2018417.31</v>
      </c>
      <c r="E219" s="13">
        <f>5435.79+621364.42+11386642.23</f>
        <v>12013442.440000001</v>
      </c>
      <c r="F219" s="13">
        <f>5435+641175.05+3267346.65</f>
        <v>3913956.7</v>
      </c>
      <c r="G219" s="13">
        <f>6236+564739+3154260</f>
        <v>3725235</v>
      </c>
      <c r="H219" s="13">
        <f>19853+571806.32+3536498.84</f>
        <v>4128158.1599999997</v>
      </c>
      <c r="I219" s="13">
        <f>7834.98+611195.83+4228036.59</f>
        <v>4847067.3999999994</v>
      </c>
      <c r="J219" s="13">
        <f>7835+580628+3866731</f>
        <v>4455194</v>
      </c>
      <c r="K219" s="13">
        <f>7834.98+584781.44+4020218.43</f>
        <v>4612834.8499999996</v>
      </c>
      <c r="L219" s="13">
        <v>4070898</v>
      </c>
      <c r="M219" s="13">
        <v>3720307.21</v>
      </c>
      <c r="N219" s="13">
        <f>3836.33+478101.92+3397781.49</f>
        <v>3879719.74</v>
      </c>
      <c r="O219" s="13">
        <v>3449384</v>
      </c>
      <c r="P219" s="9">
        <f>SUM(D219:O219)</f>
        <v>54834614.81000001</v>
      </c>
    </row>
    <row r="220" spans="1:16" ht="15.6" x14ac:dyDescent="0.3">
      <c r="A220" s="661" t="s">
        <v>34</v>
      </c>
      <c r="B220" s="662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9">
        <f>SUM(D220:O220)</f>
        <v>0</v>
      </c>
    </row>
    <row r="221" spans="1:16" ht="15.6" x14ac:dyDescent="0.3">
      <c r="A221" s="661" t="s">
        <v>33</v>
      </c>
      <c r="B221" s="662"/>
      <c r="C221" s="11" t="s">
        <v>31</v>
      </c>
      <c r="D221" s="13">
        <v>681875.47</v>
      </c>
      <c r="E221" s="13">
        <v>1422472.82</v>
      </c>
      <c r="F221" s="13">
        <v>1179188.8</v>
      </c>
      <c r="G221" s="13">
        <v>165916</v>
      </c>
      <c r="H221" s="13">
        <v>66133.899999999994</v>
      </c>
      <c r="I221" s="13">
        <v>81133.97</v>
      </c>
      <c r="J221" s="13">
        <v>78235</v>
      </c>
      <c r="K221" s="13">
        <v>22553.17</v>
      </c>
      <c r="L221" s="13">
        <v>20133</v>
      </c>
      <c r="M221" s="13">
        <v>24973.32</v>
      </c>
      <c r="N221" s="13">
        <v>68647.31</v>
      </c>
      <c r="O221" s="13">
        <v>35283</v>
      </c>
      <c r="P221" s="9">
        <f>SUM(D221:O221)</f>
        <v>3846545.76</v>
      </c>
    </row>
    <row r="222" spans="1:16" ht="15.6" x14ac:dyDescent="0.3">
      <c r="A222" s="661" t="s">
        <v>32</v>
      </c>
      <c r="B222" s="662"/>
      <c r="C222" s="11" t="s">
        <v>31</v>
      </c>
      <c r="D222" s="13">
        <v>109034.73</v>
      </c>
      <c r="E222" s="13">
        <v>135092.31</v>
      </c>
      <c r="F222" s="13">
        <v>90533.5</v>
      </c>
      <c r="G222" s="13">
        <v>135969</v>
      </c>
      <c r="H222" s="13">
        <v>135675.82</v>
      </c>
      <c r="I222" s="13">
        <v>115986.06</v>
      </c>
      <c r="J222" s="13">
        <v>38328</v>
      </c>
      <c r="K222" s="13">
        <v>52130.39</v>
      </c>
      <c r="L222" s="13">
        <v>45975</v>
      </c>
      <c r="M222" s="13">
        <v>52130.39</v>
      </c>
      <c r="N222" s="13">
        <v>52130.39</v>
      </c>
      <c r="O222" s="13">
        <v>58286</v>
      </c>
      <c r="P222" s="9">
        <f>SUM(D222:O222)</f>
        <v>1021271.59</v>
      </c>
    </row>
    <row r="223" spans="1:16" ht="15.6" x14ac:dyDescent="0.3">
      <c r="A223" s="647" t="s">
        <v>36</v>
      </c>
      <c r="B223" s="648"/>
      <c r="C223" s="11" t="s">
        <v>31</v>
      </c>
      <c r="D223" s="12">
        <f t="shared" ref="D223:N223" si="167">SUM(D219:D222)</f>
        <v>2809327.5100000002</v>
      </c>
      <c r="E223" s="10">
        <f t="shared" si="167"/>
        <v>13571007.570000002</v>
      </c>
      <c r="F223" s="10">
        <f t="shared" si="167"/>
        <v>5183679</v>
      </c>
      <c r="G223" s="10">
        <f t="shared" si="167"/>
        <v>4027120</v>
      </c>
      <c r="H223" s="10">
        <f t="shared" si="167"/>
        <v>4329967.88</v>
      </c>
      <c r="I223" s="10">
        <f t="shared" si="167"/>
        <v>5044187.4299999988</v>
      </c>
      <c r="J223" s="14">
        <f t="shared" si="167"/>
        <v>4571757</v>
      </c>
      <c r="K223" s="14">
        <f t="shared" si="167"/>
        <v>4687518.4099999992</v>
      </c>
      <c r="L223" s="14">
        <f t="shared" si="167"/>
        <v>4137006</v>
      </c>
      <c r="M223" s="14">
        <f t="shared" si="167"/>
        <v>3797410.92</v>
      </c>
      <c r="N223" s="14">
        <f t="shared" si="167"/>
        <v>4000497.4400000004</v>
      </c>
      <c r="O223" s="14">
        <v>3542953</v>
      </c>
      <c r="P223" s="9">
        <f>SUM(D223:O223)</f>
        <v>59702432.159999996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68">SUM(D225:O225)</f>
        <v>0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68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9">
        <f t="shared" si="168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68"/>
        <v>0</v>
      </c>
    </row>
    <row r="229" spans="1:16" ht="15.6" x14ac:dyDescent="0.3">
      <c r="A229" s="647" t="s">
        <v>212</v>
      </c>
      <c r="B229" s="648"/>
      <c r="C229" s="11" t="s">
        <v>31</v>
      </c>
      <c r="D229" s="555">
        <f>571445.65+293900+1592017.2+50000+75.54</f>
        <v>2507438.39</v>
      </c>
      <c r="E229" s="555">
        <v>961303.58</v>
      </c>
      <c r="F229" s="13">
        <f>572199.78+1051672.8+385830.74</f>
        <v>2009703.32</v>
      </c>
      <c r="G229" s="13">
        <f>899007.65+166700+221174+113.31+113.31+2763.09</f>
        <v>1289871.3600000001</v>
      </c>
      <c r="H229" s="555">
        <f>1613924.95+232200+2697034</f>
        <v>4543158.95</v>
      </c>
      <c r="I229" s="13">
        <v>1593220</v>
      </c>
      <c r="J229" s="586">
        <f>1137518+122480+275678+14000+2763.09*2</f>
        <v>1555202.18</v>
      </c>
      <c r="K229" s="586">
        <f>21400+1010754.16+304494.14+298114.77</f>
        <v>1634763.07</v>
      </c>
      <c r="L229" s="14">
        <v>1401227.1099999999</v>
      </c>
      <c r="M229" s="14">
        <v>5062652</v>
      </c>
      <c r="N229" s="586">
        <f>1893231+1182345.07+263657.25</f>
        <v>3339233.3200000003</v>
      </c>
      <c r="O229" s="14">
        <v>1793414.22</v>
      </c>
      <c r="P229" s="9">
        <f t="shared" si="168"/>
        <v>27691187.5</v>
      </c>
    </row>
    <row r="230" spans="1:16" ht="15.6" x14ac:dyDescent="0.3">
      <c r="A230" s="76" t="s">
        <v>213</v>
      </c>
      <c r="B230" s="119"/>
      <c r="C230" s="11" t="s">
        <v>31</v>
      </c>
      <c r="D230" s="12">
        <f>D223+D229</f>
        <v>5316765.9000000004</v>
      </c>
      <c r="E230" s="12">
        <f t="shared" ref="E230:N230" si="169">E223+E229</f>
        <v>14532311.150000002</v>
      </c>
      <c r="F230" s="12">
        <f t="shared" si="169"/>
        <v>7193382.3200000003</v>
      </c>
      <c r="G230" s="12">
        <f t="shared" si="169"/>
        <v>5316991.3600000003</v>
      </c>
      <c r="H230" s="12">
        <f t="shared" si="169"/>
        <v>8873126.8300000001</v>
      </c>
      <c r="I230" s="12">
        <f t="shared" si="169"/>
        <v>6637407.4299999988</v>
      </c>
      <c r="J230" s="12">
        <f t="shared" si="169"/>
        <v>6126959.1799999997</v>
      </c>
      <c r="K230" s="12">
        <f t="shared" si="169"/>
        <v>6322281.4799999995</v>
      </c>
      <c r="L230" s="12">
        <f t="shared" si="169"/>
        <v>5538233.1099999994</v>
      </c>
      <c r="M230" s="12">
        <f t="shared" si="169"/>
        <v>8860062.9199999999</v>
      </c>
      <c r="N230" s="12">
        <f t="shared" si="169"/>
        <v>7339730.7600000007</v>
      </c>
      <c r="O230" s="12">
        <v>5336367.22</v>
      </c>
      <c r="P230" s="9">
        <f t="shared" si="168"/>
        <v>87393619.659999996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f>230.96+28458.94+149277.52</f>
        <v>177967.41999999998</v>
      </c>
      <c r="E232" s="13">
        <f>346.44+41288.79+224907.06</f>
        <v>266542.28999999998</v>
      </c>
      <c r="F232" s="13">
        <f>346.44+41288.79+227384.01</f>
        <v>269019.24</v>
      </c>
      <c r="G232" s="13">
        <f>346+39889+230852</f>
        <v>271087</v>
      </c>
      <c r="H232" s="13">
        <f>346.44+37789.74+229860.96</f>
        <v>267997.14</v>
      </c>
      <c r="I232" s="13">
        <f>346.44+36390.12+230356.35</f>
        <v>267092.91000000003</v>
      </c>
      <c r="J232" s="13">
        <f>346+37090+230356</f>
        <v>267792</v>
      </c>
      <c r="K232" s="13">
        <f>346.44+37789.74+231347.13</f>
        <v>269483.31</v>
      </c>
      <c r="L232" s="13">
        <v>269979</v>
      </c>
      <c r="M232" s="13">
        <v>255117</v>
      </c>
      <c r="N232" s="13">
        <f>346.44+37789.74+219953.16</f>
        <v>258089.34</v>
      </c>
      <c r="O232" s="13">
        <v>262257</v>
      </c>
      <c r="P232" s="9">
        <f>SUM(D232:O232)</f>
        <v>3102423.65</v>
      </c>
    </row>
    <row r="233" spans="1:16" ht="15.6" x14ac:dyDescent="0.3">
      <c r="A233" s="661" t="s">
        <v>28</v>
      </c>
      <c r="B233" s="662"/>
      <c r="C233" s="11" t="s">
        <v>18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9">
        <f>SUM(D233:O233)</f>
        <v>0</v>
      </c>
    </row>
    <row r="234" spans="1:16" ht="15.6" x14ac:dyDescent="0.3">
      <c r="A234" s="661" t="s">
        <v>27</v>
      </c>
      <c r="B234" s="662"/>
      <c r="C234" s="11" t="s">
        <v>18</v>
      </c>
      <c r="D234" s="13">
        <v>22624.25</v>
      </c>
      <c r="E234" s="13">
        <v>33936.43</v>
      </c>
      <c r="F234" s="13">
        <v>33936.43</v>
      </c>
      <c r="G234" s="13">
        <v>15426</v>
      </c>
      <c r="H234" s="13">
        <v>9255.39</v>
      </c>
      <c r="I234" s="13">
        <v>9255.39</v>
      </c>
      <c r="J234" s="13">
        <v>9255</v>
      </c>
      <c r="K234" s="13">
        <v>6170.26</v>
      </c>
      <c r="L234" s="13">
        <v>6170</v>
      </c>
      <c r="M234" s="13">
        <v>6170.26</v>
      </c>
      <c r="N234" s="13">
        <v>6170.26</v>
      </c>
      <c r="O234" s="13">
        <v>6170</v>
      </c>
      <c r="P234" s="9">
        <f>SUM(D234:O234)</f>
        <v>164539.67000000004</v>
      </c>
    </row>
    <row r="235" spans="1:16" ht="15.6" x14ac:dyDescent="0.3">
      <c r="A235" s="661" t="s">
        <v>26</v>
      </c>
      <c r="B235" s="662"/>
      <c r="C235" s="11" t="s">
        <v>18</v>
      </c>
      <c r="D235" s="13">
        <v>14052.55</v>
      </c>
      <c r="E235" s="13">
        <v>25294.62</v>
      </c>
      <c r="F235" s="13">
        <v>21078.85</v>
      </c>
      <c r="G235" s="13">
        <v>21079</v>
      </c>
      <c r="H235" s="13">
        <v>21078.85</v>
      </c>
      <c r="I235" s="13">
        <v>12647.31</v>
      </c>
      <c r="J235" s="13">
        <v>12647</v>
      </c>
      <c r="K235" s="13">
        <v>16863.080000000002</v>
      </c>
      <c r="L235" s="13">
        <v>16863</v>
      </c>
      <c r="M235" s="13">
        <v>16863.080000000002</v>
      </c>
      <c r="N235" s="13">
        <v>16863.080000000002</v>
      </c>
      <c r="O235" s="13">
        <v>16863</v>
      </c>
      <c r="P235" s="9">
        <f>SUM(D235:O235)</f>
        <v>212193.42000000004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N236" si="170">SUM(D232:D235)</f>
        <v>214644.21999999997</v>
      </c>
      <c r="E236" s="12">
        <f t="shared" si="170"/>
        <v>325773.33999999997</v>
      </c>
      <c r="F236" s="12">
        <f t="shared" si="170"/>
        <v>324034.51999999996</v>
      </c>
      <c r="G236" s="12">
        <f t="shared" si="170"/>
        <v>307592</v>
      </c>
      <c r="H236" s="12">
        <f t="shared" si="170"/>
        <v>298331.38</v>
      </c>
      <c r="I236" s="12">
        <f t="shared" si="170"/>
        <v>288995.61000000004</v>
      </c>
      <c r="J236" s="12">
        <f t="shared" si="170"/>
        <v>289694</v>
      </c>
      <c r="K236" s="12">
        <f t="shared" si="170"/>
        <v>292516.65000000002</v>
      </c>
      <c r="L236" s="12">
        <f t="shared" si="170"/>
        <v>293012</v>
      </c>
      <c r="M236" s="12">
        <f t="shared" si="170"/>
        <v>278150.34000000003</v>
      </c>
      <c r="N236" s="12">
        <f t="shared" si="170"/>
        <v>281122.68</v>
      </c>
      <c r="O236" s="12">
        <v>285290</v>
      </c>
      <c r="P236" s="40">
        <f t="shared" ref="P236" si="171">SUM(P232:P235)</f>
        <v>3479156.7399999998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f>893+54473+403636</f>
        <v>459002</v>
      </c>
      <c r="E238" s="13">
        <f>893+52687+405422</f>
        <v>459002</v>
      </c>
      <c r="F238" s="13">
        <f>893+52687+409887</f>
        <v>463467</v>
      </c>
      <c r="G238" s="13">
        <f>893+50901+416138</f>
        <v>467932</v>
      </c>
      <c r="H238" s="13">
        <f>893+48222+414352</f>
        <v>463467</v>
      </c>
      <c r="I238" s="13">
        <f>893+46436+415245</f>
        <v>462574</v>
      </c>
      <c r="J238" s="13">
        <f>893+47329+415245</f>
        <v>463467</v>
      </c>
      <c r="K238" s="13">
        <f>893+48222+417031</f>
        <v>466146</v>
      </c>
      <c r="L238" s="13">
        <v>467039</v>
      </c>
      <c r="M238" s="13">
        <v>440249</v>
      </c>
      <c r="N238" s="13">
        <f>893+48222+396492</f>
        <v>445607</v>
      </c>
      <c r="O238" s="13">
        <v>452751</v>
      </c>
      <c r="P238" s="9">
        <f>SUM(D238:O238)</f>
        <v>5510703</v>
      </c>
    </row>
    <row r="239" spans="1:16" ht="15.6" x14ac:dyDescent="0.3">
      <c r="A239" s="661" t="s">
        <v>22</v>
      </c>
      <c r="B239" s="662"/>
      <c r="C239" s="11" t="s">
        <v>18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9">
        <f>SUM(D239:O239)</f>
        <v>0</v>
      </c>
    </row>
    <row r="240" spans="1:16" ht="15.6" x14ac:dyDescent="0.3">
      <c r="A240" s="661" t="s">
        <v>21</v>
      </c>
      <c r="B240" s="662"/>
      <c r="C240" s="11" t="s">
        <v>18</v>
      </c>
      <c r="D240" s="15">
        <v>9823</v>
      </c>
      <c r="E240" s="15">
        <v>9823</v>
      </c>
      <c r="F240" s="15">
        <v>9823</v>
      </c>
      <c r="G240" s="15">
        <v>4465</v>
      </c>
      <c r="H240" s="15">
        <v>2679</v>
      </c>
      <c r="I240" s="15">
        <v>2679</v>
      </c>
      <c r="J240" s="15">
        <v>2679</v>
      </c>
      <c r="K240" s="15">
        <v>1786</v>
      </c>
      <c r="L240" s="15">
        <v>1786</v>
      </c>
      <c r="M240" s="15">
        <v>1786</v>
      </c>
      <c r="N240" s="15">
        <v>1786</v>
      </c>
      <c r="O240" s="15">
        <v>1786</v>
      </c>
      <c r="P240" s="9">
        <f>SUM(D240:O240)</f>
        <v>50901</v>
      </c>
    </row>
    <row r="241" spans="1:16" ht="15.6" x14ac:dyDescent="0.3">
      <c r="A241" s="661" t="s">
        <v>20</v>
      </c>
      <c r="B241" s="662"/>
      <c r="C241" s="11" t="s">
        <v>18</v>
      </c>
      <c r="D241" s="15">
        <v>4465</v>
      </c>
      <c r="E241" s="15">
        <v>5358</v>
      </c>
      <c r="F241" s="15">
        <v>4465</v>
      </c>
      <c r="G241" s="15">
        <v>4465</v>
      </c>
      <c r="H241" s="15">
        <v>4465</v>
      </c>
      <c r="I241" s="15">
        <v>2679</v>
      </c>
      <c r="J241" s="15">
        <v>2679</v>
      </c>
      <c r="K241" s="15">
        <v>3572</v>
      </c>
      <c r="L241" s="15">
        <v>3572</v>
      </c>
      <c r="M241" s="15">
        <v>3572</v>
      </c>
      <c r="N241" s="15">
        <v>3572</v>
      </c>
      <c r="O241" s="15">
        <v>3572</v>
      </c>
      <c r="P241" s="9">
        <f>SUM(D241:O241)</f>
        <v>46436</v>
      </c>
    </row>
    <row r="242" spans="1:16" ht="15.6" x14ac:dyDescent="0.3">
      <c r="A242" s="647" t="s">
        <v>19</v>
      </c>
      <c r="B242" s="648"/>
      <c r="C242" s="11" t="s">
        <v>18</v>
      </c>
      <c r="D242" s="12">
        <f t="shared" ref="D242:P242" si="172">SUM(D238:D241)</f>
        <v>473290</v>
      </c>
      <c r="E242" s="12">
        <f t="shared" si="172"/>
        <v>474183</v>
      </c>
      <c r="F242" s="12">
        <f t="shared" si="172"/>
        <v>477755</v>
      </c>
      <c r="G242" s="12">
        <f t="shared" si="172"/>
        <v>476862</v>
      </c>
      <c r="H242" s="12">
        <f t="shared" si="172"/>
        <v>470611</v>
      </c>
      <c r="I242" s="12">
        <f t="shared" si="172"/>
        <v>467932</v>
      </c>
      <c r="J242" s="12">
        <f t="shared" si="172"/>
        <v>468825</v>
      </c>
      <c r="K242" s="12">
        <f t="shared" si="172"/>
        <v>471504</v>
      </c>
      <c r="L242" s="12">
        <f t="shared" si="172"/>
        <v>472397</v>
      </c>
      <c r="M242" s="12">
        <f t="shared" si="172"/>
        <v>445607</v>
      </c>
      <c r="N242" s="12">
        <f t="shared" si="172"/>
        <v>450965</v>
      </c>
      <c r="O242" s="12">
        <v>458109</v>
      </c>
      <c r="P242" s="40">
        <f t="shared" si="172"/>
        <v>5608040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6004700.1200000001</v>
      </c>
      <c r="E243" s="10">
        <f t="shared" ref="E243:N243" si="173">E230+E236+E242</f>
        <v>15332267.490000002</v>
      </c>
      <c r="F243" s="10">
        <f t="shared" si="173"/>
        <v>7995171.8399999999</v>
      </c>
      <c r="G243" s="10">
        <f t="shared" si="173"/>
        <v>6101445.3600000003</v>
      </c>
      <c r="H243" s="10">
        <f t="shared" si="173"/>
        <v>9642069.2100000009</v>
      </c>
      <c r="I243" s="10">
        <f t="shared" si="173"/>
        <v>7394335.0399999991</v>
      </c>
      <c r="J243" s="10">
        <f t="shared" si="173"/>
        <v>6885478.1799999997</v>
      </c>
      <c r="K243" s="10">
        <f t="shared" si="173"/>
        <v>7086302.1299999999</v>
      </c>
      <c r="L243" s="10">
        <f t="shared" si="173"/>
        <v>6303642.1099999994</v>
      </c>
      <c r="M243" s="10">
        <f t="shared" si="173"/>
        <v>9583820.2599999998</v>
      </c>
      <c r="N243" s="10">
        <f t="shared" si="173"/>
        <v>8071818.4400000004</v>
      </c>
      <c r="O243" s="10">
        <v>6079766.2199999997</v>
      </c>
      <c r="P243" s="40">
        <f t="shared" ref="P243" si="174">P216+P223+P236+P242</f>
        <v>103153286.83999999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56">
        <f>48519812.04-D246</f>
        <v>28987655</v>
      </c>
      <c r="E245" s="154">
        <f>58425632.23-E246</f>
        <v>38124955.339999996</v>
      </c>
      <c r="F245" s="154">
        <v>23480970.719999999</v>
      </c>
      <c r="G245" s="154">
        <v>43667102.5</v>
      </c>
      <c r="H245" s="154">
        <v>42707828.939999998</v>
      </c>
      <c r="I245" s="154">
        <v>44342347.599999994</v>
      </c>
      <c r="J245" s="154">
        <v>46958689.439999998</v>
      </c>
      <c r="K245" s="154">
        <f>52365774.6-K246</f>
        <v>42934037.280000001</v>
      </c>
      <c r="L245" s="154">
        <v>46196940.640000001</v>
      </c>
      <c r="M245" s="154">
        <v>36573174.210000001</v>
      </c>
      <c r="N245" s="154">
        <v>36061626.219999999</v>
      </c>
      <c r="O245" s="154">
        <v>37564750.920000002</v>
      </c>
      <c r="P245" s="165">
        <f>O245</f>
        <v>37564750.920000002</v>
      </c>
    </row>
    <row r="246" spans="1:16" ht="15.6" x14ac:dyDescent="0.3">
      <c r="A246" s="657" t="s">
        <v>206</v>
      </c>
      <c r="B246" s="658"/>
      <c r="C246" s="11" t="s">
        <v>18</v>
      </c>
      <c r="D246" s="556">
        <v>19532157.039999999</v>
      </c>
      <c r="E246" s="154">
        <v>20300676.890000001</v>
      </c>
      <c r="F246" s="154">
        <v>23826321.530000001</v>
      </c>
      <c r="G246" s="154">
        <v>17137877.27</v>
      </c>
      <c r="H246" s="154">
        <v>9297821.0399999991</v>
      </c>
      <c r="I246" s="154">
        <v>8644937.0600000005</v>
      </c>
      <c r="J246" s="154">
        <v>8668235.1300000008</v>
      </c>
      <c r="K246" s="154">
        <v>9431737.3200000003</v>
      </c>
      <c r="L246" s="154">
        <v>8777899.3300000001</v>
      </c>
      <c r="M246" s="154">
        <v>467961.63</v>
      </c>
      <c r="N246" s="154">
        <v>642492.5</v>
      </c>
      <c r="O246" s="154">
        <v>641785.68000000005</v>
      </c>
      <c r="P246" s="165">
        <f>O246</f>
        <v>641785.68000000005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48519812.039999999</v>
      </c>
      <c r="E247" s="142">
        <f t="shared" ref="E247:P247" si="175">E245+E246</f>
        <v>58425632.229999997</v>
      </c>
      <c r="F247" s="142">
        <f t="shared" si="175"/>
        <v>47307292.25</v>
      </c>
      <c r="G247" s="142">
        <f t="shared" si="175"/>
        <v>60804979.769999996</v>
      </c>
      <c r="H247" s="142">
        <f t="shared" si="175"/>
        <v>52005649.979999997</v>
      </c>
      <c r="I247" s="142">
        <f t="shared" si="175"/>
        <v>52987284.659999996</v>
      </c>
      <c r="J247" s="142">
        <f t="shared" si="175"/>
        <v>55626924.57</v>
      </c>
      <c r="K247" s="142">
        <f t="shared" si="175"/>
        <v>52365774.600000001</v>
      </c>
      <c r="L247" s="142">
        <f t="shared" si="175"/>
        <v>54974839.969999999</v>
      </c>
      <c r="M247" s="142">
        <f t="shared" si="175"/>
        <v>37041135.840000004</v>
      </c>
      <c r="N247" s="156">
        <f t="shared" si="175"/>
        <v>36704118.719999999</v>
      </c>
      <c r="O247" s="156">
        <v>38206536.600000001</v>
      </c>
      <c r="P247" s="165">
        <f t="shared" si="175"/>
        <v>38206536.600000001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8">
        <f>D58/D243</f>
        <v>0.45153459181738459</v>
      </c>
      <c r="E249" s="8">
        <f t="shared" ref="E249:F249" si="176">E58/E243</f>
        <v>0.19559758173381564</v>
      </c>
      <c r="F249" s="8">
        <f t="shared" si="176"/>
        <v>0.35466896978476947</v>
      </c>
      <c r="G249" s="8">
        <f t="shared" ref="G249:P249" si="177">G58/G243%</f>
        <v>42.942590245534873</v>
      </c>
      <c r="H249" s="8">
        <f t="shared" si="177"/>
        <v>25.80668926768676</v>
      </c>
      <c r="I249" s="8">
        <f t="shared" si="177"/>
        <v>34.954094560475852</v>
      </c>
      <c r="J249" s="8">
        <f t="shared" si="177"/>
        <v>36.543426734089223</v>
      </c>
      <c r="K249" s="8">
        <f t="shared" si="177"/>
        <v>36.405887057485657</v>
      </c>
      <c r="L249" s="8">
        <f t="shared" si="177"/>
        <v>44.637349200651251</v>
      </c>
      <c r="M249" s="8">
        <f t="shared" si="177"/>
        <v>51.215683299274779</v>
      </c>
      <c r="N249" s="8">
        <f t="shared" si="177"/>
        <v>38.608803371449476</v>
      </c>
      <c r="O249" s="8">
        <v>59.817161522371826</v>
      </c>
      <c r="P249" s="111">
        <f t="shared" si="177"/>
        <v>34.715673913361009</v>
      </c>
    </row>
    <row r="250" spans="1:16" ht="15.6" x14ac:dyDescent="0.3">
      <c r="A250" s="643" t="s">
        <v>208</v>
      </c>
      <c r="B250" s="644"/>
      <c r="C250" s="5" t="s">
        <v>6</v>
      </c>
      <c r="D250" s="29">
        <f>D210/(D223+D245)</f>
        <v>4.4960124110846017E-2</v>
      </c>
      <c r="E250" s="29">
        <f t="shared" ref="E250:F250" si="178">E210/(E223+E245)</f>
        <v>8.6373160855395717E-2</v>
      </c>
      <c r="F250" s="29">
        <f t="shared" si="178"/>
        <v>0.13953883508331252</v>
      </c>
      <c r="G250" s="29">
        <f t="shared" ref="G250:P250" si="179">G210/(G223+G245)%</f>
        <v>8.724958248349683</v>
      </c>
      <c r="H250" s="29">
        <f t="shared" si="179"/>
        <v>29.578853476581685</v>
      </c>
      <c r="I250" s="29">
        <f t="shared" si="179"/>
        <v>10.083275445371939</v>
      </c>
      <c r="J250" s="29">
        <f t="shared" si="179"/>
        <v>4.0611253047005427</v>
      </c>
      <c r="K250" s="29">
        <f t="shared" si="179"/>
        <v>18.327181679687797</v>
      </c>
      <c r="L250" s="29">
        <f t="shared" si="179"/>
        <v>4.0876309873244621</v>
      </c>
      <c r="M250" s="29">
        <f t="shared" si="179"/>
        <v>55.621866583532466</v>
      </c>
      <c r="N250" s="29">
        <f t="shared" si="179"/>
        <v>22.67984599895771</v>
      </c>
      <c r="O250" s="29">
        <v>6.6720121496875855</v>
      </c>
      <c r="P250" s="108">
        <f t="shared" si="179"/>
        <v>82.361156798497063</v>
      </c>
    </row>
    <row r="251" spans="1:16" ht="16.2" thickBot="1" x14ac:dyDescent="0.35">
      <c r="A251" s="652" t="s">
        <v>15</v>
      </c>
      <c r="B251" s="653"/>
      <c r="C251" s="5" t="s">
        <v>6</v>
      </c>
      <c r="D251" s="29">
        <f>D210/D223</f>
        <v>0.50887490864317209</v>
      </c>
      <c r="E251" s="29">
        <f t="shared" ref="E251:F251" si="180">E210/E223</f>
        <v>0.32902079650081573</v>
      </c>
      <c r="F251" s="29">
        <f t="shared" si="180"/>
        <v>0.77162027779883746</v>
      </c>
      <c r="G251" s="7">
        <f t="shared" ref="G251:P251" si="181">G210/G223%</f>
        <v>103.33193448419715</v>
      </c>
      <c r="H251" s="7">
        <f t="shared" si="181"/>
        <v>321.32434663695471</v>
      </c>
      <c r="I251" s="7">
        <f t="shared" si="181"/>
        <v>98.723142807562198</v>
      </c>
      <c r="J251" s="7">
        <f t="shared" si="181"/>
        <v>45.774873861406022</v>
      </c>
      <c r="K251" s="7">
        <f t="shared" si="181"/>
        <v>186.18996805177355</v>
      </c>
      <c r="L251" s="7">
        <f t="shared" si="181"/>
        <v>49.733212859734799</v>
      </c>
      <c r="M251" s="7">
        <f t="shared" si="181"/>
        <v>591.32059903593472</v>
      </c>
      <c r="N251" s="7">
        <f t="shared" si="181"/>
        <v>227.12245380164518</v>
      </c>
      <c r="O251" s="7">
        <v>77.413135313959856</v>
      </c>
      <c r="P251" s="112">
        <f t="shared" si="181"/>
        <v>134.18276990007305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" customHeight="1" x14ac:dyDescent="0.3">
      <c r="A253" s="643" t="s">
        <v>13</v>
      </c>
      <c r="B253" s="644"/>
      <c r="C253" s="5" t="s">
        <v>3</v>
      </c>
      <c r="D253" s="4">
        <v>82</v>
      </c>
      <c r="E253" s="4">
        <v>5</v>
      </c>
      <c r="F253" s="4">
        <v>2</v>
      </c>
      <c r="G253" s="4">
        <v>1</v>
      </c>
      <c r="H253" s="4">
        <v>55</v>
      </c>
      <c r="I253" s="4">
        <v>50</v>
      </c>
      <c r="J253" s="155">
        <v>48</v>
      </c>
      <c r="K253" s="4">
        <v>48</v>
      </c>
      <c r="L253" s="132">
        <v>47</v>
      </c>
      <c r="M253" s="132">
        <v>47</v>
      </c>
      <c r="N253" s="4">
        <v>2</v>
      </c>
      <c r="O253" s="132">
        <v>45</v>
      </c>
      <c r="P253" s="113">
        <f>SUM(D253:O253)</f>
        <v>432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4</v>
      </c>
      <c r="E254" s="4">
        <v>3</v>
      </c>
      <c r="F254" s="4">
        <v>2</v>
      </c>
      <c r="G254" s="4">
        <v>1</v>
      </c>
      <c r="H254" s="4">
        <v>22</v>
      </c>
      <c r="I254" s="4">
        <v>20</v>
      </c>
      <c r="J254" s="155">
        <v>9</v>
      </c>
      <c r="K254" s="4">
        <v>1</v>
      </c>
      <c r="L254" s="132">
        <v>1</v>
      </c>
      <c r="M254" s="132">
        <v>1</v>
      </c>
      <c r="N254" s="4">
        <v>2</v>
      </c>
      <c r="O254" s="132">
        <v>16</v>
      </c>
      <c r="P254" s="113">
        <f>SUM(D254:O254)</f>
        <v>82</v>
      </c>
    </row>
    <row r="255" spans="1:16" ht="15.75" customHeight="1" x14ac:dyDescent="0.3">
      <c r="A255" s="643" t="s">
        <v>11</v>
      </c>
      <c r="B255" s="644"/>
      <c r="C255" s="5" t="s">
        <v>3</v>
      </c>
      <c r="D255" s="4">
        <v>4</v>
      </c>
      <c r="E255" s="4">
        <v>5</v>
      </c>
      <c r="F255" s="4">
        <v>2</v>
      </c>
      <c r="G255" s="4">
        <v>1</v>
      </c>
      <c r="H255" s="4">
        <v>5</v>
      </c>
      <c r="I255" s="4">
        <v>4</v>
      </c>
      <c r="J255" s="155">
        <v>4</v>
      </c>
      <c r="K255" s="4">
        <v>4</v>
      </c>
      <c r="L255" s="132">
        <v>4</v>
      </c>
      <c r="M255" s="132">
        <f t="shared" ref="M255:N255" si="182">M95</f>
        <v>50</v>
      </c>
      <c r="N255" s="132">
        <f t="shared" si="182"/>
        <v>52</v>
      </c>
      <c r="O255" s="132">
        <v>49</v>
      </c>
      <c r="P255" s="113">
        <f>SUM(D255:O255)</f>
        <v>184</v>
      </c>
    </row>
    <row r="256" spans="1:16" ht="15.6" x14ac:dyDescent="0.3">
      <c r="A256" s="643" t="s">
        <v>10</v>
      </c>
      <c r="B256" s="644"/>
      <c r="C256" s="5" t="s">
        <v>3</v>
      </c>
      <c r="D256" s="4">
        <v>5</v>
      </c>
      <c r="E256" s="4">
        <v>82</v>
      </c>
      <c r="F256" s="4">
        <v>84</v>
      </c>
      <c r="G256" s="4">
        <v>53</v>
      </c>
      <c r="H256" s="4">
        <v>57</v>
      </c>
      <c r="I256" s="4">
        <v>63</v>
      </c>
      <c r="J256" s="155">
        <v>10</v>
      </c>
      <c r="K256" s="4">
        <v>13</v>
      </c>
      <c r="L256" s="132">
        <v>49</v>
      </c>
      <c r="M256" s="132">
        <f t="shared" ref="M256:N256" si="183">M91</f>
        <v>1</v>
      </c>
      <c r="N256" s="132">
        <f t="shared" si="183"/>
        <v>2</v>
      </c>
      <c r="O256" s="132">
        <v>1</v>
      </c>
      <c r="P256" s="113">
        <f>SUM(D256:O256)</f>
        <v>420</v>
      </c>
    </row>
    <row r="257" spans="1:16" ht="15.6" customHeight="1" x14ac:dyDescent="0.3">
      <c r="A257" s="643" t="s">
        <v>9</v>
      </c>
      <c r="B257" s="644"/>
      <c r="C257" s="5" t="s">
        <v>3</v>
      </c>
      <c r="D257" s="4">
        <v>7</v>
      </c>
      <c r="E257" s="4">
        <v>9</v>
      </c>
      <c r="F257" s="4">
        <v>10</v>
      </c>
      <c r="G257" s="4">
        <v>7</v>
      </c>
      <c r="H257" s="4">
        <v>7</v>
      </c>
      <c r="I257" s="4">
        <v>7</v>
      </c>
      <c r="J257" s="155">
        <v>7</v>
      </c>
      <c r="K257" s="4">
        <v>5</v>
      </c>
      <c r="L257" s="132">
        <v>2</v>
      </c>
      <c r="M257" s="132">
        <v>5</v>
      </c>
      <c r="N257" s="4">
        <v>1</v>
      </c>
      <c r="O257" s="132">
        <v>5</v>
      </c>
      <c r="P257" s="113">
        <f>SUM(D257:O257)</f>
        <v>72</v>
      </c>
    </row>
    <row r="258" spans="1:16" ht="15.6" x14ac:dyDescent="0.3">
      <c r="A258" s="647" t="s">
        <v>8</v>
      </c>
      <c r="B258" s="648"/>
      <c r="C258" s="5" t="s">
        <v>3</v>
      </c>
      <c r="D258" s="1">
        <f t="shared" ref="D258:P258" si="184">D257/D256</f>
        <v>1.4</v>
      </c>
      <c r="E258" s="1">
        <f t="shared" si="184"/>
        <v>0.10975609756097561</v>
      </c>
      <c r="F258" s="1">
        <f t="shared" si="184"/>
        <v>0.11904761904761904</v>
      </c>
      <c r="G258" s="1">
        <f t="shared" si="184"/>
        <v>0.13207547169811321</v>
      </c>
      <c r="H258" s="3">
        <f t="shared" si="184"/>
        <v>0.12280701754385964</v>
      </c>
      <c r="I258" s="3">
        <f t="shared" si="184"/>
        <v>0.1111111111111111</v>
      </c>
      <c r="J258" s="3">
        <f t="shared" si="184"/>
        <v>0.7</v>
      </c>
      <c r="K258" s="3">
        <f t="shared" si="184"/>
        <v>0.38461538461538464</v>
      </c>
      <c r="L258" s="3">
        <f t="shared" si="184"/>
        <v>4.0816326530612242E-2</v>
      </c>
      <c r="M258" s="3">
        <f t="shared" si="184"/>
        <v>5</v>
      </c>
      <c r="N258" s="3">
        <f t="shared" si="184"/>
        <v>0.5</v>
      </c>
      <c r="O258" s="3">
        <v>5</v>
      </c>
      <c r="P258" s="113">
        <f t="shared" si="184"/>
        <v>0.17142857142857143</v>
      </c>
    </row>
    <row r="259" spans="1:16" ht="15.6" x14ac:dyDescent="0.3">
      <c r="A259" s="647" t="s">
        <v>7</v>
      </c>
      <c r="B259" s="648"/>
      <c r="C259" s="5" t="s">
        <v>6</v>
      </c>
      <c r="D259" s="1">
        <f t="shared" ref="D259:P259" si="185">D92/D255*100</f>
        <v>100</v>
      </c>
      <c r="E259" s="1">
        <f>E92/E255*100</f>
        <v>100</v>
      </c>
      <c r="F259" s="1">
        <f>F92/F255*100</f>
        <v>150</v>
      </c>
      <c r="G259" s="1">
        <f t="shared" si="185"/>
        <v>800</v>
      </c>
      <c r="H259" s="6">
        <f t="shared" si="185"/>
        <v>120</v>
      </c>
      <c r="I259" s="6">
        <f t="shared" si="185"/>
        <v>125</v>
      </c>
      <c r="J259" s="6">
        <f t="shared" si="185"/>
        <v>50</v>
      </c>
      <c r="K259" s="178">
        <f t="shared" si="185"/>
        <v>0</v>
      </c>
      <c r="L259" s="178">
        <f t="shared" si="185"/>
        <v>0</v>
      </c>
      <c r="M259" s="178">
        <f t="shared" si="185"/>
        <v>0</v>
      </c>
      <c r="N259" s="178">
        <f t="shared" si="185"/>
        <v>0</v>
      </c>
      <c r="O259" s="178">
        <v>8.1632653061224492</v>
      </c>
      <c r="P259" s="187">
        <f t="shared" si="185"/>
        <v>20.108695652173914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" customHeight="1" x14ac:dyDescent="0.3">
      <c r="A261" s="643" t="s">
        <v>4</v>
      </c>
      <c r="B261" s="644"/>
      <c r="C261" s="5" t="s">
        <v>3</v>
      </c>
      <c r="D261" s="4">
        <v>33</v>
      </c>
      <c r="E261" s="4">
        <v>14</v>
      </c>
      <c r="F261" s="4">
        <v>14</v>
      </c>
      <c r="G261" s="4">
        <v>10</v>
      </c>
      <c r="H261" s="4">
        <v>10</v>
      </c>
      <c r="I261" s="4">
        <v>13</v>
      </c>
      <c r="J261" s="4">
        <v>14</v>
      </c>
      <c r="K261" s="4">
        <v>10</v>
      </c>
      <c r="L261" s="4">
        <v>66</v>
      </c>
      <c r="M261" s="4">
        <v>16</v>
      </c>
      <c r="N261" s="4">
        <v>10</v>
      </c>
      <c r="O261" s="4">
        <v>15</v>
      </c>
      <c r="P261" s="40">
        <f>SUM(D261:O261)</f>
        <v>225</v>
      </c>
    </row>
    <row r="262" spans="1:16" s="2" customFormat="1" ht="15.75" customHeight="1" x14ac:dyDescent="0.3">
      <c r="A262" s="643" t="s">
        <v>2</v>
      </c>
      <c r="B262" s="644"/>
      <c r="C262" s="5" t="s">
        <v>0</v>
      </c>
      <c r="D262" s="4">
        <v>7</v>
      </c>
      <c r="E262" s="4">
        <v>9</v>
      </c>
      <c r="F262" s="4">
        <v>7</v>
      </c>
      <c r="G262" s="4">
        <v>7</v>
      </c>
      <c r="H262" s="4">
        <v>7</v>
      </c>
      <c r="I262" s="4">
        <v>7</v>
      </c>
      <c r="J262" s="4">
        <v>7</v>
      </c>
      <c r="K262" s="4">
        <v>7</v>
      </c>
      <c r="L262" s="4">
        <v>30</v>
      </c>
      <c r="M262" s="4">
        <v>7</v>
      </c>
      <c r="N262" s="4">
        <v>7</v>
      </c>
      <c r="O262" s="4">
        <v>30</v>
      </c>
      <c r="P262" s="40">
        <f>SUM(D262:O262)</f>
        <v>132</v>
      </c>
    </row>
    <row r="263" spans="1:16" ht="16.2" thickBot="1" x14ac:dyDescent="0.35">
      <c r="A263" s="645" t="s">
        <v>1</v>
      </c>
      <c r="B263" s="646"/>
      <c r="C263" s="115" t="s">
        <v>0</v>
      </c>
      <c r="D263" s="559">
        <f>D261/D262</f>
        <v>4.7142857142857144</v>
      </c>
      <c r="E263" s="559">
        <f t="shared" ref="E263:F263" si="186">E261/E262</f>
        <v>1.5555555555555556</v>
      </c>
      <c r="F263" s="559">
        <f t="shared" si="186"/>
        <v>2</v>
      </c>
      <c r="G263" s="116">
        <f t="shared" ref="G263:I263" si="187">G261/G262</f>
        <v>1.4285714285714286</v>
      </c>
      <c r="H263" s="559">
        <f t="shared" si="187"/>
        <v>1.4285714285714286</v>
      </c>
      <c r="I263" s="559">
        <f t="shared" si="187"/>
        <v>1.8571428571428572</v>
      </c>
      <c r="J263" s="116">
        <f t="shared" ref="J263:K263" si="188">J261/J262</f>
        <v>2</v>
      </c>
      <c r="K263" s="116">
        <f t="shared" si="188"/>
        <v>1.4285714285714286</v>
      </c>
      <c r="L263" s="116">
        <f t="shared" ref="L263:M263" si="189">L261/L262</f>
        <v>2.2000000000000002</v>
      </c>
      <c r="M263" s="116">
        <f t="shared" si="189"/>
        <v>2.2857142857142856</v>
      </c>
      <c r="N263" s="116">
        <f t="shared" ref="N263:P263" si="190">N261/N262</f>
        <v>1.4285714285714286</v>
      </c>
      <c r="O263" s="116">
        <v>0.5</v>
      </c>
      <c r="P263" s="202">
        <f t="shared" si="190"/>
        <v>1.7045454545454546</v>
      </c>
    </row>
  </sheetData>
  <mergeCells count="158"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263"/>
  <sheetViews>
    <sheetView workbookViewId="0">
      <pane xSplit="3" topLeftCell="N1" activePane="topRight" state="frozen"/>
      <selection pane="top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57">
        <v>312</v>
      </c>
      <c r="E9" s="57">
        <v>952</v>
      </c>
      <c r="F9" s="57">
        <v>3195</v>
      </c>
      <c r="G9" s="57">
        <v>931</v>
      </c>
      <c r="H9" s="57">
        <v>487</v>
      </c>
      <c r="I9" s="57">
        <v>603</v>
      </c>
      <c r="J9" s="57">
        <v>467</v>
      </c>
      <c r="K9" s="57">
        <v>383</v>
      </c>
      <c r="L9" s="57">
        <v>1571</v>
      </c>
      <c r="M9" s="57">
        <v>632</v>
      </c>
      <c r="N9" s="57">
        <v>292</v>
      </c>
      <c r="O9" s="57">
        <v>417</v>
      </c>
      <c r="P9" s="56">
        <f>SUM(D9:O9)</f>
        <v>10242</v>
      </c>
    </row>
    <row r="10" spans="1:16" x14ac:dyDescent="0.3">
      <c r="A10" s="649" t="s">
        <v>177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f>84+32</f>
        <v>116</v>
      </c>
      <c r="E11" s="26">
        <f>193+108</f>
        <v>301</v>
      </c>
      <c r="F11" s="26">
        <f>33+78</f>
        <v>111</v>
      </c>
      <c r="G11" s="26">
        <f>29+81</f>
        <v>110</v>
      </c>
      <c r="H11" s="26">
        <f>32+80</f>
        <v>112</v>
      </c>
      <c r="I11" s="26">
        <f>30+66</f>
        <v>96</v>
      </c>
      <c r="J11" s="26">
        <f>59+68</f>
        <v>127</v>
      </c>
      <c r="K11" s="26">
        <f>23+80</f>
        <v>103</v>
      </c>
      <c r="L11" s="26">
        <v>177</v>
      </c>
      <c r="M11" s="26">
        <v>99</v>
      </c>
      <c r="N11" s="26">
        <f>29+91</f>
        <v>120</v>
      </c>
      <c r="O11" s="26">
        <v>109</v>
      </c>
      <c r="P11" s="55">
        <f>SUM(D11:O11)</f>
        <v>1581</v>
      </c>
    </row>
    <row r="12" spans="1:16" ht="15.6" x14ac:dyDescent="0.3">
      <c r="A12" s="663" t="s">
        <v>156</v>
      </c>
      <c r="B12" s="664"/>
      <c r="C12" s="11" t="s">
        <v>152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/>
      <c r="J12" s="26"/>
      <c r="K12" s="26"/>
      <c r="L12" s="26"/>
      <c r="M12" s="26"/>
      <c r="N12" s="26"/>
      <c r="O12" s="26"/>
      <c r="P12" s="55">
        <f>SUM(D12:O12)</f>
        <v>0</v>
      </c>
    </row>
    <row r="13" spans="1:16" s="63" customFormat="1" ht="15.6" x14ac:dyDescent="0.3">
      <c r="A13" s="663" t="s">
        <v>155</v>
      </c>
      <c r="B13" s="664"/>
      <c r="C13" s="11" t="s">
        <v>152</v>
      </c>
      <c r="D13" s="26">
        <v>0</v>
      </c>
      <c r="E13" s="26"/>
      <c r="F13" s="26">
        <v>0</v>
      </c>
      <c r="G13" s="26">
        <v>0</v>
      </c>
      <c r="H13" s="26">
        <v>0</v>
      </c>
      <c r="I13" s="26"/>
      <c r="J13" s="26"/>
      <c r="K13" s="26"/>
      <c r="L13" s="26"/>
      <c r="M13" s="26"/>
      <c r="N13" s="26"/>
      <c r="O13" s="26"/>
      <c r="P13" s="55">
        <f>SUM(D13:O13)</f>
        <v>0</v>
      </c>
    </row>
    <row r="14" spans="1:16" ht="15.6" x14ac:dyDescent="0.3">
      <c r="A14" s="661" t="s">
        <v>154</v>
      </c>
      <c r="B14" s="662"/>
      <c r="C14" s="11" t="s">
        <v>152</v>
      </c>
      <c r="D14" s="26">
        <v>0</v>
      </c>
      <c r="E14" s="26"/>
      <c r="F14" s="26">
        <v>0</v>
      </c>
      <c r="G14" s="26">
        <v>0</v>
      </c>
      <c r="H14" s="26">
        <v>0</v>
      </c>
      <c r="I14" s="26"/>
      <c r="J14" s="26"/>
      <c r="K14" s="26"/>
      <c r="L14" s="26"/>
      <c r="M14" s="26"/>
      <c r="N14" s="26"/>
      <c r="O14" s="26"/>
      <c r="P14" s="55">
        <f>SUM(D14:O14)</f>
        <v>0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P15" si="0">SUM(D11:D14)</f>
        <v>116</v>
      </c>
      <c r="E15" s="34">
        <f t="shared" si="0"/>
        <v>301</v>
      </c>
      <c r="F15" s="34">
        <f t="shared" si="0"/>
        <v>111</v>
      </c>
      <c r="G15" s="34">
        <f t="shared" si="0"/>
        <v>110</v>
      </c>
      <c r="H15" s="34">
        <f t="shared" si="0"/>
        <v>112</v>
      </c>
      <c r="I15" s="34">
        <f t="shared" si="0"/>
        <v>96</v>
      </c>
      <c r="J15" s="34">
        <f t="shared" si="0"/>
        <v>127</v>
      </c>
      <c r="K15" s="34">
        <f t="shared" si="0"/>
        <v>103</v>
      </c>
      <c r="L15" s="34">
        <f t="shared" si="0"/>
        <v>177</v>
      </c>
      <c r="M15" s="34">
        <f t="shared" si="0"/>
        <v>99</v>
      </c>
      <c r="N15" s="34">
        <f t="shared" si="0"/>
        <v>120</v>
      </c>
      <c r="O15" s="34">
        <v>109</v>
      </c>
      <c r="P15" s="55">
        <f t="shared" si="0"/>
        <v>1581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v>54</v>
      </c>
      <c r="E17" s="26">
        <v>139</v>
      </c>
      <c r="F17" s="26">
        <v>598.29999999999995</v>
      </c>
      <c r="G17" s="26">
        <v>54</v>
      </c>
      <c r="H17" s="26">
        <v>46</v>
      </c>
      <c r="I17" s="26">
        <v>57</v>
      </c>
      <c r="J17" s="26">
        <v>46</v>
      </c>
      <c r="K17" s="26">
        <v>61</v>
      </c>
      <c r="L17" s="26">
        <v>257</v>
      </c>
      <c r="M17" s="26">
        <v>55.1</v>
      </c>
      <c r="N17" s="26">
        <f>62.8+2.9</f>
        <v>65.7</v>
      </c>
      <c r="O17" s="26">
        <v>27.9</v>
      </c>
      <c r="P17" s="55">
        <f>SUM(D17:O17)</f>
        <v>1461</v>
      </c>
      <c r="Q17" s="172"/>
    </row>
    <row r="18" spans="1:17" s="2" customFormat="1" ht="15.6" x14ac:dyDescent="0.3">
      <c r="A18" s="663" t="s">
        <v>181</v>
      </c>
      <c r="B18" s="664"/>
      <c r="C18" s="11" t="s">
        <v>152</v>
      </c>
      <c r="D18" s="26"/>
      <c r="E18" s="26"/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/>
      <c r="N18" s="26"/>
      <c r="O18" s="26">
        <v>0</v>
      </c>
      <c r="P18" s="55">
        <f>SUM(D18:O18)</f>
        <v>0</v>
      </c>
      <c r="Q18" s="172"/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v>80</v>
      </c>
      <c r="E19" s="26">
        <v>332</v>
      </c>
      <c r="F19" s="26">
        <v>1824.6</v>
      </c>
      <c r="G19" s="26">
        <v>459</v>
      </c>
      <c r="H19" s="26">
        <v>216</v>
      </c>
      <c r="I19" s="26">
        <v>363</v>
      </c>
      <c r="J19" s="26">
        <v>162.19999999999999</v>
      </c>
      <c r="K19" s="26">
        <v>34</v>
      </c>
      <c r="L19" s="26">
        <v>869</v>
      </c>
      <c r="M19" s="26">
        <v>365.1</v>
      </c>
      <c r="N19" s="26"/>
      <c r="O19" s="26">
        <v>188.4</v>
      </c>
      <c r="P19" s="55">
        <f>SUM(D19:O19)</f>
        <v>4893.2999999999993</v>
      </c>
      <c r="Q19" s="172"/>
    </row>
    <row r="20" spans="1:17" s="2" customFormat="1" ht="15.6" x14ac:dyDescent="0.3">
      <c r="A20" s="661" t="s">
        <v>183</v>
      </c>
      <c r="B20" s="662"/>
      <c r="C20" s="11" t="s">
        <v>152</v>
      </c>
      <c r="D20" s="26"/>
      <c r="E20" s="26"/>
      <c r="F20" s="26">
        <v>0</v>
      </c>
      <c r="G20" s="26"/>
      <c r="H20" s="26">
        <v>0</v>
      </c>
      <c r="I20" s="26"/>
      <c r="J20" s="26"/>
      <c r="K20" s="26">
        <v>0</v>
      </c>
      <c r="L20" s="26"/>
      <c r="M20" s="26"/>
      <c r="N20" s="26"/>
      <c r="O20" s="26">
        <v>0</v>
      </c>
      <c r="P20" s="55">
        <f>SUM(D20:O20)</f>
        <v>0</v>
      </c>
      <c r="Q20" s="172"/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134</v>
      </c>
      <c r="E21" s="34">
        <f t="shared" ref="E21:P21" si="1">SUM(E17:E20)</f>
        <v>471</v>
      </c>
      <c r="F21" s="34">
        <f t="shared" si="1"/>
        <v>2422.8999999999996</v>
      </c>
      <c r="G21" s="34">
        <f t="shared" si="1"/>
        <v>513</v>
      </c>
      <c r="H21" s="34">
        <f t="shared" si="1"/>
        <v>262</v>
      </c>
      <c r="I21" s="34">
        <f t="shared" si="1"/>
        <v>420</v>
      </c>
      <c r="J21" s="34">
        <f t="shared" si="1"/>
        <v>208.2</v>
      </c>
      <c r="K21" s="34">
        <f t="shared" si="1"/>
        <v>95</v>
      </c>
      <c r="L21" s="34">
        <f t="shared" si="1"/>
        <v>1126</v>
      </c>
      <c r="M21" s="34">
        <f t="shared" si="1"/>
        <v>420.20000000000005</v>
      </c>
      <c r="N21" s="34">
        <f t="shared" si="1"/>
        <v>65.7</v>
      </c>
      <c r="O21" s="34">
        <v>216.3</v>
      </c>
      <c r="P21" s="55">
        <f t="shared" si="1"/>
        <v>6354.2999999999993</v>
      </c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250</v>
      </c>
      <c r="E22" s="34">
        <f t="shared" ref="E22:P22" si="2">E21+E15</f>
        <v>772</v>
      </c>
      <c r="F22" s="34">
        <f t="shared" si="2"/>
        <v>2533.8999999999996</v>
      </c>
      <c r="G22" s="34">
        <f t="shared" si="2"/>
        <v>623</v>
      </c>
      <c r="H22" s="34">
        <f t="shared" si="2"/>
        <v>374</v>
      </c>
      <c r="I22" s="34">
        <f t="shared" si="2"/>
        <v>516</v>
      </c>
      <c r="J22" s="34">
        <f t="shared" si="2"/>
        <v>335.2</v>
      </c>
      <c r="K22" s="34">
        <f t="shared" si="2"/>
        <v>198</v>
      </c>
      <c r="L22" s="34">
        <f t="shared" si="2"/>
        <v>1303</v>
      </c>
      <c r="M22" s="34">
        <f t="shared" si="2"/>
        <v>519.20000000000005</v>
      </c>
      <c r="N22" s="34">
        <f t="shared" si="2"/>
        <v>185.7</v>
      </c>
      <c r="O22" s="34">
        <v>325.3</v>
      </c>
      <c r="P22" s="55">
        <f t="shared" si="2"/>
        <v>7935.2999999999993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54">
        <f>D9-D22</f>
        <v>62</v>
      </c>
      <c r="E24" s="54">
        <f t="shared" ref="E24:P24" si="3">E9-E22</f>
        <v>180</v>
      </c>
      <c r="F24" s="54">
        <f t="shared" si="3"/>
        <v>661.10000000000036</v>
      </c>
      <c r="G24" s="54">
        <f t="shared" si="3"/>
        <v>308</v>
      </c>
      <c r="H24" s="54">
        <f t="shared" si="3"/>
        <v>113</v>
      </c>
      <c r="I24" s="54">
        <f t="shared" si="3"/>
        <v>87</v>
      </c>
      <c r="J24" s="54">
        <f t="shared" si="3"/>
        <v>131.80000000000001</v>
      </c>
      <c r="K24" s="54">
        <f t="shared" si="3"/>
        <v>185</v>
      </c>
      <c r="L24" s="54">
        <f t="shared" si="3"/>
        <v>268</v>
      </c>
      <c r="M24" s="54">
        <f t="shared" si="3"/>
        <v>112.79999999999995</v>
      </c>
      <c r="N24" s="54">
        <f t="shared" si="3"/>
        <v>106.30000000000001</v>
      </c>
      <c r="O24" s="54">
        <v>91.699999999999989</v>
      </c>
      <c r="P24" s="99">
        <f t="shared" si="3"/>
        <v>2306.7000000000007</v>
      </c>
    </row>
    <row r="25" spans="1:17" ht="15.6" x14ac:dyDescent="0.3">
      <c r="A25" s="716"/>
      <c r="B25" s="53" t="s">
        <v>151</v>
      </c>
      <c r="C25" s="52" t="s">
        <v>6</v>
      </c>
      <c r="D25" s="51">
        <f t="shared" ref="D25:P25" si="4">D24/D9</f>
        <v>0.19871794871794871</v>
      </c>
      <c r="E25" s="51">
        <f t="shared" si="4"/>
        <v>0.18907563025210083</v>
      </c>
      <c r="F25" s="51">
        <f t="shared" si="4"/>
        <v>0.20691705790297352</v>
      </c>
      <c r="G25" s="51">
        <f t="shared" si="4"/>
        <v>0.33082706766917291</v>
      </c>
      <c r="H25" s="51">
        <f t="shared" si="4"/>
        <v>0.23203285420944558</v>
      </c>
      <c r="I25" s="51">
        <f t="shared" si="4"/>
        <v>0.14427860696517414</v>
      </c>
      <c r="J25" s="51">
        <f t="shared" si="4"/>
        <v>0.28222698072805141</v>
      </c>
      <c r="K25" s="51">
        <f t="shared" si="4"/>
        <v>0.48302872062663188</v>
      </c>
      <c r="L25" s="51">
        <f t="shared" si="4"/>
        <v>0.17059197963080841</v>
      </c>
      <c r="M25" s="51">
        <f t="shared" si="4"/>
        <v>0.17848101265822777</v>
      </c>
      <c r="N25" s="51">
        <f t="shared" si="4"/>
        <v>0.364041095890411</v>
      </c>
      <c r="O25" s="51">
        <v>0.21990407673860909</v>
      </c>
      <c r="P25" s="100">
        <f t="shared" si="4"/>
        <v>0.2252196836555361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3">
        <v>3</v>
      </c>
      <c r="E29" s="43">
        <v>5</v>
      </c>
      <c r="F29" s="43">
        <v>4</v>
      </c>
      <c r="G29" s="43">
        <v>2</v>
      </c>
      <c r="H29" s="43">
        <v>3</v>
      </c>
      <c r="I29" s="43">
        <v>3</v>
      </c>
      <c r="J29" s="43">
        <v>4</v>
      </c>
      <c r="K29" s="43">
        <v>4</v>
      </c>
      <c r="L29" s="43">
        <v>4</v>
      </c>
      <c r="M29" s="43">
        <v>3</v>
      </c>
      <c r="N29" s="43">
        <v>1</v>
      </c>
      <c r="O29" s="43">
        <v>4</v>
      </c>
      <c r="P29" s="45">
        <f>SUM(D29:O29)</f>
        <v>40</v>
      </c>
    </row>
    <row r="30" spans="1:17" ht="15.6" x14ac:dyDescent="0.3">
      <c r="A30" s="711"/>
      <c r="B30" s="642"/>
      <c r="C30" s="42" t="s">
        <v>139</v>
      </c>
      <c r="D30" s="15">
        <f t="shared" ref="D30:F30" si="5">D29/(D9/1000)</f>
        <v>9.615384615384615</v>
      </c>
      <c r="E30" s="15">
        <f t="shared" si="5"/>
        <v>5.2521008403361344</v>
      </c>
      <c r="F30" s="15">
        <f t="shared" si="5"/>
        <v>1.2519561815336464</v>
      </c>
      <c r="G30" s="15">
        <f t="shared" ref="G30:P30" si="6">G29/(G9/1000)</f>
        <v>2.1482277121374866</v>
      </c>
      <c r="H30" s="15">
        <f t="shared" si="6"/>
        <v>6.1601642710472282</v>
      </c>
      <c r="I30" s="15">
        <f t="shared" si="6"/>
        <v>4.9751243781094532</v>
      </c>
      <c r="J30" s="15">
        <f t="shared" si="6"/>
        <v>8.5653104925053523</v>
      </c>
      <c r="K30" s="15">
        <f t="shared" si="6"/>
        <v>10.443864229765014</v>
      </c>
      <c r="L30" s="15">
        <v>2.5461489497135585</v>
      </c>
      <c r="M30" s="15">
        <f t="shared" si="6"/>
        <v>4.7468354430379742</v>
      </c>
      <c r="N30" s="15">
        <f t="shared" si="6"/>
        <v>3.4246575342465757</v>
      </c>
      <c r="O30" s="15">
        <v>9.5923261390887298</v>
      </c>
      <c r="P30" s="102">
        <f t="shared" si="6"/>
        <v>3.9054872095293884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>
        <f t="shared" ref="D32:F32" si="7">D31/(D9/1000)</f>
        <v>0</v>
      </c>
      <c r="E32" s="15">
        <f t="shared" si="7"/>
        <v>0</v>
      </c>
      <c r="F32" s="15">
        <f t="shared" si="7"/>
        <v>0</v>
      </c>
      <c r="G32" s="15">
        <f t="shared" ref="G32:P32" si="8">G31/(G9/1000)</f>
        <v>0</v>
      </c>
      <c r="H32" s="15">
        <f t="shared" si="8"/>
        <v>0</v>
      </c>
      <c r="I32" s="15">
        <f t="shared" si="8"/>
        <v>0</v>
      </c>
      <c r="J32" s="15">
        <f t="shared" si="8"/>
        <v>0</v>
      </c>
      <c r="K32" s="15">
        <f t="shared" si="8"/>
        <v>0</v>
      </c>
      <c r="L32" s="15">
        <f t="shared" si="8"/>
        <v>0</v>
      </c>
      <c r="M32" s="15">
        <f t="shared" si="8"/>
        <v>0</v>
      </c>
      <c r="N32" s="15">
        <f t="shared" si="8"/>
        <v>0</v>
      </c>
      <c r="O32" s="15">
        <v>0</v>
      </c>
      <c r="P32" s="102">
        <f t="shared" si="8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>
        <f t="shared" ref="D34:F34" si="9">D33/(D9/1000)</f>
        <v>0</v>
      </c>
      <c r="E34" s="15">
        <f t="shared" si="9"/>
        <v>0</v>
      </c>
      <c r="F34" s="15">
        <f t="shared" si="9"/>
        <v>0</v>
      </c>
      <c r="G34" s="15">
        <f t="shared" ref="G34:P34" si="10">G33/(G9/1000)</f>
        <v>0</v>
      </c>
      <c r="H34" s="15">
        <f t="shared" si="10"/>
        <v>0</v>
      </c>
      <c r="I34" s="15">
        <f t="shared" si="10"/>
        <v>0</v>
      </c>
      <c r="J34" s="15">
        <f t="shared" si="10"/>
        <v>0</v>
      </c>
      <c r="K34" s="15">
        <f t="shared" si="10"/>
        <v>0</v>
      </c>
      <c r="L34" s="15">
        <f t="shared" si="10"/>
        <v>0</v>
      </c>
      <c r="M34" s="15">
        <f t="shared" si="10"/>
        <v>0</v>
      </c>
      <c r="N34" s="15">
        <f t="shared" si="10"/>
        <v>0</v>
      </c>
      <c r="O34" s="15">
        <v>0</v>
      </c>
      <c r="P34" s="102">
        <f t="shared" si="10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2"/>
    </row>
    <row r="36" spans="1:16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>
        <f t="shared" ref="D38:F38" si="11">D37/(D9/1000)</f>
        <v>0</v>
      </c>
      <c r="E38" s="15">
        <f t="shared" si="11"/>
        <v>0</v>
      </c>
      <c r="F38" s="15">
        <f t="shared" si="11"/>
        <v>0</v>
      </c>
      <c r="G38" s="15">
        <f t="shared" ref="G38:P38" si="12">G37/(G9/1000)</f>
        <v>0</v>
      </c>
      <c r="H38" s="15">
        <f t="shared" si="12"/>
        <v>0</v>
      </c>
      <c r="I38" s="15">
        <f t="shared" si="12"/>
        <v>0</v>
      </c>
      <c r="J38" s="15">
        <f t="shared" si="12"/>
        <v>0</v>
      </c>
      <c r="K38" s="15">
        <f t="shared" si="12"/>
        <v>0</v>
      </c>
      <c r="L38" s="15">
        <f t="shared" si="12"/>
        <v>0</v>
      </c>
      <c r="M38" s="15">
        <f t="shared" si="12"/>
        <v>0</v>
      </c>
      <c r="N38" s="15">
        <f t="shared" si="12"/>
        <v>0</v>
      </c>
      <c r="O38" s="15">
        <v>0</v>
      </c>
      <c r="P38" s="102">
        <f t="shared" si="12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>
        <f t="shared" ref="D40:F40" si="13">D39/(D9/1000)</f>
        <v>0</v>
      </c>
      <c r="E40" s="15">
        <f t="shared" si="13"/>
        <v>0</v>
      </c>
      <c r="F40" s="15">
        <f t="shared" si="13"/>
        <v>0</v>
      </c>
      <c r="G40" s="15">
        <f t="shared" ref="G40:P40" si="14">G39/(G9/1000)</f>
        <v>0</v>
      </c>
      <c r="H40" s="15">
        <f t="shared" si="14"/>
        <v>0</v>
      </c>
      <c r="I40" s="15">
        <f t="shared" si="14"/>
        <v>0</v>
      </c>
      <c r="J40" s="15">
        <f t="shared" si="14"/>
        <v>0</v>
      </c>
      <c r="K40" s="15">
        <f t="shared" si="14"/>
        <v>0</v>
      </c>
      <c r="L40" s="15">
        <f t="shared" si="14"/>
        <v>0</v>
      </c>
      <c r="M40" s="15">
        <f t="shared" si="14"/>
        <v>0</v>
      </c>
      <c r="N40" s="15">
        <f t="shared" si="14"/>
        <v>0</v>
      </c>
      <c r="O40" s="15">
        <v>0</v>
      </c>
      <c r="P40" s="102">
        <f t="shared" si="14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15335.01</v>
      </c>
      <c r="E41" s="41">
        <f t="shared" ref="E41:N41" si="15">(E29*$B29)+(E31*$B31)+(E33*$B33)+(E35*$B35)+(E37*$B37)+(E39*$B39)</f>
        <v>25558.35</v>
      </c>
      <c r="F41" s="41">
        <f t="shared" si="15"/>
        <v>20446.68</v>
      </c>
      <c r="G41" s="41">
        <f t="shared" si="15"/>
        <v>10223.34</v>
      </c>
      <c r="H41" s="41">
        <f t="shared" si="15"/>
        <v>15335.01</v>
      </c>
      <c r="I41" s="41">
        <f t="shared" si="15"/>
        <v>15335.01</v>
      </c>
      <c r="J41" s="41">
        <f t="shared" si="15"/>
        <v>20446.68</v>
      </c>
      <c r="K41" s="41">
        <f t="shared" si="15"/>
        <v>20446.68</v>
      </c>
      <c r="L41" s="41">
        <f t="shared" si="15"/>
        <v>20446.68</v>
      </c>
      <c r="M41" s="41">
        <f t="shared" si="15"/>
        <v>15335.01</v>
      </c>
      <c r="N41" s="41">
        <f t="shared" si="15"/>
        <v>5111.67</v>
      </c>
      <c r="O41" s="41">
        <v>20446.68</v>
      </c>
      <c r="P41" s="39">
        <f>SUM(D41:O41)</f>
        <v>204466.8</v>
      </c>
    </row>
    <row r="42" spans="1:16" ht="15.6" x14ac:dyDescent="0.3">
      <c r="A42" s="708" t="s">
        <v>137</v>
      </c>
      <c r="B42" s="709"/>
      <c r="C42" s="42" t="s">
        <v>115</v>
      </c>
      <c r="D42" s="15">
        <f t="shared" ref="D42:P42" si="16">D41/D9</f>
        <v>49.150673076923077</v>
      </c>
      <c r="E42" s="15">
        <f t="shared" si="16"/>
        <v>26.847006302521006</v>
      </c>
      <c r="F42" s="15">
        <f t="shared" si="16"/>
        <v>6.399586854460094</v>
      </c>
      <c r="G42" s="15">
        <f t="shared" si="16"/>
        <v>10.981031149301826</v>
      </c>
      <c r="H42" s="15">
        <f t="shared" si="16"/>
        <v>31.488726899383984</v>
      </c>
      <c r="I42" s="15">
        <f t="shared" si="16"/>
        <v>25.431194029850747</v>
      </c>
      <c r="J42" s="15">
        <f t="shared" si="16"/>
        <v>43.78304068522484</v>
      </c>
      <c r="K42" s="15">
        <f t="shared" si="16"/>
        <v>53.385587467362924</v>
      </c>
      <c r="L42" s="15">
        <f t="shared" si="16"/>
        <v>13.015073201782304</v>
      </c>
      <c r="M42" s="15">
        <f t="shared" si="16"/>
        <v>24.264256329113923</v>
      </c>
      <c r="N42" s="15">
        <f t="shared" si="16"/>
        <v>17.505719178082192</v>
      </c>
      <c r="O42" s="15">
        <v>49.032805755395685</v>
      </c>
      <c r="P42" s="44">
        <f t="shared" si="16"/>
        <v>19.96356180433509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">
        <v>353</v>
      </c>
      <c r="E44" s="4">
        <v>365</v>
      </c>
      <c r="F44" s="43">
        <v>489</v>
      </c>
      <c r="G44" s="43">
        <v>259</v>
      </c>
      <c r="H44" s="43">
        <v>355</v>
      </c>
      <c r="I44" s="43">
        <v>339</v>
      </c>
      <c r="J44" s="43">
        <v>386</v>
      </c>
      <c r="K44" s="43">
        <v>308</v>
      </c>
      <c r="L44" s="43">
        <v>412</v>
      </c>
      <c r="M44" s="43">
        <v>355</v>
      </c>
      <c r="N44" s="43"/>
      <c r="O44" s="43">
        <v>494</v>
      </c>
      <c r="P44" s="39">
        <f>SUM(D44:O44)</f>
        <v>4115</v>
      </c>
    </row>
    <row r="45" spans="1:16" ht="15.6" x14ac:dyDescent="0.3">
      <c r="A45" s="708" t="s">
        <v>133</v>
      </c>
      <c r="B45" s="709"/>
      <c r="C45" s="42" t="s">
        <v>132</v>
      </c>
      <c r="D45" s="15">
        <f t="shared" ref="D45:H45" si="17">D44/D9</f>
        <v>1.1314102564102564</v>
      </c>
      <c r="E45" s="15">
        <f t="shared" si="17"/>
        <v>0.38340336134453784</v>
      </c>
      <c r="F45" s="15">
        <f t="shared" si="17"/>
        <v>0.15305164319248826</v>
      </c>
      <c r="G45" s="15">
        <f t="shared" si="17"/>
        <v>0.2781954887218045</v>
      </c>
      <c r="H45" s="15">
        <f t="shared" si="17"/>
        <v>0.72895277207392195</v>
      </c>
      <c r="I45" s="15">
        <f t="shared" ref="I45:P45" si="18">I44/I9</f>
        <v>0.56218905472636815</v>
      </c>
      <c r="J45" s="15">
        <f t="shared" si="18"/>
        <v>0.82655246252676662</v>
      </c>
      <c r="K45" s="15">
        <f t="shared" si="18"/>
        <v>0.80417754569190603</v>
      </c>
      <c r="L45" s="15">
        <f t="shared" si="18"/>
        <v>0.26225334182049648</v>
      </c>
      <c r="M45" s="15">
        <v>0.56170886075949367</v>
      </c>
      <c r="N45" s="15">
        <f t="shared" si="18"/>
        <v>0</v>
      </c>
      <c r="O45" s="15">
        <v>1.184652278177458</v>
      </c>
      <c r="P45" s="102">
        <f t="shared" si="18"/>
        <v>0.4017769966803359</v>
      </c>
    </row>
    <row r="46" spans="1:16" ht="15.6" x14ac:dyDescent="0.3">
      <c r="A46" s="643" t="s">
        <v>131</v>
      </c>
      <c r="B46" s="644"/>
      <c r="C46" s="5" t="s">
        <v>31</v>
      </c>
      <c r="D46" s="3">
        <f t="shared" ref="D46:N46" si="19">1.165*(14100+(D44*119.1))</f>
        <v>65405.779499999997</v>
      </c>
      <c r="E46" s="3">
        <f t="shared" si="19"/>
        <v>67070.797500000001</v>
      </c>
      <c r="F46" s="3">
        <f t="shared" si="19"/>
        <v>84275.983500000002</v>
      </c>
      <c r="G46" s="3">
        <f t="shared" si="19"/>
        <v>52363.138499999994</v>
      </c>
      <c r="H46" s="3">
        <f t="shared" si="19"/>
        <v>65683.282500000001</v>
      </c>
      <c r="I46" s="3">
        <f t="shared" si="19"/>
        <v>63463.258500000004</v>
      </c>
      <c r="J46" s="3">
        <f t="shared" si="19"/>
        <v>69984.578999999998</v>
      </c>
      <c r="K46" s="3">
        <f t="shared" si="19"/>
        <v>59161.962</v>
      </c>
      <c r="L46" s="3">
        <f t="shared" si="19"/>
        <v>73592.118000000002</v>
      </c>
      <c r="M46" s="3">
        <f t="shared" si="19"/>
        <v>65683.282500000001</v>
      </c>
      <c r="N46" s="3">
        <f t="shared" si="19"/>
        <v>16426.5</v>
      </c>
      <c r="O46" s="3">
        <v>84969.740999999995</v>
      </c>
      <c r="P46" s="39">
        <f>SUM(D46:O46)</f>
        <v>768080.42249999999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>
        <f t="shared" ref="D47:P47" si="20">D46/D9</f>
        <v>209.63390865384613</v>
      </c>
      <c r="E47" s="15">
        <f t="shared" si="20"/>
        <v>70.452518382352949</v>
      </c>
      <c r="F47" s="15">
        <f t="shared" si="20"/>
        <v>26.377459624413145</v>
      </c>
      <c r="G47" s="15">
        <f t="shared" si="20"/>
        <v>56.243972610096662</v>
      </c>
      <c r="H47" s="15">
        <f t="shared" si="20"/>
        <v>134.87327002053388</v>
      </c>
      <c r="I47" s="15">
        <f t="shared" si="20"/>
        <v>105.24586815920398</v>
      </c>
      <c r="J47" s="15">
        <f t="shared" si="20"/>
        <v>149.85991220556744</v>
      </c>
      <c r="K47" s="15">
        <f t="shared" si="20"/>
        <v>154.46987467362925</v>
      </c>
      <c r="L47" s="15">
        <f t="shared" si="20"/>
        <v>46.844123488224064</v>
      </c>
      <c r="M47" s="15">
        <f t="shared" si="20"/>
        <v>103.92924446202532</v>
      </c>
      <c r="N47" s="15">
        <f t="shared" si="20"/>
        <v>56.255136986301373</v>
      </c>
      <c r="O47" s="15">
        <v>203.76436690647481</v>
      </c>
      <c r="P47" s="102">
        <f t="shared" si="20"/>
        <v>74.993206649091974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0</v>
      </c>
    </row>
    <row r="50" spans="1:16" ht="15.6" x14ac:dyDescent="0.3">
      <c r="A50" s="661" t="s">
        <v>187</v>
      </c>
      <c r="B50" s="662"/>
      <c r="C50" s="5" t="s">
        <v>126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9">
        <f>SUM(D50:O50)</f>
        <v>0</v>
      </c>
    </row>
    <row r="51" spans="1:16" ht="15.6" x14ac:dyDescent="0.3">
      <c r="A51" s="643" t="s">
        <v>125</v>
      </c>
      <c r="B51" s="644"/>
      <c r="C51" s="5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40">
        <f>SUM(D51:O51)</f>
        <v>0</v>
      </c>
    </row>
    <row r="52" spans="1:16" ht="15.6" x14ac:dyDescent="0.3">
      <c r="A52" s="661" t="s">
        <v>124</v>
      </c>
      <c r="B52" s="66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39">
        <f>SUM(D54:O54)</f>
        <v>0</v>
      </c>
    </row>
    <row r="55" spans="1:16" ht="15.6" x14ac:dyDescent="0.3">
      <c r="A55" s="78" t="s">
        <v>121</v>
      </c>
      <c r="B55" s="79"/>
      <c r="C55" s="11" t="s">
        <v>18</v>
      </c>
      <c r="D55" s="13">
        <v>160600</v>
      </c>
      <c r="E55" s="13">
        <v>115384.6</v>
      </c>
      <c r="F55" s="13">
        <v>119800</v>
      </c>
      <c r="G55" s="13">
        <f>AVERAGE(D55:F55)</f>
        <v>131928.19999999998</v>
      </c>
      <c r="H55" s="13">
        <v>126923.28</v>
      </c>
      <c r="I55" s="13">
        <v>136000</v>
      </c>
      <c r="J55" s="13">
        <f>AVERAGE(D55:I55)</f>
        <v>131772.68</v>
      </c>
      <c r="K55" s="13">
        <v>129615.56</v>
      </c>
      <c r="L55" s="13">
        <v>107870</v>
      </c>
      <c r="M55" s="13">
        <v>116340</v>
      </c>
      <c r="N55" s="13">
        <v>116580</v>
      </c>
      <c r="O55" s="13">
        <v>126923</v>
      </c>
      <c r="P55" s="39">
        <f>SUM(D55:O55)</f>
        <v>1519737.32</v>
      </c>
    </row>
    <row r="56" spans="1:16" ht="15.6" x14ac:dyDescent="0.3">
      <c r="A56" s="661" t="s">
        <v>120</v>
      </c>
      <c r="B56" s="662"/>
      <c r="C56" s="5" t="s">
        <v>18</v>
      </c>
      <c r="D56" s="13">
        <v>120000</v>
      </c>
      <c r="E56" s="13">
        <v>10000</v>
      </c>
      <c r="F56" s="13">
        <v>10000</v>
      </c>
      <c r="G56" s="13">
        <f>AVERAGE(D56:F56)</f>
        <v>46666.666666666664</v>
      </c>
      <c r="H56" s="13">
        <v>10000</v>
      </c>
      <c r="I56" s="13">
        <v>10000</v>
      </c>
      <c r="J56" s="13">
        <v>10000</v>
      </c>
      <c r="K56" s="13">
        <v>10000</v>
      </c>
      <c r="L56" s="13">
        <v>12200</v>
      </c>
      <c r="M56" s="13">
        <v>10000</v>
      </c>
      <c r="N56" s="13">
        <v>10000</v>
      </c>
      <c r="O56" s="13">
        <v>10000</v>
      </c>
      <c r="P56" s="39">
        <f>SUM(D56:O56)</f>
        <v>268866.66666666663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361340.78950000001</v>
      </c>
      <c r="E58" s="13">
        <f t="shared" ref="E58:F58" si="21">E41+E46+E51+E52+E54+E55+E56</f>
        <v>218013.7475</v>
      </c>
      <c r="F58" s="13">
        <f t="shared" si="21"/>
        <v>234522.6635</v>
      </c>
      <c r="G58" s="13">
        <f t="shared" ref="G58:N58" si="22">G41+G46+G51+G52+G54+G55+G56</f>
        <v>241181.34516666664</v>
      </c>
      <c r="H58" s="13">
        <f t="shared" si="22"/>
        <v>217941.57250000001</v>
      </c>
      <c r="I58" s="13">
        <f t="shared" si="22"/>
        <v>224798.26850000001</v>
      </c>
      <c r="J58" s="13">
        <f t="shared" si="22"/>
        <v>232203.93899999998</v>
      </c>
      <c r="K58" s="13">
        <f t="shared" si="22"/>
        <v>219224.20199999999</v>
      </c>
      <c r="L58" s="13">
        <f t="shared" si="22"/>
        <v>214108.79800000001</v>
      </c>
      <c r="M58" s="13">
        <f t="shared" si="22"/>
        <v>207358.29249999998</v>
      </c>
      <c r="N58" s="13">
        <f t="shared" si="22"/>
        <v>148118.16999999998</v>
      </c>
      <c r="O58" s="13">
        <v>242339.421</v>
      </c>
      <c r="P58" s="64">
        <f>SUM(D58:O58)</f>
        <v>2761151.209166667</v>
      </c>
    </row>
    <row r="59" spans="1:16" ht="15.6" x14ac:dyDescent="0.3">
      <c r="A59" s="643" t="s">
        <v>117</v>
      </c>
      <c r="B59" s="644"/>
      <c r="C59" s="5" t="s">
        <v>115</v>
      </c>
      <c r="D59" s="15">
        <f t="shared" ref="D59:F59" si="23">D58/D9</f>
        <v>1158.1435560897437</v>
      </c>
      <c r="E59" s="15">
        <f t="shared" si="23"/>
        <v>229.00603728991595</v>
      </c>
      <c r="F59" s="15">
        <f t="shared" si="23"/>
        <v>73.403024569640067</v>
      </c>
      <c r="G59" s="15">
        <f t="shared" ref="G59:P59" si="24">G58/G9</f>
        <v>259.05622466881488</v>
      </c>
      <c r="H59" s="15">
        <f t="shared" si="24"/>
        <v>447.51862936344969</v>
      </c>
      <c r="I59" s="15">
        <f t="shared" si="24"/>
        <v>372.79978192371476</v>
      </c>
      <c r="J59" s="15">
        <f t="shared" si="24"/>
        <v>497.22470877944323</v>
      </c>
      <c r="K59" s="15">
        <f t="shared" si="24"/>
        <v>572.38695039164486</v>
      </c>
      <c r="L59" s="15">
        <f t="shared" si="24"/>
        <v>136.2882227880331</v>
      </c>
      <c r="M59" s="15">
        <f t="shared" si="24"/>
        <v>328.09856408227847</v>
      </c>
      <c r="N59" s="15">
        <f t="shared" si="24"/>
        <v>507.25400684931503</v>
      </c>
      <c r="O59" s="15">
        <v>581.14969064748198</v>
      </c>
      <c r="P59" s="102">
        <f t="shared" si="24"/>
        <v>269.59101827442561</v>
      </c>
    </row>
    <row r="60" spans="1:16" ht="15.6" x14ac:dyDescent="0.3">
      <c r="A60" s="643" t="s">
        <v>116</v>
      </c>
      <c r="B60" s="644"/>
      <c r="C60" s="5" t="s">
        <v>115</v>
      </c>
      <c r="D60" s="15">
        <f>D58/D22</f>
        <v>1445.3631580000001</v>
      </c>
      <c r="E60" s="15">
        <f t="shared" ref="E60:F60" si="25">E58/E22</f>
        <v>282.40122733160621</v>
      </c>
      <c r="F60" s="15">
        <f t="shared" si="25"/>
        <v>92.554032716366081</v>
      </c>
      <c r="G60" s="15">
        <f t="shared" ref="G60:N60" si="26">G58/G22</f>
        <v>387.12896495452111</v>
      </c>
      <c r="H60" s="15">
        <f t="shared" si="26"/>
        <v>582.73147727272726</v>
      </c>
      <c r="I60" s="15">
        <f t="shared" si="26"/>
        <v>435.65555910852714</v>
      </c>
      <c r="J60" s="15">
        <f t="shared" si="26"/>
        <v>692.73251491646772</v>
      </c>
      <c r="K60" s="15">
        <f t="shared" si="26"/>
        <v>1107.1929393939392</v>
      </c>
      <c r="L60" s="15">
        <f t="shared" si="26"/>
        <v>164.31987567152726</v>
      </c>
      <c r="M60" s="15">
        <f t="shared" si="26"/>
        <v>399.38037846687206</v>
      </c>
      <c r="N60" s="15">
        <f t="shared" si="26"/>
        <v>797.62073236402796</v>
      </c>
      <c r="O60" s="15">
        <v>744.97209037811251</v>
      </c>
      <c r="P60" s="103">
        <f>P58/P22</f>
        <v>347.95801156436016</v>
      </c>
    </row>
    <row r="61" spans="1:16" ht="15.6" x14ac:dyDescent="0.3">
      <c r="A61" s="661" t="s">
        <v>114</v>
      </c>
      <c r="B61" s="662"/>
      <c r="C61" s="5" t="s">
        <v>3</v>
      </c>
      <c r="D61" s="4">
        <v>0</v>
      </c>
      <c r="E61" s="4">
        <v>0</v>
      </c>
      <c r="F61" s="4">
        <v>0</v>
      </c>
      <c r="G61" s="4">
        <v>0</v>
      </c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643" t="s">
        <v>113</v>
      </c>
      <c r="B62" s="644"/>
      <c r="C62" s="5" t="s">
        <v>112</v>
      </c>
      <c r="D62" s="15">
        <f t="shared" ref="D62:F62" si="27">(D61*1000*31)/D9</f>
        <v>0</v>
      </c>
      <c r="E62" s="15">
        <f t="shared" si="27"/>
        <v>0</v>
      </c>
      <c r="F62" s="15">
        <f t="shared" si="27"/>
        <v>0</v>
      </c>
      <c r="G62" s="15">
        <f t="shared" ref="G62:P62" si="28">(G61*1000*31)/G9</f>
        <v>0</v>
      </c>
      <c r="H62" s="15">
        <f t="shared" si="28"/>
        <v>0</v>
      </c>
      <c r="I62" s="15">
        <f t="shared" si="28"/>
        <v>0</v>
      </c>
      <c r="J62" s="15">
        <f t="shared" si="28"/>
        <v>0</v>
      </c>
      <c r="K62" s="15">
        <f t="shared" si="28"/>
        <v>0</v>
      </c>
      <c r="L62" s="15">
        <f t="shared" si="28"/>
        <v>0</v>
      </c>
      <c r="M62" s="15">
        <f t="shared" si="28"/>
        <v>0</v>
      </c>
      <c r="N62" s="15">
        <f t="shared" si="28"/>
        <v>0</v>
      </c>
      <c r="O62" s="15">
        <v>0</v>
      </c>
      <c r="P62" s="102">
        <f t="shared" si="28"/>
        <v>0</v>
      </c>
    </row>
    <row r="63" spans="1:16" ht="15.6" x14ac:dyDescent="0.3">
      <c r="A63" s="700" t="s">
        <v>111</v>
      </c>
      <c r="B63" s="701"/>
      <c r="C63" s="38" t="s">
        <v>3</v>
      </c>
      <c r="D63" s="4">
        <v>7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2</v>
      </c>
      <c r="L63" s="4">
        <v>2</v>
      </c>
      <c r="M63" s="4">
        <v>2</v>
      </c>
      <c r="N63" s="4">
        <v>2</v>
      </c>
      <c r="O63" s="4">
        <v>2</v>
      </c>
      <c r="P63" s="9">
        <f>SUM(D63:O63)</f>
        <v>29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0</v>
      </c>
      <c r="E66" s="4">
        <v>0</v>
      </c>
      <c r="F66" s="4">
        <v>0</v>
      </c>
      <c r="G66" s="4">
        <v>0</v>
      </c>
      <c r="H66" s="4">
        <f>G71</f>
        <v>0</v>
      </c>
      <c r="I66" s="157"/>
      <c r="J66" s="157"/>
      <c r="K66" s="157"/>
      <c r="L66" s="157"/>
      <c r="M66" s="157">
        <v>0</v>
      </c>
      <c r="N66" s="157"/>
      <c r="O66" s="157"/>
      <c r="P66" s="35">
        <f>D66</f>
        <v>0</v>
      </c>
    </row>
    <row r="67" spans="1:16" ht="15.6" x14ac:dyDescent="0.3">
      <c r="A67" s="689"/>
      <c r="B67" s="24" t="s">
        <v>104</v>
      </c>
      <c r="C67" s="5" t="s">
        <v>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155"/>
      <c r="J67" s="155"/>
      <c r="K67" s="155"/>
      <c r="L67" s="155"/>
      <c r="M67" s="155">
        <v>0</v>
      </c>
      <c r="N67" s="155"/>
      <c r="O67" s="155"/>
      <c r="P67" s="35">
        <f>SUM(D67:O67)</f>
        <v>0</v>
      </c>
    </row>
    <row r="68" spans="1:16" ht="27" x14ac:dyDescent="0.3">
      <c r="A68" s="689"/>
      <c r="B68" s="24" t="s">
        <v>103</v>
      </c>
      <c r="C68" s="5" t="s">
        <v>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155"/>
      <c r="J68" s="155"/>
      <c r="K68" s="155"/>
      <c r="L68" s="155"/>
      <c r="M68" s="155">
        <v>0</v>
      </c>
      <c r="N68" s="155"/>
      <c r="O68" s="155"/>
      <c r="P68" s="35">
        <f t="shared" ref="P68:P69" si="29">SUM(D68:O68)</f>
        <v>0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155"/>
      <c r="J69" s="155"/>
      <c r="K69" s="155"/>
      <c r="L69" s="155"/>
      <c r="M69" s="155">
        <v>0</v>
      </c>
      <c r="N69" s="155"/>
      <c r="O69" s="155"/>
      <c r="P69" s="74">
        <f t="shared" si="29"/>
        <v>0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0</v>
      </c>
      <c r="E70" s="4">
        <f t="shared" ref="E70:H70" si="30">E68+E69</f>
        <v>0</v>
      </c>
      <c r="F70" s="4">
        <f t="shared" si="30"/>
        <v>0</v>
      </c>
      <c r="G70" s="4">
        <f t="shared" si="30"/>
        <v>0</v>
      </c>
      <c r="H70" s="4">
        <f t="shared" si="30"/>
        <v>0</v>
      </c>
      <c r="I70" s="155">
        <f t="shared" ref="I70" si="31">I68+I69</f>
        <v>0</v>
      </c>
      <c r="J70" s="155">
        <f t="shared" ref="J70:K70" si="32">J68+J69</f>
        <v>0</v>
      </c>
      <c r="K70" s="155">
        <f t="shared" si="32"/>
        <v>0</v>
      </c>
      <c r="L70" s="155">
        <f t="shared" ref="L70" si="33">L68+L69</f>
        <v>0</v>
      </c>
      <c r="M70" s="155">
        <v>0</v>
      </c>
      <c r="N70" s="155">
        <f t="shared" ref="N70" si="34">N68+N69</f>
        <v>0</v>
      </c>
      <c r="O70" s="155">
        <v>0</v>
      </c>
      <c r="P70" s="170">
        <f t="shared" ref="P70" si="35">P68+P69</f>
        <v>0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0</v>
      </c>
      <c r="E71" s="26">
        <f t="shared" ref="E71:H71" si="36">E66+E67-E70</f>
        <v>0</v>
      </c>
      <c r="F71" s="26">
        <f t="shared" si="36"/>
        <v>0</v>
      </c>
      <c r="G71" s="26">
        <f t="shared" si="36"/>
        <v>0</v>
      </c>
      <c r="H71" s="26">
        <f t="shared" si="36"/>
        <v>0</v>
      </c>
      <c r="I71" s="158">
        <f t="shared" ref="I71" si="37">I66+I67-I70</f>
        <v>0</v>
      </c>
      <c r="J71" s="158">
        <f t="shared" ref="J71:K71" si="38">J66+J67-J70</f>
        <v>0</v>
      </c>
      <c r="K71" s="158">
        <f t="shared" si="38"/>
        <v>0</v>
      </c>
      <c r="L71" s="158">
        <f t="shared" ref="L71" si="39">L66+L67-L70</f>
        <v>0</v>
      </c>
      <c r="M71" s="158">
        <v>0</v>
      </c>
      <c r="N71" s="158">
        <f t="shared" ref="N71" si="40">N66+N67-N70</f>
        <v>0</v>
      </c>
      <c r="O71" s="158">
        <v>0</v>
      </c>
      <c r="P71" s="55">
        <f>P66+P67-P70</f>
        <v>0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4">
        <v>0</v>
      </c>
      <c r="E72" s="4">
        <v>0</v>
      </c>
      <c r="F72" s="4">
        <v>0</v>
      </c>
      <c r="G72" s="4">
        <v>0</v>
      </c>
      <c r="H72" s="4">
        <f>G77</f>
        <v>0</v>
      </c>
      <c r="I72" s="157"/>
      <c r="J72" s="157"/>
      <c r="K72" s="157"/>
      <c r="L72" s="157"/>
      <c r="M72" s="157"/>
      <c r="N72" s="157"/>
      <c r="O72" s="157"/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4">
        <v>0</v>
      </c>
      <c r="E73" s="4">
        <v>0</v>
      </c>
      <c r="F73" s="4">
        <v>0</v>
      </c>
      <c r="G73" s="4">
        <v>0</v>
      </c>
      <c r="H73" s="155"/>
      <c r="I73" s="155"/>
      <c r="J73" s="155"/>
      <c r="K73" s="155"/>
      <c r="L73" s="155"/>
      <c r="M73" s="155"/>
      <c r="N73" s="155"/>
      <c r="O73" s="155"/>
      <c r="P73" s="35">
        <f>SUM(D73:O73)</f>
        <v>0</v>
      </c>
    </row>
    <row r="74" spans="1:16" ht="27" x14ac:dyDescent="0.3">
      <c r="A74" s="689"/>
      <c r="B74" s="24" t="s">
        <v>103</v>
      </c>
      <c r="C74" s="5" t="s">
        <v>3</v>
      </c>
      <c r="D74" s="4">
        <v>0</v>
      </c>
      <c r="E74" s="4">
        <v>0</v>
      </c>
      <c r="F74" s="4">
        <v>0</v>
      </c>
      <c r="G74" s="4">
        <v>0</v>
      </c>
      <c r="H74" s="155"/>
      <c r="I74" s="155"/>
      <c r="J74" s="155"/>
      <c r="K74" s="155"/>
      <c r="L74" s="155"/>
      <c r="M74" s="155"/>
      <c r="N74" s="155"/>
      <c r="O74" s="155"/>
      <c r="P74" s="35">
        <f>SUM(D74:O74)</f>
        <v>0</v>
      </c>
    </row>
    <row r="75" spans="1:16" s="2" customFormat="1" ht="27" x14ac:dyDescent="0.3">
      <c r="A75" s="689"/>
      <c r="B75" s="24" t="s">
        <v>102</v>
      </c>
      <c r="C75" s="11" t="s">
        <v>3</v>
      </c>
      <c r="D75" s="4">
        <v>0</v>
      </c>
      <c r="E75" s="4">
        <v>0</v>
      </c>
      <c r="F75" s="4">
        <v>0</v>
      </c>
      <c r="G75" s="4">
        <v>0</v>
      </c>
      <c r="H75" s="155"/>
      <c r="I75" s="155"/>
      <c r="J75" s="155"/>
      <c r="K75" s="155"/>
      <c r="L75" s="155"/>
      <c r="M75" s="155"/>
      <c r="N75" s="155"/>
      <c r="O75" s="155"/>
      <c r="P75" s="35">
        <f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G76" si="41">E74+E75</f>
        <v>0</v>
      </c>
      <c r="F76" s="4">
        <f t="shared" si="41"/>
        <v>0</v>
      </c>
      <c r="G76" s="4">
        <f t="shared" si="41"/>
        <v>0</v>
      </c>
      <c r="H76" s="155">
        <f t="shared" ref="H76" si="42">H74+H75</f>
        <v>0</v>
      </c>
      <c r="I76" s="155">
        <f t="shared" ref="I76:P76" si="43">I74+I75</f>
        <v>0</v>
      </c>
      <c r="J76" s="155">
        <f t="shared" ref="J76:K76" si="44">J74+J75</f>
        <v>0</v>
      </c>
      <c r="K76" s="155">
        <f t="shared" si="44"/>
        <v>0</v>
      </c>
      <c r="L76" s="155">
        <f t="shared" ref="L76:M76" si="45">L74+L75</f>
        <v>0</v>
      </c>
      <c r="M76" s="155">
        <f t="shared" si="45"/>
        <v>0</v>
      </c>
      <c r="N76" s="155">
        <f t="shared" ref="N76" si="46">N74+N75</f>
        <v>0</v>
      </c>
      <c r="O76" s="155">
        <v>0</v>
      </c>
      <c r="P76" s="104">
        <f t="shared" si="43"/>
        <v>0</v>
      </c>
    </row>
    <row r="77" spans="1:16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G77" si="47">E73+E74-E76</f>
        <v>0</v>
      </c>
      <c r="F77" s="26">
        <f t="shared" si="47"/>
        <v>0</v>
      </c>
      <c r="G77" s="26">
        <f t="shared" si="47"/>
        <v>0</v>
      </c>
      <c r="H77" s="158">
        <f t="shared" ref="H77:I77" si="48">H73+H74-H76</f>
        <v>0</v>
      </c>
      <c r="I77" s="158">
        <f t="shared" si="48"/>
        <v>0</v>
      </c>
      <c r="J77" s="158">
        <f t="shared" ref="J77:K77" si="49">J73+J74-J76</f>
        <v>0</v>
      </c>
      <c r="K77" s="158">
        <f t="shared" si="49"/>
        <v>0</v>
      </c>
      <c r="L77" s="158">
        <f t="shared" ref="L77:M77" si="50">L73+L74-L76</f>
        <v>0</v>
      </c>
      <c r="M77" s="158">
        <f t="shared" si="50"/>
        <v>0</v>
      </c>
      <c r="N77" s="158">
        <f t="shared" ref="N77" si="51">N73+N74-N76</f>
        <v>0</v>
      </c>
      <c r="O77" s="158">
        <v>0</v>
      </c>
      <c r="P77" s="105">
        <f t="shared" ref="P77" si="52">P73+P74-P76</f>
        <v>0</v>
      </c>
    </row>
    <row r="78" spans="1:16" ht="15.6" customHeight="1" x14ac:dyDescent="0.3">
      <c r="A78" s="688" t="s">
        <v>107</v>
      </c>
      <c r="B78" s="37" t="s">
        <v>85</v>
      </c>
      <c r="C78" s="5" t="s">
        <v>3</v>
      </c>
      <c r="D78" s="4">
        <v>0</v>
      </c>
      <c r="E78" s="4">
        <v>0</v>
      </c>
      <c r="F78" s="4">
        <v>0</v>
      </c>
      <c r="G78" s="4">
        <v>0</v>
      </c>
      <c r="H78" s="157"/>
      <c r="I78" s="157"/>
      <c r="J78" s="157"/>
      <c r="K78" s="157"/>
      <c r="L78" s="157"/>
      <c r="M78" s="157"/>
      <c r="N78" s="157"/>
      <c r="O78" s="157"/>
      <c r="P78" s="35">
        <f>D78</f>
        <v>0</v>
      </c>
    </row>
    <row r="79" spans="1:16" ht="15.6" x14ac:dyDescent="0.3">
      <c r="A79" s="689"/>
      <c r="B79" s="24" t="s">
        <v>104</v>
      </c>
      <c r="C79" s="5" t="s">
        <v>3</v>
      </c>
      <c r="D79" s="4">
        <v>0</v>
      </c>
      <c r="E79" s="4">
        <v>0</v>
      </c>
      <c r="F79" s="4">
        <v>0</v>
      </c>
      <c r="G79" s="4">
        <v>0</v>
      </c>
      <c r="H79" s="155"/>
      <c r="I79" s="155"/>
      <c r="J79" s="155"/>
      <c r="K79" s="155"/>
      <c r="L79" s="155"/>
      <c r="M79" s="155"/>
      <c r="N79" s="155"/>
      <c r="O79" s="155"/>
      <c r="P79" s="35">
        <f>SUM(D79:O79)</f>
        <v>0</v>
      </c>
    </row>
    <row r="80" spans="1:16" ht="27" x14ac:dyDescent="0.3">
      <c r="A80" s="689"/>
      <c r="B80" s="24" t="s">
        <v>103</v>
      </c>
      <c r="C80" s="5" t="s">
        <v>3</v>
      </c>
      <c r="D80" s="4">
        <v>0</v>
      </c>
      <c r="E80" s="4">
        <v>0</v>
      </c>
      <c r="F80" s="4">
        <v>0</v>
      </c>
      <c r="G80" s="4">
        <v>0</v>
      </c>
      <c r="H80" s="155"/>
      <c r="I80" s="155"/>
      <c r="J80" s="155"/>
      <c r="K80" s="155"/>
      <c r="L80" s="155"/>
      <c r="M80" s="155"/>
      <c r="N80" s="155"/>
      <c r="O80" s="155"/>
      <c r="P80" s="35">
        <f>SUM(D80:O80)</f>
        <v>0</v>
      </c>
    </row>
    <row r="81" spans="1:16" s="2" customFormat="1" ht="27" x14ac:dyDescent="0.3">
      <c r="A81" s="689"/>
      <c r="B81" s="24" t="s">
        <v>102</v>
      </c>
      <c r="C81" s="11" t="s">
        <v>3</v>
      </c>
      <c r="D81" s="4">
        <v>0</v>
      </c>
      <c r="E81" s="4">
        <v>0</v>
      </c>
      <c r="F81" s="4">
        <v>0</v>
      </c>
      <c r="G81" s="4">
        <v>0</v>
      </c>
      <c r="H81" s="155"/>
      <c r="I81" s="155"/>
      <c r="J81" s="155"/>
      <c r="K81" s="155"/>
      <c r="L81" s="155"/>
      <c r="M81" s="155"/>
      <c r="N81" s="155"/>
      <c r="O81" s="155"/>
      <c r="P81" s="74">
        <f>SUM(D81:O81)</f>
        <v>0</v>
      </c>
    </row>
    <row r="82" spans="1:16" s="2" customFormat="1" ht="15.6" x14ac:dyDescent="0.3">
      <c r="A82" s="689"/>
      <c r="B82" s="24" t="s">
        <v>188</v>
      </c>
      <c r="C82" s="11" t="s">
        <v>3</v>
      </c>
      <c r="D82" s="4">
        <f>D81+D80</f>
        <v>0</v>
      </c>
      <c r="E82" s="4">
        <f t="shared" ref="E82:G82" si="53">E81+E80</f>
        <v>0</v>
      </c>
      <c r="F82" s="4">
        <f t="shared" si="53"/>
        <v>0</v>
      </c>
      <c r="G82" s="4">
        <f t="shared" si="53"/>
        <v>0</v>
      </c>
      <c r="H82" s="155">
        <f t="shared" ref="H82" si="54">H81+H80</f>
        <v>0</v>
      </c>
      <c r="I82" s="155">
        <f t="shared" ref="I82:P82" si="55">I81+I80</f>
        <v>0</v>
      </c>
      <c r="J82" s="155">
        <f t="shared" ref="J82:K82" si="56">J81+J80</f>
        <v>0</v>
      </c>
      <c r="K82" s="155">
        <f t="shared" si="56"/>
        <v>0</v>
      </c>
      <c r="L82" s="155">
        <f t="shared" ref="L82:M82" si="57">L81+L80</f>
        <v>0</v>
      </c>
      <c r="M82" s="155">
        <f t="shared" si="57"/>
        <v>0</v>
      </c>
      <c r="N82" s="155">
        <f t="shared" ref="N82" si="58">N81+N80</f>
        <v>0</v>
      </c>
      <c r="O82" s="155">
        <v>0</v>
      </c>
      <c r="P82" s="104">
        <f t="shared" si="55"/>
        <v>0</v>
      </c>
    </row>
    <row r="83" spans="1:16" ht="15.6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 t="shared" ref="E83:G83" si="59">E78+E79-E82</f>
        <v>0</v>
      </c>
      <c r="F83" s="26">
        <f t="shared" si="59"/>
        <v>0</v>
      </c>
      <c r="G83" s="26">
        <f t="shared" si="59"/>
        <v>0</v>
      </c>
      <c r="H83" s="158">
        <f t="shared" ref="H83:I83" si="60">H78+H79-H82</f>
        <v>0</v>
      </c>
      <c r="I83" s="158">
        <f t="shared" si="60"/>
        <v>0</v>
      </c>
      <c r="J83" s="158">
        <f t="shared" ref="J83:K83" si="61">J78+J79-J82</f>
        <v>0</v>
      </c>
      <c r="K83" s="158">
        <f t="shared" si="61"/>
        <v>0</v>
      </c>
      <c r="L83" s="158">
        <f t="shared" ref="L83:M83" si="62">L78+L79-L82</f>
        <v>0</v>
      </c>
      <c r="M83" s="158">
        <f t="shared" si="62"/>
        <v>0</v>
      </c>
      <c r="N83" s="158">
        <f t="shared" ref="N83" si="63">N78+N79-N82</f>
        <v>0</v>
      </c>
      <c r="O83" s="158">
        <v>0</v>
      </c>
      <c r="P83" s="105">
        <f t="shared" ref="P83" si="64">P78+P79-P82</f>
        <v>0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4">
        <v>0</v>
      </c>
      <c r="E84" s="4">
        <f>D89</f>
        <v>0</v>
      </c>
      <c r="F84" s="4">
        <f t="shared" ref="F84:G84" si="65">E89</f>
        <v>0</v>
      </c>
      <c r="G84" s="4">
        <f t="shared" si="65"/>
        <v>0</v>
      </c>
      <c r="H84" s="157"/>
      <c r="I84" s="157"/>
      <c r="J84" s="157"/>
      <c r="K84" s="157"/>
      <c r="L84" s="157"/>
      <c r="M84" s="157"/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4">
        <v>0</v>
      </c>
      <c r="E85" s="4">
        <v>0</v>
      </c>
      <c r="F85" s="4">
        <v>0</v>
      </c>
      <c r="G85" s="4">
        <v>0</v>
      </c>
      <c r="H85" s="155"/>
      <c r="I85" s="155"/>
      <c r="J85" s="155"/>
      <c r="K85" s="155"/>
      <c r="L85" s="155"/>
      <c r="M85" s="155"/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4">
        <v>0</v>
      </c>
      <c r="E86" s="4">
        <v>0</v>
      </c>
      <c r="F86" s="4">
        <v>0</v>
      </c>
      <c r="G86" s="4">
        <v>0</v>
      </c>
      <c r="H86" s="155"/>
      <c r="I86" s="155"/>
      <c r="J86" s="155"/>
      <c r="K86" s="155"/>
      <c r="L86" s="155"/>
      <c r="M86" s="155"/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4">
        <v>0</v>
      </c>
      <c r="E87" s="4">
        <v>0</v>
      </c>
      <c r="F87" s="4">
        <v>0</v>
      </c>
      <c r="G87" s="4">
        <v>0</v>
      </c>
      <c r="H87" s="155"/>
      <c r="I87" s="155"/>
      <c r="J87" s="155"/>
      <c r="K87" s="155"/>
      <c r="L87" s="155"/>
      <c r="M87" s="155"/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G88" si="66">E86+E87</f>
        <v>0</v>
      </c>
      <c r="F88" s="4">
        <f t="shared" si="66"/>
        <v>0</v>
      </c>
      <c r="G88" s="4">
        <f t="shared" si="66"/>
        <v>0</v>
      </c>
      <c r="H88" s="155">
        <f t="shared" ref="H88:I88" si="67">H87+H86</f>
        <v>0</v>
      </c>
      <c r="I88" s="155">
        <f t="shared" si="67"/>
        <v>0</v>
      </c>
      <c r="J88" s="155">
        <f t="shared" ref="J88:K88" si="68">J87+J86</f>
        <v>0</v>
      </c>
      <c r="K88" s="155">
        <f t="shared" si="68"/>
        <v>0</v>
      </c>
      <c r="L88" s="155">
        <f t="shared" ref="L88:M88" si="69">L87+L86</f>
        <v>0</v>
      </c>
      <c r="M88" s="155">
        <f t="shared" si="69"/>
        <v>0</v>
      </c>
      <c r="N88" s="155">
        <f t="shared" ref="N88" si="70">N87+N86</f>
        <v>0</v>
      </c>
      <c r="O88" s="155">
        <v>0</v>
      </c>
      <c r="P88" s="74">
        <f>SUM(D88:O88)</f>
        <v>0</v>
      </c>
    </row>
    <row r="89" spans="1:16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v>0</v>
      </c>
      <c r="F89" s="26">
        <v>0</v>
      </c>
      <c r="G89" s="26">
        <v>0</v>
      </c>
      <c r="H89" s="158">
        <f t="shared" ref="H89:I89" si="71">H84+H85-H88</f>
        <v>0</v>
      </c>
      <c r="I89" s="158">
        <f t="shared" si="71"/>
        <v>0</v>
      </c>
      <c r="J89" s="158">
        <f t="shared" ref="J89:K89" si="72">J84+J85-J88</f>
        <v>0</v>
      </c>
      <c r="K89" s="158">
        <f t="shared" si="72"/>
        <v>0</v>
      </c>
      <c r="L89" s="158">
        <f t="shared" ref="L89:M89" si="73">L84+L85-L88</f>
        <v>0</v>
      </c>
      <c r="M89" s="158">
        <f t="shared" si="73"/>
        <v>0</v>
      </c>
      <c r="N89" s="158">
        <f t="shared" ref="N89" si="74">N84+N85-N88</f>
        <v>0</v>
      </c>
      <c r="O89" s="158">
        <v>0</v>
      </c>
      <c r="P89" s="105">
        <f t="shared" ref="P89" si="75">P84+P85-P86-P87</f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564">
        <f>D66+D72+D78+D84</f>
        <v>0</v>
      </c>
      <c r="E90" s="564">
        <f t="shared" ref="E90:F93" si="76">E66+E72+E78+E84</f>
        <v>0</v>
      </c>
      <c r="F90" s="564">
        <f t="shared" si="76"/>
        <v>0</v>
      </c>
      <c r="G90" s="135">
        <f t="shared" ref="G90:I90" si="77">G66+G72+G78+G84</f>
        <v>0</v>
      </c>
      <c r="H90" s="135">
        <f t="shared" si="77"/>
        <v>0</v>
      </c>
      <c r="I90" s="135">
        <f t="shared" si="77"/>
        <v>0</v>
      </c>
      <c r="J90" s="135">
        <f t="shared" ref="J90:K90" si="78">J66+J72+J78+J84</f>
        <v>0</v>
      </c>
      <c r="K90" s="135">
        <f t="shared" si="78"/>
        <v>0</v>
      </c>
      <c r="L90" s="135">
        <f t="shared" ref="L90:M90" si="79">L66+L72+L78+L84</f>
        <v>0</v>
      </c>
      <c r="M90" s="135">
        <f t="shared" si="79"/>
        <v>0</v>
      </c>
      <c r="N90" s="135">
        <f t="shared" ref="N90" si="80">N66+N72+N78+N84</f>
        <v>0</v>
      </c>
      <c r="O90" s="135">
        <v>0</v>
      </c>
      <c r="P90" s="35">
        <f>D90</f>
        <v>0</v>
      </c>
    </row>
    <row r="91" spans="1:16" ht="15.6" x14ac:dyDescent="0.3">
      <c r="A91" s="695"/>
      <c r="B91" s="24" t="s">
        <v>104</v>
      </c>
      <c r="C91" s="11" t="s">
        <v>3</v>
      </c>
      <c r="D91" s="564">
        <f>D67+D73+D79+D85</f>
        <v>0</v>
      </c>
      <c r="E91" s="564">
        <f t="shared" si="76"/>
        <v>0</v>
      </c>
      <c r="F91" s="564">
        <f t="shared" si="76"/>
        <v>0</v>
      </c>
      <c r="G91" s="135">
        <f t="shared" ref="G91" si="81">G67+G73+G79+G85</f>
        <v>0</v>
      </c>
      <c r="H91" s="135">
        <f t="shared" ref="H91:I91" si="82">H67+H73+H79+H85</f>
        <v>0</v>
      </c>
      <c r="I91" s="135">
        <f t="shared" si="82"/>
        <v>0</v>
      </c>
      <c r="J91" s="135">
        <f t="shared" ref="J91:K91" si="83">J67+J73+J79+J85</f>
        <v>0</v>
      </c>
      <c r="K91" s="135">
        <f t="shared" si="83"/>
        <v>0</v>
      </c>
      <c r="L91" s="135">
        <f t="shared" ref="L91:M91" si="84">L67+L73+L79+L85</f>
        <v>0</v>
      </c>
      <c r="M91" s="135">
        <f t="shared" si="84"/>
        <v>0</v>
      </c>
      <c r="N91" s="135">
        <f t="shared" ref="N91" si="85">N67+N73+N79+N85</f>
        <v>0</v>
      </c>
      <c r="O91" s="135">
        <v>0</v>
      </c>
      <c r="P91" s="35">
        <f>SUM(D91:O91)</f>
        <v>0</v>
      </c>
    </row>
    <row r="92" spans="1:16" ht="27" x14ac:dyDescent="0.3">
      <c r="A92" s="695"/>
      <c r="B92" s="24" t="s">
        <v>103</v>
      </c>
      <c r="C92" s="11" t="s">
        <v>3</v>
      </c>
      <c r="D92" s="564">
        <f>D68+D74+D80+D86</f>
        <v>0</v>
      </c>
      <c r="E92" s="564">
        <f t="shared" si="76"/>
        <v>0</v>
      </c>
      <c r="F92" s="564">
        <f t="shared" si="76"/>
        <v>0</v>
      </c>
      <c r="G92" s="135">
        <f t="shared" ref="G92" si="86">G68+G74+G80+G86</f>
        <v>0</v>
      </c>
      <c r="H92" s="135">
        <f t="shared" ref="H92:I92" si="87">H68+H74+H80+H86</f>
        <v>0</v>
      </c>
      <c r="I92" s="135">
        <f t="shared" si="87"/>
        <v>0</v>
      </c>
      <c r="J92" s="135">
        <f t="shared" ref="J92:K92" si="88">J68+J74+J80+J86</f>
        <v>0</v>
      </c>
      <c r="K92" s="135">
        <f t="shared" si="88"/>
        <v>0</v>
      </c>
      <c r="L92" s="135">
        <f t="shared" ref="L92:M92" si="89">L68+L74+L80+L86</f>
        <v>0</v>
      </c>
      <c r="M92" s="135">
        <f t="shared" si="89"/>
        <v>0</v>
      </c>
      <c r="N92" s="135">
        <f t="shared" ref="N92" si="90">N68+N74+N80+N86</f>
        <v>0</v>
      </c>
      <c r="O92" s="135">
        <v>0</v>
      </c>
      <c r="P92" s="35">
        <f>SUM(D92:O92)</f>
        <v>0</v>
      </c>
    </row>
    <row r="93" spans="1:16" s="2" customFormat="1" ht="27" x14ac:dyDescent="0.3">
      <c r="A93" s="695"/>
      <c r="B93" s="24" t="s">
        <v>102</v>
      </c>
      <c r="C93" s="11"/>
      <c r="D93" s="565">
        <f>D69+D75+D81+D87</f>
        <v>0</v>
      </c>
      <c r="E93" s="565">
        <f t="shared" si="76"/>
        <v>0</v>
      </c>
      <c r="F93" s="565">
        <f t="shared" si="76"/>
        <v>0</v>
      </c>
      <c r="G93" s="135">
        <f t="shared" ref="G93" si="91">G69+G75+G81+G87</f>
        <v>0</v>
      </c>
      <c r="H93" s="135">
        <f t="shared" ref="H93:I93" si="92">H69+H75+H81+H87</f>
        <v>0</v>
      </c>
      <c r="I93" s="135">
        <f t="shared" si="92"/>
        <v>0</v>
      </c>
      <c r="J93" s="135">
        <f t="shared" ref="J93:K93" si="93">J69+J75+J81+J87</f>
        <v>0</v>
      </c>
      <c r="K93" s="135">
        <f t="shared" si="93"/>
        <v>0</v>
      </c>
      <c r="L93" s="135">
        <f t="shared" ref="L93:M93" si="94">L69+L75+L81+L87</f>
        <v>0</v>
      </c>
      <c r="M93" s="135">
        <f t="shared" si="94"/>
        <v>0</v>
      </c>
      <c r="N93" s="135">
        <f t="shared" ref="N93" si="95">N69+N75+N81+N87</f>
        <v>0</v>
      </c>
      <c r="O93" s="135">
        <v>0</v>
      </c>
      <c r="P93" s="35">
        <f>SUM(D93:O93)</f>
        <v>0</v>
      </c>
    </row>
    <row r="94" spans="1:16" s="2" customFormat="1" ht="15.6" x14ac:dyDescent="0.3">
      <c r="A94" s="695"/>
      <c r="B94" s="24" t="s">
        <v>188</v>
      </c>
      <c r="C94" s="11" t="s">
        <v>3</v>
      </c>
      <c r="D94" s="565">
        <f>D93+D92</f>
        <v>0</v>
      </c>
      <c r="E94" s="565">
        <f t="shared" ref="E94:F94" si="96">E93+E92</f>
        <v>0</v>
      </c>
      <c r="F94" s="565">
        <f t="shared" si="96"/>
        <v>0</v>
      </c>
      <c r="G94" s="136">
        <f t="shared" ref="G94:H94" si="97">G93+G92</f>
        <v>0</v>
      </c>
      <c r="H94" s="136">
        <f t="shared" si="97"/>
        <v>0</v>
      </c>
      <c r="I94" s="136">
        <f t="shared" ref="I94:J94" si="98">I93+I92</f>
        <v>0</v>
      </c>
      <c r="J94" s="136">
        <f t="shared" si="98"/>
        <v>0</v>
      </c>
      <c r="K94" s="136">
        <f t="shared" ref="K94:L94" si="99">K93+K92</f>
        <v>0</v>
      </c>
      <c r="L94" s="136">
        <f t="shared" si="99"/>
        <v>0</v>
      </c>
      <c r="M94" s="136">
        <f t="shared" ref="M94:N94" si="100">M93+M92</f>
        <v>0</v>
      </c>
      <c r="N94" s="136">
        <f t="shared" si="100"/>
        <v>0</v>
      </c>
      <c r="O94" s="136">
        <v>0</v>
      </c>
      <c r="P94" s="143">
        <f t="shared" ref="P94" si="101">P93+P92</f>
        <v>0</v>
      </c>
    </row>
    <row r="95" spans="1:16" ht="16.2" thickBot="1" x14ac:dyDescent="0.35">
      <c r="A95" s="696"/>
      <c r="B95" s="24" t="s">
        <v>81</v>
      </c>
      <c r="C95" s="11" t="s">
        <v>3</v>
      </c>
      <c r="D95" s="566">
        <f>D90+D91-D94</f>
        <v>0</v>
      </c>
      <c r="E95" s="566">
        <f t="shared" ref="E95:F95" si="102">E90+E91-E94</f>
        <v>0</v>
      </c>
      <c r="F95" s="566">
        <f t="shared" si="102"/>
        <v>0</v>
      </c>
      <c r="G95" s="137">
        <f t="shared" ref="G95:H95" si="103">G90+G91-G94</f>
        <v>0</v>
      </c>
      <c r="H95" s="137">
        <f t="shared" si="103"/>
        <v>0</v>
      </c>
      <c r="I95" s="137">
        <f t="shared" ref="I95:J95" si="104">I90+I91-I94</f>
        <v>0</v>
      </c>
      <c r="J95" s="137">
        <f t="shared" si="104"/>
        <v>0</v>
      </c>
      <c r="K95" s="137">
        <f t="shared" ref="K95:L95" si="105">K90+K91-K94</f>
        <v>0</v>
      </c>
      <c r="L95" s="137">
        <f t="shared" si="105"/>
        <v>0</v>
      </c>
      <c r="M95" s="137">
        <f t="shared" ref="M95:N95" si="106">M90+M91-M94</f>
        <v>0</v>
      </c>
      <c r="N95" s="137">
        <f t="shared" si="106"/>
        <v>0</v>
      </c>
      <c r="O95" s="137">
        <v>0</v>
      </c>
      <c r="P95" s="144">
        <f t="shared" ref="P95" si="107">P90+P91-P94</f>
        <v>0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553"/>
      <c r="E98" s="553"/>
      <c r="F98" s="553"/>
      <c r="G98" s="70"/>
      <c r="H98" s="70"/>
      <c r="I98" s="70"/>
      <c r="J98" s="71"/>
      <c r="K98" s="71"/>
      <c r="L98" s="71"/>
      <c r="M98" s="71"/>
      <c r="N98" s="71"/>
      <c r="O98" s="71"/>
      <c r="P98" s="107">
        <f>SUM(D98:O98)</f>
        <v>0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4">
        <v>12</v>
      </c>
      <c r="E101" s="4">
        <v>15</v>
      </c>
      <c r="F101" s="4">
        <v>14</v>
      </c>
      <c r="G101" s="4">
        <v>14</v>
      </c>
      <c r="H101" s="4">
        <v>15</v>
      </c>
      <c r="I101" s="4">
        <v>15</v>
      </c>
      <c r="J101" s="4">
        <v>17</v>
      </c>
      <c r="K101" s="4">
        <v>16</v>
      </c>
      <c r="L101" s="132">
        <v>16</v>
      </c>
      <c r="M101" s="155">
        <v>16</v>
      </c>
      <c r="N101" s="155">
        <v>16</v>
      </c>
      <c r="O101" s="155">
        <v>16</v>
      </c>
      <c r="P101" s="32">
        <f t="shared" ref="P101:P116" si="108">O101</f>
        <v>16</v>
      </c>
    </row>
    <row r="102" spans="1:16" ht="15.6" x14ac:dyDescent="0.3">
      <c r="A102" s="661" t="s">
        <v>99</v>
      </c>
      <c r="B102" s="662"/>
      <c r="C102" s="11" t="s">
        <v>3</v>
      </c>
      <c r="D102" s="4">
        <v>2</v>
      </c>
      <c r="E102" s="4">
        <v>2</v>
      </c>
      <c r="F102" s="4">
        <v>1</v>
      </c>
      <c r="G102" s="4">
        <v>2</v>
      </c>
      <c r="H102" s="4">
        <v>2</v>
      </c>
      <c r="I102" s="4">
        <v>2</v>
      </c>
      <c r="J102" s="4">
        <v>2</v>
      </c>
      <c r="K102" s="4">
        <v>2</v>
      </c>
      <c r="L102" s="132">
        <v>2</v>
      </c>
      <c r="M102" s="155">
        <v>2</v>
      </c>
      <c r="N102" s="155">
        <v>2</v>
      </c>
      <c r="O102" s="155">
        <v>2</v>
      </c>
      <c r="P102" s="32">
        <f t="shared" si="108"/>
        <v>2</v>
      </c>
    </row>
    <row r="103" spans="1:16" ht="15.6" customHeight="1" x14ac:dyDescent="0.3">
      <c r="A103" s="663" t="s">
        <v>98</v>
      </c>
      <c r="B103" s="664"/>
      <c r="C103" s="11" t="s">
        <v>3</v>
      </c>
      <c r="D103" s="4">
        <v>0</v>
      </c>
      <c r="E103" s="4">
        <v>0</v>
      </c>
      <c r="F103" s="4">
        <v>1</v>
      </c>
      <c r="G103" s="4">
        <v>0</v>
      </c>
      <c r="H103" s="155"/>
      <c r="I103" s="155"/>
      <c r="J103" s="155"/>
      <c r="K103" s="155"/>
      <c r="L103" s="132"/>
      <c r="M103" s="155"/>
      <c r="N103" s="155"/>
      <c r="O103" s="155"/>
      <c r="P103" s="32">
        <f t="shared" si="108"/>
        <v>0</v>
      </c>
    </row>
    <row r="104" spans="1:16" ht="15.6" x14ac:dyDescent="0.3">
      <c r="A104" s="663" t="s">
        <v>97</v>
      </c>
      <c r="B104" s="664"/>
      <c r="C104" s="11" t="s">
        <v>3</v>
      </c>
      <c r="D104" s="4">
        <v>0</v>
      </c>
      <c r="E104" s="4">
        <v>0</v>
      </c>
      <c r="F104" s="4">
        <v>0</v>
      </c>
      <c r="G104" s="4">
        <v>0</v>
      </c>
      <c r="H104" s="155"/>
      <c r="I104" s="155"/>
      <c r="J104" s="155"/>
      <c r="K104" s="155"/>
      <c r="L104" s="132"/>
      <c r="M104" s="155"/>
      <c r="N104" s="155"/>
      <c r="O104" s="155"/>
      <c r="P104" s="32">
        <f t="shared" si="108"/>
        <v>0</v>
      </c>
    </row>
    <row r="105" spans="1:16" ht="15.6" x14ac:dyDescent="0.3">
      <c r="A105" s="686" t="s">
        <v>96</v>
      </c>
      <c r="B105" s="687"/>
      <c r="C105" s="11" t="s">
        <v>3</v>
      </c>
      <c r="D105" s="169">
        <f>SUM(D101:D104)</f>
        <v>14</v>
      </c>
      <c r="E105" s="169">
        <f t="shared" ref="E105:N105" si="109">SUM(E101:E104)</f>
        <v>17</v>
      </c>
      <c r="F105" s="169">
        <f t="shared" si="109"/>
        <v>16</v>
      </c>
      <c r="G105" s="169">
        <f t="shared" si="109"/>
        <v>16</v>
      </c>
      <c r="H105" s="169">
        <f t="shared" si="109"/>
        <v>17</v>
      </c>
      <c r="I105" s="169">
        <f t="shared" si="109"/>
        <v>17</v>
      </c>
      <c r="J105" s="33">
        <f t="shared" si="109"/>
        <v>19</v>
      </c>
      <c r="K105" s="169">
        <f t="shared" si="109"/>
        <v>18</v>
      </c>
      <c r="L105" s="169">
        <f t="shared" si="109"/>
        <v>18</v>
      </c>
      <c r="M105" s="169">
        <f t="shared" si="109"/>
        <v>18</v>
      </c>
      <c r="N105" s="169">
        <f t="shared" si="109"/>
        <v>18</v>
      </c>
      <c r="O105" s="169">
        <v>18</v>
      </c>
      <c r="P105" s="32">
        <f t="shared" si="108"/>
        <v>18</v>
      </c>
    </row>
    <row r="106" spans="1:16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132">
        <v>24</v>
      </c>
      <c r="E107" s="132">
        <v>21</v>
      </c>
      <c r="F107" s="132">
        <v>21</v>
      </c>
      <c r="G107" s="132">
        <v>21</v>
      </c>
      <c r="H107" s="132">
        <v>21</v>
      </c>
      <c r="I107" s="132">
        <v>21</v>
      </c>
      <c r="J107" s="132">
        <v>19</v>
      </c>
      <c r="K107" s="132">
        <v>20</v>
      </c>
      <c r="L107" s="132">
        <v>20</v>
      </c>
      <c r="M107" s="129">
        <v>20</v>
      </c>
      <c r="N107" s="155">
        <v>20</v>
      </c>
      <c r="O107" s="155">
        <v>20</v>
      </c>
      <c r="P107" s="32">
        <f t="shared" si="108"/>
        <v>20</v>
      </c>
    </row>
    <row r="108" spans="1:16" ht="15.6" x14ac:dyDescent="0.3">
      <c r="A108" s="661" t="s">
        <v>194</v>
      </c>
      <c r="B108" s="662"/>
      <c r="C108" s="11" t="s">
        <v>3</v>
      </c>
      <c r="D108" s="132">
        <v>0</v>
      </c>
      <c r="E108" s="132">
        <v>0</v>
      </c>
      <c r="F108" s="132">
        <v>0</v>
      </c>
      <c r="G108" s="132">
        <v>0</v>
      </c>
      <c r="H108" s="132">
        <v>0</v>
      </c>
      <c r="I108" s="155"/>
      <c r="J108" s="155"/>
      <c r="K108" s="132">
        <v>0</v>
      </c>
      <c r="L108" s="132">
        <v>0</v>
      </c>
      <c r="M108" s="129">
        <v>0</v>
      </c>
      <c r="N108" s="155">
        <v>0</v>
      </c>
      <c r="O108" s="155">
        <v>0</v>
      </c>
      <c r="P108" s="32">
        <f t="shared" si="108"/>
        <v>0</v>
      </c>
    </row>
    <row r="109" spans="1:16" ht="15.6" x14ac:dyDescent="0.3">
      <c r="A109" s="661" t="s">
        <v>195</v>
      </c>
      <c r="B109" s="662"/>
      <c r="C109" s="11" t="s">
        <v>3</v>
      </c>
      <c r="D109" s="132">
        <v>0</v>
      </c>
      <c r="E109" s="132">
        <v>0</v>
      </c>
      <c r="F109" s="132">
        <v>0</v>
      </c>
      <c r="G109" s="132">
        <v>0</v>
      </c>
      <c r="H109" s="132">
        <v>0</v>
      </c>
      <c r="I109" s="155"/>
      <c r="J109" s="155"/>
      <c r="K109" s="132">
        <v>0</v>
      </c>
      <c r="L109" s="132">
        <v>0</v>
      </c>
      <c r="M109" s="129">
        <v>0</v>
      </c>
      <c r="N109" s="155">
        <v>0</v>
      </c>
      <c r="O109" s="155">
        <v>0</v>
      </c>
      <c r="P109" s="32">
        <f t="shared" si="108"/>
        <v>0</v>
      </c>
    </row>
    <row r="110" spans="1:16" ht="15.6" x14ac:dyDescent="0.3">
      <c r="A110" s="661" t="s">
        <v>196</v>
      </c>
      <c r="B110" s="662"/>
      <c r="C110" s="11" t="s">
        <v>3</v>
      </c>
      <c r="D110" s="132">
        <v>0</v>
      </c>
      <c r="E110" s="132">
        <v>0</v>
      </c>
      <c r="F110" s="132">
        <v>0</v>
      </c>
      <c r="G110" s="132">
        <v>0</v>
      </c>
      <c r="H110" s="132">
        <v>0</v>
      </c>
      <c r="I110" s="155"/>
      <c r="J110" s="155"/>
      <c r="K110" s="132">
        <v>0</v>
      </c>
      <c r="L110" s="132">
        <v>0</v>
      </c>
      <c r="M110" s="129">
        <v>0</v>
      </c>
      <c r="N110" s="155">
        <v>0</v>
      </c>
      <c r="O110" s="155">
        <v>0</v>
      </c>
      <c r="P110" s="32">
        <f t="shared" si="108"/>
        <v>0</v>
      </c>
    </row>
    <row r="111" spans="1:16" ht="15.6" x14ac:dyDescent="0.3">
      <c r="A111" s="676" t="s">
        <v>95</v>
      </c>
      <c r="B111" s="677"/>
      <c r="C111" s="11" t="s">
        <v>3</v>
      </c>
      <c r="D111" s="169">
        <f>SUM(D107:D110)</f>
        <v>24</v>
      </c>
      <c r="E111" s="169">
        <f t="shared" ref="E111:N111" si="110">SUM(E107:E110)</f>
        <v>21</v>
      </c>
      <c r="F111" s="169">
        <f t="shared" si="110"/>
        <v>21</v>
      </c>
      <c r="G111" s="169">
        <f t="shared" si="110"/>
        <v>21</v>
      </c>
      <c r="H111" s="169">
        <f t="shared" si="110"/>
        <v>21</v>
      </c>
      <c r="I111" s="169">
        <f t="shared" si="110"/>
        <v>21</v>
      </c>
      <c r="J111" s="169">
        <f t="shared" si="110"/>
        <v>19</v>
      </c>
      <c r="K111" s="33">
        <f t="shared" si="110"/>
        <v>20</v>
      </c>
      <c r="L111" s="134">
        <f t="shared" si="110"/>
        <v>20</v>
      </c>
      <c r="M111" s="33">
        <f t="shared" si="110"/>
        <v>20</v>
      </c>
      <c r="N111" s="169">
        <f t="shared" si="110"/>
        <v>20</v>
      </c>
      <c r="O111" s="169">
        <v>20</v>
      </c>
      <c r="P111" s="32">
        <f t="shared" si="108"/>
        <v>20</v>
      </c>
    </row>
    <row r="112" spans="1:16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33">
        <v>17</v>
      </c>
      <c r="E113" s="133">
        <v>17</v>
      </c>
      <c r="F113" s="133">
        <v>19</v>
      </c>
      <c r="G113" s="133">
        <v>19</v>
      </c>
      <c r="H113" s="133">
        <v>17</v>
      </c>
      <c r="I113" s="133">
        <v>17</v>
      </c>
      <c r="J113" s="133">
        <v>17</v>
      </c>
      <c r="K113" s="133">
        <v>17</v>
      </c>
      <c r="L113" s="129">
        <v>17</v>
      </c>
      <c r="M113" s="129">
        <v>17</v>
      </c>
      <c r="N113" s="133">
        <v>17</v>
      </c>
      <c r="O113" s="129">
        <v>17</v>
      </c>
      <c r="P113" s="174">
        <f t="shared" si="108"/>
        <v>17</v>
      </c>
    </row>
    <row r="114" spans="1:16" ht="15.6" x14ac:dyDescent="0.3">
      <c r="A114" s="661" t="s">
        <v>198</v>
      </c>
      <c r="B114" s="662"/>
      <c r="C114" s="11" t="s">
        <v>3</v>
      </c>
      <c r="D114" s="133">
        <v>8</v>
      </c>
      <c r="E114" s="133">
        <v>8</v>
      </c>
      <c r="F114" s="133">
        <v>7</v>
      </c>
      <c r="G114" s="133">
        <v>7</v>
      </c>
      <c r="H114" s="133">
        <v>8</v>
      </c>
      <c r="I114" s="133">
        <v>8</v>
      </c>
      <c r="J114" s="133">
        <v>8</v>
      </c>
      <c r="K114" s="133">
        <v>8</v>
      </c>
      <c r="L114" s="129">
        <v>8</v>
      </c>
      <c r="M114" s="129">
        <v>8</v>
      </c>
      <c r="N114" s="133">
        <v>8</v>
      </c>
      <c r="O114" s="129">
        <v>8</v>
      </c>
      <c r="P114" s="174">
        <f t="shared" si="108"/>
        <v>8</v>
      </c>
    </row>
    <row r="115" spans="1:16" ht="15.6" x14ac:dyDescent="0.3">
      <c r="A115" s="661" t="s">
        <v>199</v>
      </c>
      <c r="B115" s="662"/>
      <c r="C115" s="11" t="s">
        <v>3</v>
      </c>
      <c r="D115" s="133"/>
      <c r="E115" s="133"/>
      <c r="F115" s="133">
        <v>0</v>
      </c>
      <c r="G115" s="133">
        <v>0</v>
      </c>
      <c r="H115" s="133">
        <v>0</v>
      </c>
      <c r="I115" s="129"/>
      <c r="J115" s="133">
        <v>0</v>
      </c>
      <c r="K115" s="133">
        <v>0</v>
      </c>
      <c r="L115" s="129">
        <v>0</v>
      </c>
      <c r="M115" s="129">
        <v>0</v>
      </c>
      <c r="N115" s="133">
        <v>0</v>
      </c>
      <c r="O115" s="129">
        <v>0</v>
      </c>
      <c r="P115" s="174">
        <f t="shared" si="108"/>
        <v>0</v>
      </c>
    </row>
    <row r="116" spans="1:16" ht="15.6" x14ac:dyDescent="0.3">
      <c r="A116" s="661" t="s">
        <v>200</v>
      </c>
      <c r="B116" s="662"/>
      <c r="C116" s="11" t="s">
        <v>3</v>
      </c>
      <c r="D116" s="133"/>
      <c r="E116" s="133"/>
      <c r="F116" s="133">
        <v>0</v>
      </c>
      <c r="G116" s="133">
        <v>0</v>
      </c>
      <c r="H116" s="133">
        <v>0</v>
      </c>
      <c r="I116" s="129"/>
      <c r="J116" s="133">
        <v>0</v>
      </c>
      <c r="K116" s="133">
        <v>0</v>
      </c>
      <c r="L116" s="129">
        <v>0</v>
      </c>
      <c r="M116" s="129">
        <v>0</v>
      </c>
      <c r="N116" s="133">
        <v>0</v>
      </c>
      <c r="O116" s="129">
        <v>0</v>
      </c>
      <c r="P116" s="174">
        <f t="shared" si="108"/>
        <v>0</v>
      </c>
    </row>
    <row r="117" spans="1:16" ht="15.6" x14ac:dyDescent="0.3">
      <c r="A117" s="676" t="s">
        <v>94</v>
      </c>
      <c r="B117" s="677"/>
      <c r="C117" s="11" t="s">
        <v>3</v>
      </c>
      <c r="D117" s="169">
        <f>SUM(D113:D116)</f>
        <v>25</v>
      </c>
      <c r="E117" s="169">
        <f t="shared" ref="E117:P117" si="111">SUM(E113:E116)</f>
        <v>25</v>
      </c>
      <c r="F117" s="169">
        <f t="shared" si="111"/>
        <v>26</v>
      </c>
      <c r="G117" s="169">
        <f t="shared" si="111"/>
        <v>26</v>
      </c>
      <c r="H117" s="169">
        <f t="shared" ref="H117:I117" si="112">SUM(H113:H116)</f>
        <v>25</v>
      </c>
      <c r="I117" s="169">
        <f t="shared" si="112"/>
        <v>25</v>
      </c>
      <c r="J117" s="169">
        <f t="shared" ref="J117:L117" si="113">SUM(J113:J116)</f>
        <v>25</v>
      </c>
      <c r="K117" s="169">
        <f t="shared" si="113"/>
        <v>25</v>
      </c>
      <c r="L117" s="169">
        <f t="shared" si="113"/>
        <v>25</v>
      </c>
      <c r="M117" s="169">
        <f t="shared" ref="M117:N117" si="114">SUM(M113:M116)</f>
        <v>25</v>
      </c>
      <c r="N117" s="169">
        <f t="shared" si="114"/>
        <v>25</v>
      </c>
      <c r="O117" s="169">
        <v>25</v>
      </c>
      <c r="P117" s="159">
        <f t="shared" si="111"/>
        <v>25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169">
        <f t="shared" ref="D118:I118" si="115">D111+D117</f>
        <v>49</v>
      </c>
      <c r="E118" s="169">
        <f t="shared" si="115"/>
        <v>46</v>
      </c>
      <c r="F118" s="169">
        <f t="shared" si="115"/>
        <v>47</v>
      </c>
      <c r="G118" s="169">
        <f t="shared" si="115"/>
        <v>47</v>
      </c>
      <c r="H118" s="169">
        <f t="shared" si="115"/>
        <v>46</v>
      </c>
      <c r="I118" s="169">
        <f t="shared" si="115"/>
        <v>46</v>
      </c>
      <c r="J118" s="169">
        <f t="shared" ref="J118:L118" si="116">J111+J117</f>
        <v>44</v>
      </c>
      <c r="K118" s="169">
        <f t="shared" si="116"/>
        <v>45</v>
      </c>
      <c r="L118" s="169">
        <f t="shared" si="116"/>
        <v>45</v>
      </c>
      <c r="M118" s="169">
        <f t="shared" ref="M118:N118" si="117">M111+M117</f>
        <v>45</v>
      </c>
      <c r="N118" s="169">
        <f t="shared" si="117"/>
        <v>45</v>
      </c>
      <c r="O118" s="169">
        <v>45</v>
      </c>
      <c r="P118" s="169">
        <f t="shared" ref="P118" si="118">P111+P117</f>
        <v>45</v>
      </c>
    </row>
    <row r="119" spans="1:16" ht="15.6" x14ac:dyDescent="0.3">
      <c r="A119" s="676" t="s">
        <v>192</v>
      </c>
      <c r="B119" s="677"/>
      <c r="C119" s="11" t="s">
        <v>3</v>
      </c>
      <c r="D119" s="169">
        <f t="shared" ref="D119:I119" si="119">D118+D105</f>
        <v>63</v>
      </c>
      <c r="E119" s="169">
        <f t="shared" si="119"/>
        <v>63</v>
      </c>
      <c r="F119" s="169">
        <f t="shared" si="119"/>
        <v>63</v>
      </c>
      <c r="G119" s="169">
        <f t="shared" si="119"/>
        <v>63</v>
      </c>
      <c r="H119" s="169">
        <f t="shared" si="119"/>
        <v>63</v>
      </c>
      <c r="I119" s="169">
        <f t="shared" si="119"/>
        <v>63</v>
      </c>
      <c r="J119" s="169">
        <f t="shared" ref="J119:L119" si="120">J118+J105</f>
        <v>63</v>
      </c>
      <c r="K119" s="169">
        <f t="shared" si="120"/>
        <v>63</v>
      </c>
      <c r="L119" s="169">
        <f t="shared" si="120"/>
        <v>63</v>
      </c>
      <c r="M119" s="169">
        <f t="shared" ref="M119:N119" si="121">M118+M105</f>
        <v>63</v>
      </c>
      <c r="N119" s="169">
        <f t="shared" si="121"/>
        <v>63</v>
      </c>
      <c r="O119" s="169">
        <v>63</v>
      </c>
      <c r="P119" s="169">
        <f t="shared" ref="P119" si="122">P118+P105</f>
        <v>63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7.399999999999999" x14ac:dyDescent="0.3">
      <c r="A121" s="661" t="s">
        <v>93</v>
      </c>
      <c r="B121" s="662"/>
      <c r="C121" s="5" t="s">
        <v>3</v>
      </c>
      <c r="D121" s="562">
        <v>1249</v>
      </c>
      <c r="E121" s="4">
        <v>1249</v>
      </c>
      <c r="F121" s="4">
        <v>1250</v>
      </c>
      <c r="G121" s="4">
        <v>1252</v>
      </c>
      <c r="H121" s="4">
        <v>1254</v>
      </c>
      <c r="I121" s="4">
        <v>1254</v>
      </c>
      <c r="J121" s="4">
        <v>1254</v>
      </c>
      <c r="K121" s="4">
        <v>1256</v>
      </c>
      <c r="L121" s="128">
        <v>1256</v>
      </c>
      <c r="M121" s="128">
        <v>1256</v>
      </c>
      <c r="N121" s="4">
        <v>1256</v>
      </c>
      <c r="O121" s="128">
        <v>1258</v>
      </c>
      <c r="P121" s="31">
        <f>O121</f>
        <v>1258</v>
      </c>
    </row>
    <row r="122" spans="1:16" ht="17.399999999999999" x14ac:dyDescent="0.3">
      <c r="A122" s="661" t="s">
        <v>92</v>
      </c>
      <c r="B122" s="662"/>
      <c r="C122" s="5" t="s">
        <v>3</v>
      </c>
      <c r="D122" s="562">
        <v>1033</v>
      </c>
      <c r="E122" s="4">
        <v>1033</v>
      </c>
      <c r="F122" s="4">
        <v>1030</v>
      </c>
      <c r="G122" s="4">
        <v>1030</v>
      </c>
      <c r="H122" s="4">
        <v>1030</v>
      </c>
      <c r="I122" s="4">
        <v>1030</v>
      </c>
      <c r="J122" s="4">
        <v>1030</v>
      </c>
      <c r="K122" s="4">
        <v>1032</v>
      </c>
      <c r="L122" s="128">
        <v>1032</v>
      </c>
      <c r="M122" s="128">
        <v>1032</v>
      </c>
      <c r="N122" s="4">
        <v>1032</v>
      </c>
      <c r="O122" s="128">
        <v>1032</v>
      </c>
      <c r="P122" s="31">
        <f>O122</f>
        <v>1032</v>
      </c>
    </row>
    <row r="123" spans="1:16" ht="15.6" x14ac:dyDescent="0.3">
      <c r="A123" s="678" t="s">
        <v>91</v>
      </c>
      <c r="B123" s="679"/>
      <c r="C123" s="30" t="s">
        <v>6</v>
      </c>
      <c r="D123" s="29">
        <f t="shared" ref="D123:F123" si="123">D122/D121</f>
        <v>0.82706164931945558</v>
      </c>
      <c r="E123" s="29">
        <f t="shared" si="123"/>
        <v>0.82706164931945558</v>
      </c>
      <c r="F123" s="29">
        <f t="shared" si="123"/>
        <v>0.82399999999999995</v>
      </c>
      <c r="G123" s="29">
        <f t="shared" ref="G123:P123" si="124">G122/G121</f>
        <v>0.82268370607028751</v>
      </c>
      <c r="H123" s="29">
        <f t="shared" si="124"/>
        <v>0.82137161084529509</v>
      </c>
      <c r="I123" s="29">
        <f t="shared" si="124"/>
        <v>0.82137161084529509</v>
      </c>
      <c r="J123" s="29">
        <f t="shared" si="124"/>
        <v>0.82137161084529509</v>
      </c>
      <c r="K123" s="29">
        <f t="shared" si="124"/>
        <v>0.82165605095541405</v>
      </c>
      <c r="L123" s="29">
        <f t="shared" si="124"/>
        <v>0.82165605095541405</v>
      </c>
      <c r="M123" s="29">
        <f t="shared" si="124"/>
        <v>0.82165605095541405</v>
      </c>
      <c r="N123" s="29">
        <f t="shared" si="124"/>
        <v>0.82165605095541405</v>
      </c>
      <c r="O123" s="29">
        <v>0.82034976152623207</v>
      </c>
      <c r="P123" s="108">
        <f t="shared" si="124"/>
        <v>0.82034976152623207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0</v>
      </c>
      <c r="F125" s="132">
        <f t="shared" ref="F125:H125" si="125">E129</f>
        <v>0</v>
      </c>
      <c r="G125" s="132">
        <f t="shared" si="125"/>
        <v>0</v>
      </c>
      <c r="H125" s="132">
        <f t="shared" si="125"/>
        <v>0</v>
      </c>
      <c r="I125" s="157"/>
      <c r="J125" s="132">
        <f t="shared" ref="J125" si="126">I129</f>
        <v>2</v>
      </c>
      <c r="K125" s="157"/>
      <c r="L125" s="157"/>
      <c r="M125" s="157">
        <v>0</v>
      </c>
      <c r="N125" s="157"/>
      <c r="O125" s="157"/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0</v>
      </c>
      <c r="E126" s="132">
        <v>0</v>
      </c>
      <c r="F126" s="132">
        <v>0</v>
      </c>
      <c r="G126" s="132">
        <v>0</v>
      </c>
      <c r="H126" s="132">
        <v>0</v>
      </c>
      <c r="I126" s="132">
        <v>2</v>
      </c>
      <c r="J126" s="132">
        <v>1</v>
      </c>
      <c r="K126" s="155"/>
      <c r="L126" s="155"/>
      <c r="M126" s="155">
        <v>0</v>
      </c>
      <c r="N126" s="155"/>
      <c r="O126" s="155"/>
      <c r="P126" s="18">
        <f>SUM(D126:O126)</f>
        <v>3</v>
      </c>
    </row>
    <row r="127" spans="1:16" ht="15.6" x14ac:dyDescent="0.3">
      <c r="A127" s="674"/>
      <c r="B127" s="82" t="s">
        <v>88</v>
      </c>
      <c r="C127" s="11" t="s">
        <v>3</v>
      </c>
      <c r="D127" s="132">
        <v>0</v>
      </c>
      <c r="E127" s="132">
        <v>0</v>
      </c>
      <c r="F127" s="132">
        <v>0</v>
      </c>
      <c r="G127" s="132">
        <v>0</v>
      </c>
      <c r="H127" s="132">
        <v>0</v>
      </c>
      <c r="I127" s="155"/>
      <c r="J127" s="132">
        <v>0</v>
      </c>
      <c r="K127" s="155"/>
      <c r="L127" s="155"/>
      <c r="M127" s="155">
        <v>0</v>
      </c>
      <c r="N127" s="155"/>
      <c r="O127" s="155"/>
      <c r="P127" s="18">
        <f>SUM(D127:O127)</f>
        <v>0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155"/>
      <c r="J128" s="132">
        <v>3</v>
      </c>
      <c r="K128" s="155"/>
      <c r="L128" s="155"/>
      <c r="M128" s="155">
        <v>0</v>
      </c>
      <c r="N128" s="155"/>
      <c r="O128" s="155"/>
      <c r="P128" s="18">
        <f>SUM(D128:O128)</f>
        <v>3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0</v>
      </c>
      <c r="E129" s="132">
        <f t="shared" ref="E129:H129" si="127">E125+E126-E127-E128</f>
        <v>0</v>
      </c>
      <c r="F129" s="132">
        <f t="shared" si="127"/>
        <v>0</v>
      </c>
      <c r="G129" s="132">
        <f t="shared" si="127"/>
        <v>0</v>
      </c>
      <c r="H129" s="132">
        <f t="shared" si="127"/>
        <v>0</v>
      </c>
      <c r="I129" s="157">
        <f t="shared" ref="I129:J129" si="128">I125+I126-I127-I128</f>
        <v>2</v>
      </c>
      <c r="J129" s="132">
        <f t="shared" si="128"/>
        <v>0</v>
      </c>
      <c r="K129" s="157">
        <f t="shared" ref="K129" si="129">K125+K126-K127-K128</f>
        <v>0</v>
      </c>
      <c r="L129" s="157">
        <f t="shared" ref="L129" si="130">L125+L126-L127-L128</f>
        <v>0</v>
      </c>
      <c r="M129" s="157">
        <v>0</v>
      </c>
      <c r="N129" s="157">
        <f t="shared" ref="N129" si="131">N125+N126-N127-N128</f>
        <v>0</v>
      </c>
      <c r="O129" s="157">
        <v>0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0</v>
      </c>
      <c r="E130" s="132">
        <f>D134</f>
        <v>0</v>
      </c>
      <c r="F130" s="132">
        <f t="shared" ref="F130:H130" si="132">E134</f>
        <v>0</v>
      </c>
      <c r="G130" s="132">
        <f t="shared" si="132"/>
        <v>0</v>
      </c>
      <c r="H130" s="132">
        <f t="shared" si="132"/>
        <v>0</v>
      </c>
      <c r="I130" s="155"/>
      <c r="J130" s="155"/>
      <c r="K130" s="155"/>
      <c r="L130" s="155"/>
      <c r="M130" s="155">
        <v>0</v>
      </c>
      <c r="N130" s="155"/>
      <c r="O130" s="155"/>
      <c r="P130" s="25">
        <f>D130</f>
        <v>0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155"/>
      <c r="J131" s="155"/>
      <c r="K131" s="155"/>
      <c r="L131" s="155"/>
      <c r="M131" s="155">
        <v>0</v>
      </c>
      <c r="N131" s="155"/>
      <c r="O131" s="155"/>
      <c r="P131" s="18">
        <f>SUM(D131:O131)</f>
        <v>0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155"/>
      <c r="J132" s="155"/>
      <c r="K132" s="155"/>
      <c r="L132" s="155"/>
      <c r="M132" s="155">
        <v>0</v>
      </c>
      <c r="N132" s="155"/>
      <c r="O132" s="155"/>
      <c r="P132" s="18">
        <f>SUM(D132:O132)</f>
        <v>0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155"/>
      <c r="J133" s="155"/>
      <c r="K133" s="155"/>
      <c r="L133" s="155"/>
      <c r="M133" s="155">
        <v>0</v>
      </c>
      <c r="N133" s="155"/>
      <c r="O133" s="155"/>
      <c r="P133" s="18">
        <f>SUM(D133:O133)</f>
        <v>0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0</v>
      </c>
      <c r="E134" s="132">
        <f t="shared" ref="E134:H134" si="133">E130+E131-E132-E133</f>
        <v>0</v>
      </c>
      <c r="F134" s="132">
        <f t="shared" si="133"/>
        <v>0</v>
      </c>
      <c r="G134" s="132">
        <f t="shared" si="133"/>
        <v>0</v>
      </c>
      <c r="H134" s="132">
        <f t="shared" si="133"/>
        <v>0</v>
      </c>
      <c r="I134" s="157">
        <f t="shared" ref="I134" si="134">I130+I131-I132-I133</f>
        <v>0</v>
      </c>
      <c r="J134" s="157">
        <f t="shared" ref="J134:K134" si="135">J130+J131-J132-J133</f>
        <v>0</v>
      </c>
      <c r="K134" s="157">
        <f t="shared" si="135"/>
        <v>0</v>
      </c>
      <c r="L134" s="157">
        <f t="shared" ref="L134" si="136">L130+L131-L132-L133</f>
        <v>0</v>
      </c>
      <c r="M134" s="157">
        <v>0</v>
      </c>
      <c r="N134" s="157">
        <f t="shared" ref="N134" si="137">N130+N131-N132-N133</f>
        <v>0</v>
      </c>
      <c r="O134" s="157">
        <v>0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f>D139</f>
        <v>0</v>
      </c>
      <c r="F135" s="132">
        <f t="shared" ref="F135:H135" si="138">E139</f>
        <v>0</v>
      </c>
      <c r="G135" s="132">
        <f t="shared" si="138"/>
        <v>0</v>
      </c>
      <c r="H135" s="132">
        <f t="shared" si="138"/>
        <v>0</v>
      </c>
      <c r="I135" s="157"/>
      <c r="J135" s="157"/>
      <c r="K135" s="157"/>
      <c r="L135" s="157"/>
      <c r="M135" s="157">
        <v>0</v>
      </c>
      <c r="N135" s="157"/>
      <c r="O135" s="157"/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55"/>
      <c r="J136" s="155"/>
      <c r="K136" s="155"/>
      <c r="L136" s="155"/>
      <c r="M136" s="155">
        <v>0</v>
      </c>
      <c r="N136" s="155"/>
      <c r="O136" s="155"/>
      <c r="P136" s="18">
        <f>SUM(D136:O136)</f>
        <v>0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155"/>
      <c r="J137" s="155"/>
      <c r="K137" s="155"/>
      <c r="L137" s="155"/>
      <c r="M137" s="155">
        <v>0</v>
      </c>
      <c r="N137" s="155"/>
      <c r="O137" s="155"/>
      <c r="P137" s="18">
        <f>SUM(D137:O137)</f>
        <v>0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155"/>
      <c r="J138" s="155"/>
      <c r="K138" s="155"/>
      <c r="L138" s="155"/>
      <c r="M138" s="155">
        <v>0</v>
      </c>
      <c r="N138" s="155"/>
      <c r="O138" s="155"/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H139" si="139">E135+E136-E137-E138</f>
        <v>0</v>
      </c>
      <c r="F139" s="132">
        <f t="shared" si="139"/>
        <v>0</v>
      </c>
      <c r="G139" s="132">
        <f t="shared" si="139"/>
        <v>0</v>
      </c>
      <c r="H139" s="132">
        <f t="shared" si="139"/>
        <v>0</v>
      </c>
      <c r="I139" s="157">
        <f t="shared" ref="I139" si="140">I135+I136-I137-I138</f>
        <v>0</v>
      </c>
      <c r="J139" s="157">
        <f t="shared" ref="J139:K139" si="141">J135+J136-J137-J138</f>
        <v>0</v>
      </c>
      <c r="K139" s="157">
        <f t="shared" si="141"/>
        <v>0</v>
      </c>
      <c r="L139" s="157">
        <f t="shared" ref="L139" si="142">L135+L136-L137-L138</f>
        <v>0</v>
      </c>
      <c r="M139" s="157">
        <v>0</v>
      </c>
      <c r="N139" s="157">
        <f t="shared" ref="N139" si="143">N135+N136-N137-N138</f>
        <v>0</v>
      </c>
      <c r="O139" s="157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0</v>
      </c>
      <c r="E140" s="132">
        <f>D144</f>
        <v>0</v>
      </c>
      <c r="F140" s="132">
        <f t="shared" ref="F140" si="144">E144</f>
        <v>0</v>
      </c>
      <c r="G140" s="157">
        <v>0</v>
      </c>
      <c r="H140" s="132">
        <f t="shared" ref="H140:I140" si="145">G144</f>
        <v>0</v>
      </c>
      <c r="I140" s="132">
        <f t="shared" si="145"/>
        <v>1</v>
      </c>
      <c r="J140" s="157"/>
      <c r="K140" s="157"/>
      <c r="L140" s="157"/>
      <c r="M140" s="157">
        <v>0</v>
      </c>
      <c r="N140" s="157"/>
      <c r="O140" s="157"/>
      <c r="P140" s="25">
        <f>D140</f>
        <v>0</v>
      </c>
    </row>
    <row r="141" spans="1:16" ht="15.6" x14ac:dyDescent="0.3">
      <c r="A141" s="674"/>
      <c r="B141" s="24" t="s">
        <v>84</v>
      </c>
      <c r="C141" s="11" t="s">
        <v>3</v>
      </c>
      <c r="D141" s="132">
        <v>0</v>
      </c>
      <c r="E141" s="132">
        <v>0</v>
      </c>
      <c r="F141" s="132">
        <v>0</v>
      </c>
      <c r="G141" s="155">
        <v>0</v>
      </c>
      <c r="H141" s="132">
        <v>1</v>
      </c>
      <c r="I141" s="155"/>
      <c r="J141" s="155"/>
      <c r="K141" s="155"/>
      <c r="L141" s="155"/>
      <c r="M141" s="155">
        <v>0</v>
      </c>
      <c r="N141" s="155"/>
      <c r="O141" s="155"/>
      <c r="P141" s="18">
        <f>SUM(D141:O141)</f>
        <v>1</v>
      </c>
    </row>
    <row r="142" spans="1:16" ht="15.6" x14ac:dyDescent="0.3">
      <c r="A142" s="674"/>
      <c r="B142" s="24" t="s">
        <v>83</v>
      </c>
      <c r="C142" s="11" t="s">
        <v>3</v>
      </c>
      <c r="D142" s="132">
        <v>0</v>
      </c>
      <c r="E142" s="132">
        <v>0</v>
      </c>
      <c r="F142" s="132">
        <v>0</v>
      </c>
      <c r="G142" s="155">
        <v>0</v>
      </c>
      <c r="H142" s="132">
        <v>0</v>
      </c>
      <c r="I142" s="132">
        <v>1</v>
      </c>
      <c r="J142" s="155"/>
      <c r="K142" s="155"/>
      <c r="L142" s="155"/>
      <c r="M142" s="155">
        <v>0</v>
      </c>
      <c r="N142" s="155"/>
      <c r="O142" s="155"/>
      <c r="P142" s="18">
        <f>SUM(D142:O142)</f>
        <v>1</v>
      </c>
    </row>
    <row r="143" spans="1:16" ht="15.6" x14ac:dyDescent="0.3">
      <c r="A143" s="674"/>
      <c r="B143" s="24" t="s">
        <v>82</v>
      </c>
      <c r="C143" s="11" t="s">
        <v>3</v>
      </c>
      <c r="D143" s="132">
        <v>0</v>
      </c>
      <c r="E143" s="132">
        <v>0</v>
      </c>
      <c r="F143" s="132">
        <v>0</v>
      </c>
      <c r="G143" s="155">
        <v>0</v>
      </c>
      <c r="H143" s="132">
        <v>0</v>
      </c>
      <c r="I143" s="155"/>
      <c r="J143" s="155"/>
      <c r="K143" s="155"/>
      <c r="L143" s="155"/>
      <c r="M143" s="155">
        <v>0</v>
      </c>
      <c r="N143" s="155"/>
      <c r="O143" s="155"/>
      <c r="P143" s="18">
        <f>SUM(D143:O143)</f>
        <v>0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0</v>
      </c>
      <c r="E144" s="132">
        <f t="shared" ref="E144:F144" si="146">E140+E141-E142-E143</f>
        <v>0</v>
      </c>
      <c r="F144" s="132">
        <f t="shared" si="146"/>
        <v>0</v>
      </c>
      <c r="G144" s="157">
        <v>0</v>
      </c>
      <c r="H144" s="132">
        <f t="shared" ref="H144" si="147">H140+H141-H142-H143</f>
        <v>1</v>
      </c>
      <c r="I144" s="157">
        <f t="shared" ref="I144" si="148">I140+I141-I142-I143</f>
        <v>0</v>
      </c>
      <c r="J144" s="157">
        <f t="shared" ref="J144:K144" si="149">J140+J141-J142-J143</f>
        <v>0</v>
      </c>
      <c r="K144" s="157">
        <f t="shared" si="149"/>
        <v>0</v>
      </c>
      <c r="L144" s="157">
        <f t="shared" ref="L144" si="150">L140+L141-L142-L143</f>
        <v>0</v>
      </c>
      <c r="M144" s="157">
        <v>0</v>
      </c>
      <c r="N144" s="157">
        <f t="shared" ref="N144" si="151">N140+N141-N142-N143</f>
        <v>0</v>
      </c>
      <c r="O144" s="157">
        <v>0</v>
      </c>
      <c r="P144" s="25">
        <f>P140+P141-P142-P143</f>
        <v>0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23">
        <f t="shared" ref="D145:I146" si="152">D125+D130+D135+D140</f>
        <v>0</v>
      </c>
      <c r="E145" s="23">
        <f t="shared" si="152"/>
        <v>0</v>
      </c>
      <c r="F145" s="23">
        <f t="shared" si="152"/>
        <v>0</v>
      </c>
      <c r="G145" s="23">
        <f t="shared" si="152"/>
        <v>0</v>
      </c>
      <c r="H145" s="23">
        <f t="shared" si="152"/>
        <v>0</v>
      </c>
      <c r="I145" s="138">
        <f t="shared" si="152"/>
        <v>1</v>
      </c>
      <c r="J145" s="23">
        <f t="shared" ref="J145:K145" si="153">J125+J130+J135+J140</f>
        <v>2</v>
      </c>
      <c r="K145" s="23">
        <f t="shared" si="153"/>
        <v>0</v>
      </c>
      <c r="L145" s="23">
        <f t="shared" ref="L145:M145" si="154">L125+L130+L135+L140</f>
        <v>0</v>
      </c>
      <c r="M145" s="23">
        <f t="shared" si="154"/>
        <v>0</v>
      </c>
      <c r="N145" s="23">
        <f t="shared" ref="N145" si="155">N125+N130+N135+N140</f>
        <v>0</v>
      </c>
      <c r="O145" s="23">
        <v>0</v>
      </c>
      <c r="P145" s="109">
        <f t="shared" ref="P145:P149" si="156">P125+P130+P135+P140</f>
        <v>0</v>
      </c>
    </row>
    <row r="146" spans="1:16" ht="15.6" x14ac:dyDescent="0.3">
      <c r="A146" s="674"/>
      <c r="B146" s="24" t="s">
        <v>84</v>
      </c>
      <c r="C146" s="11" t="s">
        <v>3</v>
      </c>
      <c r="D146" s="23">
        <f t="shared" ref="D146:E148" si="157">D126+D131+D136+D141</f>
        <v>0</v>
      </c>
      <c r="E146" s="23">
        <f t="shared" si="157"/>
        <v>0</v>
      </c>
      <c r="F146" s="23">
        <f t="shared" ref="F146:G146" si="158">F126+F131+F136+F141</f>
        <v>0</v>
      </c>
      <c r="G146" s="23">
        <f t="shared" si="158"/>
        <v>0</v>
      </c>
      <c r="H146" s="23">
        <f t="shared" ref="H146" si="159">H126+H131+H136+H141</f>
        <v>1</v>
      </c>
      <c r="I146" s="138">
        <f t="shared" si="152"/>
        <v>2</v>
      </c>
      <c r="J146" s="23">
        <f t="shared" ref="J146:K146" si="160">J126+J131+J136+J141</f>
        <v>1</v>
      </c>
      <c r="K146" s="23">
        <f t="shared" si="160"/>
        <v>0</v>
      </c>
      <c r="L146" s="23">
        <f t="shared" ref="L146:M146" si="161">L126+L131+L136+L141</f>
        <v>0</v>
      </c>
      <c r="M146" s="23">
        <f t="shared" si="161"/>
        <v>0</v>
      </c>
      <c r="N146" s="23">
        <f t="shared" ref="N146" si="162">N126+N131+N136+N141</f>
        <v>0</v>
      </c>
      <c r="O146" s="23">
        <v>0</v>
      </c>
      <c r="P146" s="109">
        <f t="shared" si="156"/>
        <v>4</v>
      </c>
    </row>
    <row r="147" spans="1:16" ht="15.6" x14ac:dyDescent="0.3">
      <c r="A147" s="674"/>
      <c r="B147" s="24" t="s">
        <v>83</v>
      </c>
      <c r="C147" s="11" t="s">
        <v>3</v>
      </c>
      <c r="D147" s="23">
        <f t="shared" si="157"/>
        <v>0</v>
      </c>
      <c r="E147" s="23">
        <f t="shared" si="157"/>
        <v>0</v>
      </c>
      <c r="F147" s="23">
        <f t="shared" ref="F147:G147" si="163">F127+F132+F137+F142</f>
        <v>0</v>
      </c>
      <c r="G147" s="23">
        <f t="shared" si="163"/>
        <v>0</v>
      </c>
      <c r="H147" s="23">
        <f t="shared" ref="H147:I147" si="164">H127+H132+H137+H142</f>
        <v>0</v>
      </c>
      <c r="I147" s="23">
        <f t="shared" si="164"/>
        <v>1</v>
      </c>
      <c r="J147" s="23">
        <f t="shared" ref="J147:K147" si="165">J127+J132+J137+J142</f>
        <v>0</v>
      </c>
      <c r="K147" s="23">
        <f t="shared" si="165"/>
        <v>0</v>
      </c>
      <c r="L147" s="23">
        <f t="shared" ref="L147:M147" si="166">L127+L132+L137+L142</f>
        <v>0</v>
      </c>
      <c r="M147" s="23">
        <f t="shared" si="166"/>
        <v>0</v>
      </c>
      <c r="N147" s="23">
        <f t="shared" ref="N147" si="167">N127+N132+N137+N142</f>
        <v>0</v>
      </c>
      <c r="O147" s="23">
        <v>0</v>
      </c>
      <c r="P147" s="109">
        <f t="shared" si="156"/>
        <v>1</v>
      </c>
    </row>
    <row r="148" spans="1:16" ht="15.6" x14ac:dyDescent="0.3">
      <c r="A148" s="674"/>
      <c r="B148" s="24" t="s">
        <v>82</v>
      </c>
      <c r="C148" s="11" t="s">
        <v>3</v>
      </c>
      <c r="D148" s="23">
        <f t="shared" si="157"/>
        <v>0</v>
      </c>
      <c r="E148" s="23">
        <f t="shared" si="157"/>
        <v>0</v>
      </c>
      <c r="F148" s="23">
        <f t="shared" ref="F148:G148" si="168">F128+F133+F138+F143</f>
        <v>0</v>
      </c>
      <c r="G148" s="23">
        <f t="shared" si="168"/>
        <v>0</v>
      </c>
      <c r="H148" s="23">
        <f t="shared" ref="H148:I148" si="169">H128+H133+H138+H143</f>
        <v>0</v>
      </c>
      <c r="I148" s="23">
        <f t="shared" si="169"/>
        <v>0</v>
      </c>
      <c r="J148" s="23">
        <f t="shared" ref="J148:K148" si="170">J128+J133+J138+J143</f>
        <v>3</v>
      </c>
      <c r="K148" s="23">
        <f t="shared" si="170"/>
        <v>0</v>
      </c>
      <c r="L148" s="23">
        <f t="shared" ref="L148:M148" si="171">L128+L133+L138+L143</f>
        <v>0</v>
      </c>
      <c r="M148" s="23">
        <f t="shared" si="171"/>
        <v>0</v>
      </c>
      <c r="N148" s="23">
        <f t="shared" ref="N148" si="172">N128+N133+N138+N143</f>
        <v>0</v>
      </c>
      <c r="O148" s="23">
        <v>0</v>
      </c>
      <c r="P148" s="109">
        <f t="shared" si="156"/>
        <v>3</v>
      </c>
    </row>
    <row r="149" spans="1:16" ht="15.6" x14ac:dyDescent="0.3">
      <c r="A149" s="675"/>
      <c r="B149" s="24" t="s">
        <v>81</v>
      </c>
      <c r="C149" s="11" t="s">
        <v>3</v>
      </c>
      <c r="D149" s="157">
        <f t="shared" ref="D149:I149" si="173">D145+D146-D147-D148</f>
        <v>0</v>
      </c>
      <c r="E149" s="157">
        <f t="shared" si="173"/>
        <v>0</v>
      </c>
      <c r="F149" s="157">
        <f t="shared" si="173"/>
        <v>0</v>
      </c>
      <c r="G149" s="157">
        <f t="shared" si="173"/>
        <v>0</v>
      </c>
      <c r="H149" s="157">
        <f t="shared" si="173"/>
        <v>1</v>
      </c>
      <c r="I149" s="157">
        <f t="shared" si="173"/>
        <v>2</v>
      </c>
      <c r="J149" s="157">
        <f t="shared" ref="J149:K149" si="174">J145+J146-J147-J148</f>
        <v>0</v>
      </c>
      <c r="K149" s="157">
        <f t="shared" si="174"/>
        <v>0</v>
      </c>
      <c r="L149" s="157">
        <f t="shared" ref="L149:M149" si="175">L145+L146-L147-L148</f>
        <v>0</v>
      </c>
      <c r="M149" s="157">
        <f t="shared" si="175"/>
        <v>0</v>
      </c>
      <c r="N149" s="157">
        <f t="shared" ref="N149" si="176">N145+N146-N147-N148</f>
        <v>0</v>
      </c>
      <c r="O149" s="157">
        <v>0</v>
      </c>
      <c r="P149" s="109">
        <f t="shared" si="156"/>
        <v>0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132">
        <v>1</v>
      </c>
      <c r="E153" s="132"/>
      <c r="F153" s="132"/>
      <c r="G153" s="132"/>
      <c r="H153" s="132">
        <v>2</v>
      </c>
      <c r="I153" s="132"/>
      <c r="J153" s="132">
        <v>1</v>
      </c>
      <c r="K153" s="132">
        <v>1</v>
      </c>
      <c r="L153" s="132"/>
      <c r="M153" s="4">
        <v>2</v>
      </c>
      <c r="N153" s="132">
        <v>1</v>
      </c>
      <c r="O153" s="155"/>
      <c r="P153" s="18">
        <f t="shared" ref="P153:P165" si="177">SUM(D153:O153)</f>
        <v>8</v>
      </c>
    </row>
    <row r="154" spans="1:16" ht="15.6" x14ac:dyDescent="0.3">
      <c r="A154" s="671"/>
      <c r="B154" s="19" t="s">
        <v>72</v>
      </c>
      <c r="C154" s="11" t="s">
        <v>57</v>
      </c>
      <c r="D154" s="132"/>
      <c r="E154" s="132"/>
      <c r="F154" s="132"/>
      <c r="G154" s="132"/>
      <c r="H154" s="132"/>
      <c r="I154" s="132"/>
      <c r="J154" s="155"/>
      <c r="K154" s="155"/>
      <c r="L154" s="132"/>
      <c r="M154" s="4"/>
      <c r="N154" s="4"/>
      <c r="O154" s="155"/>
      <c r="P154" s="18">
        <f t="shared" si="177"/>
        <v>0</v>
      </c>
    </row>
    <row r="155" spans="1:16" ht="15.6" x14ac:dyDescent="0.3">
      <c r="A155" s="671"/>
      <c r="B155" s="19" t="s">
        <v>53</v>
      </c>
      <c r="C155" s="11" t="s">
        <v>57</v>
      </c>
      <c r="D155" s="132"/>
      <c r="E155" s="132"/>
      <c r="F155" s="132"/>
      <c r="G155" s="132"/>
      <c r="H155" s="132"/>
      <c r="I155" s="132"/>
      <c r="J155" s="155"/>
      <c r="K155" s="155"/>
      <c r="L155" s="132"/>
      <c r="M155" s="4"/>
      <c r="N155" s="4"/>
      <c r="O155" s="155"/>
      <c r="P155" s="18">
        <f t="shared" si="177"/>
        <v>0</v>
      </c>
    </row>
    <row r="156" spans="1:16" ht="15.6" x14ac:dyDescent="0.3">
      <c r="A156" s="671"/>
      <c r="B156" s="19" t="s">
        <v>71</v>
      </c>
      <c r="C156" s="11" t="s">
        <v>57</v>
      </c>
      <c r="D156" s="132"/>
      <c r="E156" s="132"/>
      <c r="F156" s="132"/>
      <c r="G156" s="132"/>
      <c r="H156" s="132"/>
      <c r="I156" s="132"/>
      <c r="J156" s="155"/>
      <c r="K156" s="155"/>
      <c r="L156" s="132"/>
      <c r="M156" s="4"/>
      <c r="N156" s="4"/>
      <c r="O156" s="155"/>
      <c r="P156" s="18">
        <f t="shared" si="177"/>
        <v>0</v>
      </c>
    </row>
    <row r="157" spans="1:16" ht="15.6" x14ac:dyDescent="0.3">
      <c r="A157" s="671"/>
      <c r="B157" s="19" t="s">
        <v>52</v>
      </c>
      <c r="C157" s="11" t="s">
        <v>57</v>
      </c>
      <c r="D157" s="132"/>
      <c r="E157" s="132">
        <v>1</v>
      </c>
      <c r="F157" s="132"/>
      <c r="G157" s="132"/>
      <c r="H157" s="132"/>
      <c r="I157" s="132"/>
      <c r="J157" s="155"/>
      <c r="K157" s="132">
        <v>1</v>
      </c>
      <c r="L157" s="132"/>
      <c r="M157" s="4"/>
      <c r="N157" s="4"/>
      <c r="O157" s="155">
        <v>1</v>
      </c>
      <c r="P157" s="18">
        <f t="shared" si="177"/>
        <v>3</v>
      </c>
    </row>
    <row r="158" spans="1:16" ht="15.6" x14ac:dyDescent="0.3">
      <c r="A158" s="671"/>
      <c r="B158" s="19" t="s">
        <v>51</v>
      </c>
      <c r="C158" s="11" t="s">
        <v>57</v>
      </c>
      <c r="D158" s="132">
        <v>1</v>
      </c>
      <c r="E158" s="132"/>
      <c r="F158" s="132">
        <v>1</v>
      </c>
      <c r="G158" s="132"/>
      <c r="H158" s="132"/>
      <c r="I158" s="132">
        <v>2</v>
      </c>
      <c r="J158" s="132">
        <v>1</v>
      </c>
      <c r="K158" s="155"/>
      <c r="L158" s="132">
        <v>2</v>
      </c>
      <c r="M158" s="4"/>
      <c r="N158" s="4"/>
      <c r="O158" s="155">
        <v>1</v>
      </c>
      <c r="P158" s="18">
        <f t="shared" si="177"/>
        <v>8</v>
      </c>
    </row>
    <row r="159" spans="1:16" ht="15.6" x14ac:dyDescent="0.3">
      <c r="A159" s="671"/>
      <c r="B159" s="19" t="s">
        <v>62</v>
      </c>
      <c r="C159" s="11" t="s">
        <v>57</v>
      </c>
      <c r="D159" s="132"/>
      <c r="E159" s="132"/>
      <c r="F159" s="132"/>
      <c r="G159" s="132"/>
      <c r="H159" s="132"/>
      <c r="I159" s="4"/>
      <c r="J159" s="155"/>
      <c r="K159" s="155"/>
      <c r="L159" s="132"/>
      <c r="M159" s="4"/>
      <c r="N159" s="4"/>
      <c r="O159" s="155"/>
      <c r="P159" s="18">
        <f t="shared" si="177"/>
        <v>0</v>
      </c>
    </row>
    <row r="160" spans="1:16" ht="15.6" x14ac:dyDescent="0.3">
      <c r="A160" s="671"/>
      <c r="B160" s="19" t="s">
        <v>50</v>
      </c>
      <c r="C160" s="11" t="s">
        <v>57</v>
      </c>
      <c r="D160" s="132"/>
      <c r="E160" s="132"/>
      <c r="F160" s="132"/>
      <c r="G160" s="132"/>
      <c r="H160" s="132"/>
      <c r="I160" s="4"/>
      <c r="J160" s="155"/>
      <c r="K160" s="155"/>
      <c r="L160" s="132"/>
      <c r="M160" s="4"/>
      <c r="N160" s="4"/>
      <c r="O160" s="155"/>
      <c r="P160" s="18">
        <f t="shared" si="177"/>
        <v>0</v>
      </c>
    </row>
    <row r="161" spans="1:16" ht="15.6" x14ac:dyDescent="0.3">
      <c r="A161" s="671"/>
      <c r="B161" s="19" t="s">
        <v>49</v>
      </c>
      <c r="C161" s="11" t="s">
        <v>57</v>
      </c>
      <c r="D161" s="132"/>
      <c r="E161" s="132"/>
      <c r="F161" s="132"/>
      <c r="G161" s="132"/>
      <c r="H161" s="132"/>
      <c r="I161" s="4"/>
      <c r="J161" s="155"/>
      <c r="K161" s="155"/>
      <c r="L161" s="132"/>
      <c r="M161" s="4"/>
      <c r="N161" s="4"/>
      <c r="O161" s="4"/>
      <c r="P161" s="18">
        <f t="shared" si="177"/>
        <v>0</v>
      </c>
    </row>
    <row r="162" spans="1:16" ht="15.6" x14ac:dyDescent="0.3">
      <c r="A162" s="671"/>
      <c r="B162" s="19" t="s">
        <v>77</v>
      </c>
      <c r="C162" s="11" t="s">
        <v>57</v>
      </c>
      <c r="D162" s="132"/>
      <c r="E162" s="132"/>
      <c r="F162" s="132"/>
      <c r="G162" s="132"/>
      <c r="H162" s="132"/>
      <c r="I162" s="4"/>
      <c r="J162" s="4"/>
      <c r="K162" s="4"/>
      <c r="L162" s="4"/>
      <c r="M162" s="4"/>
      <c r="N162" s="4"/>
      <c r="O162" s="4"/>
      <c r="P162" s="18">
        <f t="shared" si="177"/>
        <v>0</v>
      </c>
    </row>
    <row r="163" spans="1:16" ht="15.6" x14ac:dyDescent="0.3">
      <c r="A163" s="671"/>
      <c r="B163" s="19" t="s">
        <v>69</v>
      </c>
      <c r="C163" s="11" t="s">
        <v>57</v>
      </c>
      <c r="D163" s="132"/>
      <c r="E163" s="132"/>
      <c r="F163" s="132"/>
      <c r="G163" s="132"/>
      <c r="H163" s="132"/>
      <c r="I163" s="4"/>
      <c r="J163" s="4"/>
      <c r="K163" s="4"/>
      <c r="L163" s="4"/>
      <c r="M163" s="4"/>
      <c r="N163" s="4"/>
      <c r="O163" s="4"/>
      <c r="P163" s="18">
        <f t="shared" si="177"/>
        <v>0</v>
      </c>
    </row>
    <row r="164" spans="1:16" ht="15.6" x14ac:dyDescent="0.3">
      <c r="A164" s="671"/>
      <c r="B164" s="19" t="s">
        <v>68</v>
      </c>
      <c r="C164" s="11" t="s">
        <v>57</v>
      </c>
      <c r="D164" s="132"/>
      <c r="E164" s="132"/>
      <c r="F164" s="132"/>
      <c r="G164" s="132"/>
      <c r="H164" s="132"/>
      <c r="I164" s="4"/>
      <c r="J164" s="4"/>
      <c r="K164" s="4"/>
      <c r="L164" s="4"/>
      <c r="M164" s="4"/>
      <c r="N164" s="4"/>
      <c r="O164" s="4"/>
      <c r="P164" s="18">
        <f t="shared" si="177"/>
        <v>0</v>
      </c>
    </row>
    <row r="165" spans="1:16" ht="15.6" x14ac:dyDescent="0.3">
      <c r="A165" s="672"/>
      <c r="B165" s="19" t="s">
        <v>76</v>
      </c>
      <c r="C165" s="11" t="s">
        <v>57</v>
      </c>
      <c r="D165" s="132"/>
      <c r="E165" s="132"/>
      <c r="F165" s="132"/>
      <c r="G165" s="132"/>
      <c r="H165" s="132"/>
      <c r="I165" s="4"/>
      <c r="J165" s="4"/>
      <c r="K165" s="4"/>
      <c r="L165" s="4"/>
      <c r="M165" s="4"/>
      <c r="N165" s="4"/>
      <c r="O165" s="4"/>
      <c r="P165" s="18">
        <f t="shared" si="177"/>
        <v>0</v>
      </c>
    </row>
    <row r="166" spans="1:16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132"/>
      <c r="H166" s="4"/>
      <c r="I166" s="4"/>
      <c r="J166" s="4"/>
      <c r="K166" s="4"/>
      <c r="L166" s="4"/>
      <c r="M166" s="4"/>
      <c r="N166" s="4"/>
      <c r="O166" s="4"/>
      <c r="P166" s="18"/>
    </row>
    <row r="167" spans="1:16" ht="15.6" x14ac:dyDescent="0.3">
      <c r="A167" s="671"/>
      <c r="B167" s="19" t="s">
        <v>74</v>
      </c>
      <c r="C167" s="11" t="s">
        <v>57</v>
      </c>
      <c r="D167" s="132"/>
      <c r="E167" s="132"/>
      <c r="F167" s="132">
        <v>1</v>
      </c>
      <c r="G167" s="132"/>
      <c r="H167" s="132"/>
      <c r="I167" s="155"/>
      <c r="J167" s="132">
        <v>2</v>
      </c>
      <c r="K167" s="155"/>
      <c r="L167" s="4"/>
      <c r="M167" s="4">
        <v>1</v>
      </c>
      <c r="N167" s="4"/>
      <c r="O167" s="4">
        <v>1</v>
      </c>
      <c r="P167" s="18">
        <f t="shared" ref="P167:P175" si="178">SUM(D167:O167)</f>
        <v>5</v>
      </c>
    </row>
    <row r="168" spans="1:16" ht="15.6" x14ac:dyDescent="0.3">
      <c r="A168" s="671"/>
      <c r="B168" s="19" t="s">
        <v>73</v>
      </c>
      <c r="C168" s="11" t="s">
        <v>57</v>
      </c>
      <c r="D168" s="132"/>
      <c r="E168" s="132"/>
      <c r="F168" s="132"/>
      <c r="G168" s="132">
        <v>1</v>
      </c>
      <c r="H168" s="132">
        <v>1</v>
      </c>
      <c r="I168" s="4"/>
      <c r="J168" s="4"/>
      <c r="K168" s="155"/>
      <c r="L168" s="4"/>
      <c r="M168" s="4"/>
      <c r="N168" s="4"/>
      <c r="O168" s="4"/>
      <c r="P168" s="18">
        <f t="shared" si="178"/>
        <v>2</v>
      </c>
    </row>
    <row r="169" spans="1:16" ht="15.6" x14ac:dyDescent="0.3">
      <c r="A169" s="671"/>
      <c r="B169" s="19" t="s">
        <v>72</v>
      </c>
      <c r="C169" s="11" t="s">
        <v>57</v>
      </c>
      <c r="D169" s="132"/>
      <c r="E169" s="132"/>
      <c r="F169" s="132"/>
      <c r="G169" s="132"/>
      <c r="H169" s="132"/>
      <c r="I169" s="4"/>
      <c r="J169" s="4"/>
      <c r="K169" s="4"/>
      <c r="L169" s="4"/>
      <c r="M169" s="4">
        <v>1</v>
      </c>
      <c r="N169" s="4"/>
      <c r="O169" s="4"/>
      <c r="P169" s="18">
        <f t="shared" si="178"/>
        <v>1</v>
      </c>
    </row>
    <row r="170" spans="1:16" ht="15.6" x14ac:dyDescent="0.3">
      <c r="A170" s="671"/>
      <c r="B170" s="19" t="s">
        <v>71</v>
      </c>
      <c r="C170" s="11" t="s">
        <v>57</v>
      </c>
      <c r="D170" s="132"/>
      <c r="E170" s="132"/>
      <c r="F170" s="132"/>
      <c r="G170" s="132"/>
      <c r="H170" s="132"/>
      <c r="I170" s="4"/>
      <c r="J170" s="4"/>
      <c r="K170" s="4"/>
      <c r="L170" s="4"/>
      <c r="M170" s="4"/>
      <c r="N170" s="4"/>
      <c r="O170" s="4"/>
      <c r="P170" s="18">
        <f t="shared" si="178"/>
        <v>0</v>
      </c>
    </row>
    <row r="171" spans="1:16" ht="15.6" x14ac:dyDescent="0.3">
      <c r="A171" s="671"/>
      <c r="B171" s="19" t="s">
        <v>52</v>
      </c>
      <c r="C171" s="11" t="s">
        <v>57</v>
      </c>
      <c r="D171" s="132"/>
      <c r="E171" s="132"/>
      <c r="F171" s="132"/>
      <c r="G171" s="132"/>
      <c r="H171" s="132"/>
      <c r="I171" s="4"/>
      <c r="J171" s="4"/>
      <c r="K171" s="4"/>
      <c r="L171" s="4"/>
      <c r="M171" s="4"/>
      <c r="N171" s="4"/>
      <c r="O171" s="4"/>
      <c r="P171" s="18">
        <f t="shared" si="178"/>
        <v>0</v>
      </c>
    </row>
    <row r="172" spans="1:16" ht="15.6" x14ac:dyDescent="0.3">
      <c r="A172" s="671"/>
      <c r="B172" s="19" t="s">
        <v>62</v>
      </c>
      <c r="C172" s="11" t="s">
        <v>57</v>
      </c>
      <c r="D172" s="132"/>
      <c r="E172" s="132"/>
      <c r="F172" s="132"/>
      <c r="G172" s="132"/>
      <c r="H172" s="132"/>
      <c r="I172" s="4"/>
      <c r="J172" s="4"/>
      <c r="K172" s="4"/>
      <c r="L172" s="4"/>
      <c r="M172" s="4"/>
      <c r="N172" s="4"/>
      <c r="O172" s="4"/>
      <c r="P172" s="18">
        <f t="shared" si="178"/>
        <v>0</v>
      </c>
    </row>
    <row r="173" spans="1:16" ht="15.6" x14ac:dyDescent="0.3">
      <c r="A173" s="671"/>
      <c r="B173" s="19" t="s">
        <v>61</v>
      </c>
      <c r="C173" s="11" t="s">
        <v>57</v>
      </c>
      <c r="D173" s="132"/>
      <c r="E173" s="132"/>
      <c r="F173" s="132"/>
      <c r="G173" s="13"/>
      <c r="H173" s="132"/>
      <c r="I173" s="4"/>
      <c r="J173" s="4"/>
      <c r="K173" s="4"/>
      <c r="L173" s="4"/>
      <c r="M173" s="4"/>
      <c r="N173" s="4"/>
      <c r="O173" s="4"/>
      <c r="P173" s="18">
        <f t="shared" si="178"/>
        <v>0</v>
      </c>
    </row>
    <row r="174" spans="1:16" ht="15.6" x14ac:dyDescent="0.3">
      <c r="A174" s="671"/>
      <c r="B174" s="19" t="s">
        <v>60</v>
      </c>
      <c r="C174" s="11" t="s">
        <v>57</v>
      </c>
      <c r="D174" s="132"/>
      <c r="E174" s="132"/>
      <c r="F174" s="132"/>
      <c r="G174" s="13"/>
      <c r="H174" s="132"/>
      <c r="I174" s="4"/>
      <c r="J174" s="4"/>
      <c r="K174" s="4"/>
      <c r="L174" s="4"/>
      <c r="M174" s="4"/>
      <c r="N174" s="4"/>
      <c r="O174" s="4"/>
      <c r="P174" s="18">
        <f t="shared" si="178"/>
        <v>0</v>
      </c>
    </row>
    <row r="175" spans="1:16" ht="15.6" x14ac:dyDescent="0.3">
      <c r="A175" s="672"/>
      <c r="B175" s="19" t="s">
        <v>69</v>
      </c>
      <c r="C175" s="11" t="s">
        <v>57</v>
      </c>
      <c r="D175" s="132"/>
      <c r="E175" s="132"/>
      <c r="F175" s="132"/>
      <c r="G175" s="132"/>
      <c r="H175" s="132"/>
      <c r="I175" s="4"/>
      <c r="J175" s="4"/>
      <c r="K175" s="4"/>
      <c r="L175" s="4"/>
      <c r="M175" s="4"/>
      <c r="N175" s="4"/>
      <c r="O175" s="4"/>
      <c r="P175" s="18">
        <f t="shared" si="178"/>
        <v>0</v>
      </c>
    </row>
    <row r="176" spans="1:16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132"/>
      <c r="H176" s="4"/>
      <c r="I176" s="4"/>
      <c r="J176" s="4"/>
      <c r="K176" s="4"/>
      <c r="L176" s="4"/>
      <c r="M176" s="4"/>
      <c r="N176" s="4"/>
      <c r="O176" s="4"/>
      <c r="P176" s="18"/>
    </row>
    <row r="177" spans="1:16" ht="15.6" x14ac:dyDescent="0.3">
      <c r="A177" s="671"/>
      <c r="B177" s="19" t="s">
        <v>60</v>
      </c>
      <c r="C177" s="11" t="s">
        <v>57</v>
      </c>
      <c r="D177" s="4"/>
      <c r="E177" s="4"/>
      <c r="F177" s="4"/>
      <c r="G177" s="132"/>
      <c r="H177" s="4"/>
      <c r="I177" s="4"/>
      <c r="J177" s="4"/>
      <c r="K177" s="4"/>
      <c r="L177" s="4"/>
      <c r="M177" s="4"/>
      <c r="N177" s="4"/>
      <c r="O177" s="4"/>
      <c r="P177" s="18">
        <f t="shared" ref="P177:P182" si="179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4"/>
      <c r="E178" s="4"/>
      <c r="F178" s="4"/>
      <c r="G178" s="132"/>
      <c r="H178" s="4"/>
      <c r="I178" s="4"/>
      <c r="J178" s="4"/>
      <c r="K178" s="4"/>
      <c r="L178" s="4"/>
      <c r="M178" s="4"/>
      <c r="N178" s="4"/>
      <c r="O178" s="4"/>
      <c r="P178" s="18">
        <f t="shared" si="179"/>
        <v>0</v>
      </c>
    </row>
    <row r="179" spans="1:16" ht="15.6" x14ac:dyDescent="0.3">
      <c r="A179" s="671"/>
      <c r="B179" s="19" t="s">
        <v>68</v>
      </c>
      <c r="C179" s="11" t="s">
        <v>57</v>
      </c>
      <c r="D179" s="4"/>
      <c r="E179" s="4"/>
      <c r="F179" s="4"/>
      <c r="G179" s="132"/>
      <c r="H179" s="4"/>
      <c r="I179" s="4"/>
      <c r="J179" s="4"/>
      <c r="K179" s="4"/>
      <c r="L179" s="4"/>
      <c r="M179" s="4"/>
      <c r="N179" s="4"/>
      <c r="O179" s="4"/>
      <c r="P179" s="18">
        <f t="shared" si="179"/>
        <v>0</v>
      </c>
    </row>
    <row r="180" spans="1:16" ht="15.6" x14ac:dyDescent="0.3">
      <c r="A180" s="671"/>
      <c r="B180" s="19" t="s">
        <v>67</v>
      </c>
      <c r="C180" s="11" t="s">
        <v>57</v>
      </c>
      <c r="D180" s="4"/>
      <c r="E180" s="4"/>
      <c r="F180" s="4"/>
      <c r="G180" s="132"/>
      <c r="H180" s="4"/>
      <c r="I180" s="4"/>
      <c r="J180" s="4"/>
      <c r="K180" s="4"/>
      <c r="L180" s="4"/>
      <c r="M180" s="4"/>
      <c r="N180" s="4"/>
      <c r="O180" s="4"/>
      <c r="P180" s="18">
        <f t="shared" si="179"/>
        <v>0</v>
      </c>
    </row>
    <row r="181" spans="1:16" ht="15.6" x14ac:dyDescent="0.3">
      <c r="A181" s="671"/>
      <c r="B181" s="19" t="s">
        <v>66</v>
      </c>
      <c r="C181" s="11" t="s">
        <v>57</v>
      </c>
      <c r="D181" s="4"/>
      <c r="E181" s="4"/>
      <c r="F181" s="4"/>
      <c r="G181" s="132"/>
      <c r="H181" s="4"/>
      <c r="I181" s="4"/>
      <c r="J181" s="4"/>
      <c r="K181" s="4"/>
      <c r="L181" s="4"/>
      <c r="M181" s="4"/>
      <c r="N181" s="4"/>
      <c r="O181" s="4"/>
      <c r="P181" s="18">
        <f t="shared" si="179"/>
        <v>0</v>
      </c>
    </row>
    <row r="182" spans="1:16" ht="15.6" x14ac:dyDescent="0.3">
      <c r="A182" s="672"/>
      <c r="B182" s="19" t="s">
        <v>65</v>
      </c>
      <c r="C182" s="11" t="s">
        <v>57</v>
      </c>
      <c r="D182" s="4"/>
      <c r="E182" s="4"/>
      <c r="F182" s="4"/>
      <c r="G182" s="132"/>
      <c r="H182" s="4"/>
      <c r="I182" s="4"/>
      <c r="J182" s="4"/>
      <c r="K182" s="4"/>
      <c r="L182" s="4"/>
      <c r="M182" s="4"/>
      <c r="N182" s="4"/>
      <c r="O182" s="4"/>
      <c r="P182" s="18">
        <f t="shared" si="179"/>
        <v>0</v>
      </c>
    </row>
    <row r="183" spans="1:16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8"/>
    </row>
    <row r="184" spans="1:16" ht="15.6" x14ac:dyDescent="0.3">
      <c r="A184" s="671"/>
      <c r="B184" s="19" t="s">
        <v>73</v>
      </c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8"/>
    </row>
    <row r="189" spans="1:16" ht="15.6" x14ac:dyDescent="0.3">
      <c r="A189" s="671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8">
        <f>SUM(D190:O190)</f>
        <v>0</v>
      </c>
    </row>
    <row r="191" spans="1:16" ht="15.6" x14ac:dyDescent="0.3">
      <c r="A191" s="671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8">
        <f>SUM(D191:O191)</f>
        <v>0</v>
      </c>
    </row>
    <row r="192" spans="1:16" ht="15.6" x14ac:dyDescent="0.3">
      <c r="A192" s="672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8">
        <f>SUM(D153:D192)</f>
        <v>2</v>
      </c>
      <c r="E193" s="158">
        <f t="shared" ref="E193:P193" si="180">SUM(E153:E192)</f>
        <v>1</v>
      </c>
      <c r="F193" s="158">
        <f t="shared" si="180"/>
        <v>2</v>
      </c>
      <c r="G193" s="158">
        <f t="shared" si="180"/>
        <v>1</v>
      </c>
      <c r="H193" s="158">
        <f t="shared" si="180"/>
        <v>3</v>
      </c>
      <c r="I193" s="158">
        <f t="shared" si="180"/>
        <v>2</v>
      </c>
      <c r="J193" s="158">
        <f t="shared" si="180"/>
        <v>4</v>
      </c>
      <c r="K193" s="158">
        <f t="shared" si="180"/>
        <v>2</v>
      </c>
      <c r="L193" s="158">
        <f t="shared" si="180"/>
        <v>2</v>
      </c>
      <c r="M193" s="158">
        <f t="shared" si="180"/>
        <v>4</v>
      </c>
      <c r="N193" s="158">
        <f t="shared" si="180"/>
        <v>1</v>
      </c>
      <c r="O193" s="158">
        <v>3</v>
      </c>
      <c r="P193" s="160">
        <f t="shared" si="180"/>
        <v>27</v>
      </c>
    </row>
    <row r="194" spans="1:16" ht="15.6" x14ac:dyDescent="0.3">
      <c r="A194" s="665" t="s">
        <v>58</v>
      </c>
      <c r="B194" s="666"/>
      <c r="C194" s="11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6</v>
      </c>
      <c r="I194" s="155"/>
      <c r="J194" s="4">
        <v>5</v>
      </c>
      <c r="K194" s="4">
        <v>2</v>
      </c>
      <c r="L194" s="155">
        <v>1</v>
      </c>
      <c r="M194" s="155">
        <v>5</v>
      </c>
      <c r="N194" s="155"/>
      <c r="O194" s="155">
        <v>1</v>
      </c>
      <c r="P194" s="18">
        <f>SUM(D194:O194)</f>
        <v>20</v>
      </c>
    </row>
    <row r="195" spans="1:16" ht="15.6" x14ac:dyDescent="0.3">
      <c r="A195" s="667"/>
      <c r="B195" s="668"/>
      <c r="C195" s="16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144</v>
      </c>
      <c r="I195" s="155"/>
      <c r="J195" s="4">
        <v>120</v>
      </c>
      <c r="K195" s="4">
        <v>22</v>
      </c>
      <c r="L195" s="155">
        <v>14</v>
      </c>
      <c r="M195" s="155">
        <v>9</v>
      </c>
      <c r="N195" s="155"/>
      <c r="O195" s="155">
        <v>5</v>
      </c>
      <c r="P195" s="18">
        <f>SUM(D195:O195)</f>
        <v>314</v>
      </c>
    </row>
    <row r="196" spans="1:16" ht="15.6" x14ac:dyDescent="0.3">
      <c r="A196" s="85" t="s">
        <v>202</v>
      </c>
      <c r="B196" s="86"/>
      <c r="C196" s="16" t="s">
        <v>55</v>
      </c>
      <c r="D196" s="4">
        <v>19</v>
      </c>
      <c r="E196" s="4">
        <v>24</v>
      </c>
      <c r="F196" s="4">
        <v>24</v>
      </c>
      <c r="G196" s="4">
        <v>23</v>
      </c>
      <c r="H196" s="4">
        <v>22</v>
      </c>
      <c r="I196" s="4">
        <v>24</v>
      </c>
      <c r="J196" s="4">
        <v>19</v>
      </c>
      <c r="K196" s="4">
        <v>24</v>
      </c>
      <c r="L196" s="155">
        <v>23</v>
      </c>
      <c r="M196" s="155">
        <v>24</v>
      </c>
      <c r="N196" s="4">
        <v>24</v>
      </c>
      <c r="O196" s="155">
        <v>24</v>
      </c>
      <c r="P196" s="18">
        <f>SUM(D196:O196)/12</f>
        <v>22.833333333333332</v>
      </c>
    </row>
    <row r="197" spans="1:16" ht="15.6" x14ac:dyDescent="0.3">
      <c r="A197" s="661" t="s">
        <v>56</v>
      </c>
      <c r="B197" s="662"/>
      <c r="C197" s="16" t="s">
        <v>55</v>
      </c>
      <c r="D197" s="4">
        <v>19</v>
      </c>
      <c r="E197" s="4">
        <v>15</v>
      </c>
      <c r="F197" s="4">
        <v>11</v>
      </c>
      <c r="G197" s="4">
        <v>18</v>
      </c>
      <c r="H197" s="4">
        <v>144</v>
      </c>
      <c r="I197" s="4">
        <v>21</v>
      </c>
      <c r="J197" s="4">
        <v>192</v>
      </c>
      <c r="K197" s="4">
        <v>48</v>
      </c>
      <c r="L197" s="155">
        <v>154</v>
      </c>
      <c r="M197" s="155">
        <v>45</v>
      </c>
      <c r="N197" s="4">
        <v>26</v>
      </c>
      <c r="O197" s="155">
        <v>20</v>
      </c>
      <c r="P197" s="18">
        <f>SUM(D197:O197)</f>
        <v>713</v>
      </c>
    </row>
    <row r="198" spans="1:16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81">SUM(D199:O199)</f>
        <v>0</v>
      </c>
    </row>
    <row r="200" spans="1:16" ht="15.6" x14ac:dyDescent="0.3">
      <c r="A200" s="669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>
        <v>45</v>
      </c>
      <c r="K200" s="4"/>
      <c r="L200" s="4"/>
      <c r="M200" s="4"/>
      <c r="N200" s="4"/>
      <c r="O200" s="4"/>
      <c r="P200" s="9">
        <f t="shared" si="181"/>
        <v>45</v>
      </c>
    </row>
    <row r="201" spans="1:16" ht="15.6" x14ac:dyDescent="0.3">
      <c r="A201" s="669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181"/>
        <v>0</v>
      </c>
    </row>
    <row r="202" spans="1:16" ht="15.6" x14ac:dyDescent="0.3">
      <c r="A202" s="669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81"/>
        <v>0</v>
      </c>
    </row>
    <row r="203" spans="1:16" ht="15.6" x14ac:dyDescent="0.3">
      <c r="A203" s="667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81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82">SUM(D199:D203)</f>
        <v>0</v>
      </c>
      <c r="E204" s="15">
        <f t="shared" si="182"/>
        <v>0</v>
      </c>
      <c r="F204" s="15">
        <f t="shared" si="182"/>
        <v>0</v>
      </c>
      <c r="G204" s="15">
        <f t="shared" si="182"/>
        <v>0</v>
      </c>
      <c r="H204" s="15">
        <f t="shared" si="182"/>
        <v>0</v>
      </c>
      <c r="I204" s="15">
        <f t="shared" si="182"/>
        <v>0</v>
      </c>
      <c r="J204" s="15">
        <f t="shared" si="182"/>
        <v>45</v>
      </c>
      <c r="K204" s="15">
        <f t="shared" si="182"/>
        <v>0</v>
      </c>
      <c r="L204" s="15">
        <f t="shared" si="182"/>
        <v>0</v>
      </c>
      <c r="M204" s="15">
        <f t="shared" si="182"/>
        <v>0</v>
      </c>
      <c r="N204" s="15">
        <f t="shared" si="182"/>
        <v>0</v>
      </c>
      <c r="O204" s="15">
        <v>0</v>
      </c>
      <c r="P204" s="110">
        <f t="shared" si="181"/>
        <v>45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f>241120-182000</f>
        <v>59120</v>
      </c>
      <c r="E206" s="13">
        <v>182397.41</v>
      </c>
      <c r="F206" s="13">
        <v>114000</v>
      </c>
      <c r="G206" s="13">
        <v>186000</v>
      </c>
      <c r="H206" s="13">
        <v>325850</v>
      </c>
      <c r="I206" s="13">
        <v>376789.7</v>
      </c>
      <c r="J206" s="555">
        <v>224501</v>
      </c>
      <c r="K206" s="555">
        <f>950050+41000</f>
        <v>991050</v>
      </c>
      <c r="L206" s="13">
        <v>322573</v>
      </c>
      <c r="M206" s="13">
        <v>378450</v>
      </c>
      <c r="N206" s="13">
        <f>603756.38-512756.38+69000</f>
        <v>160000</v>
      </c>
      <c r="O206" s="13">
        <v>103600</v>
      </c>
      <c r="P206" s="9">
        <f>SUM(D206:O206)</f>
        <v>3424331.1100000003</v>
      </c>
    </row>
    <row r="207" spans="1:16" ht="15.6" x14ac:dyDescent="0.3">
      <c r="A207" s="661" t="s">
        <v>42</v>
      </c>
      <c r="B207" s="662"/>
      <c r="C207" s="11" t="s">
        <v>31</v>
      </c>
      <c r="D207" s="13">
        <v>0</v>
      </c>
      <c r="E207" s="13">
        <v>0</v>
      </c>
      <c r="F207" s="13">
        <v>0</v>
      </c>
      <c r="G207" s="13">
        <v>0</v>
      </c>
      <c r="H207" s="13"/>
      <c r="I207" s="13"/>
      <c r="J207" s="13"/>
      <c r="K207" s="13"/>
      <c r="L207" s="13"/>
      <c r="M207" s="13"/>
      <c r="N207" s="13"/>
      <c r="O207" s="13"/>
      <c r="P207" s="9">
        <f>SUM(D207:O207)</f>
        <v>0</v>
      </c>
    </row>
    <row r="208" spans="1:16" ht="15.6" x14ac:dyDescent="0.3">
      <c r="A208" s="663" t="s">
        <v>41</v>
      </c>
      <c r="B208" s="664"/>
      <c r="C208" s="11" t="s">
        <v>31</v>
      </c>
      <c r="D208" s="13">
        <v>0</v>
      </c>
      <c r="E208" s="13">
        <v>0</v>
      </c>
      <c r="F208" s="13">
        <v>0</v>
      </c>
      <c r="G208" s="13">
        <v>0</v>
      </c>
      <c r="H208" s="13"/>
      <c r="I208" s="13"/>
      <c r="J208" s="13"/>
      <c r="K208" s="13"/>
      <c r="L208" s="13"/>
      <c r="M208" s="13"/>
      <c r="N208" s="13"/>
      <c r="O208" s="13"/>
      <c r="P208" s="9">
        <f>SUM(D208:O208)</f>
        <v>0</v>
      </c>
    </row>
    <row r="209" spans="1:16" ht="15.6" x14ac:dyDescent="0.3">
      <c r="A209" s="661" t="s">
        <v>40</v>
      </c>
      <c r="B209" s="662"/>
      <c r="C209" s="11" t="s">
        <v>31</v>
      </c>
      <c r="D209" s="13">
        <v>0</v>
      </c>
      <c r="E209" s="13">
        <v>0</v>
      </c>
      <c r="F209" s="13">
        <v>0</v>
      </c>
      <c r="G209" s="13">
        <v>0</v>
      </c>
      <c r="H209" s="13"/>
      <c r="I209" s="13"/>
      <c r="J209" s="13"/>
      <c r="K209" s="13"/>
      <c r="L209" s="13"/>
      <c r="M209" s="13"/>
      <c r="N209" s="13"/>
      <c r="O209" s="13"/>
      <c r="P209" s="9">
        <f>SUM(D209:O209)</f>
        <v>0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183">SUM(D206:D209)</f>
        <v>59120</v>
      </c>
      <c r="E210" s="10">
        <f t="shared" si="183"/>
        <v>182397.41</v>
      </c>
      <c r="F210" s="10">
        <f t="shared" si="183"/>
        <v>114000</v>
      </c>
      <c r="G210" s="10">
        <f t="shared" si="183"/>
        <v>186000</v>
      </c>
      <c r="H210" s="10">
        <f t="shared" si="183"/>
        <v>325850</v>
      </c>
      <c r="I210" s="10">
        <f t="shared" si="183"/>
        <v>376789.7</v>
      </c>
      <c r="J210" s="10">
        <f t="shared" si="183"/>
        <v>224501</v>
      </c>
      <c r="K210" s="10">
        <f t="shared" si="183"/>
        <v>991050</v>
      </c>
      <c r="L210" s="10">
        <f t="shared" si="183"/>
        <v>322573</v>
      </c>
      <c r="M210" s="10">
        <f t="shared" si="183"/>
        <v>378450</v>
      </c>
      <c r="N210" s="10">
        <f t="shared" si="183"/>
        <v>160000</v>
      </c>
      <c r="O210" s="10">
        <v>103600</v>
      </c>
      <c r="P210" s="9">
        <f>SUM(D210:O210)</f>
        <v>3424331.1100000003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13">
        <v>60200</v>
      </c>
      <c r="E212" s="13">
        <f>49300</f>
        <v>49300</v>
      </c>
      <c r="F212" s="13">
        <f>473100</f>
        <v>473100</v>
      </c>
      <c r="G212" s="13">
        <v>61600</v>
      </c>
      <c r="H212" s="13">
        <v>555550</v>
      </c>
      <c r="I212" s="13">
        <v>68300</v>
      </c>
      <c r="J212" s="555">
        <v>56600</v>
      </c>
      <c r="K212" s="13">
        <v>74400</v>
      </c>
      <c r="L212" s="13">
        <v>297100</v>
      </c>
      <c r="M212" s="13"/>
      <c r="N212" s="13">
        <v>76600</v>
      </c>
      <c r="O212" s="13">
        <v>37000</v>
      </c>
      <c r="P212" s="9">
        <f>SUM(D212:O212)</f>
        <v>1809750</v>
      </c>
    </row>
    <row r="213" spans="1:16" ht="15.6" x14ac:dyDescent="0.3">
      <c r="A213" s="661" t="s">
        <v>42</v>
      </c>
      <c r="B213" s="662"/>
      <c r="C213" s="11" t="s">
        <v>31</v>
      </c>
      <c r="D213" s="13">
        <v>0</v>
      </c>
      <c r="E213" s="13">
        <v>0</v>
      </c>
      <c r="F213" s="13">
        <v>0</v>
      </c>
      <c r="G213" s="13"/>
      <c r="H213" s="13"/>
      <c r="I213" s="13"/>
      <c r="J213" s="555">
        <v>0</v>
      </c>
      <c r="K213" s="13">
        <v>0</v>
      </c>
      <c r="L213" s="13">
        <v>0</v>
      </c>
      <c r="M213" s="13"/>
      <c r="N213" s="13"/>
      <c r="O213" s="13">
        <v>0</v>
      </c>
      <c r="P213" s="9">
        <f>SUM(D213:O213)</f>
        <v>0</v>
      </c>
    </row>
    <row r="214" spans="1:16" ht="15.6" x14ac:dyDescent="0.3">
      <c r="A214" s="663" t="s">
        <v>41</v>
      </c>
      <c r="B214" s="664"/>
      <c r="C214" s="11" t="s">
        <v>31</v>
      </c>
      <c r="D214" s="13">
        <v>0</v>
      </c>
      <c r="E214" s="13">
        <v>0</v>
      </c>
      <c r="F214" s="13">
        <v>0</v>
      </c>
      <c r="G214" s="13"/>
      <c r="H214" s="13"/>
      <c r="I214" s="13"/>
      <c r="J214" s="555">
        <v>0</v>
      </c>
      <c r="K214" s="13">
        <v>0</v>
      </c>
      <c r="L214" s="13">
        <v>0</v>
      </c>
      <c r="M214" s="13"/>
      <c r="N214" s="13"/>
      <c r="O214" s="13">
        <v>0</v>
      </c>
      <c r="P214" s="9">
        <f>SUM(D214:O214)</f>
        <v>0</v>
      </c>
    </row>
    <row r="215" spans="1:16" ht="15.6" x14ac:dyDescent="0.3">
      <c r="A215" s="661" t="s">
        <v>40</v>
      </c>
      <c r="B215" s="662"/>
      <c r="C215" s="11" t="s">
        <v>31</v>
      </c>
      <c r="D215" s="13">
        <v>28300</v>
      </c>
      <c r="E215" s="13">
        <v>29500</v>
      </c>
      <c r="F215" s="13">
        <v>3460600</v>
      </c>
      <c r="G215" s="13"/>
      <c r="H215" s="13"/>
      <c r="I215" s="13"/>
      <c r="J215" s="555">
        <v>450000</v>
      </c>
      <c r="K215" s="13">
        <v>94000</v>
      </c>
      <c r="L215" s="13">
        <v>2401000</v>
      </c>
      <c r="M215" s="13"/>
      <c r="N215" s="13">
        <v>8300</v>
      </c>
      <c r="O215" s="13">
        <v>520600</v>
      </c>
      <c r="P215" s="9">
        <f>SUM(D215:O215)</f>
        <v>6992300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184">SUM(D212:D215)</f>
        <v>88500</v>
      </c>
      <c r="E216" s="10">
        <f t="shared" si="184"/>
        <v>78800</v>
      </c>
      <c r="F216" s="10">
        <f t="shared" si="184"/>
        <v>3933700</v>
      </c>
      <c r="G216" s="10">
        <f t="shared" si="184"/>
        <v>61600</v>
      </c>
      <c r="H216" s="10">
        <f t="shared" si="184"/>
        <v>555550</v>
      </c>
      <c r="I216" s="10">
        <f t="shared" si="184"/>
        <v>68300</v>
      </c>
      <c r="J216" s="10">
        <f t="shared" si="184"/>
        <v>506600</v>
      </c>
      <c r="K216" s="10">
        <f t="shared" si="184"/>
        <v>168400</v>
      </c>
      <c r="L216" s="10">
        <f t="shared" si="184"/>
        <v>2698100</v>
      </c>
      <c r="M216" s="10">
        <f t="shared" si="184"/>
        <v>0</v>
      </c>
      <c r="N216" s="10">
        <f t="shared" si="184"/>
        <v>84900</v>
      </c>
      <c r="O216" s="10">
        <v>557600</v>
      </c>
      <c r="P216" s="9">
        <f>SUM(D216:O216)</f>
        <v>8802050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147620</v>
      </c>
      <c r="E217" s="10">
        <f t="shared" ref="E217:P217" si="185">E210+E216</f>
        <v>261197.41</v>
      </c>
      <c r="F217" s="10">
        <f t="shared" si="185"/>
        <v>4047700</v>
      </c>
      <c r="G217" s="10">
        <f t="shared" si="185"/>
        <v>247600</v>
      </c>
      <c r="H217" s="10">
        <f t="shared" si="185"/>
        <v>881400</v>
      </c>
      <c r="I217" s="10">
        <f t="shared" si="185"/>
        <v>445089.7</v>
      </c>
      <c r="J217" s="10">
        <f t="shared" si="185"/>
        <v>731101</v>
      </c>
      <c r="K217" s="10">
        <f t="shared" si="185"/>
        <v>1159450</v>
      </c>
      <c r="L217" s="10">
        <f t="shared" si="185"/>
        <v>3020673</v>
      </c>
      <c r="M217" s="10">
        <f t="shared" si="185"/>
        <v>378450</v>
      </c>
      <c r="N217" s="10">
        <f t="shared" si="185"/>
        <v>244900</v>
      </c>
      <c r="O217" s="10">
        <v>661200</v>
      </c>
      <c r="P217" s="40">
        <f t="shared" si="185"/>
        <v>12226381.109999999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>
        <f>16303.4+42945.2</f>
        <v>59248.6</v>
      </c>
      <c r="E219" s="13">
        <f>24617.4+85033.02</f>
        <v>109650.42000000001</v>
      </c>
      <c r="F219" s="13">
        <f>25449.15+84137.35</f>
        <v>109586.5</v>
      </c>
      <c r="G219" s="13">
        <f>25481.13+64176.25</f>
        <v>89657.38</v>
      </c>
      <c r="H219" s="13">
        <f>25513.19+63303.96</f>
        <v>88817.15</v>
      </c>
      <c r="I219" s="13">
        <f>24649.42+56809.18</f>
        <v>81458.600000000006</v>
      </c>
      <c r="J219" s="13">
        <f>51260.85+57197.78</f>
        <v>108458.63</v>
      </c>
      <c r="K219" s="13">
        <f>19819.06+66158.71</f>
        <v>85977.77</v>
      </c>
      <c r="L219" s="13">
        <v>145160.29</v>
      </c>
      <c r="M219" s="13">
        <v>68400</v>
      </c>
      <c r="N219" s="13">
        <f>22855.66+73972.74</f>
        <v>96828.400000000009</v>
      </c>
      <c r="O219" s="13">
        <v>89650.2</v>
      </c>
      <c r="P219" s="9">
        <f>SUM(D219:O219)</f>
        <v>1132893.9400000002</v>
      </c>
    </row>
    <row r="220" spans="1:16" ht="15.6" x14ac:dyDescent="0.3">
      <c r="A220" s="661" t="s">
        <v>34</v>
      </c>
      <c r="B220" s="662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/>
      <c r="I220" s="13"/>
      <c r="J220" s="13"/>
      <c r="K220" s="13"/>
      <c r="L220" s="13"/>
      <c r="M220" s="13">
        <v>0</v>
      </c>
      <c r="N220" s="13"/>
      <c r="O220" s="13"/>
      <c r="P220" s="9">
        <f>SUM(D220:O220)</f>
        <v>0</v>
      </c>
    </row>
    <row r="221" spans="1:16" ht="15.6" x14ac:dyDescent="0.3">
      <c r="A221" s="661" t="s">
        <v>33</v>
      </c>
      <c r="B221" s="662"/>
      <c r="C221" s="11" t="s">
        <v>31</v>
      </c>
      <c r="D221" s="13">
        <v>0</v>
      </c>
      <c r="E221" s="13">
        <v>0</v>
      </c>
      <c r="F221" s="13">
        <v>0</v>
      </c>
      <c r="G221" s="13">
        <v>0</v>
      </c>
      <c r="H221" s="13"/>
      <c r="I221" s="13"/>
      <c r="J221" s="13"/>
      <c r="K221" s="13"/>
      <c r="L221" s="13"/>
      <c r="M221" s="13">
        <v>0</v>
      </c>
      <c r="N221" s="13"/>
      <c r="O221" s="13"/>
      <c r="P221" s="9">
        <f>SUM(D221:O221)</f>
        <v>0</v>
      </c>
    </row>
    <row r="222" spans="1:16" ht="15.6" x14ac:dyDescent="0.3">
      <c r="A222" s="661" t="s">
        <v>32</v>
      </c>
      <c r="B222" s="662"/>
      <c r="C222" s="11" t="s">
        <v>31</v>
      </c>
      <c r="D222" s="13">
        <v>0</v>
      </c>
      <c r="E222" s="13">
        <v>0</v>
      </c>
      <c r="F222" s="13">
        <v>0</v>
      </c>
      <c r="G222" s="13">
        <v>0</v>
      </c>
      <c r="H222" s="13"/>
      <c r="I222" s="13"/>
      <c r="J222" s="13"/>
      <c r="K222" s="13"/>
      <c r="L222" s="13"/>
      <c r="M222" s="13">
        <v>1007700</v>
      </c>
      <c r="N222" s="13"/>
      <c r="O222" s="13"/>
      <c r="P222" s="9">
        <f>SUM(D222:O222)</f>
        <v>1007700</v>
      </c>
    </row>
    <row r="223" spans="1:16" ht="15.6" x14ac:dyDescent="0.3">
      <c r="A223" s="647" t="s">
        <v>36</v>
      </c>
      <c r="B223" s="648"/>
      <c r="C223" s="11" t="s">
        <v>31</v>
      </c>
      <c r="D223" s="12">
        <f t="shared" ref="D223:N223" si="186">SUM(D219:D222)</f>
        <v>59248.6</v>
      </c>
      <c r="E223" s="10">
        <f t="shared" si="186"/>
        <v>109650.42000000001</v>
      </c>
      <c r="F223" s="10">
        <f t="shared" si="186"/>
        <v>109586.5</v>
      </c>
      <c r="G223" s="10">
        <f t="shared" si="186"/>
        <v>89657.38</v>
      </c>
      <c r="H223" s="10">
        <f t="shared" si="186"/>
        <v>88817.15</v>
      </c>
      <c r="I223" s="10">
        <f t="shared" si="186"/>
        <v>81458.600000000006</v>
      </c>
      <c r="J223" s="14">
        <f t="shared" si="186"/>
        <v>108458.63</v>
      </c>
      <c r="K223" s="14">
        <f t="shared" si="186"/>
        <v>85977.77</v>
      </c>
      <c r="L223" s="14">
        <f t="shared" si="186"/>
        <v>145160.29</v>
      </c>
      <c r="M223" s="14">
        <f t="shared" si="186"/>
        <v>1076100</v>
      </c>
      <c r="N223" s="14">
        <f t="shared" si="186"/>
        <v>96828.400000000009</v>
      </c>
      <c r="O223" s="14">
        <v>89650.2</v>
      </c>
      <c r="P223" s="9">
        <f>SUM(D223:O223)</f>
        <v>2140593.94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>
        <v>82484.61</v>
      </c>
      <c r="N225" s="13"/>
      <c r="O225" s="13"/>
      <c r="P225" s="9">
        <f t="shared" ref="P225:P230" si="187">SUM(D225:O225)</f>
        <v>82484.61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>
        <v>0</v>
      </c>
      <c r="N226" s="13"/>
      <c r="O226" s="13"/>
      <c r="P226" s="9">
        <f t="shared" si="187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>
        <v>0</v>
      </c>
      <c r="N227" s="13"/>
      <c r="O227" s="13"/>
      <c r="P227" s="9">
        <f t="shared" si="187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>
        <v>0</v>
      </c>
      <c r="N228" s="13"/>
      <c r="O228" s="13"/>
      <c r="P228" s="9">
        <f t="shared" si="187"/>
        <v>0</v>
      </c>
    </row>
    <row r="229" spans="1:16" ht="15.6" x14ac:dyDescent="0.3">
      <c r="A229" s="647" t="s">
        <v>212</v>
      </c>
      <c r="B229" s="648"/>
      <c r="C229" s="11" t="s">
        <v>31</v>
      </c>
      <c r="D229" s="13">
        <f>41772.42+11320</f>
        <v>53092.42</v>
      </c>
      <c r="E229" s="13">
        <f>38952.06+11800</f>
        <v>50752.06</v>
      </c>
      <c r="F229" s="13">
        <f>464488.08+3361220.56</f>
        <v>3825708.64</v>
      </c>
      <c r="G229" s="13">
        <v>60340</v>
      </c>
      <c r="H229" s="13">
        <f>552490</f>
        <v>552490</v>
      </c>
      <c r="I229" s="13">
        <f>1064700</f>
        <v>1064700</v>
      </c>
      <c r="J229" s="586">
        <f>52340+450000</f>
        <v>502340</v>
      </c>
      <c r="K229" s="586">
        <f>68580+94000</f>
        <v>162580</v>
      </c>
      <c r="L229" s="14">
        <v>2692940</v>
      </c>
      <c r="M229" s="14">
        <v>1070040</v>
      </c>
      <c r="N229" s="584">
        <f>72160+8300</f>
        <v>80460</v>
      </c>
      <c r="O229" s="14">
        <v>552260</v>
      </c>
      <c r="P229" s="9">
        <f t="shared" si="187"/>
        <v>10667703.120000001</v>
      </c>
    </row>
    <row r="230" spans="1:16" ht="15.6" x14ac:dyDescent="0.3">
      <c r="A230" s="76" t="s">
        <v>213</v>
      </c>
      <c r="B230" s="119"/>
      <c r="C230" s="11" t="s">
        <v>31</v>
      </c>
      <c r="D230" s="12">
        <f>D223+D229</f>
        <v>112341.01999999999</v>
      </c>
      <c r="E230" s="12">
        <f t="shared" ref="E230:N230" si="188">E223+E229</f>
        <v>160402.48000000001</v>
      </c>
      <c r="F230" s="12">
        <f t="shared" si="188"/>
        <v>3935295.14</v>
      </c>
      <c r="G230" s="12">
        <f t="shared" si="188"/>
        <v>149997.38</v>
      </c>
      <c r="H230" s="12">
        <f t="shared" si="188"/>
        <v>641307.15</v>
      </c>
      <c r="I230" s="12">
        <f t="shared" si="188"/>
        <v>1146158.6000000001</v>
      </c>
      <c r="J230" s="12">
        <f t="shared" si="188"/>
        <v>610798.63</v>
      </c>
      <c r="K230" s="12">
        <f t="shared" si="188"/>
        <v>248557.77000000002</v>
      </c>
      <c r="L230" s="12">
        <f t="shared" si="188"/>
        <v>2838100.29</v>
      </c>
      <c r="M230" s="12">
        <f t="shared" si="188"/>
        <v>2146140</v>
      </c>
      <c r="N230" s="12">
        <f t="shared" si="188"/>
        <v>177288.40000000002</v>
      </c>
      <c r="O230" s="12">
        <v>641910.19999999995</v>
      </c>
      <c r="P230" s="9">
        <f t="shared" si="187"/>
        <v>12808297.060000001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f>3265.78+5614.42</f>
        <v>8880.2000000000007</v>
      </c>
      <c r="E232" s="13">
        <f>4198.86+7430.85</f>
        <v>11629.71</v>
      </c>
      <c r="F232" s="13">
        <f>4198.86+7430.85</f>
        <v>11629.71</v>
      </c>
      <c r="G232" s="13">
        <f>4198.86+7430.85</f>
        <v>11629.71</v>
      </c>
      <c r="H232" s="13">
        <f>4198.86+7430.85</f>
        <v>11629.71</v>
      </c>
      <c r="I232" s="13">
        <f>4198.86+7430.85</f>
        <v>11629.71</v>
      </c>
      <c r="J232" s="13">
        <f>4198.86+6440.07</f>
        <v>10638.93</v>
      </c>
      <c r="K232" s="13">
        <f>4198.86+6935.46</f>
        <v>11134.32</v>
      </c>
      <c r="L232" s="13">
        <v>11134.32</v>
      </c>
      <c r="M232" s="13">
        <v>11338.74</v>
      </c>
      <c r="N232" s="13">
        <f>4898.67+6440.07</f>
        <v>11338.74</v>
      </c>
      <c r="O232" s="13">
        <v>11338.74</v>
      </c>
      <c r="P232" s="9">
        <f>SUM(D232:O232)</f>
        <v>133952.54</v>
      </c>
    </row>
    <row r="233" spans="1:16" ht="15.6" x14ac:dyDescent="0.3">
      <c r="A233" s="661" t="s">
        <v>28</v>
      </c>
      <c r="B233" s="662"/>
      <c r="C233" s="11" t="s">
        <v>18</v>
      </c>
      <c r="D233" s="13">
        <v>0</v>
      </c>
      <c r="E233" s="13"/>
      <c r="F233" s="13">
        <v>0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9">
        <f>SUM(D233:O233)</f>
        <v>0</v>
      </c>
    </row>
    <row r="234" spans="1:16" ht="15.6" x14ac:dyDescent="0.3">
      <c r="A234" s="661" t="s">
        <v>27</v>
      </c>
      <c r="B234" s="662"/>
      <c r="C234" s="11" t="s">
        <v>18</v>
      </c>
      <c r="D234" s="13">
        <v>0</v>
      </c>
      <c r="E234" s="13"/>
      <c r="F234" s="13">
        <v>0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9">
        <f>SUM(D234:O234)</f>
        <v>0</v>
      </c>
    </row>
    <row r="235" spans="1:16" ht="15.6" x14ac:dyDescent="0.3">
      <c r="A235" s="661" t="s">
        <v>26</v>
      </c>
      <c r="B235" s="662"/>
      <c r="C235" s="11" t="s">
        <v>18</v>
      </c>
      <c r="D235" s="13">
        <v>0</v>
      </c>
      <c r="E235" s="13"/>
      <c r="F235" s="13">
        <v>0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9">
        <f>SUM(D235:O235)</f>
        <v>0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N236" si="189">SUM(D232:D235)</f>
        <v>8880.2000000000007</v>
      </c>
      <c r="E236" s="12">
        <f t="shared" si="189"/>
        <v>11629.71</v>
      </c>
      <c r="F236" s="12">
        <f t="shared" si="189"/>
        <v>11629.71</v>
      </c>
      <c r="G236" s="12">
        <f t="shared" si="189"/>
        <v>11629.71</v>
      </c>
      <c r="H236" s="12">
        <f t="shared" si="189"/>
        <v>11629.71</v>
      </c>
      <c r="I236" s="12">
        <f t="shared" si="189"/>
        <v>11629.71</v>
      </c>
      <c r="J236" s="12">
        <f t="shared" si="189"/>
        <v>10638.93</v>
      </c>
      <c r="K236" s="12">
        <f t="shared" si="189"/>
        <v>11134.32</v>
      </c>
      <c r="L236" s="12">
        <f t="shared" si="189"/>
        <v>11134.32</v>
      </c>
      <c r="M236" s="12">
        <f t="shared" si="189"/>
        <v>11338.74</v>
      </c>
      <c r="N236" s="12">
        <f t="shared" si="189"/>
        <v>11338.74</v>
      </c>
      <c r="O236" s="12">
        <v>11338.74</v>
      </c>
      <c r="P236" s="40">
        <f t="shared" ref="P236" si="190">SUM(P232:P235)</f>
        <v>133952.54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v>21432</v>
      </c>
      <c r="E238" s="13">
        <f>5358+13395</f>
        <v>18753</v>
      </c>
      <c r="F238" s="13">
        <f>5358+13395</f>
        <v>18753</v>
      </c>
      <c r="G238" s="13">
        <f>5358+13395</f>
        <v>18753</v>
      </c>
      <c r="H238" s="13">
        <f>5358+13395</f>
        <v>18753</v>
      </c>
      <c r="I238" s="13">
        <f>5358+13395</f>
        <v>18753</v>
      </c>
      <c r="J238" s="13">
        <f>5358+11609</f>
        <v>16967</v>
      </c>
      <c r="K238" s="13">
        <f>5358+12502</f>
        <v>17860</v>
      </c>
      <c r="L238" s="13">
        <v>17860</v>
      </c>
      <c r="M238" s="13">
        <v>17860</v>
      </c>
      <c r="N238" s="13">
        <f>6251+1609</f>
        <v>7860</v>
      </c>
      <c r="O238" s="13">
        <v>17860</v>
      </c>
      <c r="P238" s="9">
        <f>SUM(D238:O238)</f>
        <v>211464</v>
      </c>
    </row>
    <row r="239" spans="1:16" ht="15.6" x14ac:dyDescent="0.3">
      <c r="A239" s="661" t="s">
        <v>22</v>
      </c>
      <c r="B239" s="662"/>
      <c r="C239" s="11" t="s">
        <v>18</v>
      </c>
      <c r="D239" s="15">
        <v>0</v>
      </c>
      <c r="E239" s="15">
        <v>0</v>
      </c>
      <c r="F239" s="15">
        <v>0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9">
        <f>SUM(D239:O239)</f>
        <v>0</v>
      </c>
    </row>
    <row r="240" spans="1:16" ht="15.6" x14ac:dyDescent="0.3">
      <c r="A240" s="661" t="s">
        <v>21</v>
      </c>
      <c r="B240" s="662"/>
      <c r="C240" s="11" t="s">
        <v>18</v>
      </c>
      <c r="D240" s="15">
        <v>0</v>
      </c>
      <c r="E240" s="15">
        <v>0</v>
      </c>
      <c r="F240" s="15">
        <v>0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9">
        <f>SUM(D240:O240)</f>
        <v>0</v>
      </c>
    </row>
    <row r="241" spans="1:16" ht="15.6" x14ac:dyDescent="0.3">
      <c r="A241" s="661" t="s">
        <v>20</v>
      </c>
      <c r="B241" s="662"/>
      <c r="C241" s="11" t="s">
        <v>18</v>
      </c>
      <c r="D241" s="15">
        <v>0</v>
      </c>
      <c r="E241" s="15">
        <v>0</v>
      </c>
      <c r="F241" s="15">
        <v>0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9">
        <f>SUM(D241:O241)</f>
        <v>0</v>
      </c>
    </row>
    <row r="242" spans="1:16" ht="15.6" x14ac:dyDescent="0.3">
      <c r="A242" s="647" t="s">
        <v>19</v>
      </c>
      <c r="B242" s="648"/>
      <c r="C242" s="11" t="s">
        <v>18</v>
      </c>
      <c r="D242" s="12">
        <f t="shared" ref="D242:P242" si="191">SUM(D238:D241)</f>
        <v>21432</v>
      </c>
      <c r="E242" s="12">
        <f t="shared" si="191"/>
        <v>18753</v>
      </c>
      <c r="F242" s="12">
        <f t="shared" si="191"/>
        <v>18753</v>
      </c>
      <c r="G242" s="12">
        <f t="shared" si="191"/>
        <v>18753</v>
      </c>
      <c r="H242" s="12">
        <f t="shared" si="191"/>
        <v>18753</v>
      </c>
      <c r="I242" s="12">
        <f t="shared" si="191"/>
        <v>18753</v>
      </c>
      <c r="J242" s="12">
        <f t="shared" si="191"/>
        <v>16967</v>
      </c>
      <c r="K242" s="12">
        <f t="shared" si="191"/>
        <v>17860</v>
      </c>
      <c r="L242" s="12">
        <f t="shared" si="191"/>
        <v>17860</v>
      </c>
      <c r="M242" s="12">
        <f t="shared" si="191"/>
        <v>17860</v>
      </c>
      <c r="N242" s="12">
        <f t="shared" si="191"/>
        <v>7860</v>
      </c>
      <c r="O242" s="12">
        <v>17860</v>
      </c>
      <c r="P242" s="40">
        <f t="shared" si="191"/>
        <v>211464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142653.21999999997</v>
      </c>
      <c r="E243" s="10">
        <f t="shared" ref="E243:N243" si="192">E230+E236+E242</f>
        <v>190785.19</v>
      </c>
      <c r="F243" s="10">
        <f t="shared" si="192"/>
        <v>3965677.85</v>
      </c>
      <c r="G243" s="10">
        <f t="shared" si="192"/>
        <v>180380.09</v>
      </c>
      <c r="H243" s="10">
        <f t="shared" si="192"/>
        <v>671689.86</v>
      </c>
      <c r="I243" s="10">
        <f t="shared" si="192"/>
        <v>1176541.31</v>
      </c>
      <c r="J243" s="10">
        <f t="shared" si="192"/>
        <v>638404.56000000006</v>
      </c>
      <c r="K243" s="10">
        <f t="shared" si="192"/>
        <v>277552.09000000003</v>
      </c>
      <c r="L243" s="10">
        <f t="shared" si="192"/>
        <v>2867094.61</v>
      </c>
      <c r="M243" s="10">
        <f t="shared" si="192"/>
        <v>2175338.7400000002</v>
      </c>
      <c r="N243" s="10">
        <f t="shared" si="192"/>
        <v>196487.14</v>
      </c>
      <c r="O243" s="10">
        <v>671108.94</v>
      </c>
      <c r="P243" s="40">
        <f t="shared" ref="P243" si="193">P216+P223+P236+P242</f>
        <v>11288060.479999999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56">
        <f>1817298.6-D246</f>
        <v>1804197.27</v>
      </c>
      <c r="E245" s="154">
        <f>1869831.77-E246</f>
        <v>1856730.44</v>
      </c>
      <c r="F245" s="154">
        <v>799121.3</v>
      </c>
      <c r="G245" s="154">
        <v>1956793.75</v>
      </c>
      <c r="H245" s="154">
        <v>2030992.53</v>
      </c>
      <c r="I245" s="154">
        <v>2034203.5</v>
      </c>
      <c r="J245" s="154">
        <v>2053214.33</v>
      </c>
      <c r="K245" s="154">
        <v>1784740.15</v>
      </c>
      <c r="L245" s="154">
        <v>1919894.76</v>
      </c>
      <c r="M245" s="154">
        <v>1934583.67</v>
      </c>
      <c r="N245" s="154">
        <v>1999773.87</v>
      </c>
      <c r="O245" s="154">
        <v>2036022.81</v>
      </c>
      <c r="P245" s="165">
        <f>O245</f>
        <v>2036022.81</v>
      </c>
    </row>
    <row r="246" spans="1:16" ht="15.6" x14ac:dyDescent="0.3">
      <c r="A246" s="657" t="s">
        <v>206</v>
      </c>
      <c r="B246" s="658"/>
      <c r="C246" s="11" t="s">
        <v>18</v>
      </c>
      <c r="D246" s="556">
        <v>13101.33</v>
      </c>
      <c r="E246" s="154">
        <v>13101.33</v>
      </c>
      <c r="F246" s="154">
        <v>0</v>
      </c>
      <c r="G246" s="154">
        <v>0</v>
      </c>
      <c r="H246" s="154">
        <v>0</v>
      </c>
      <c r="I246" s="154"/>
      <c r="J246" s="154">
        <v>5053.7299999999996</v>
      </c>
      <c r="K246" s="154"/>
      <c r="L246" s="154"/>
      <c r="M246" s="154"/>
      <c r="N246" s="154"/>
      <c r="O246" s="154"/>
      <c r="P246" s="165">
        <f>O246</f>
        <v>0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1817298.6</v>
      </c>
      <c r="E247" s="142">
        <f>E245+E246</f>
        <v>1869831.77</v>
      </c>
      <c r="F247" s="142">
        <f t="shared" ref="F247:P247" si="194">F245+F246</f>
        <v>799121.3</v>
      </c>
      <c r="G247" s="142">
        <f t="shared" si="194"/>
        <v>1956793.75</v>
      </c>
      <c r="H247" s="142">
        <f t="shared" si="194"/>
        <v>2030992.53</v>
      </c>
      <c r="I247" s="142">
        <f t="shared" si="194"/>
        <v>2034203.5</v>
      </c>
      <c r="J247" s="142">
        <f t="shared" si="194"/>
        <v>2058268.06</v>
      </c>
      <c r="K247" s="142">
        <f t="shared" si="194"/>
        <v>1784740.15</v>
      </c>
      <c r="L247" s="142">
        <f t="shared" si="194"/>
        <v>1919894.76</v>
      </c>
      <c r="M247" s="142">
        <f t="shared" si="194"/>
        <v>1934583.67</v>
      </c>
      <c r="N247" s="156">
        <f t="shared" si="194"/>
        <v>1999773.87</v>
      </c>
      <c r="O247" s="156">
        <v>2036022.81</v>
      </c>
      <c r="P247" s="165">
        <f t="shared" si="194"/>
        <v>2036022.81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8">
        <f>D58/D243</f>
        <v>2.5330012845135923</v>
      </c>
      <c r="E249" s="8">
        <f t="shared" ref="E249:F249" si="195">E58/E243</f>
        <v>1.142718402303659</v>
      </c>
      <c r="F249" s="8">
        <f t="shared" si="195"/>
        <v>5.9138102581882686E-2</v>
      </c>
      <c r="G249" s="8">
        <f t="shared" ref="G249:P249" si="196">G58/G243%</f>
        <v>133.7072983867935</v>
      </c>
      <c r="H249" s="8">
        <f t="shared" si="196"/>
        <v>32.446756379499313</v>
      </c>
      <c r="I249" s="571">
        <f t="shared" si="196"/>
        <v>19.106704251633971</v>
      </c>
      <c r="J249" s="8">
        <f t="shared" si="196"/>
        <v>36.372537658565591</v>
      </c>
      <c r="K249" s="8">
        <f t="shared" si="196"/>
        <v>78.984886044273694</v>
      </c>
      <c r="L249" s="8">
        <f t="shared" si="196"/>
        <v>7.4677967463375765</v>
      </c>
      <c r="M249" s="8">
        <f t="shared" si="196"/>
        <v>9.5322300240927049</v>
      </c>
      <c r="N249" s="8">
        <f t="shared" si="196"/>
        <v>75.383137033802811</v>
      </c>
      <c r="O249" s="8">
        <v>36.110295446220697</v>
      </c>
      <c r="P249" s="111">
        <f t="shared" si="196"/>
        <v>24.460811616475919</v>
      </c>
    </row>
    <row r="250" spans="1:16" ht="15.6" x14ac:dyDescent="0.3">
      <c r="A250" s="643" t="s">
        <v>208</v>
      </c>
      <c r="B250" s="644"/>
      <c r="C250" s="5" t="s">
        <v>6</v>
      </c>
      <c r="D250" s="29">
        <f>D210/(D223+D245)</f>
        <v>3.1726169754531158E-2</v>
      </c>
      <c r="E250" s="29">
        <f t="shared" ref="E250:F250" si="197">E210/(E223+E245)</f>
        <v>9.2757925847589878E-2</v>
      </c>
      <c r="F250" s="29">
        <f t="shared" si="197"/>
        <v>0.12545286834777911</v>
      </c>
      <c r="G250" s="29">
        <f t="shared" ref="G250:P250" si="198">G210/(G223+G245)%</f>
        <v>9.0889050450962898</v>
      </c>
      <c r="H250" s="29">
        <f t="shared" si="198"/>
        <v>15.371662988160331</v>
      </c>
      <c r="I250" s="29">
        <f t="shared" si="198"/>
        <v>17.80954056888385</v>
      </c>
      <c r="J250" s="29">
        <f t="shared" si="198"/>
        <v>10.385521036447622</v>
      </c>
      <c r="K250" s="29">
        <f t="shared" si="198"/>
        <v>52.976987572770994</v>
      </c>
      <c r="L250" s="29">
        <f t="shared" si="198"/>
        <v>15.620552101020261</v>
      </c>
      <c r="M250" s="29">
        <f t="shared" si="198"/>
        <v>12.570234587282297</v>
      </c>
      <c r="N250" s="29">
        <f t="shared" si="198"/>
        <v>7.6313949617158423</v>
      </c>
      <c r="O250" s="29">
        <v>4.8737505492436952</v>
      </c>
      <c r="P250" s="108">
        <f t="shared" si="198"/>
        <v>81.988157280650668</v>
      </c>
    </row>
    <row r="251" spans="1:16" ht="16.2" thickBot="1" x14ac:dyDescent="0.35">
      <c r="A251" s="652" t="s">
        <v>15</v>
      </c>
      <c r="B251" s="653"/>
      <c r="C251" s="5" t="s">
        <v>6</v>
      </c>
      <c r="D251" s="29">
        <f>D210/D223</f>
        <v>0.99782948457853859</v>
      </c>
      <c r="E251" s="29">
        <f t="shared" ref="E251:F251" si="199">E210/E223</f>
        <v>1.6634446999838211</v>
      </c>
      <c r="F251" s="29">
        <f t="shared" si="199"/>
        <v>1.040274121356189</v>
      </c>
      <c r="G251" s="7">
        <f t="shared" ref="G251:P251" si="200">G210/G223%</f>
        <v>207.45643024589833</v>
      </c>
      <c r="H251" s="7">
        <f t="shared" si="200"/>
        <v>366.87734294559107</v>
      </c>
      <c r="I251" s="7">
        <f t="shared" si="200"/>
        <v>462.55361619276539</v>
      </c>
      <c r="J251" s="7">
        <f t="shared" si="200"/>
        <v>206.99228821164348</v>
      </c>
      <c r="K251" s="7">
        <f t="shared" si="200"/>
        <v>1152.6816757401359</v>
      </c>
      <c r="L251" s="7">
        <f t="shared" si="200"/>
        <v>222.21848688783962</v>
      </c>
      <c r="M251" s="7">
        <f t="shared" si="200"/>
        <v>35.168664622247</v>
      </c>
      <c r="N251" s="7">
        <f t="shared" si="200"/>
        <v>165.24077646640859</v>
      </c>
      <c r="O251" s="7">
        <v>115.56025530339029</v>
      </c>
      <c r="P251" s="112">
        <f t="shared" si="200"/>
        <v>159.97107372919129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" customHeight="1" x14ac:dyDescent="0.3">
      <c r="A253" s="643" t="s">
        <v>13</v>
      </c>
      <c r="B253" s="644"/>
      <c r="C253" s="5" t="s">
        <v>3</v>
      </c>
      <c r="D253" s="4">
        <f>D103</f>
        <v>0</v>
      </c>
      <c r="E253" s="4">
        <v>0</v>
      </c>
      <c r="F253" s="4">
        <v>0</v>
      </c>
      <c r="G253" s="155"/>
      <c r="H253" s="155"/>
      <c r="I253" s="132"/>
      <c r="J253" s="132"/>
      <c r="K253" s="132"/>
      <c r="L253" s="132"/>
      <c r="M253" s="132"/>
      <c r="N253" s="132"/>
      <c r="O253" s="132"/>
      <c r="P253" s="113">
        <f>SUM(D253:O253)</f>
        <v>0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0</v>
      </c>
      <c r="E254" s="4">
        <v>0</v>
      </c>
      <c r="F254" s="4">
        <v>0</v>
      </c>
      <c r="G254" s="155"/>
      <c r="H254" s="155"/>
      <c r="I254" s="132"/>
      <c r="J254" s="132"/>
      <c r="K254" s="132"/>
      <c r="L254" s="132"/>
      <c r="M254" s="132"/>
      <c r="N254" s="132"/>
      <c r="O254" s="132"/>
      <c r="P254" s="113">
        <f>SUM(D254:O254)</f>
        <v>0</v>
      </c>
    </row>
    <row r="255" spans="1:16" ht="15.75" customHeight="1" x14ac:dyDescent="0.3">
      <c r="A255" s="643" t="s">
        <v>11</v>
      </c>
      <c r="B255" s="644"/>
      <c r="C255" s="5" t="s">
        <v>3</v>
      </c>
      <c r="D255" s="4">
        <v>0</v>
      </c>
      <c r="E255" s="4">
        <v>0</v>
      </c>
      <c r="F255" s="4">
        <v>0</v>
      </c>
      <c r="G255" s="155">
        <f t="shared" ref="G255:J255" si="201">G95</f>
        <v>0</v>
      </c>
      <c r="H255" s="155">
        <f t="shared" si="201"/>
        <v>0</v>
      </c>
      <c r="I255" s="132">
        <f t="shared" si="201"/>
        <v>0</v>
      </c>
      <c r="J255" s="132">
        <f t="shared" si="201"/>
        <v>0</v>
      </c>
      <c r="K255" s="132">
        <f t="shared" ref="K255:L255" si="202">K95</f>
        <v>0</v>
      </c>
      <c r="L255" s="132">
        <f t="shared" si="202"/>
        <v>0</v>
      </c>
      <c r="M255" s="132">
        <f t="shared" ref="M255:N255" si="203">M95</f>
        <v>0</v>
      </c>
      <c r="N255" s="132">
        <f t="shared" si="203"/>
        <v>0</v>
      </c>
      <c r="O255" s="132">
        <v>0</v>
      </c>
      <c r="P255" s="113">
        <f>SUM(D255:O255)</f>
        <v>0</v>
      </c>
    </row>
    <row r="256" spans="1:16" ht="15.6" x14ac:dyDescent="0.3">
      <c r="A256" s="643" t="s">
        <v>10</v>
      </c>
      <c r="B256" s="644"/>
      <c r="C256" s="5" t="s">
        <v>3</v>
      </c>
      <c r="D256" s="4">
        <v>0</v>
      </c>
      <c r="E256" s="4">
        <v>0</v>
      </c>
      <c r="F256" s="4">
        <v>0</v>
      </c>
      <c r="G256" s="155">
        <f t="shared" ref="G256:J256" si="204">G91</f>
        <v>0</v>
      </c>
      <c r="H256" s="155">
        <f t="shared" si="204"/>
        <v>0</v>
      </c>
      <c r="I256" s="132">
        <f t="shared" si="204"/>
        <v>0</v>
      </c>
      <c r="J256" s="132">
        <f t="shared" si="204"/>
        <v>0</v>
      </c>
      <c r="K256" s="132">
        <f t="shared" ref="K256:L256" si="205">K91</f>
        <v>0</v>
      </c>
      <c r="L256" s="132">
        <f t="shared" si="205"/>
        <v>0</v>
      </c>
      <c r="M256" s="132">
        <f t="shared" ref="M256:N256" si="206">M91</f>
        <v>0</v>
      </c>
      <c r="N256" s="132">
        <f t="shared" si="206"/>
        <v>0</v>
      </c>
      <c r="O256" s="132">
        <v>0</v>
      </c>
      <c r="P256" s="113">
        <f>SUM(D256:O256)</f>
        <v>0</v>
      </c>
    </row>
    <row r="257" spans="1:16" ht="15.6" customHeight="1" x14ac:dyDescent="0.3">
      <c r="A257" s="643" t="s">
        <v>9</v>
      </c>
      <c r="B257" s="644"/>
      <c r="C257" s="5" t="s">
        <v>3</v>
      </c>
      <c r="D257" s="4">
        <v>0</v>
      </c>
      <c r="E257" s="4">
        <v>0</v>
      </c>
      <c r="F257" s="4">
        <v>0</v>
      </c>
      <c r="G257" s="155"/>
      <c r="H257" s="155"/>
      <c r="I257" s="132"/>
      <c r="J257" s="132"/>
      <c r="K257" s="132"/>
      <c r="L257" s="132"/>
      <c r="M257" s="132"/>
      <c r="N257" s="132"/>
      <c r="O257" s="132"/>
      <c r="P257" s="113">
        <f>SUM(D257:O257)</f>
        <v>0</v>
      </c>
    </row>
    <row r="258" spans="1:16" ht="15.6" x14ac:dyDescent="0.3">
      <c r="A258" s="647" t="s">
        <v>8</v>
      </c>
      <c r="B258" s="648"/>
      <c r="C258" s="5" t="s">
        <v>3</v>
      </c>
      <c r="D258" s="161" t="e">
        <f t="shared" ref="D258:P258" si="207">D257/D256</f>
        <v>#DIV/0!</v>
      </c>
      <c r="E258" s="161" t="e">
        <f t="shared" si="207"/>
        <v>#DIV/0!</v>
      </c>
      <c r="F258" s="161" t="e">
        <f t="shared" si="207"/>
        <v>#DIV/0!</v>
      </c>
      <c r="G258" s="161" t="e">
        <f t="shared" si="207"/>
        <v>#DIV/0!</v>
      </c>
      <c r="H258" s="161" t="e">
        <f t="shared" si="207"/>
        <v>#DIV/0!</v>
      </c>
      <c r="I258" s="3" t="e">
        <f t="shared" si="207"/>
        <v>#DIV/0!</v>
      </c>
      <c r="J258" s="3" t="e">
        <f t="shared" si="207"/>
        <v>#DIV/0!</v>
      </c>
      <c r="K258" s="3" t="e">
        <f t="shared" si="207"/>
        <v>#DIV/0!</v>
      </c>
      <c r="L258" s="3" t="e">
        <f t="shared" si="207"/>
        <v>#DIV/0!</v>
      </c>
      <c r="M258" s="3" t="e">
        <f t="shared" si="207"/>
        <v>#DIV/0!</v>
      </c>
      <c r="N258" s="3" t="e">
        <f t="shared" si="207"/>
        <v>#DIV/0!</v>
      </c>
      <c r="O258" s="3" t="e">
        <v>#DIV/0!</v>
      </c>
      <c r="P258" s="113" t="e">
        <f t="shared" si="207"/>
        <v>#DIV/0!</v>
      </c>
    </row>
    <row r="259" spans="1:16" ht="15.6" x14ac:dyDescent="0.3">
      <c r="A259" s="647" t="s">
        <v>7</v>
      </c>
      <c r="B259" s="648"/>
      <c r="C259" s="5" t="s">
        <v>6</v>
      </c>
      <c r="D259" s="161" t="e">
        <f t="shared" ref="D259:P259" si="208">D92/D255*100</f>
        <v>#DIV/0!</v>
      </c>
      <c r="E259" s="161" t="e">
        <f t="shared" si="208"/>
        <v>#DIV/0!</v>
      </c>
      <c r="F259" s="161" t="e">
        <f t="shared" si="208"/>
        <v>#DIV/0!</v>
      </c>
      <c r="G259" s="161" t="e">
        <f t="shared" si="208"/>
        <v>#DIV/0!</v>
      </c>
      <c r="H259" s="161" t="e">
        <f t="shared" si="208"/>
        <v>#DIV/0!</v>
      </c>
      <c r="I259" s="6" t="e">
        <f t="shared" si="208"/>
        <v>#DIV/0!</v>
      </c>
      <c r="J259" s="6" t="e">
        <f t="shared" si="208"/>
        <v>#DIV/0!</v>
      </c>
      <c r="K259" s="6" t="e">
        <f t="shared" si="208"/>
        <v>#DIV/0!</v>
      </c>
      <c r="L259" s="6" t="e">
        <f t="shared" si="208"/>
        <v>#DIV/0!</v>
      </c>
      <c r="M259" s="6" t="e">
        <f t="shared" si="208"/>
        <v>#DIV/0!</v>
      </c>
      <c r="N259" s="6" t="e">
        <f t="shared" si="208"/>
        <v>#DIV/0!</v>
      </c>
      <c r="O259" s="6" t="e">
        <v>#DIV/0!</v>
      </c>
      <c r="P259" s="114" t="e">
        <f t="shared" si="208"/>
        <v>#DIV/0!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" customHeight="1" x14ac:dyDescent="0.3">
      <c r="A261" s="643" t="s">
        <v>4</v>
      </c>
      <c r="B261" s="644"/>
      <c r="C261" s="5" t="s">
        <v>3</v>
      </c>
      <c r="D261" s="155">
        <v>0</v>
      </c>
      <c r="E261" s="155">
        <v>0</v>
      </c>
      <c r="F261" s="155">
        <v>0</v>
      </c>
      <c r="G261" s="155"/>
      <c r="H261" s="155"/>
      <c r="I261" s="155"/>
      <c r="J261" s="155"/>
      <c r="K261" s="155"/>
      <c r="L261" s="155"/>
      <c r="M261" s="155"/>
      <c r="N261" s="155"/>
      <c r="O261" s="155"/>
      <c r="P261" s="40">
        <f>SUM(D261:O261)</f>
        <v>0</v>
      </c>
    </row>
    <row r="262" spans="1:16" s="2" customFormat="1" ht="15.75" customHeight="1" x14ac:dyDescent="0.3">
      <c r="A262" s="643" t="s">
        <v>2</v>
      </c>
      <c r="B262" s="644"/>
      <c r="C262" s="5" t="s">
        <v>0</v>
      </c>
      <c r="D262" s="155">
        <v>0</v>
      </c>
      <c r="E262" s="155">
        <v>0</v>
      </c>
      <c r="F262" s="155">
        <v>0</v>
      </c>
      <c r="G262" s="155"/>
      <c r="H262" s="155"/>
      <c r="I262" s="155"/>
      <c r="J262" s="155"/>
      <c r="K262" s="155"/>
      <c r="L262" s="155"/>
      <c r="M262" s="155"/>
      <c r="N262" s="155"/>
      <c r="O262" s="155"/>
      <c r="P262" s="40">
        <f>SUM(D262:O262)</f>
        <v>0</v>
      </c>
    </row>
    <row r="263" spans="1:16" ht="16.2" thickBot="1" x14ac:dyDescent="0.35">
      <c r="A263" s="645" t="s">
        <v>1</v>
      </c>
      <c r="B263" s="646"/>
      <c r="C263" s="115" t="s">
        <v>0</v>
      </c>
      <c r="D263" s="163" t="e">
        <f t="shared" ref="D263:I263" si="209">D261/D262</f>
        <v>#DIV/0!</v>
      </c>
      <c r="E263" s="163" t="e">
        <f t="shared" si="209"/>
        <v>#DIV/0!</v>
      </c>
      <c r="F263" s="163" t="e">
        <f t="shared" si="209"/>
        <v>#DIV/0!</v>
      </c>
      <c r="G263" s="163" t="e">
        <f t="shared" si="209"/>
        <v>#DIV/0!</v>
      </c>
      <c r="H263" s="163" t="e">
        <f t="shared" si="209"/>
        <v>#DIV/0!</v>
      </c>
      <c r="I263" s="163" t="e">
        <f t="shared" si="209"/>
        <v>#DIV/0!</v>
      </c>
      <c r="J263" s="163" t="e">
        <f t="shared" ref="J263:K263" si="210">J261/J262</f>
        <v>#DIV/0!</v>
      </c>
      <c r="K263" s="163" t="e">
        <f t="shared" si="210"/>
        <v>#DIV/0!</v>
      </c>
      <c r="L263" s="163" t="e">
        <f t="shared" ref="L263:M263" si="211">L261/L262</f>
        <v>#DIV/0!</v>
      </c>
      <c r="M263" s="163" t="e">
        <f t="shared" si="211"/>
        <v>#DIV/0!</v>
      </c>
      <c r="N263" s="163" t="e">
        <f t="shared" ref="N263:P263" si="212">N261/N262</f>
        <v>#DIV/0!</v>
      </c>
      <c r="O263" s="163" t="e">
        <v>#DIV/0!</v>
      </c>
      <c r="P263" s="202" t="e">
        <f t="shared" si="212"/>
        <v>#DIV/0!</v>
      </c>
    </row>
  </sheetData>
  <mergeCells count="158"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263"/>
  <sheetViews>
    <sheetView workbookViewId="0">
      <pane xSplit="3" topLeftCell="O1" activePane="topRight" state="frozen"/>
      <selection pane="top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57">
        <v>1386</v>
      </c>
      <c r="E9" s="57">
        <v>2405</v>
      </c>
      <c r="F9" s="57">
        <v>4660</v>
      </c>
      <c r="G9" s="57">
        <v>3405</v>
      </c>
      <c r="H9" s="57">
        <v>3163</v>
      </c>
      <c r="I9" s="57">
        <v>3546</v>
      </c>
      <c r="J9" s="57">
        <v>3456</v>
      </c>
      <c r="K9" s="57">
        <v>3113</v>
      </c>
      <c r="L9" s="57">
        <v>3888</v>
      </c>
      <c r="M9" s="57">
        <v>3391</v>
      </c>
      <c r="N9" s="57">
        <v>6091</v>
      </c>
      <c r="O9" s="57">
        <v>4293</v>
      </c>
      <c r="P9" s="56">
        <f>SUM(D9:O9)</f>
        <v>42797</v>
      </c>
    </row>
    <row r="10" spans="1:16" x14ac:dyDescent="0.3">
      <c r="A10" s="649" t="s">
        <v>177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v>0</v>
      </c>
      <c r="E11" s="26">
        <v>0</v>
      </c>
      <c r="F11" s="26">
        <v>0</v>
      </c>
      <c r="G11" s="26"/>
      <c r="H11" s="26"/>
      <c r="I11" s="26"/>
      <c r="J11" s="26"/>
      <c r="K11" s="26"/>
      <c r="L11" s="26"/>
      <c r="M11" s="26"/>
      <c r="N11" s="26"/>
      <c r="O11" s="26">
        <v>688.69999999999993</v>
      </c>
      <c r="P11" s="55">
        <f>SUM(D11:O11)</f>
        <v>688.69999999999993</v>
      </c>
    </row>
    <row r="12" spans="1:16" ht="15.6" x14ac:dyDescent="0.3">
      <c r="A12" s="663" t="s">
        <v>156</v>
      </c>
      <c r="B12" s="664"/>
      <c r="C12" s="11" t="s">
        <v>152</v>
      </c>
      <c r="D12" s="26">
        <v>0</v>
      </c>
      <c r="E12" s="26">
        <v>0</v>
      </c>
      <c r="F12" s="26">
        <v>0</v>
      </c>
      <c r="G12" s="26"/>
      <c r="H12" s="26"/>
      <c r="I12" s="26"/>
      <c r="J12" s="26"/>
      <c r="K12" s="26"/>
      <c r="L12" s="26"/>
      <c r="M12" s="26"/>
      <c r="N12" s="26"/>
      <c r="O12" s="26">
        <v>0</v>
      </c>
      <c r="P12" s="55">
        <f>SUM(D12:O12)</f>
        <v>0</v>
      </c>
    </row>
    <row r="13" spans="1:16" ht="15.6" x14ac:dyDescent="0.3">
      <c r="A13" s="663" t="s">
        <v>155</v>
      </c>
      <c r="B13" s="664"/>
      <c r="C13" s="11" t="s">
        <v>152</v>
      </c>
      <c r="D13" s="26">
        <v>0</v>
      </c>
      <c r="E13" s="26">
        <v>0</v>
      </c>
      <c r="F13" s="26">
        <v>0</v>
      </c>
      <c r="G13" s="26"/>
      <c r="H13" s="26"/>
      <c r="I13" s="26"/>
      <c r="J13" s="26"/>
      <c r="K13" s="26"/>
      <c r="L13" s="26"/>
      <c r="M13" s="26"/>
      <c r="N13" s="26"/>
      <c r="O13" s="26">
        <v>3258</v>
      </c>
      <c r="P13" s="55">
        <f>SUM(D13:O13)</f>
        <v>3258</v>
      </c>
    </row>
    <row r="14" spans="1:16" ht="15.6" x14ac:dyDescent="0.3">
      <c r="A14" s="661" t="s">
        <v>154</v>
      </c>
      <c r="B14" s="662"/>
      <c r="C14" s="11" t="s">
        <v>152</v>
      </c>
      <c r="D14" s="26">
        <v>0</v>
      </c>
      <c r="E14" s="26">
        <v>0</v>
      </c>
      <c r="F14" s="26">
        <v>0</v>
      </c>
      <c r="G14" s="26"/>
      <c r="H14" s="26"/>
      <c r="I14" s="26"/>
      <c r="J14" s="26"/>
      <c r="K14" s="26"/>
      <c r="L14" s="26"/>
      <c r="M14" s="26"/>
      <c r="N14" s="26"/>
      <c r="O14" s="26">
        <v>0</v>
      </c>
      <c r="P14" s="55">
        <f>SUM(D14:O14)</f>
        <v>0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F15" si="0">SUM(D11:D14)</f>
        <v>0</v>
      </c>
      <c r="E15" s="34">
        <f t="shared" si="0"/>
        <v>0</v>
      </c>
      <c r="F15" s="34">
        <f t="shared" si="0"/>
        <v>0</v>
      </c>
      <c r="G15" s="34">
        <f t="shared" ref="G15:P15" si="1">SUM(G11:G14)</f>
        <v>0</v>
      </c>
      <c r="H15" s="34">
        <f t="shared" si="1"/>
        <v>0</v>
      </c>
      <c r="I15" s="34">
        <f t="shared" si="1"/>
        <v>0</v>
      </c>
      <c r="J15" s="34">
        <f t="shared" si="1"/>
        <v>0</v>
      </c>
      <c r="K15" s="34">
        <f t="shared" si="1"/>
        <v>0</v>
      </c>
      <c r="L15" s="34">
        <f t="shared" si="1"/>
        <v>0</v>
      </c>
      <c r="M15" s="34">
        <f t="shared" si="1"/>
        <v>0</v>
      </c>
      <c r="N15" s="34">
        <f t="shared" si="1"/>
        <v>0</v>
      </c>
      <c r="O15" s="34">
        <v>3946.7</v>
      </c>
      <c r="P15" s="55">
        <f t="shared" si="1"/>
        <v>3946.7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v>931</v>
      </c>
      <c r="E17" s="26">
        <v>734</v>
      </c>
      <c r="F17" s="26">
        <v>865.6</v>
      </c>
      <c r="G17" s="26">
        <f>966.5+0.1</f>
        <v>966.6</v>
      </c>
      <c r="H17" s="26">
        <v>883</v>
      </c>
      <c r="I17" s="26">
        <v>920</v>
      </c>
      <c r="J17" s="26">
        <v>758.3</v>
      </c>
      <c r="K17" s="26">
        <f>7+907</f>
        <v>914</v>
      </c>
      <c r="L17" s="26">
        <v>769</v>
      </c>
      <c r="M17" s="26">
        <v>848</v>
      </c>
      <c r="N17" s="26">
        <v>830</v>
      </c>
      <c r="O17" s="26"/>
      <c r="P17" s="55">
        <f>SUM(D17:O17)</f>
        <v>9419.5</v>
      </c>
      <c r="Q17" s="172"/>
    </row>
    <row r="18" spans="1:17" s="2" customFormat="1" ht="15.6" x14ac:dyDescent="0.3">
      <c r="A18" s="663" t="s">
        <v>181</v>
      </c>
      <c r="B18" s="664"/>
      <c r="C18" s="11" t="s">
        <v>152</v>
      </c>
      <c r="D18" s="26">
        <v>0</v>
      </c>
      <c r="E18" s="26">
        <v>0</v>
      </c>
      <c r="F18" s="26">
        <v>0</v>
      </c>
      <c r="G18" s="26">
        <v>0</v>
      </c>
      <c r="H18" s="26"/>
      <c r="I18" s="26">
        <v>0</v>
      </c>
      <c r="J18" s="26">
        <v>0</v>
      </c>
      <c r="K18" s="26">
        <v>0</v>
      </c>
      <c r="L18" s="26">
        <v>0</v>
      </c>
      <c r="M18" s="26"/>
      <c r="N18" s="26"/>
      <c r="O18" s="26"/>
      <c r="P18" s="55">
        <f>SUM(D18:O18)</f>
        <v>0</v>
      </c>
      <c r="Q18" s="172"/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v>100</v>
      </c>
      <c r="E19" s="26">
        <v>1086</v>
      </c>
      <c r="F19" s="26">
        <v>2804</v>
      </c>
      <c r="G19" s="26">
        <v>1847</v>
      </c>
      <c r="H19" s="26">
        <v>1788</v>
      </c>
      <c r="I19" s="26">
        <f>2171+14</f>
        <v>2185</v>
      </c>
      <c r="J19" s="26">
        <v>2172</v>
      </c>
      <c r="K19" s="26">
        <f>109+1281</f>
        <v>1390</v>
      </c>
      <c r="L19" s="26">
        <v>2548</v>
      </c>
      <c r="M19" s="26">
        <v>2172</v>
      </c>
      <c r="N19" s="26">
        <v>4357</v>
      </c>
      <c r="O19" s="26"/>
      <c r="P19" s="55">
        <f>SUM(D19:O19)</f>
        <v>22449</v>
      </c>
      <c r="Q19" s="172"/>
    </row>
    <row r="20" spans="1:17" s="2" customFormat="1" ht="15.6" x14ac:dyDescent="0.3">
      <c r="A20" s="661" t="s">
        <v>183</v>
      </c>
      <c r="B20" s="662"/>
      <c r="C20" s="11" t="s">
        <v>152</v>
      </c>
      <c r="D20" s="26">
        <v>0</v>
      </c>
      <c r="E20" s="26">
        <v>0</v>
      </c>
      <c r="F20" s="26">
        <v>0</v>
      </c>
      <c r="G20" s="26">
        <v>0</v>
      </c>
      <c r="H20" s="26"/>
      <c r="I20" s="26"/>
      <c r="J20" s="26"/>
      <c r="K20" s="26"/>
      <c r="L20" s="26"/>
      <c r="M20" s="26"/>
      <c r="N20" s="26"/>
      <c r="O20" s="26"/>
      <c r="P20" s="55">
        <f>SUM(D20:O20)</f>
        <v>0</v>
      </c>
      <c r="Q20" s="172"/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1031</v>
      </c>
      <c r="E21" s="34">
        <f t="shared" ref="E21:P21" si="2">SUM(E17:E20)</f>
        <v>1820</v>
      </c>
      <c r="F21" s="34">
        <f t="shared" si="2"/>
        <v>3669.6</v>
      </c>
      <c r="G21" s="34">
        <f t="shared" si="2"/>
        <v>2813.6</v>
      </c>
      <c r="H21" s="34">
        <f t="shared" si="2"/>
        <v>2671</v>
      </c>
      <c r="I21" s="34">
        <f t="shared" si="2"/>
        <v>3105</v>
      </c>
      <c r="J21" s="34">
        <f t="shared" si="2"/>
        <v>2930.3</v>
      </c>
      <c r="K21" s="34">
        <f t="shared" si="2"/>
        <v>2304</v>
      </c>
      <c r="L21" s="34">
        <f t="shared" si="2"/>
        <v>3317</v>
      </c>
      <c r="M21" s="34">
        <f t="shared" si="2"/>
        <v>3020</v>
      </c>
      <c r="N21" s="34">
        <f>SUM(N17:N20)</f>
        <v>5187</v>
      </c>
      <c r="O21" s="34">
        <v>0</v>
      </c>
      <c r="P21" s="55">
        <f t="shared" si="2"/>
        <v>31868.5</v>
      </c>
      <c r="Q21" s="172"/>
    </row>
    <row r="22" spans="1:17" s="2" customFormat="1" ht="15.6" x14ac:dyDescent="0.3">
      <c r="A22" s="75" t="s">
        <v>185</v>
      </c>
      <c r="B22" s="79"/>
      <c r="C22" s="11" t="s">
        <v>152</v>
      </c>
      <c r="D22" s="34">
        <f>D21+D15</f>
        <v>1031</v>
      </c>
      <c r="E22" s="34">
        <f t="shared" ref="E22:P22" si="3">E21+E15</f>
        <v>1820</v>
      </c>
      <c r="F22" s="34">
        <f t="shared" si="3"/>
        <v>3669.6</v>
      </c>
      <c r="G22" s="34">
        <f t="shared" si="3"/>
        <v>2813.6</v>
      </c>
      <c r="H22" s="34">
        <f t="shared" si="3"/>
        <v>2671</v>
      </c>
      <c r="I22" s="34">
        <f t="shared" si="3"/>
        <v>3105</v>
      </c>
      <c r="J22" s="34">
        <f t="shared" si="3"/>
        <v>2930.3</v>
      </c>
      <c r="K22" s="34">
        <f t="shared" si="3"/>
        <v>2304</v>
      </c>
      <c r="L22" s="34">
        <f t="shared" si="3"/>
        <v>3317</v>
      </c>
      <c r="M22" s="34">
        <f t="shared" si="3"/>
        <v>3020</v>
      </c>
      <c r="N22" s="34">
        <f t="shared" si="3"/>
        <v>5187</v>
      </c>
      <c r="O22" s="34">
        <v>3946.7</v>
      </c>
      <c r="P22" s="55">
        <f t="shared" si="3"/>
        <v>35815.199999999997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54">
        <f>D9-D22</f>
        <v>355</v>
      </c>
      <c r="E24" s="54">
        <f t="shared" ref="E24:P24" si="4">E9-E22</f>
        <v>585</v>
      </c>
      <c r="F24" s="54">
        <f t="shared" si="4"/>
        <v>990.40000000000009</v>
      </c>
      <c r="G24" s="54">
        <f t="shared" si="4"/>
        <v>591.40000000000009</v>
      </c>
      <c r="H24" s="54">
        <f t="shared" si="4"/>
        <v>492</v>
      </c>
      <c r="I24" s="54">
        <f t="shared" si="4"/>
        <v>441</v>
      </c>
      <c r="J24" s="54">
        <f t="shared" si="4"/>
        <v>525.69999999999982</v>
      </c>
      <c r="K24" s="54">
        <f t="shared" si="4"/>
        <v>809</v>
      </c>
      <c r="L24" s="54">
        <f t="shared" si="4"/>
        <v>571</v>
      </c>
      <c r="M24" s="54">
        <f t="shared" si="4"/>
        <v>371</v>
      </c>
      <c r="N24" s="54">
        <f t="shared" si="4"/>
        <v>904</v>
      </c>
      <c r="O24" s="54">
        <v>346.30000000000018</v>
      </c>
      <c r="P24" s="99">
        <f t="shared" si="4"/>
        <v>6981.8000000000029</v>
      </c>
    </row>
    <row r="25" spans="1:17" ht="15.6" x14ac:dyDescent="0.3">
      <c r="A25" s="716"/>
      <c r="B25" s="53" t="s">
        <v>151</v>
      </c>
      <c r="C25" s="52" t="s">
        <v>6</v>
      </c>
      <c r="D25" s="51">
        <f t="shared" ref="D25:P25" si="5">D24/D9</f>
        <v>0.25613275613275616</v>
      </c>
      <c r="E25" s="51">
        <f t="shared" si="5"/>
        <v>0.24324324324324326</v>
      </c>
      <c r="F25" s="51">
        <f t="shared" si="5"/>
        <v>0.21253218884120173</v>
      </c>
      <c r="G25" s="51">
        <f t="shared" si="5"/>
        <v>0.17368575624082236</v>
      </c>
      <c r="H25" s="51">
        <f t="shared" si="5"/>
        <v>0.15554852987669934</v>
      </c>
      <c r="I25" s="51">
        <f t="shared" si="5"/>
        <v>0.12436548223350254</v>
      </c>
      <c r="J25" s="51">
        <f t="shared" si="5"/>
        <v>0.15211226851851847</v>
      </c>
      <c r="K25" s="51">
        <f t="shared" si="5"/>
        <v>0.25987793125602315</v>
      </c>
      <c r="L25" s="51">
        <f t="shared" si="5"/>
        <v>0.14686213991769548</v>
      </c>
      <c r="M25" s="51">
        <f t="shared" si="5"/>
        <v>0.10940725449719847</v>
      </c>
      <c r="N25" s="51">
        <f t="shared" si="5"/>
        <v>0.14841569528813003</v>
      </c>
      <c r="O25" s="51">
        <v>8.0666200791986997E-2</v>
      </c>
      <c r="P25" s="153">
        <f t="shared" si="5"/>
        <v>0.16313760310302131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3">
        <v>5</v>
      </c>
      <c r="E29" s="567">
        <v>8</v>
      </c>
      <c r="F29" s="43">
        <v>8</v>
      </c>
      <c r="G29" s="567">
        <v>7</v>
      </c>
      <c r="H29" s="43">
        <v>4</v>
      </c>
      <c r="I29" s="43">
        <v>1</v>
      </c>
      <c r="J29" s="43">
        <v>1</v>
      </c>
      <c r="K29" s="43">
        <v>1</v>
      </c>
      <c r="L29" s="43">
        <v>1</v>
      </c>
      <c r="M29" s="43">
        <v>2</v>
      </c>
      <c r="N29" s="43">
        <v>3</v>
      </c>
      <c r="O29" s="43">
        <v>1</v>
      </c>
      <c r="P29" s="45">
        <f>SUM(D29:O29)</f>
        <v>42</v>
      </c>
    </row>
    <row r="30" spans="1:17" ht="15.6" x14ac:dyDescent="0.3">
      <c r="A30" s="711"/>
      <c r="B30" s="642"/>
      <c r="C30" s="42" t="s">
        <v>139</v>
      </c>
      <c r="D30" s="15">
        <f t="shared" ref="D30:F30" si="6">D29/(D9/1000)</f>
        <v>3.6075036075036078</v>
      </c>
      <c r="E30" s="15">
        <f t="shared" si="6"/>
        <v>3.3264033264033266</v>
      </c>
      <c r="F30" s="15">
        <f t="shared" si="6"/>
        <v>1.7167381974248928</v>
      </c>
      <c r="G30" s="15">
        <f t="shared" ref="G30:P30" si="7">G29/(G9/1000)</f>
        <v>2.0558002936857562</v>
      </c>
      <c r="H30" s="15">
        <f>H29/(Migowi!H9/1000)</f>
        <v>1.2646221941195068</v>
      </c>
      <c r="I30" s="15">
        <f t="shared" ref="I30:K30" si="8">I29/(I9/1000)</f>
        <v>0.28200789622109418</v>
      </c>
      <c r="J30" s="15">
        <f t="shared" si="8"/>
        <v>0.28935185185185186</v>
      </c>
      <c r="K30" s="15">
        <f t="shared" si="8"/>
        <v>0.32123353678123995</v>
      </c>
      <c r="L30" s="15">
        <v>0.25720164609053497</v>
      </c>
      <c r="M30" s="15">
        <f t="shared" si="7"/>
        <v>0.58979652020053086</v>
      </c>
      <c r="N30" s="15">
        <f t="shared" si="7"/>
        <v>0.49252996223936957</v>
      </c>
      <c r="O30" s="15">
        <v>0.23293733985557885</v>
      </c>
      <c r="P30" s="102">
        <f t="shared" si="7"/>
        <v>0.98137719933640211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>
        <f t="shared" ref="G32:P32" si="10">G31/(G9/1000)</f>
        <v>0</v>
      </c>
      <c r="H32" s="15">
        <v>0</v>
      </c>
      <c r="I32" s="15">
        <f t="shared" si="10"/>
        <v>0</v>
      </c>
      <c r="J32" s="15">
        <f t="shared" si="10"/>
        <v>0</v>
      </c>
      <c r="K32" s="15">
        <f t="shared" si="10"/>
        <v>0</v>
      </c>
      <c r="L32" s="15">
        <f t="shared" si="10"/>
        <v>0</v>
      </c>
      <c r="M32" s="15">
        <f t="shared" si="10"/>
        <v>0</v>
      </c>
      <c r="N32" s="15">
        <f t="shared" si="10"/>
        <v>0</v>
      </c>
      <c r="O32" s="15">
        <v>0</v>
      </c>
      <c r="P32" s="102">
        <f t="shared" si="10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>
        <f t="shared" ref="D34:F34" si="11">D33/(D9/1000)</f>
        <v>0</v>
      </c>
      <c r="E34" s="15">
        <f t="shared" si="11"/>
        <v>0</v>
      </c>
      <c r="F34" s="15">
        <f t="shared" si="11"/>
        <v>0</v>
      </c>
      <c r="G34" s="15">
        <f t="shared" ref="G34:P34" si="12">G33/(G9/1000)</f>
        <v>0</v>
      </c>
      <c r="H34" s="15">
        <v>0</v>
      </c>
      <c r="I34" s="15">
        <f t="shared" si="12"/>
        <v>0</v>
      </c>
      <c r="J34" s="15">
        <f t="shared" si="12"/>
        <v>0</v>
      </c>
      <c r="K34" s="15">
        <f t="shared" si="12"/>
        <v>0</v>
      </c>
      <c r="L34" s="15">
        <f t="shared" si="12"/>
        <v>0</v>
      </c>
      <c r="M34" s="15">
        <f t="shared" si="12"/>
        <v>0</v>
      </c>
      <c r="N34" s="15">
        <f t="shared" si="12"/>
        <v>0</v>
      </c>
      <c r="O34" s="15">
        <v>0</v>
      </c>
      <c r="P34" s="102">
        <f t="shared" si="12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2"/>
    </row>
    <row r="36" spans="1:16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>
        <f t="shared" ref="D38:F38" si="13">D37/(D9/1000)</f>
        <v>0</v>
      </c>
      <c r="E38" s="15">
        <f t="shared" si="13"/>
        <v>0</v>
      </c>
      <c r="F38" s="15">
        <f t="shared" si="13"/>
        <v>0</v>
      </c>
      <c r="G38" s="15">
        <f t="shared" ref="G38:P38" si="14">G37/(G9/1000)</f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5">
        <v>0</v>
      </c>
      <c r="P38" s="102">
        <f t="shared" si="14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>
        <f t="shared" ref="D40:F40" si="15">D39/(D9/1000)</f>
        <v>0</v>
      </c>
      <c r="E40" s="15">
        <f t="shared" si="15"/>
        <v>0</v>
      </c>
      <c r="F40" s="15">
        <f t="shared" si="15"/>
        <v>0</v>
      </c>
      <c r="G40" s="15">
        <f t="shared" ref="G40:P40" si="16">G39/(G9/1000)</f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5">
        <v>0</v>
      </c>
      <c r="P40" s="102">
        <f t="shared" si="16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25558.35</v>
      </c>
      <c r="E41" s="41">
        <f t="shared" ref="E41:N41" si="17">(E29*$B29)+(E31*$B31)+(E33*$B33)+(E35*$B35)+(E37*$B37)+(E39*$B39)</f>
        <v>40893.360000000001</v>
      </c>
      <c r="F41" s="41">
        <f t="shared" si="17"/>
        <v>40893.360000000001</v>
      </c>
      <c r="G41" s="41">
        <f t="shared" si="17"/>
        <v>35781.69</v>
      </c>
      <c r="H41" s="41">
        <f t="shared" si="17"/>
        <v>20446.68</v>
      </c>
      <c r="I41" s="41">
        <f t="shared" si="17"/>
        <v>5111.67</v>
      </c>
      <c r="J41" s="41">
        <f t="shared" si="17"/>
        <v>5111.67</v>
      </c>
      <c r="K41" s="41">
        <f t="shared" si="17"/>
        <v>5111.67</v>
      </c>
      <c r="L41" s="41">
        <f t="shared" si="17"/>
        <v>5111.67</v>
      </c>
      <c r="M41" s="41">
        <f t="shared" si="17"/>
        <v>10223.34</v>
      </c>
      <c r="N41" s="41">
        <f t="shared" si="17"/>
        <v>15335.01</v>
      </c>
      <c r="O41" s="41">
        <v>5111.67</v>
      </c>
      <c r="P41" s="39">
        <f>SUM(D41:O41)</f>
        <v>214690.14000000007</v>
      </c>
    </row>
    <row r="42" spans="1:16" ht="15.6" x14ac:dyDescent="0.3">
      <c r="A42" s="708" t="s">
        <v>137</v>
      </c>
      <c r="B42" s="709"/>
      <c r="C42" s="42" t="s">
        <v>115</v>
      </c>
      <c r="D42" s="15">
        <f t="shared" ref="D42:P42" si="18">D41/D9</f>
        <v>18.440367965367965</v>
      </c>
      <c r="E42" s="15">
        <f t="shared" si="18"/>
        <v>17.003476091476092</v>
      </c>
      <c r="F42" s="15">
        <f t="shared" si="18"/>
        <v>8.775399141630901</v>
      </c>
      <c r="G42" s="15">
        <f t="shared" si="18"/>
        <v>10.508572687224671</v>
      </c>
      <c r="H42" s="15">
        <f>H41/Migowi!H9</f>
        <v>6.4643313310148596</v>
      </c>
      <c r="I42" s="15">
        <f t="shared" si="18"/>
        <v>1.4415313028764805</v>
      </c>
      <c r="J42" s="15">
        <f t="shared" si="18"/>
        <v>1.4790711805555556</v>
      </c>
      <c r="K42" s="15">
        <f t="shared" si="18"/>
        <v>1.6420398329585608</v>
      </c>
      <c r="L42" s="15">
        <f t="shared" si="18"/>
        <v>1.3147299382716049</v>
      </c>
      <c r="M42" s="15">
        <f t="shared" si="18"/>
        <v>3.0148451784134473</v>
      </c>
      <c r="N42" s="15">
        <f t="shared" si="18"/>
        <v>2.5176506320801182</v>
      </c>
      <c r="O42" s="15">
        <v>1.1906988120195667</v>
      </c>
      <c r="P42" s="44">
        <f t="shared" si="18"/>
        <v>5.0164763885319079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">
        <v>1447</v>
      </c>
      <c r="E44" s="4">
        <v>1130</v>
      </c>
      <c r="F44" s="43">
        <v>1784</v>
      </c>
      <c r="G44" s="43">
        <v>1945</v>
      </c>
      <c r="H44" s="43">
        <v>1468</v>
      </c>
      <c r="I44" s="43">
        <v>1621</v>
      </c>
      <c r="J44" s="43">
        <v>1046</v>
      </c>
      <c r="K44" s="43">
        <v>1182</v>
      </c>
      <c r="L44" s="43">
        <v>976</v>
      </c>
      <c r="M44" s="43">
        <v>1156</v>
      </c>
      <c r="N44" s="43">
        <v>1150</v>
      </c>
      <c r="O44" s="43">
        <v>989</v>
      </c>
      <c r="P44" s="39">
        <f>SUM(D44:O44)</f>
        <v>15894</v>
      </c>
    </row>
    <row r="45" spans="1:16" ht="15.6" x14ac:dyDescent="0.3">
      <c r="A45" s="708" t="s">
        <v>133</v>
      </c>
      <c r="B45" s="709"/>
      <c r="C45" s="42" t="s">
        <v>132</v>
      </c>
      <c r="D45" s="15">
        <f t="shared" ref="D45:G45" si="19">D44/D9</f>
        <v>1.0440115440115441</v>
      </c>
      <c r="E45" s="15">
        <f t="shared" si="19"/>
        <v>0.46985446985446988</v>
      </c>
      <c r="F45" s="15">
        <f t="shared" si="19"/>
        <v>0.38283261802575108</v>
      </c>
      <c r="G45" s="15">
        <f t="shared" si="19"/>
        <v>0.57121879588839941</v>
      </c>
      <c r="H45" s="15">
        <f>H44/Migowi!H9</f>
        <v>0.46411634524185902</v>
      </c>
      <c r="I45" s="15">
        <f t="shared" ref="I45" si="20">I44/I9</f>
        <v>0.4571347997743937</v>
      </c>
      <c r="J45" s="15">
        <f t="shared" ref="J45:P45" si="21">J44/J9</f>
        <v>0.30266203703703703</v>
      </c>
      <c r="K45" s="15">
        <f t="shared" si="21"/>
        <v>0.37969804047542566</v>
      </c>
      <c r="L45" s="15">
        <f t="shared" si="21"/>
        <v>0.25102880658436216</v>
      </c>
      <c r="M45" s="15">
        <f t="shared" si="21"/>
        <v>0.34090238867590683</v>
      </c>
      <c r="N45" s="15">
        <f t="shared" si="21"/>
        <v>0.18880315219175833</v>
      </c>
      <c r="O45" s="15">
        <v>0.23037502911716748</v>
      </c>
      <c r="P45" s="102">
        <f t="shared" si="21"/>
        <v>0.37138117157744704</v>
      </c>
    </row>
    <row r="46" spans="1:16" ht="15.6" x14ac:dyDescent="0.3">
      <c r="A46" s="643" t="s">
        <v>131</v>
      </c>
      <c r="B46" s="644"/>
      <c r="C46" s="5" t="s">
        <v>31</v>
      </c>
      <c r="D46" s="3">
        <f t="shared" ref="D46:F46" si="22">1.165*(14100+(D44*119.1))</f>
        <v>217199.92049999998</v>
      </c>
      <c r="E46" s="3">
        <f t="shared" si="22"/>
        <v>173215.69500000001</v>
      </c>
      <c r="F46" s="3">
        <f t="shared" si="22"/>
        <v>263959.17599999998</v>
      </c>
      <c r="G46" s="41">
        <f t="shared" ref="G46:K46" si="23">122.92*G44</f>
        <v>239079.4</v>
      </c>
      <c r="H46" s="41">
        <f t="shared" si="23"/>
        <v>180446.56</v>
      </c>
      <c r="I46" s="41">
        <f t="shared" si="23"/>
        <v>199253.32</v>
      </c>
      <c r="J46" s="41">
        <f t="shared" si="23"/>
        <v>128574.32</v>
      </c>
      <c r="K46" s="41">
        <f t="shared" si="23"/>
        <v>145291.44</v>
      </c>
      <c r="L46" s="41">
        <v>119969.92</v>
      </c>
      <c r="M46" s="41">
        <v>142095.51999999999</v>
      </c>
      <c r="N46" s="41">
        <f t="shared" ref="N46" si="24">122.92*N44</f>
        <v>141358</v>
      </c>
      <c r="O46" s="41">
        <v>121567.88</v>
      </c>
      <c r="P46" s="39">
        <f>SUM(D46:O46)</f>
        <v>2072011.1515000002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>
        <f t="shared" ref="D47:P47" si="25">D46/D9</f>
        <v>156.70989935064932</v>
      </c>
      <c r="E47" s="15">
        <f t="shared" si="25"/>
        <v>72.023158004158006</v>
      </c>
      <c r="F47" s="15">
        <f t="shared" si="25"/>
        <v>56.643599999999992</v>
      </c>
      <c r="G47" s="15">
        <f t="shared" si="25"/>
        <v>70.214214390602052</v>
      </c>
      <c r="H47" s="15">
        <f>H46/Migowi!H9</f>
        <v>57.049181157129304</v>
      </c>
      <c r="I47" s="15">
        <f t="shared" ref="I47" si="26">I46/I9</f>
        <v>56.191009588268471</v>
      </c>
      <c r="J47" s="15">
        <f t="shared" si="25"/>
        <v>37.203217592592594</v>
      </c>
      <c r="K47" s="15">
        <f t="shared" si="25"/>
        <v>46.672483135239318</v>
      </c>
      <c r="L47" s="15">
        <f t="shared" si="25"/>
        <v>30.856460905349795</v>
      </c>
      <c r="M47" s="15">
        <f t="shared" si="25"/>
        <v>41.903721616042461</v>
      </c>
      <c r="N47" s="15">
        <f t="shared" si="25"/>
        <v>23.207683467410934</v>
      </c>
      <c r="O47" s="15">
        <v>28.317698579082229</v>
      </c>
      <c r="P47" s="102">
        <f t="shared" si="25"/>
        <v>48.414869067925324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0</v>
      </c>
    </row>
    <row r="50" spans="1:16" ht="15.6" x14ac:dyDescent="0.3">
      <c r="A50" s="661" t="s">
        <v>187</v>
      </c>
      <c r="B50" s="662"/>
      <c r="C50" s="5" t="s">
        <v>126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9">
        <f>SUM(D50:O50)</f>
        <v>0</v>
      </c>
    </row>
    <row r="51" spans="1:16" ht="15.6" x14ac:dyDescent="0.3">
      <c r="A51" s="643" t="s">
        <v>125</v>
      </c>
      <c r="B51" s="644"/>
      <c r="C51" s="5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40">
        <f>SUM(D51:O51)</f>
        <v>0</v>
      </c>
    </row>
    <row r="52" spans="1:16" ht="15.6" x14ac:dyDescent="0.3">
      <c r="A52" s="661" t="s">
        <v>124</v>
      </c>
      <c r="B52" s="66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/>
      <c r="E54" s="13"/>
      <c r="F54" s="13"/>
      <c r="G54" s="13"/>
      <c r="H54" s="13"/>
      <c r="I54" s="13"/>
      <c r="J54" s="13"/>
      <c r="K54" s="13">
        <v>368124.46</v>
      </c>
      <c r="L54" s="13">
        <v>374231.62</v>
      </c>
      <c r="M54" s="13"/>
      <c r="N54" s="13"/>
      <c r="O54" s="13"/>
      <c r="P54" s="39">
        <f>SUM(D54:O54)</f>
        <v>742356.08000000007</v>
      </c>
    </row>
    <row r="55" spans="1:16" ht="15.6" x14ac:dyDescent="0.3">
      <c r="A55" s="78" t="s">
        <v>121</v>
      </c>
      <c r="B55" s="79"/>
      <c r="C55" s="11" t="s">
        <v>18</v>
      </c>
      <c r="D55" s="13">
        <v>99874.39</v>
      </c>
      <c r="E55" s="13">
        <v>101264.5</v>
      </c>
      <c r="F55" s="13">
        <v>106894.44</v>
      </c>
      <c r="G55" s="13">
        <f>AVERAGE(D55:F55)</f>
        <v>102677.77666666667</v>
      </c>
      <c r="H55" s="13">
        <v>104754.35</v>
      </c>
      <c r="I55" s="13">
        <v>101840.6</v>
      </c>
      <c r="J55" s="13">
        <f>AVERAGE(D55:I55)</f>
        <v>102884.34277777777</v>
      </c>
      <c r="K55" s="13">
        <v>105872.36</v>
      </c>
      <c r="L55" s="13">
        <v>124275.56</v>
      </c>
      <c r="M55" s="13">
        <v>71600</v>
      </c>
      <c r="N55" s="13">
        <v>65384.72</v>
      </c>
      <c r="O55" s="13">
        <v>91783.16</v>
      </c>
      <c r="P55" s="39">
        <f>SUM(D55:O55)</f>
        <v>1179106.1994444444</v>
      </c>
    </row>
    <row r="56" spans="1:16" ht="15.6" x14ac:dyDescent="0.3">
      <c r="A56" s="661" t="s">
        <v>120</v>
      </c>
      <c r="B56" s="662"/>
      <c r="C56" s="5" t="s">
        <v>18</v>
      </c>
      <c r="D56" s="13">
        <v>10000</v>
      </c>
      <c r="E56" s="13">
        <v>84100</v>
      </c>
      <c r="F56" s="13">
        <v>89120</v>
      </c>
      <c r="G56" s="13">
        <f>AVERAGE(D56:F56)</f>
        <v>61073.333333333336</v>
      </c>
      <c r="H56" s="13">
        <v>72857.94</v>
      </c>
      <c r="I56" s="13">
        <v>78460</v>
      </c>
      <c r="J56" s="13">
        <f>AVERAGE(D56:I56)</f>
        <v>65935.212222222224</v>
      </c>
      <c r="K56" s="13">
        <v>86479.71</v>
      </c>
      <c r="L56" s="13">
        <v>101653.2</v>
      </c>
      <c r="M56" s="13">
        <v>92400</v>
      </c>
      <c r="N56" s="13"/>
      <c r="O56" s="13">
        <v>95653.727500000008</v>
      </c>
      <c r="P56" s="39">
        <f>SUM(D56:O56)</f>
        <v>837733.12305555551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352632.6605</v>
      </c>
      <c r="E58" s="13">
        <f t="shared" ref="E58:F58" si="27">E41+E46+E51+E52+E54+E55+E56</f>
        <v>399473.55499999999</v>
      </c>
      <c r="F58" s="13">
        <f t="shared" si="27"/>
        <v>500866.97599999997</v>
      </c>
      <c r="G58" s="13">
        <f t="shared" ref="G58:N58" si="28">G41+G46+G51+G52+G54+G55+G56</f>
        <v>438612.19999999995</v>
      </c>
      <c r="H58" s="13">
        <f t="shared" si="28"/>
        <v>378505.52999999997</v>
      </c>
      <c r="I58" s="13">
        <f t="shared" si="28"/>
        <v>384665.59</v>
      </c>
      <c r="J58" s="13">
        <f t="shared" si="28"/>
        <v>302505.54500000004</v>
      </c>
      <c r="K58" s="13">
        <f t="shared" si="28"/>
        <v>710879.64</v>
      </c>
      <c r="L58" s="13">
        <f t="shared" si="28"/>
        <v>725241.97</v>
      </c>
      <c r="M58" s="13">
        <f t="shared" si="28"/>
        <v>316318.86</v>
      </c>
      <c r="N58" s="13">
        <f t="shared" si="28"/>
        <v>222077.73</v>
      </c>
      <c r="O58" s="13">
        <v>314116.4375</v>
      </c>
      <c r="P58" s="64">
        <f>SUM(D58:O58)</f>
        <v>5045896.6940000011</v>
      </c>
    </row>
    <row r="59" spans="1:16" ht="15.6" x14ac:dyDescent="0.3">
      <c r="A59" s="643" t="s">
        <v>117</v>
      </c>
      <c r="B59" s="644"/>
      <c r="C59" s="5" t="s">
        <v>115</v>
      </c>
      <c r="D59" s="15">
        <f t="shared" ref="D59:F59" si="29">D58/D9</f>
        <v>254.42471897546898</v>
      </c>
      <c r="E59" s="15">
        <f t="shared" si="29"/>
        <v>166.10127027027028</v>
      </c>
      <c r="F59" s="15">
        <f t="shared" si="29"/>
        <v>107.48218369098711</v>
      </c>
      <c r="G59" s="15">
        <f t="shared" ref="G59:P59" si="30">G58/G9</f>
        <v>128.8141556534508</v>
      </c>
      <c r="H59" s="15">
        <f>H58/Migowi!H9</f>
        <v>119.6666234587417</v>
      </c>
      <c r="I59" s="15">
        <f t="shared" si="30"/>
        <v>108.47873378454598</v>
      </c>
      <c r="J59" s="15">
        <f t="shared" si="30"/>
        <v>87.530539641203717</v>
      </c>
      <c r="K59" s="15">
        <f t="shared" si="30"/>
        <v>228.35838098297464</v>
      </c>
      <c r="L59" s="15">
        <f t="shared" si="30"/>
        <v>186.53342849794237</v>
      </c>
      <c r="M59" s="15">
        <f t="shared" si="30"/>
        <v>93.281881450899434</v>
      </c>
      <c r="N59" s="15">
        <f t="shared" si="30"/>
        <v>36.459978657034974</v>
      </c>
      <c r="O59" s="15">
        <v>73.169447356161186</v>
      </c>
      <c r="P59" s="102">
        <f t="shared" si="30"/>
        <v>117.90304680234598</v>
      </c>
    </row>
    <row r="60" spans="1:16" ht="15.6" x14ac:dyDescent="0.3">
      <c r="A60" s="643" t="s">
        <v>116</v>
      </c>
      <c r="B60" s="644"/>
      <c r="C60" s="5" t="s">
        <v>115</v>
      </c>
      <c r="D60" s="15">
        <f>D58/D22</f>
        <v>342.02973860329774</v>
      </c>
      <c r="E60" s="15">
        <f t="shared" ref="E60:F60" si="31">E58/E22</f>
        <v>219.49096428571428</v>
      </c>
      <c r="F60" s="15">
        <f t="shared" si="31"/>
        <v>136.49089165031612</v>
      </c>
      <c r="G60" s="15">
        <f t="shared" ref="G60:N60" si="32">G58/G22</f>
        <v>155.89003411998863</v>
      </c>
      <c r="H60" s="15">
        <f t="shared" si="32"/>
        <v>141.70929614376638</v>
      </c>
      <c r="I60" s="15">
        <f t="shared" si="32"/>
        <v>123.8858582930757</v>
      </c>
      <c r="J60" s="15">
        <f t="shared" si="32"/>
        <v>103.23364331297138</v>
      </c>
      <c r="K60" s="15">
        <f t="shared" si="32"/>
        <v>308.54151041666665</v>
      </c>
      <c r="L60" s="15">
        <f t="shared" si="32"/>
        <v>218.64394633705155</v>
      </c>
      <c r="M60" s="15">
        <f t="shared" si="32"/>
        <v>104.74134437086093</v>
      </c>
      <c r="N60" s="15">
        <f t="shared" si="32"/>
        <v>42.814291497975709</v>
      </c>
      <c r="O60" s="15">
        <v>79.589641345934581</v>
      </c>
      <c r="P60" s="103">
        <f>P58/P22</f>
        <v>140.88701707654855</v>
      </c>
    </row>
    <row r="61" spans="1:16" ht="15.6" x14ac:dyDescent="0.3">
      <c r="A61" s="661" t="s">
        <v>114</v>
      </c>
      <c r="B61" s="662"/>
      <c r="C61" s="5" t="s">
        <v>3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/>
      <c r="N61" s="4"/>
      <c r="O61" s="4"/>
      <c r="P61" s="9">
        <f>O61</f>
        <v>0</v>
      </c>
    </row>
    <row r="62" spans="1:16" ht="15.6" customHeight="1" x14ac:dyDescent="0.3">
      <c r="A62" s="643" t="s">
        <v>113</v>
      </c>
      <c r="B62" s="644"/>
      <c r="C62" s="5" t="s">
        <v>112</v>
      </c>
      <c r="D62" s="15">
        <f t="shared" ref="D62:F62" si="33">(D61*1000*31)/D9</f>
        <v>22.366522366522368</v>
      </c>
      <c r="E62" s="15">
        <f t="shared" si="33"/>
        <v>12.889812889812889</v>
      </c>
      <c r="F62" s="15">
        <f t="shared" si="33"/>
        <v>6.6523605150214591</v>
      </c>
      <c r="G62" s="15">
        <f t="shared" ref="G62:P62" si="34">(G61*1000*31)/G9</f>
        <v>9.1042584434654916</v>
      </c>
      <c r="H62" s="15">
        <f>(H61*1000*31)/Migowi!H9</f>
        <v>9.8008220044261769</v>
      </c>
      <c r="I62" s="15">
        <f t="shared" si="34"/>
        <v>8.7422447828539198</v>
      </c>
      <c r="J62" s="15">
        <f t="shared" si="34"/>
        <v>8.9699074074074066</v>
      </c>
      <c r="K62" s="15">
        <f t="shared" si="34"/>
        <v>9.958239640218439</v>
      </c>
      <c r="L62" s="15">
        <f t="shared" si="34"/>
        <v>7.9732510288065841</v>
      </c>
      <c r="M62" s="15">
        <f t="shared" si="34"/>
        <v>0</v>
      </c>
      <c r="N62" s="15">
        <f t="shared" si="34"/>
        <v>0</v>
      </c>
      <c r="O62" s="15">
        <v>0</v>
      </c>
      <c r="P62" s="102">
        <f t="shared" si="34"/>
        <v>0</v>
      </c>
    </row>
    <row r="63" spans="1:16" ht="15.6" x14ac:dyDescent="0.3">
      <c r="A63" s="700" t="s">
        <v>111</v>
      </c>
      <c r="B63" s="701"/>
      <c r="C63" s="38" t="s">
        <v>3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2</v>
      </c>
      <c r="L63" s="4">
        <v>2</v>
      </c>
      <c r="M63" s="4">
        <v>2</v>
      </c>
      <c r="N63" s="4">
        <v>2</v>
      </c>
      <c r="O63" s="4">
        <v>2</v>
      </c>
      <c r="P63" s="9">
        <f>SUM(D63:O63)</f>
        <v>24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0</v>
      </c>
      <c r="E66" s="4">
        <f>D71</f>
        <v>0</v>
      </c>
      <c r="F66" s="4">
        <f t="shared" ref="F66:G66" si="35">E71</f>
        <v>0</v>
      </c>
      <c r="G66" s="4">
        <f t="shared" si="35"/>
        <v>0</v>
      </c>
      <c r="H66" s="157"/>
      <c r="I66" s="157"/>
      <c r="J66" s="157"/>
      <c r="K66" s="157"/>
      <c r="L66" s="157"/>
      <c r="M66" s="157"/>
      <c r="N66" s="157"/>
      <c r="O66" s="157"/>
      <c r="P66" s="35">
        <f>D66</f>
        <v>0</v>
      </c>
    </row>
    <row r="67" spans="1:16" ht="15.6" x14ac:dyDescent="0.3">
      <c r="A67" s="689"/>
      <c r="B67" s="24" t="s">
        <v>104</v>
      </c>
      <c r="C67" s="5" t="s">
        <v>3</v>
      </c>
      <c r="D67" s="4">
        <v>0</v>
      </c>
      <c r="E67" s="4">
        <v>0</v>
      </c>
      <c r="F67" s="4"/>
      <c r="G67" s="4">
        <v>0</v>
      </c>
      <c r="H67" s="155"/>
      <c r="I67" s="155"/>
      <c r="J67" s="155"/>
      <c r="K67" s="155"/>
      <c r="L67" s="155"/>
      <c r="M67" s="155"/>
      <c r="N67" s="155"/>
      <c r="O67" s="155"/>
      <c r="P67" s="35">
        <f>SUM(D67:O67)</f>
        <v>0</v>
      </c>
    </row>
    <row r="68" spans="1:16" ht="27" x14ac:dyDescent="0.3">
      <c r="A68" s="689"/>
      <c r="B68" s="24" t="s">
        <v>103</v>
      </c>
      <c r="C68" s="5" t="s">
        <v>3</v>
      </c>
      <c r="D68" s="4">
        <v>0</v>
      </c>
      <c r="E68" s="4">
        <v>0</v>
      </c>
      <c r="F68" s="4"/>
      <c r="G68" s="4">
        <v>0</v>
      </c>
      <c r="H68" s="155"/>
      <c r="I68" s="155"/>
      <c r="J68" s="155"/>
      <c r="K68" s="155"/>
      <c r="L68" s="155"/>
      <c r="M68" s="155"/>
      <c r="N68" s="155"/>
      <c r="O68" s="155"/>
      <c r="P68" s="35">
        <f t="shared" ref="P68:P69" si="36">SUM(D68:O68)</f>
        <v>0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0</v>
      </c>
      <c r="F69" s="4"/>
      <c r="G69" s="4">
        <v>0</v>
      </c>
      <c r="H69" s="155"/>
      <c r="I69" s="155"/>
      <c r="J69" s="155"/>
      <c r="K69" s="155"/>
      <c r="L69" s="155"/>
      <c r="M69" s="155"/>
      <c r="N69" s="155"/>
      <c r="O69" s="155"/>
      <c r="P69" s="74">
        <f t="shared" si="36"/>
        <v>0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0</v>
      </c>
      <c r="E70" s="4">
        <f t="shared" ref="E70:G70" si="37">E68+E69</f>
        <v>0</v>
      </c>
      <c r="F70" s="4">
        <f t="shared" si="37"/>
        <v>0</v>
      </c>
      <c r="G70" s="4">
        <f t="shared" si="37"/>
        <v>0</v>
      </c>
      <c r="H70" s="155">
        <f t="shared" ref="H70:P70" si="38">H68+H69</f>
        <v>0</v>
      </c>
      <c r="I70" s="155">
        <f t="shared" ref="I70:J70" si="39">I68+I69</f>
        <v>0</v>
      </c>
      <c r="J70" s="155">
        <f t="shared" si="39"/>
        <v>0</v>
      </c>
      <c r="K70" s="155">
        <f t="shared" ref="K70:L70" si="40">K68+K69</f>
        <v>0</v>
      </c>
      <c r="L70" s="155">
        <f t="shared" si="40"/>
        <v>0</v>
      </c>
      <c r="M70" s="155">
        <f t="shared" ref="M70:N70" si="41">M68+M69</f>
        <v>0</v>
      </c>
      <c r="N70" s="155">
        <f t="shared" si="41"/>
        <v>0</v>
      </c>
      <c r="O70" s="155">
        <v>0</v>
      </c>
      <c r="P70" s="104">
        <f t="shared" si="38"/>
        <v>0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0</v>
      </c>
      <c r="E71" s="26">
        <f t="shared" ref="E71:G71" si="42">E66+E67-E70</f>
        <v>0</v>
      </c>
      <c r="F71" s="26">
        <f t="shared" si="42"/>
        <v>0</v>
      </c>
      <c r="G71" s="26">
        <f t="shared" si="42"/>
        <v>0</v>
      </c>
      <c r="H71" s="158">
        <f t="shared" ref="H71" si="43">H66+H67-H70</f>
        <v>0</v>
      </c>
      <c r="I71" s="158">
        <f t="shared" ref="I71:J71" si="44">I66+I67-I70</f>
        <v>0</v>
      </c>
      <c r="J71" s="158">
        <f t="shared" si="44"/>
        <v>0</v>
      </c>
      <c r="K71" s="158">
        <f t="shared" ref="K71:L71" si="45">K66+K67-K70</f>
        <v>0</v>
      </c>
      <c r="L71" s="158">
        <f t="shared" si="45"/>
        <v>0</v>
      </c>
      <c r="M71" s="158">
        <f t="shared" ref="M71:N71" si="46">M66+M67-M70</f>
        <v>0</v>
      </c>
      <c r="N71" s="158">
        <f t="shared" si="46"/>
        <v>0</v>
      </c>
      <c r="O71" s="158">
        <v>0</v>
      </c>
      <c r="P71" s="158">
        <f t="shared" ref="P71" si="47">P66+P67-P70</f>
        <v>0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4">
        <v>0</v>
      </c>
      <c r="E72" s="4">
        <f>D77</f>
        <v>0</v>
      </c>
      <c r="F72" s="4">
        <f t="shared" ref="F72:G72" si="48">E77</f>
        <v>0</v>
      </c>
      <c r="G72" s="4">
        <f t="shared" si="48"/>
        <v>0</v>
      </c>
      <c r="H72" s="157"/>
      <c r="I72" s="157"/>
      <c r="J72" s="157"/>
      <c r="K72" s="157"/>
      <c r="L72" s="157"/>
      <c r="M72" s="157"/>
      <c r="N72" s="157"/>
      <c r="O72" s="157"/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4">
        <v>0</v>
      </c>
      <c r="E73" s="4">
        <v>0</v>
      </c>
      <c r="F73" s="4"/>
      <c r="G73" s="4">
        <v>0</v>
      </c>
      <c r="H73" s="155"/>
      <c r="I73" s="155"/>
      <c r="J73" s="155"/>
      <c r="K73" s="155"/>
      <c r="L73" s="155"/>
      <c r="M73" s="155"/>
      <c r="N73" s="155"/>
      <c r="O73" s="155"/>
      <c r="P73" s="35">
        <f>SUM(D73:O73)</f>
        <v>0</v>
      </c>
    </row>
    <row r="74" spans="1:16" ht="27" x14ac:dyDescent="0.3">
      <c r="A74" s="689"/>
      <c r="B74" s="24" t="s">
        <v>103</v>
      </c>
      <c r="C74" s="5" t="s">
        <v>3</v>
      </c>
      <c r="D74" s="4">
        <v>0</v>
      </c>
      <c r="E74" s="4">
        <v>0</v>
      </c>
      <c r="F74" s="4"/>
      <c r="G74" s="4">
        <v>0</v>
      </c>
      <c r="H74" s="155"/>
      <c r="I74" s="155"/>
      <c r="J74" s="155"/>
      <c r="K74" s="155"/>
      <c r="L74" s="155"/>
      <c r="M74" s="155"/>
      <c r="N74" s="155"/>
      <c r="O74" s="155"/>
      <c r="P74" s="35">
        <f>SUM(D74:O74)</f>
        <v>0</v>
      </c>
    </row>
    <row r="75" spans="1:16" s="2" customFormat="1" ht="27" x14ac:dyDescent="0.3">
      <c r="A75" s="689"/>
      <c r="B75" s="24" t="s">
        <v>102</v>
      </c>
      <c r="C75" s="11" t="s">
        <v>3</v>
      </c>
      <c r="D75" s="4">
        <v>0</v>
      </c>
      <c r="E75" s="4">
        <v>0</v>
      </c>
      <c r="F75" s="4"/>
      <c r="G75" s="4">
        <v>0</v>
      </c>
      <c r="H75" s="155"/>
      <c r="I75" s="155"/>
      <c r="J75" s="155"/>
      <c r="K75" s="155"/>
      <c r="L75" s="155"/>
      <c r="M75" s="155"/>
      <c r="N75" s="155"/>
      <c r="O75" s="155"/>
      <c r="P75" s="35">
        <f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G76" si="49">E74+E75</f>
        <v>0</v>
      </c>
      <c r="F76" s="4">
        <f t="shared" si="49"/>
        <v>0</v>
      </c>
      <c r="G76" s="4">
        <f t="shared" si="49"/>
        <v>0</v>
      </c>
      <c r="H76" s="155">
        <f t="shared" ref="H76" si="50">H74+H75</f>
        <v>0</v>
      </c>
      <c r="I76" s="155">
        <f t="shared" ref="I76:J76" si="51">I74+I75</f>
        <v>0</v>
      </c>
      <c r="J76" s="155">
        <f t="shared" si="51"/>
        <v>0</v>
      </c>
      <c r="K76" s="155">
        <f t="shared" ref="K76:L76" si="52">K74+K75</f>
        <v>0</v>
      </c>
      <c r="L76" s="155">
        <f t="shared" si="52"/>
        <v>0</v>
      </c>
      <c r="M76" s="155">
        <f t="shared" ref="M76:N76" si="53">M74+M75</f>
        <v>0</v>
      </c>
      <c r="N76" s="155">
        <f t="shared" si="53"/>
        <v>0</v>
      </c>
      <c r="O76" s="155">
        <v>0</v>
      </c>
      <c r="P76" s="104">
        <f t="shared" ref="P76" si="54">P74+P75</f>
        <v>0</v>
      </c>
    </row>
    <row r="77" spans="1:16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G77" si="55">E73+E74-E76</f>
        <v>0</v>
      </c>
      <c r="F77" s="26">
        <f t="shared" si="55"/>
        <v>0</v>
      </c>
      <c r="G77" s="26">
        <f t="shared" si="55"/>
        <v>0</v>
      </c>
      <c r="H77" s="158">
        <f t="shared" ref="H77" si="56">H73+H74-H76</f>
        <v>0</v>
      </c>
      <c r="I77" s="158">
        <f t="shared" ref="I77:J77" si="57">I73+I74-I76</f>
        <v>0</v>
      </c>
      <c r="J77" s="158">
        <f t="shared" si="57"/>
        <v>0</v>
      </c>
      <c r="K77" s="158">
        <f t="shared" ref="K77:L77" si="58">K73+K74-K76</f>
        <v>0</v>
      </c>
      <c r="L77" s="158">
        <f t="shared" si="58"/>
        <v>0</v>
      </c>
      <c r="M77" s="158">
        <f t="shared" ref="M77:N77" si="59">M73+M74-M76</f>
        <v>0</v>
      </c>
      <c r="N77" s="158">
        <f t="shared" si="59"/>
        <v>0</v>
      </c>
      <c r="O77" s="158">
        <v>0</v>
      </c>
      <c r="P77" s="158">
        <f t="shared" ref="P77" si="60">P73+P74-P76</f>
        <v>0</v>
      </c>
    </row>
    <row r="78" spans="1:16" ht="15.6" customHeight="1" x14ac:dyDescent="0.3">
      <c r="A78" s="688" t="s">
        <v>107</v>
      </c>
      <c r="B78" s="37" t="s">
        <v>85</v>
      </c>
      <c r="C78" s="5" t="s">
        <v>3</v>
      </c>
      <c r="D78" s="4">
        <v>0</v>
      </c>
      <c r="E78" s="4">
        <f>D83</f>
        <v>0</v>
      </c>
      <c r="F78" s="4">
        <f t="shared" ref="F78:G78" si="61">E83</f>
        <v>0</v>
      </c>
      <c r="G78" s="4">
        <f t="shared" si="61"/>
        <v>0</v>
      </c>
      <c r="H78" s="157"/>
      <c r="I78" s="157"/>
      <c r="J78" s="157"/>
      <c r="K78" s="157"/>
      <c r="L78" s="157"/>
      <c r="M78" s="157"/>
      <c r="N78" s="157"/>
      <c r="O78" s="157"/>
      <c r="P78" s="35">
        <f>D78</f>
        <v>0</v>
      </c>
    </row>
    <row r="79" spans="1:16" ht="15.6" x14ac:dyDescent="0.3">
      <c r="A79" s="689"/>
      <c r="B79" s="24" t="s">
        <v>104</v>
      </c>
      <c r="C79" s="5" t="s">
        <v>3</v>
      </c>
      <c r="D79" s="4">
        <v>0</v>
      </c>
      <c r="E79" s="4">
        <v>0</v>
      </c>
      <c r="F79" s="4"/>
      <c r="G79" s="4">
        <v>0</v>
      </c>
      <c r="H79" s="155"/>
      <c r="I79" s="155"/>
      <c r="J79" s="155"/>
      <c r="K79" s="155"/>
      <c r="L79" s="155"/>
      <c r="M79" s="155"/>
      <c r="N79" s="155"/>
      <c r="O79" s="155"/>
      <c r="P79" s="35">
        <f>SUM(D79:O79)</f>
        <v>0</v>
      </c>
    </row>
    <row r="80" spans="1:16" ht="27" x14ac:dyDescent="0.3">
      <c r="A80" s="689"/>
      <c r="B80" s="24" t="s">
        <v>103</v>
      </c>
      <c r="C80" s="5" t="s">
        <v>3</v>
      </c>
      <c r="D80" s="4">
        <v>0</v>
      </c>
      <c r="E80" s="4">
        <v>0</v>
      </c>
      <c r="F80" s="4"/>
      <c r="G80" s="4">
        <v>0</v>
      </c>
      <c r="H80" s="155"/>
      <c r="I80" s="155"/>
      <c r="J80" s="155"/>
      <c r="K80" s="155"/>
      <c r="L80" s="155"/>
      <c r="M80" s="155"/>
      <c r="N80" s="155"/>
      <c r="O80" s="155"/>
      <c r="P80" s="35">
        <f>SUM(D80:O80)</f>
        <v>0</v>
      </c>
    </row>
    <row r="81" spans="1:16" s="2" customFormat="1" ht="27" x14ac:dyDescent="0.3">
      <c r="A81" s="689"/>
      <c r="B81" s="24" t="s">
        <v>102</v>
      </c>
      <c r="C81" s="11" t="s">
        <v>3</v>
      </c>
      <c r="D81" s="4">
        <v>0</v>
      </c>
      <c r="E81" s="4">
        <v>0</v>
      </c>
      <c r="F81" s="4"/>
      <c r="G81" s="4">
        <v>0</v>
      </c>
      <c r="H81" s="155"/>
      <c r="I81" s="155"/>
      <c r="J81" s="155"/>
      <c r="K81" s="155"/>
      <c r="L81" s="155"/>
      <c r="M81" s="155"/>
      <c r="N81" s="155"/>
      <c r="O81" s="155"/>
      <c r="P81" s="74">
        <f>SUM(D81:O81)</f>
        <v>0</v>
      </c>
    </row>
    <row r="82" spans="1:16" s="2" customFormat="1" ht="15.6" x14ac:dyDescent="0.3">
      <c r="A82" s="689"/>
      <c r="B82" s="24" t="s">
        <v>188</v>
      </c>
      <c r="C82" s="11" t="s">
        <v>3</v>
      </c>
      <c r="D82" s="4">
        <f>D81+D80</f>
        <v>0</v>
      </c>
      <c r="E82" s="4">
        <f t="shared" ref="E82:G82" si="62">E81+E80</f>
        <v>0</v>
      </c>
      <c r="F82" s="4">
        <f t="shared" si="62"/>
        <v>0</v>
      </c>
      <c r="G82" s="4">
        <f t="shared" si="62"/>
        <v>0</v>
      </c>
      <c r="H82" s="155">
        <f t="shared" ref="H82" si="63">H81+H80</f>
        <v>0</v>
      </c>
      <c r="I82" s="155">
        <f t="shared" ref="I82:J82" si="64">I81+I80</f>
        <v>0</v>
      </c>
      <c r="J82" s="155">
        <f t="shared" si="64"/>
        <v>0</v>
      </c>
      <c r="K82" s="155">
        <f t="shared" ref="K82:L82" si="65">K81+K80</f>
        <v>0</v>
      </c>
      <c r="L82" s="155">
        <f t="shared" si="65"/>
        <v>0</v>
      </c>
      <c r="M82" s="155">
        <f t="shared" ref="M82:N82" si="66">M81+M80</f>
        <v>0</v>
      </c>
      <c r="N82" s="155">
        <f t="shared" si="66"/>
        <v>0</v>
      </c>
      <c r="O82" s="155">
        <v>0</v>
      </c>
      <c r="P82" s="104">
        <f t="shared" ref="P82" si="67">P81+P80</f>
        <v>0</v>
      </c>
    </row>
    <row r="83" spans="1:16" ht="15.6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 t="shared" ref="E83:G83" si="68">E78+E79-E82</f>
        <v>0</v>
      </c>
      <c r="F83" s="26">
        <f t="shared" si="68"/>
        <v>0</v>
      </c>
      <c r="G83" s="26">
        <f t="shared" si="68"/>
        <v>0</v>
      </c>
      <c r="H83" s="158">
        <f t="shared" ref="H83" si="69">H78+H79-H82</f>
        <v>0</v>
      </c>
      <c r="I83" s="158">
        <f t="shared" ref="I83:J83" si="70">I78+I79-I82</f>
        <v>0</v>
      </c>
      <c r="J83" s="158">
        <f t="shared" si="70"/>
        <v>0</v>
      </c>
      <c r="K83" s="158">
        <f t="shared" ref="K83:L83" si="71">K78+K79-K82</f>
        <v>0</v>
      </c>
      <c r="L83" s="158">
        <f t="shared" si="71"/>
        <v>0</v>
      </c>
      <c r="M83" s="158">
        <f t="shared" ref="M83:N83" si="72">M78+M79-M82</f>
        <v>0</v>
      </c>
      <c r="N83" s="158">
        <f t="shared" si="72"/>
        <v>0</v>
      </c>
      <c r="O83" s="158">
        <v>0</v>
      </c>
      <c r="P83" s="158">
        <f t="shared" ref="P83" si="73">P78+P79-P82</f>
        <v>0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4">
        <v>0</v>
      </c>
      <c r="E84" s="4">
        <f>D89</f>
        <v>0</v>
      </c>
      <c r="F84" s="4">
        <f t="shared" ref="F84:G84" si="74">E89</f>
        <v>0</v>
      </c>
      <c r="G84" s="4">
        <f t="shared" si="74"/>
        <v>0</v>
      </c>
      <c r="H84" s="157"/>
      <c r="I84" s="157"/>
      <c r="J84" s="157"/>
      <c r="K84" s="157"/>
      <c r="L84" s="157"/>
      <c r="M84" s="157"/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4">
        <v>0</v>
      </c>
      <c r="E85" s="4">
        <v>0</v>
      </c>
      <c r="F85" s="4">
        <v>0</v>
      </c>
      <c r="G85" s="4">
        <v>0</v>
      </c>
      <c r="H85" s="155"/>
      <c r="I85" s="155"/>
      <c r="J85" s="155"/>
      <c r="K85" s="155"/>
      <c r="L85" s="155"/>
      <c r="M85" s="155"/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4">
        <v>0</v>
      </c>
      <c r="E86" s="4">
        <v>0</v>
      </c>
      <c r="F86" s="4">
        <v>0</v>
      </c>
      <c r="G86" s="4">
        <v>0</v>
      </c>
      <c r="H86" s="155"/>
      <c r="I86" s="155"/>
      <c r="J86" s="155"/>
      <c r="K86" s="155"/>
      <c r="L86" s="155"/>
      <c r="M86" s="155"/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4">
        <v>0</v>
      </c>
      <c r="E87" s="4">
        <v>0</v>
      </c>
      <c r="F87" s="4">
        <v>0</v>
      </c>
      <c r="G87" s="4">
        <v>0</v>
      </c>
      <c r="H87" s="155"/>
      <c r="I87" s="155"/>
      <c r="J87" s="155"/>
      <c r="K87" s="155"/>
      <c r="L87" s="155"/>
      <c r="M87" s="155"/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G88" si="75">E86+E87</f>
        <v>0</v>
      </c>
      <c r="F88" s="4">
        <f t="shared" si="75"/>
        <v>0</v>
      </c>
      <c r="G88" s="4">
        <f t="shared" si="75"/>
        <v>0</v>
      </c>
      <c r="H88" s="155">
        <v>0</v>
      </c>
      <c r="I88" s="155">
        <v>0</v>
      </c>
      <c r="J88" s="155">
        <v>0</v>
      </c>
      <c r="K88" s="155">
        <v>0</v>
      </c>
      <c r="L88" s="155">
        <v>0</v>
      </c>
      <c r="M88" s="155">
        <v>0</v>
      </c>
      <c r="N88" s="155">
        <v>0</v>
      </c>
      <c r="O88" s="155">
        <v>0</v>
      </c>
      <c r="P88" s="74">
        <f>SUM(D88:O88)</f>
        <v>0</v>
      </c>
    </row>
    <row r="89" spans="1:16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f t="shared" ref="E89:G89" si="76">E84+E85-E88</f>
        <v>0</v>
      </c>
      <c r="F89" s="26">
        <f t="shared" si="76"/>
        <v>0</v>
      </c>
      <c r="G89" s="26">
        <f t="shared" si="76"/>
        <v>0</v>
      </c>
      <c r="H89" s="158">
        <v>0</v>
      </c>
      <c r="I89" s="158">
        <v>0</v>
      </c>
      <c r="J89" s="158">
        <v>0</v>
      </c>
      <c r="K89" s="158">
        <v>0</v>
      </c>
      <c r="L89" s="158">
        <v>0</v>
      </c>
      <c r="M89" s="158">
        <v>0</v>
      </c>
      <c r="N89" s="158">
        <v>0</v>
      </c>
      <c r="O89" s="158">
        <v>0</v>
      </c>
      <c r="P89" s="158"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135">
        <f t="shared" ref="D90:I90" si="77">D66+D72+D78+D84</f>
        <v>0</v>
      </c>
      <c r="E90" s="135">
        <f t="shared" si="77"/>
        <v>0</v>
      </c>
      <c r="F90" s="135">
        <f t="shared" si="77"/>
        <v>0</v>
      </c>
      <c r="G90" s="135">
        <f t="shared" si="77"/>
        <v>0</v>
      </c>
      <c r="H90" s="135">
        <f t="shared" si="77"/>
        <v>0</v>
      </c>
      <c r="I90" s="135">
        <f t="shared" si="77"/>
        <v>0</v>
      </c>
      <c r="J90" s="135">
        <f t="shared" ref="J90:K90" si="78">J66+J72+J78+J84</f>
        <v>0</v>
      </c>
      <c r="K90" s="135">
        <f t="shared" si="78"/>
        <v>0</v>
      </c>
      <c r="L90" s="135">
        <f t="shared" ref="L90:M90" si="79">L66+L72+L78+L84</f>
        <v>0</v>
      </c>
      <c r="M90" s="135">
        <f t="shared" si="79"/>
        <v>0</v>
      </c>
      <c r="N90" s="135">
        <f t="shared" ref="N90" si="80">N66+N72+N78+N84</f>
        <v>0</v>
      </c>
      <c r="O90" s="135">
        <v>0</v>
      </c>
      <c r="P90" s="35">
        <f>D90</f>
        <v>0</v>
      </c>
    </row>
    <row r="91" spans="1:16" ht="15.6" x14ac:dyDescent="0.3">
      <c r="A91" s="695"/>
      <c r="B91" s="24" t="s">
        <v>104</v>
      </c>
      <c r="C91" s="11" t="s">
        <v>3</v>
      </c>
      <c r="D91" s="135">
        <f t="shared" ref="D91:E93" si="81">D67+D73+D79+D85</f>
        <v>0</v>
      </c>
      <c r="E91" s="135">
        <f t="shared" si="81"/>
        <v>0</v>
      </c>
      <c r="F91" s="135">
        <f t="shared" ref="F91:G91" si="82">F67+F73+F79+F85</f>
        <v>0</v>
      </c>
      <c r="G91" s="135">
        <f t="shared" si="82"/>
        <v>0</v>
      </c>
      <c r="H91" s="135">
        <f t="shared" ref="H91:I91" si="83">H67+H73+H79+H85</f>
        <v>0</v>
      </c>
      <c r="I91" s="135">
        <f t="shared" si="83"/>
        <v>0</v>
      </c>
      <c r="J91" s="135">
        <f t="shared" ref="J91:K91" si="84">J67+J73+J79+J85</f>
        <v>0</v>
      </c>
      <c r="K91" s="135">
        <f t="shared" si="84"/>
        <v>0</v>
      </c>
      <c r="L91" s="135">
        <f t="shared" ref="L91:M91" si="85">L67+L73+L79+L85</f>
        <v>0</v>
      </c>
      <c r="M91" s="135">
        <f t="shared" si="85"/>
        <v>0</v>
      </c>
      <c r="N91" s="135">
        <f t="shared" ref="N91" si="86">N67+N73+N79+N85</f>
        <v>0</v>
      </c>
      <c r="O91" s="135">
        <v>0</v>
      </c>
      <c r="P91" s="35">
        <f>SUM(D91:O91)</f>
        <v>0</v>
      </c>
    </row>
    <row r="92" spans="1:16" ht="27" x14ac:dyDescent="0.3">
      <c r="A92" s="695"/>
      <c r="B92" s="24" t="s">
        <v>103</v>
      </c>
      <c r="C92" s="11" t="s">
        <v>3</v>
      </c>
      <c r="D92" s="135">
        <f t="shared" si="81"/>
        <v>0</v>
      </c>
      <c r="E92" s="135">
        <f t="shared" si="81"/>
        <v>0</v>
      </c>
      <c r="F92" s="135">
        <f t="shared" ref="F92:G92" si="87">F68+F74+F80+F86</f>
        <v>0</v>
      </c>
      <c r="G92" s="135">
        <f t="shared" si="87"/>
        <v>0</v>
      </c>
      <c r="H92" s="135">
        <f t="shared" ref="H92:I92" si="88">H68+H74+H80+H86</f>
        <v>0</v>
      </c>
      <c r="I92" s="135">
        <f t="shared" si="88"/>
        <v>0</v>
      </c>
      <c r="J92" s="135">
        <f t="shared" ref="J92:K92" si="89">J68+J74+J80+J86</f>
        <v>0</v>
      </c>
      <c r="K92" s="135">
        <f t="shared" si="89"/>
        <v>0</v>
      </c>
      <c r="L92" s="135">
        <f t="shared" ref="L92:M92" si="90">L68+L74+L80+L86</f>
        <v>0</v>
      </c>
      <c r="M92" s="135">
        <f t="shared" si="90"/>
        <v>0</v>
      </c>
      <c r="N92" s="135">
        <f t="shared" ref="N92" si="91">N68+N74+N80+N86</f>
        <v>0</v>
      </c>
      <c r="O92" s="135">
        <v>0</v>
      </c>
      <c r="P92" s="35">
        <f>SUM(D92:O92)</f>
        <v>0</v>
      </c>
    </row>
    <row r="93" spans="1:16" s="2" customFormat="1" ht="27" x14ac:dyDescent="0.3">
      <c r="A93" s="695"/>
      <c r="B93" s="24" t="s">
        <v>102</v>
      </c>
      <c r="C93" s="11"/>
      <c r="D93" s="135">
        <f t="shared" si="81"/>
        <v>0</v>
      </c>
      <c r="E93" s="135">
        <f t="shared" si="81"/>
        <v>0</v>
      </c>
      <c r="F93" s="135">
        <f t="shared" ref="F93:G93" si="92">F69+F75+F81+F87</f>
        <v>0</v>
      </c>
      <c r="G93" s="135">
        <f t="shared" si="92"/>
        <v>0</v>
      </c>
      <c r="H93" s="135">
        <f t="shared" ref="H93:I93" si="93">H69+H75+H81+H87</f>
        <v>0</v>
      </c>
      <c r="I93" s="135">
        <f t="shared" si="93"/>
        <v>0</v>
      </c>
      <c r="J93" s="135">
        <f t="shared" ref="J93:K93" si="94">J69+J75+J81+J87</f>
        <v>0</v>
      </c>
      <c r="K93" s="135">
        <f t="shared" si="94"/>
        <v>0</v>
      </c>
      <c r="L93" s="135">
        <f t="shared" ref="L93:M93" si="95">L69+L75+L81+L87</f>
        <v>0</v>
      </c>
      <c r="M93" s="135">
        <f t="shared" si="95"/>
        <v>0</v>
      </c>
      <c r="N93" s="135">
        <f t="shared" ref="N93" si="96">N69+N75+N81+N87</f>
        <v>0</v>
      </c>
      <c r="O93" s="135">
        <v>0</v>
      </c>
      <c r="P93" s="35">
        <f>SUM(D93:O93)</f>
        <v>0</v>
      </c>
    </row>
    <row r="94" spans="1:16" s="2" customFormat="1" ht="15.6" x14ac:dyDescent="0.3">
      <c r="A94" s="695"/>
      <c r="B94" s="24" t="s">
        <v>188</v>
      </c>
      <c r="C94" s="11" t="s">
        <v>3</v>
      </c>
      <c r="D94" s="136">
        <f>D93+D92</f>
        <v>0</v>
      </c>
      <c r="E94" s="136">
        <f t="shared" ref="E94:P94" si="97">E93+E92</f>
        <v>0</v>
      </c>
      <c r="F94" s="136">
        <f t="shared" si="97"/>
        <v>0</v>
      </c>
      <c r="G94" s="136">
        <f t="shared" ref="G94:H94" si="98">G93+G92</f>
        <v>0</v>
      </c>
      <c r="H94" s="136">
        <f t="shared" si="98"/>
        <v>0</v>
      </c>
      <c r="I94" s="136">
        <f t="shared" ref="I94:J94" si="99">I93+I92</f>
        <v>0</v>
      </c>
      <c r="J94" s="136">
        <f t="shared" si="99"/>
        <v>0</v>
      </c>
      <c r="K94" s="136">
        <f t="shared" ref="K94:L94" si="100">K93+K92</f>
        <v>0</v>
      </c>
      <c r="L94" s="136">
        <f t="shared" si="100"/>
        <v>0</v>
      </c>
      <c r="M94" s="136">
        <f t="shared" ref="M94:N94" si="101">M93+M92</f>
        <v>0</v>
      </c>
      <c r="N94" s="136">
        <f t="shared" si="101"/>
        <v>0</v>
      </c>
      <c r="O94" s="136">
        <v>0</v>
      </c>
      <c r="P94" s="106">
        <f t="shared" si="97"/>
        <v>0</v>
      </c>
    </row>
    <row r="95" spans="1:16" ht="16.2" thickBot="1" x14ac:dyDescent="0.35">
      <c r="A95" s="696"/>
      <c r="B95" s="24" t="s">
        <v>81</v>
      </c>
      <c r="C95" s="11" t="s">
        <v>3</v>
      </c>
      <c r="D95" s="137">
        <f>D90+D91-D94</f>
        <v>0</v>
      </c>
      <c r="E95" s="137">
        <f t="shared" ref="E95:F95" si="102">E90+E91-E94</f>
        <v>0</v>
      </c>
      <c r="F95" s="137">
        <f t="shared" si="102"/>
        <v>0</v>
      </c>
      <c r="G95" s="137">
        <f t="shared" ref="G95:H95" si="103">G90+G91-G94</f>
        <v>0</v>
      </c>
      <c r="H95" s="137">
        <f t="shared" si="103"/>
        <v>0</v>
      </c>
      <c r="I95" s="137">
        <f t="shared" ref="I95:J95" si="104">I90+I91-I94</f>
        <v>0</v>
      </c>
      <c r="J95" s="137">
        <f t="shared" si="104"/>
        <v>0</v>
      </c>
      <c r="K95" s="137">
        <f t="shared" ref="K95:L95" si="105">K90+K91-K94</f>
        <v>0</v>
      </c>
      <c r="L95" s="137">
        <f t="shared" si="105"/>
        <v>0</v>
      </c>
      <c r="M95" s="137">
        <f t="shared" ref="M95:N95" si="106">M90+M91-M94</f>
        <v>0</v>
      </c>
      <c r="N95" s="137">
        <f t="shared" si="106"/>
        <v>0</v>
      </c>
      <c r="O95" s="137">
        <v>0</v>
      </c>
      <c r="P95" s="137">
        <f t="shared" ref="P95" si="107">P90+P91-P94</f>
        <v>0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553">
        <v>1</v>
      </c>
      <c r="E98" s="553">
        <v>0</v>
      </c>
      <c r="F98" s="553">
        <v>0</v>
      </c>
      <c r="G98" s="70"/>
      <c r="H98" s="70"/>
      <c r="I98" s="70"/>
      <c r="J98" s="71"/>
      <c r="K98" s="71"/>
      <c r="L98" s="71"/>
      <c r="M98" s="71"/>
      <c r="N98" s="71"/>
      <c r="O98" s="71"/>
      <c r="P98" s="107">
        <f>SUM(D98:O98)</f>
        <v>1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4">
        <v>0</v>
      </c>
      <c r="E101" s="4">
        <v>0</v>
      </c>
      <c r="F101" s="4">
        <v>0</v>
      </c>
      <c r="G101" s="4"/>
      <c r="H101" s="4"/>
      <c r="I101" s="4"/>
      <c r="J101" s="4"/>
      <c r="K101" s="4"/>
      <c r="L101" s="4"/>
      <c r="M101" s="4"/>
      <c r="N101" s="4"/>
      <c r="O101" s="4"/>
      <c r="P101" s="32">
        <f t="shared" ref="P101:P116" si="108">O101</f>
        <v>0</v>
      </c>
    </row>
    <row r="102" spans="1:16" ht="15.6" x14ac:dyDescent="0.3">
      <c r="A102" s="661" t="s">
        <v>99</v>
      </c>
      <c r="B102" s="662"/>
      <c r="C102" s="11" t="s">
        <v>3</v>
      </c>
      <c r="D102" s="4">
        <v>0</v>
      </c>
      <c r="E102" s="4">
        <v>0</v>
      </c>
      <c r="F102" s="4">
        <v>0</v>
      </c>
      <c r="G102" s="4"/>
      <c r="H102" s="4"/>
      <c r="I102" s="4"/>
      <c r="J102" s="4"/>
      <c r="K102" s="4"/>
      <c r="L102" s="4"/>
      <c r="M102" s="4"/>
      <c r="N102" s="4"/>
      <c r="O102" s="4"/>
      <c r="P102" s="32">
        <f t="shared" si="108"/>
        <v>0</v>
      </c>
    </row>
    <row r="103" spans="1:16" ht="15.6" customHeight="1" x14ac:dyDescent="0.3">
      <c r="A103" s="663" t="s">
        <v>98</v>
      </c>
      <c r="B103" s="664"/>
      <c r="C103" s="11" t="s">
        <v>3</v>
      </c>
      <c r="D103" s="4">
        <v>0</v>
      </c>
      <c r="E103" s="4">
        <v>0</v>
      </c>
      <c r="F103" s="4">
        <v>0</v>
      </c>
      <c r="G103" s="4"/>
      <c r="H103" s="4"/>
      <c r="I103" s="4"/>
      <c r="J103" s="4"/>
      <c r="K103" s="4"/>
      <c r="L103" s="4"/>
      <c r="M103" s="4"/>
      <c r="N103" s="4"/>
      <c r="O103" s="4"/>
      <c r="P103" s="32">
        <f t="shared" si="108"/>
        <v>0</v>
      </c>
    </row>
    <row r="104" spans="1:16" ht="15.6" x14ac:dyDescent="0.3">
      <c r="A104" s="663" t="s">
        <v>97</v>
      </c>
      <c r="B104" s="664"/>
      <c r="C104" s="11" t="s">
        <v>3</v>
      </c>
      <c r="D104" s="4">
        <v>0</v>
      </c>
      <c r="E104" s="4">
        <v>0</v>
      </c>
      <c r="F104" s="4">
        <v>0</v>
      </c>
      <c r="G104" s="4"/>
      <c r="H104" s="4"/>
      <c r="I104" s="4"/>
      <c r="J104" s="4"/>
      <c r="K104" s="4"/>
      <c r="L104" s="4"/>
      <c r="M104" s="4"/>
      <c r="N104" s="4"/>
      <c r="O104" s="4"/>
      <c r="P104" s="32">
        <f t="shared" si="108"/>
        <v>0</v>
      </c>
    </row>
    <row r="105" spans="1:16" ht="15.6" x14ac:dyDescent="0.3">
      <c r="A105" s="686" t="s">
        <v>96</v>
      </c>
      <c r="B105" s="687"/>
      <c r="C105" s="11" t="s">
        <v>3</v>
      </c>
      <c r="D105" s="33">
        <f>SUM(D101:D104)</f>
        <v>0</v>
      </c>
      <c r="E105" s="33">
        <f t="shared" ref="E105:N105" si="109">SUM(E101:E104)</f>
        <v>0</v>
      </c>
      <c r="F105" s="33">
        <f t="shared" si="109"/>
        <v>0</v>
      </c>
      <c r="G105" s="33">
        <f t="shared" si="109"/>
        <v>0</v>
      </c>
      <c r="H105" s="33">
        <f t="shared" si="109"/>
        <v>0</v>
      </c>
      <c r="I105" s="33">
        <f t="shared" si="109"/>
        <v>0</v>
      </c>
      <c r="J105" s="33">
        <f t="shared" si="109"/>
        <v>0</v>
      </c>
      <c r="K105" s="33">
        <f t="shared" si="109"/>
        <v>0</v>
      </c>
      <c r="L105" s="33">
        <f t="shared" si="109"/>
        <v>0</v>
      </c>
      <c r="M105" s="33">
        <f t="shared" si="109"/>
        <v>0</v>
      </c>
      <c r="N105" s="33">
        <f t="shared" si="109"/>
        <v>0</v>
      </c>
      <c r="O105" s="33">
        <v>0</v>
      </c>
      <c r="P105" s="32">
        <f t="shared" si="108"/>
        <v>0</v>
      </c>
    </row>
    <row r="106" spans="1:16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4">
        <v>0</v>
      </c>
      <c r="E107" s="4">
        <v>0</v>
      </c>
      <c r="F107" s="4">
        <v>0</v>
      </c>
      <c r="G107" s="4"/>
      <c r="H107" s="4"/>
      <c r="I107" s="4"/>
      <c r="J107" s="4"/>
      <c r="K107" s="4"/>
      <c r="L107" s="4"/>
      <c r="M107" s="155">
        <v>0</v>
      </c>
      <c r="N107" s="155"/>
      <c r="O107" s="155"/>
      <c r="P107" s="32">
        <f t="shared" si="108"/>
        <v>0</v>
      </c>
    </row>
    <row r="108" spans="1:16" ht="15.6" x14ac:dyDescent="0.3">
      <c r="A108" s="661" t="s">
        <v>194</v>
      </c>
      <c r="B108" s="662"/>
      <c r="C108" s="11" t="s">
        <v>3</v>
      </c>
      <c r="D108" s="4">
        <v>0</v>
      </c>
      <c r="E108" s="4">
        <v>0</v>
      </c>
      <c r="F108" s="4">
        <v>0</v>
      </c>
      <c r="G108" s="4"/>
      <c r="H108" s="4"/>
      <c r="I108" s="4"/>
      <c r="J108" s="4"/>
      <c r="K108" s="4"/>
      <c r="L108" s="4"/>
      <c r="M108" s="155">
        <v>0</v>
      </c>
      <c r="N108" s="155"/>
      <c r="O108" s="155"/>
      <c r="P108" s="32">
        <f t="shared" si="108"/>
        <v>0</v>
      </c>
    </row>
    <row r="109" spans="1:16" ht="15.6" x14ac:dyDescent="0.3">
      <c r="A109" s="661" t="s">
        <v>195</v>
      </c>
      <c r="B109" s="662"/>
      <c r="C109" s="11" t="s">
        <v>3</v>
      </c>
      <c r="D109" s="4">
        <v>0</v>
      </c>
      <c r="E109" s="4">
        <v>0</v>
      </c>
      <c r="F109" s="4">
        <v>0</v>
      </c>
      <c r="G109" s="4"/>
      <c r="H109" s="4"/>
      <c r="I109" s="4"/>
      <c r="J109" s="4"/>
      <c r="K109" s="4"/>
      <c r="L109" s="4"/>
      <c r="M109" s="155">
        <v>0</v>
      </c>
      <c r="N109" s="155"/>
      <c r="O109" s="155"/>
      <c r="P109" s="32">
        <f t="shared" si="108"/>
        <v>0</v>
      </c>
    </row>
    <row r="110" spans="1:16" ht="15.6" x14ac:dyDescent="0.3">
      <c r="A110" s="661" t="s">
        <v>196</v>
      </c>
      <c r="B110" s="662"/>
      <c r="C110" s="11" t="s">
        <v>3</v>
      </c>
      <c r="D110" s="4">
        <v>0</v>
      </c>
      <c r="E110" s="4">
        <v>0</v>
      </c>
      <c r="F110" s="4">
        <v>0</v>
      </c>
      <c r="G110" s="4"/>
      <c r="H110" s="4"/>
      <c r="I110" s="4"/>
      <c r="J110" s="4"/>
      <c r="K110" s="4"/>
      <c r="L110" s="4"/>
      <c r="M110" s="155">
        <v>0</v>
      </c>
      <c r="N110" s="155"/>
      <c r="O110" s="155"/>
      <c r="P110" s="32">
        <f t="shared" si="108"/>
        <v>0</v>
      </c>
    </row>
    <row r="111" spans="1:16" ht="15.6" x14ac:dyDescent="0.3">
      <c r="A111" s="676" t="s">
        <v>95</v>
      </c>
      <c r="B111" s="677"/>
      <c r="C111" s="11" t="s">
        <v>3</v>
      </c>
      <c r="D111" s="134">
        <f>SUM(D107:D110)</f>
        <v>0</v>
      </c>
      <c r="E111" s="33">
        <f t="shared" ref="E111:N111" si="110">SUM(E107:E110)</f>
        <v>0</v>
      </c>
      <c r="F111" s="33">
        <f t="shared" si="110"/>
        <v>0</v>
      </c>
      <c r="G111" s="33">
        <f t="shared" si="110"/>
        <v>0</v>
      </c>
      <c r="H111" s="33">
        <f t="shared" si="110"/>
        <v>0</v>
      </c>
      <c r="I111" s="33">
        <f t="shared" si="110"/>
        <v>0</v>
      </c>
      <c r="J111" s="33">
        <f t="shared" si="110"/>
        <v>0</v>
      </c>
      <c r="K111" s="169">
        <f t="shared" si="110"/>
        <v>0</v>
      </c>
      <c r="L111" s="169">
        <f t="shared" si="110"/>
        <v>0</v>
      </c>
      <c r="M111" s="169">
        <f>SUM(M107:M110)</f>
        <v>0</v>
      </c>
      <c r="N111" s="169">
        <f t="shared" si="110"/>
        <v>0</v>
      </c>
      <c r="O111" s="169">
        <v>0</v>
      </c>
      <c r="P111" s="32">
        <f t="shared" si="108"/>
        <v>0</v>
      </c>
    </row>
    <row r="112" spans="1:16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27">
        <v>75</v>
      </c>
      <c r="E113" s="33">
        <v>75</v>
      </c>
      <c r="F113" s="33">
        <v>75</v>
      </c>
      <c r="G113" s="33">
        <v>75</v>
      </c>
      <c r="H113" s="33">
        <v>75</v>
      </c>
      <c r="I113" s="33">
        <v>75</v>
      </c>
      <c r="J113" s="33">
        <v>75</v>
      </c>
      <c r="K113" s="33">
        <v>75</v>
      </c>
      <c r="L113" s="129">
        <v>75</v>
      </c>
      <c r="M113" s="129">
        <v>75</v>
      </c>
      <c r="N113" s="33">
        <v>75</v>
      </c>
      <c r="O113" s="129">
        <v>75</v>
      </c>
      <c r="P113" s="32">
        <f t="shared" si="108"/>
        <v>75</v>
      </c>
    </row>
    <row r="114" spans="1:16" ht="15.6" x14ac:dyDescent="0.3">
      <c r="A114" s="661" t="s">
        <v>198</v>
      </c>
      <c r="B114" s="662"/>
      <c r="C114" s="11" t="s">
        <v>3</v>
      </c>
      <c r="D114" s="127">
        <v>1</v>
      </c>
      <c r="E114" s="33">
        <v>1</v>
      </c>
      <c r="F114" s="33">
        <v>1</v>
      </c>
      <c r="G114" s="33">
        <v>1</v>
      </c>
      <c r="H114" s="33">
        <v>1</v>
      </c>
      <c r="I114" s="33">
        <v>1</v>
      </c>
      <c r="J114" s="33">
        <v>1</v>
      </c>
      <c r="K114" s="33">
        <v>1</v>
      </c>
      <c r="L114" s="129">
        <v>1</v>
      </c>
      <c r="M114" s="129">
        <v>1</v>
      </c>
      <c r="N114" s="33">
        <v>1</v>
      </c>
      <c r="O114" s="129">
        <v>1</v>
      </c>
      <c r="P114" s="32">
        <f t="shared" si="108"/>
        <v>1</v>
      </c>
    </row>
    <row r="115" spans="1:16" ht="15.6" x14ac:dyDescent="0.3">
      <c r="A115" s="661" t="s">
        <v>199</v>
      </c>
      <c r="B115" s="662"/>
      <c r="C115" s="11" t="s">
        <v>3</v>
      </c>
      <c r="D115" s="127">
        <v>0</v>
      </c>
      <c r="E115" s="33">
        <v>0</v>
      </c>
      <c r="F115" s="33">
        <v>0</v>
      </c>
      <c r="G115" s="133"/>
      <c r="H115" s="129"/>
      <c r="I115" s="129"/>
      <c r="J115" s="169"/>
      <c r="K115" s="33">
        <v>0</v>
      </c>
      <c r="L115" s="129"/>
      <c r="M115" s="129"/>
      <c r="N115" s="129"/>
      <c r="O115" s="129">
        <v>0</v>
      </c>
      <c r="P115" s="32">
        <f t="shared" si="108"/>
        <v>0</v>
      </c>
    </row>
    <row r="116" spans="1:16" ht="15.6" x14ac:dyDescent="0.3">
      <c r="A116" s="661" t="s">
        <v>200</v>
      </c>
      <c r="B116" s="662"/>
      <c r="C116" s="11" t="s">
        <v>3</v>
      </c>
      <c r="D116" s="127">
        <v>0</v>
      </c>
      <c r="E116" s="33">
        <v>0</v>
      </c>
      <c r="F116" s="33">
        <v>0</v>
      </c>
      <c r="G116" s="133"/>
      <c r="H116" s="129"/>
      <c r="I116" s="129"/>
      <c r="J116" s="169"/>
      <c r="K116" s="33">
        <v>0</v>
      </c>
      <c r="L116" s="129"/>
      <c r="M116" s="129"/>
      <c r="N116" s="129"/>
      <c r="O116" s="129">
        <v>0</v>
      </c>
      <c r="P116" s="32">
        <f t="shared" si="108"/>
        <v>0</v>
      </c>
    </row>
    <row r="117" spans="1:16" ht="15.6" x14ac:dyDescent="0.3">
      <c r="A117" s="676" t="s">
        <v>94</v>
      </c>
      <c r="B117" s="677"/>
      <c r="C117" s="11" t="s">
        <v>3</v>
      </c>
      <c r="D117" s="134">
        <f>SUM(D113:D116)</f>
        <v>76</v>
      </c>
      <c r="E117" s="134">
        <f t="shared" ref="E117:F117" si="111">SUM(E113:E116)</f>
        <v>76</v>
      </c>
      <c r="F117" s="169">
        <f t="shared" si="111"/>
        <v>76</v>
      </c>
      <c r="G117" s="169">
        <f t="shared" ref="G117:H117" si="112">SUM(G113:G116)</f>
        <v>76</v>
      </c>
      <c r="H117" s="169">
        <f t="shared" si="112"/>
        <v>76</v>
      </c>
      <c r="I117" s="169">
        <f t="shared" ref="I117:J117" si="113">SUM(I113:I116)</f>
        <v>76</v>
      </c>
      <c r="J117" s="169">
        <f t="shared" si="113"/>
        <v>76</v>
      </c>
      <c r="K117" s="169">
        <f t="shared" ref="K117:L117" si="114">SUM(K113:K116)</f>
        <v>76</v>
      </c>
      <c r="L117" s="169">
        <f t="shared" si="114"/>
        <v>76</v>
      </c>
      <c r="M117" s="169">
        <f>SUM(M113:M116)</f>
        <v>76</v>
      </c>
      <c r="N117" s="169">
        <f t="shared" ref="N117" si="115">SUM(N113:N116)</f>
        <v>76</v>
      </c>
      <c r="O117" s="169">
        <v>76</v>
      </c>
      <c r="P117" s="169">
        <f t="shared" ref="P117" si="116">SUM(P113:P116)</f>
        <v>76</v>
      </c>
    </row>
    <row r="118" spans="1:16" s="2" customFormat="1" ht="15.6" x14ac:dyDescent="0.3">
      <c r="A118" s="80" t="s">
        <v>191</v>
      </c>
      <c r="B118" s="81"/>
      <c r="C118" s="11" t="s">
        <v>3</v>
      </c>
      <c r="D118" s="134">
        <f t="shared" ref="D118:I118" si="117">D111+D117</f>
        <v>76</v>
      </c>
      <c r="E118" s="134">
        <f t="shared" si="117"/>
        <v>76</v>
      </c>
      <c r="F118" s="134">
        <f t="shared" si="117"/>
        <v>76</v>
      </c>
      <c r="G118" s="134">
        <f t="shared" si="117"/>
        <v>76</v>
      </c>
      <c r="H118" s="134">
        <f t="shared" si="117"/>
        <v>76</v>
      </c>
      <c r="I118" s="134">
        <f t="shared" si="117"/>
        <v>76</v>
      </c>
      <c r="J118" s="134">
        <f t="shared" ref="J118:K118" si="118">J111+J117</f>
        <v>76</v>
      </c>
      <c r="K118" s="134">
        <f t="shared" si="118"/>
        <v>76</v>
      </c>
      <c r="L118" s="134">
        <f t="shared" ref="L118:M118" si="119">L111+L117</f>
        <v>76</v>
      </c>
      <c r="M118" s="134">
        <f t="shared" si="119"/>
        <v>76</v>
      </c>
      <c r="N118" s="134">
        <f t="shared" ref="N118:P118" si="120">N111+N117</f>
        <v>76</v>
      </c>
      <c r="O118" s="134">
        <v>76</v>
      </c>
      <c r="P118" s="134">
        <f t="shared" si="120"/>
        <v>76</v>
      </c>
    </row>
    <row r="119" spans="1:16" ht="15.6" x14ac:dyDescent="0.3">
      <c r="A119" s="676" t="s">
        <v>192</v>
      </c>
      <c r="B119" s="677"/>
      <c r="C119" s="11" t="s">
        <v>3</v>
      </c>
      <c r="D119" s="134">
        <f t="shared" ref="D119:I119" si="121">D118+D105</f>
        <v>76</v>
      </c>
      <c r="E119" s="134">
        <f t="shared" si="121"/>
        <v>76</v>
      </c>
      <c r="F119" s="134">
        <f t="shared" si="121"/>
        <v>76</v>
      </c>
      <c r="G119" s="134">
        <f t="shared" si="121"/>
        <v>76</v>
      </c>
      <c r="H119" s="134">
        <f t="shared" si="121"/>
        <v>76</v>
      </c>
      <c r="I119" s="134">
        <f t="shared" si="121"/>
        <v>76</v>
      </c>
      <c r="J119" s="134">
        <f t="shared" ref="J119:K119" si="122">J118+J105</f>
        <v>76</v>
      </c>
      <c r="K119" s="134">
        <f t="shared" si="122"/>
        <v>76</v>
      </c>
      <c r="L119" s="134">
        <f t="shared" ref="L119:M119" si="123">L118+L105</f>
        <v>76</v>
      </c>
      <c r="M119" s="134">
        <f t="shared" si="123"/>
        <v>76</v>
      </c>
      <c r="N119" s="134">
        <f t="shared" ref="N119" si="124">N118+N105</f>
        <v>76</v>
      </c>
      <c r="O119" s="134">
        <v>76</v>
      </c>
      <c r="P119" s="55">
        <f t="shared" ref="P119" si="125">P118+P106</f>
        <v>76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7.399999999999999" x14ac:dyDescent="0.3">
      <c r="A121" s="661" t="s">
        <v>93</v>
      </c>
      <c r="B121" s="662"/>
      <c r="C121" s="5" t="s">
        <v>3</v>
      </c>
      <c r="D121" s="562">
        <f>486+12</f>
        <v>498</v>
      </c>
      <c r="E121" s="4">
        <v>507</v>
      </c>
      <c r="F121" s="4">
        <v>511</v>
      </c>
      <c r="G121" s="4">
        <v>526</v>
      </c>
      <c r="H121" s="4">
        <v>531</v>
      </c>
      <c r="I121" s="4">
        <v>537</v>
      </c>
      <c r="J121" s="4">
        <v>541</v>
      </c>
      <c r="K121" s="4">
        <v>544</v>
      </c>
      <c r="L121" s="128">
        <v>546</v>
      </c>
      <c r="M121" s="128">
        <v>547</v>
      </c>
      <c r="N121" s="4">
        <v>549</v>
      </c>
      <c r="O121" s="128">
        <v>551</v>
      </c>
      <c r="P121" s="203">
        <f>O121</f>
        <v>551</v>
      </c>
    </row>
    <row r="122" spans="1:16" ht="17.399999999999999" x14ac:dyDescent="0.3">
      <c r="A122" s="661" t="s">
        <v>92</v>
      </c>
      <c r="B122" s="662"/>
      <c r="C122" s="5" t="s">
        <v>3</v>
      </c>
      <c r="D122" s="562">
        <v>498</v>
      </c>
      <c r="E122" s="4">
        <v>507</v>
      </c>
      <c r="F122" s="4">
        <v>511</v>
      </c>
      <c r="G122" s="4">
        <v>526</v>
      </c>
      <c r="H122" s="4">
        <v>531</v>
      </c>
      <c r="I122" s="4">
        <v>537</v>
      </c>
      <c r="J122" s="4">
        <v>541</v>
      </c>
      <c r="K122" s="4">
        <v>544</v>
      </c>
      <c r="L122" s="128">
        <v>546</v>
      </c>
      <c r="M122" s="128">
        <v>547</v>
      </c>
      <c r="N122" s="4">
        <v>549</v>
      </c>
      <c r="O122" s="128">
        <v>551</v>
      </c>
      <c r="P122" s="203">
        <f>O122</f>
        <v>551</v>
      </c>
    </row>
    <row r="123" spans="1:16" ht="15.6" x14ac:dyDescent="0.3">
      <c r="A123" s="678" t="s">
        <v>91</v>
      </c>
      <c r="B123" s="679"/>
      <c r="C123" s="30" t="s">
        <v>6</v>
      </c>
      <c r="D123" s="29">
        <f t="shared" ref="D123:F123" si="126">D122/D121</f>
        <v>1</v>
      </c>
      <c r="E123" s="29">
        <f t="shared" si="126"/>
        <v>1</v>
      </c>
      <c r="F123" s="29">
        <f t="shared" si="126"/>
        <v>1</v>
      </c>
      <c r="G123" s="29">
        <f t="shared" ref="G123:P123" si="127">G122/G121</f>
        <v>1</v>
      </c>
      <c r="H123" s="29">
        <f t="shared" si="127"/>
        <v>1</v>
      </c>
      <c r="I123" s="29">
        <f t="shared" si="127"/>
        <v>1</v>
      </c>
      <c r="J123" s="29">
        <f t="shared" si="127"/>
        <v>1</v>
      </c>
      <c r="K123" s="29">
        <f t="shared" si="127"/>
        <v>1</v>
      </c>
      <c r="L123" s="29">
        <f t="shared" si="127"/>
        <v>1</v>
      </c>
      <c r="M123" s="29">
        <f t="shared" si="127"/>
        <v>1</v>
      </c>
      <c r="N123" s="29">
        <f t="shared" si="127"/>
        <v>1</v>
      </c>
      <c r="O123" s="29">
        <v>1</v>
      </c>
      <c r="P123" s="108">
        <f t="shared" si="127"/>
        <v>1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0</v>
      </c>
      <c r="F125" s="132">
        <f t="shared" ref="F125:G125" si="128">E129</f>
        <v>0</v>
      </c>
      <c r="G125" s="132">
        <f t="shared" si="128"/>
        <v>0</v>
      </c>
      <c r="H125" s="157"/>
      <c r="I125" s="157"/>
      <c r="J125" s="157"/>
      <c r="K125" s="157"/>
      <c r="L125" s="157"/>
      <c r="M125" s="157"/>
      <c r="N125" s="157"/>
      <c r="O125" s="157"/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0</v>
      </c>
      <c r="E126" s="132">
        <v>0</v>
      </c>
      <c r="F126" s="132">
        <v>0</v>
      </c>
      <c r="G126" s="132">
        <v>0</v>
      </c>
      <c r="H126" s="155"/>
      <c r="I126" s="155"/>
      <c r="J126" s="155"/>
      <c r="K126" s="155"/>
      <c r="L126" s="155"/>
      <c r="M126" s="155"/>
      <c r="N126" s="155"/>
      <c r="O126" s="155"/>
      <c r="P126" s="18">
        <f>SUM(D126:O126)</f>
        <v>0</v>
      </c>
    </row>
    <row r="127" spans="1:16" ht="15.6" x14ac:dyDescent="0.3">
      <c r="A127" s="674"/>
      <c r="B127" s="82" t="s">
        <v>88</v>
      </c>
      <c r="C127" s="11" t="s">
        <v>3</v>
      </c>
      <c r="D127" s="132">
        <v>0</v>
      </c>
      <c r="E127" s="132">
        <v>0</v>
      </c>
      <c r="F127" s="132">
        <v>0</v>
      </c>
      <c r="G127" s="132">
        <v>0</v>
      </c>
      <c r="H127" s="155"/>
      <c r="I127" s="155"/>
      <c r="J127" s="155"/>
      <c r="K127" s="155"/>
      <c r="L127" s="155"/>
      <c r="M127" s="155"/>
      <c r="N127" s="155"/>
      <c r="O127" s="155"/>
      <c r="P127" s="18">
        <f>SUM(D127:O127)</f>
        <v>0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55"/>
      <c r="I128" s="155"/>
      <c r="J128" s="155"/>
      <c r="K128" s="155"/>
      <c r="L128" s="155"/>
      <c r="M128" s="155"/>
      <c r="N128" s="155"/>
      <c r="O128" s="155"/>
      <c r="P128" s="18">
        <f>SUM(D128:O128)</f>
        <v>0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0</v>
      </c>
      <c r="E129" s="132">
        <f t="shared" ref="E129:G129" si="129">E125+E126-E127-E128</f>
        <v>0</v>
      </c>
      <c r="F129" s="132">
        <f t="shared" si="129"/>
        <v>0</v>
      </c>
      <c r="G129" s="132">
        <f t="shared" si="129"/>
        <v>0</v>
      </c>
      <c r="H129" s="139">
        <f t="shared" ref="H129:I129" si="130">H125+H126-H127-H128</f>
        <v>0</v>
      </c>
      <c r="I129" s="139">
        <f t="shared" si="130"/>
        <v>0</v>
      </c>
      <c r="J129" s="139">
        <f t="shared" ref="J129:K129" si="131">J125+J126-J127-J128</f>
        <v>0</v>
      </c>
      <c r="K129" s="139">
        <f t="shared" si="131"/>
        <v>0</v>
      </c>
      <c r="L129" s="139">
        <f t="shared" ref="L129:M129" si="132">L125+L126-L127-L128</f>
        <v>0</v>
      </c>
      <c r="M129" s="139">
        <f t="shared" si="132"/>
        <v>0</v>
      </c>
      <c r="N129" s="139">
        <f t="shared" ref="N129" si="133">N125+N126-N127-N128</f>
        <v>0</v>
      </c>
      <c r="O129" s="139">
        <v>0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0</v>
      </c>
      <c r="E130" s="132">
        <f>D134</f>
        <v>0</v>
      </c>
      <c r="F130" s="132">
        <f t="shared" ref="F130:G130" si="134">E134</f>
        <v>0</v>
      </c>
      <c r="G130" s="132">
        <f t="shared" si="134"/>
        <v>0</v>
      </c>
      <c r="H130" s="139"/>
      <c r="I130" s="139"/>
      <c r="J130" s="139"/>
      <c r="K130" s="139"/>
      <c r="L130" s="139"/>
      <c r="M130" s="139"/>
      <c r="N130" s="139"/>
      <c r="O130" s="139"/>
      <c r="P130" s="25">
        <f>D130</f>
        <v>0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/>
      <c r="I131" s="132"/>
      <c r="J131" s="132"/>
      <c r="K131" s="132"/>
      <c r="L131" s="132"/>
      <c r="M131" s="132"/>
      <c r="N131" s="132"/>
      <c r="O131" s="132"/>
      <c r="P131" s="18">
        <f>SUM(D131:O131)</f>
        <v>0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/>
      <c r="I132" s="132"/>
      <c r="J132" s="132"/>
      <c r="K132" s="132"/>
      <c r="L132" s="132"/>
      <c r="M132" s="132"/>
      <c r="N132" s="132"/>
      <c r="O132" s="132"/>
      <c r="P132" s="18">
        <f>SUM(D132:O132)</f>
        <v>0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/>
      <c r="I133" s="132"/>
      <c r="J133" s="132"/>
      <c r="K133" s="132"/>
      <c r="L133" s="132"/>
      <c r="M133" s="132"/>
      <c r="N133" s="132"/>
      <c r="O133" s="132"/>
      <c r="P133" s="18">
        <f>SUM(D133:O133)</f>
        <v>0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0</v>
      </c>
      <c r="E134" s="132">
        <f t="shared" ref="E134:G134" si="135">E130+E131-E132-E133</f>
        <v>0</v>
      </c>
      <c r="F134" s="132">
        <f t="shared" si="135"/>
        <v>0</v>
      </c>
      <c r="G134" s="132">
        <f t="shared" si="135"/>
        <v>0</v>
      </c>
      <c r="H134" s="139">
        <f t="shared" ref="H134:I134" si="136">H130+H131-H132-H133</f>
        <v>0</v>
      </c>
      <c r="I134" s="139">
        <f t="shared" si="136"/>
        <v>0</v>
      </c>
      <c r="J134" s="139">
        <f t="shared" ref="J134:K134" si="137">J130+J131-J132-J133</f>
        <v>0</v>
      </c>
      <c r="K134" s="139">
        <f t="shared" si="137"/>
        <v>0</v>
      </c>
      <c r="L134" s="139">
        <f t="shared" ref="L134:M134" si="138">L130+L131-L132-L133</f>
        <v>0</v>
      </c>
      <c r="M134" s="139">
        <f t="shared" si="138"/>
        <v>0</v>
      </c>
      <c r="N134" s="139">
        <f t="shared" ref="N134" si="139">N130+N131-N132-N133</f>
        <v>0</v>
      </c>
      <c r="O134" s="139">
        <v>0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v>0</v>
      </c>
      <c r="F135" s="132">
        <v>0</v>
      </c>
      <c r="G135" s="132">
        <v>0</v>
      </c>
      <c r="H135" s="139"/>
      <c r="I135" s="139"/>
      <c r="J135" s="139"/>
      <c r="K135" s="139"/>
      <c r="L135" s="139"/>
      <c r="M135" s="139"/>
      <c r="N135" s="139"/>
      <c r="O135" s="139"/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/>
      <c r="I136" s="132"/>
      <c r="J136" s="132"/>
      <c r="K136" s="132"/>
      <c r="L136" s="132"/>
      <c r="M136" s="132"/>
      <c r="N136" s="132"/>
      <c r="O136" s="132"/>
      <c r="P136" s="18">
        <f>SUM(D136:O136)</f>
        <v>0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/>
      <c r="I137" s="132"/>
      <c r="J137" s="132"/>
      <c r="K137" s="132"/>
      <c r="L137" s="132"/>
      <c r="M137" s="132"/>
      <c r="N137" s="132"/>
      <c r="O137" s="132"/>
      <c r="P137" s="18">
        <f>SUM(D137:O137)</f>
        <v>0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/>
      <c r="I138" s="132"/>
      <c r="J138" s="132"/>
      <c r="K138" s="132"/>
      <c r="L138" s="132"/>
      <c r="M138" s="132"/>
      <c r="N138" s="132"/>
      <c r="O138" s="132"/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G139" si="140">E135+E136-E137-E138</f>
        <v>0</v>
      </c>
      <c r="F139" s="132">
        <f t="shared" si="140"/>
        <v>0</v>
      </c>
      <c r="G139" s="132">
        <f t="shared" si="140"/>
        <v>0</v>
      </c>
      <c r="H139" s="139">
        <f t="shared" ref="H139:I139" si="141">H135+H136-H137-H138</f>
        <v>0</v>
      </c>
      <c r="I139" s="139">
        <f t="shared" si="141"/>
        <v>0</v>
      </c>
      <c r="J139" s="139">
        <f t="shared" ref="J139:K139" si="142">J135+J136-J137-J138</f>
        <v>0</v>
      </c>
      <c r="K139" s="139">
        <f t="shared" si="142"/>
        <v>0</v>
      </c>
      <c r="L139" s="139">
        <f t="shared" ref="L139:M139" si="143">L135+L136-L137-L138</f>
        <v>0</v>
      </c>
      <c r="M139" s="139">
        <f t="shared" si="143"/>
        <v>0</v>
      </c>
      <c r="N139" s="139">
        <f t="shared" ref="N139" si="144">N135+N136-N137-N138</f>
        <v>0</v>
      </c>
      <c r="O139" s="139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0</v>
      </c>
      <c r="E140" s="132">
        <v>0</v>
      </c>
      <c r="F140" s="132">
        <v>0</v>
      </c>
      <c r="G140" s="132">
        <v>0</v>
      </c>
      <c r="H140" s="139"/>
      <c r="I140" s="139"/>
      <c r="J140" s="139"/>
      <c r="K140" s="139"/>
      <c r="L140" s="139"/>
      <c r="M140" s="139"/>
      <c r="N140" s="139"/>
      <c r="O140" s="139"/>
      <c r="P140" s="25">
        <f>D140</f>
        <v>0</v>
      </c>
    </row>
    <row r="141" spans="1:16" ht="15.6" x14ac:dyDescent="0.3">
      <c r="A141" s="674"/>
      <c r="B141" s="24" t="s">
        <v>84</v>
      </c>
      <c r="C141" s="11" t="s">
        <v>3</v>
      </c>
      <c r="D141" s="132">
        <v>0</v>
      </c>
      <c r="E141" s="132">
        <v>0</v>
      </c>
      <c r="F141" s="132">
        <v>0</v>
      </c>
      <c r="G141" s="132">
        <v>0</v>
      </c>
      <c r="H141" s="132"/>
      <c r="I141" s="132"/>
      <c r="J141" s="132"/>
      <c r="K141" s="132"/>
      <c r="L141" s="132"/>
      <c r="M141" s="132"/>
      <c r="N141" s="132"/>
      <c r="O141" s="132"/>
      <c r="P141" s="18">
        <f>SUM(D141:O141)</f>
        <v>0</v>
      </c>
    </row>
    <row r="142" spans="1:16" ht="15.6" x14ac:dyDescent="0.3">
      <c r="A142" s="674"/>
      <c r="B142" s="24" t="s">
        <v>83</v>
      </c>
      <c r="C142" s="11" t="s">
        <v>3</v>
      </c>
      <c r="D142" s="132">
        <v>0</v>
      </c>
      <c r="E142" s="132">
        <v>0</v>
      </c>
      <c r="F142" s="132">
        <v>0</v>
      </c>
      <c r="G142" s="132">
        <v>0</v>
      </c>
      <c r="H142" s="132"/>
      <c r="I142" s="132"/>
      <c r="J142" s="132"/>
      <c r="K142" s="132"/>
      <c r="L142" s="132"/>
      <c r="M142" s="132"/>
      <c r="N142" s="132"/>
      <c r="O142" s="132"/>
      <c r="P142" s="18">
        <f>SUM(D142:O142)</f>
        <v>0</v>
      </c>
    </row>
    <row r="143" spans="1:16" ht="15.6" x14ac:dyDescent="0.3">
      <c r="A143" s="674"/>
      <c r="B143" s="24" t="s">
        <v>82</v>
      </c>
      <c r="C143" s="11" t="s">
        <v>3</v>
      </c>
      <c r="D143" s="132">
        <v>0</v>
      </c>
      <c r="E143" s="132">
        <v>0</v>
      </c>
      <c r="F143" s="132">
        <v>0</v>
      </c>
      <c r="G143" s="132">
        <v>0</v>
      </c>
      <c r="H143" s="132"/>
      <c r="I143" s="132"/>
      <c r="J143" s="132"/>
      <c r="K143" s="132"/>
      <c r="L143" s="132"/>
      <c r="M143" s="132"/>
      <c r="N143" s="132"/>
      <c r="O143" s="132"/>
      <c r="P143" s="18">
        <f>SUM(D143:O143)</f>
        <v>0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0</v>
      </c>
      <c r="E144" s="132">
        <f t="shared" ref="E144:G144" si="145">E140+E141-E142-E143</f>
        <v>0</v>
      </c>
      <c r="F144" s="132">
        <f t="shared" si="145"/>
        <v>0</v>
      </c>
      <c r="G144" s="132">
        <f t="shared" si="145"/>
        <v>0</v>
      </c>
      <c r="H144" s="139">
        <f t="shared" ref="H144:J144" si="146">H140+H141-H142-H143</f>
        <v>0</v>
      </c>
      <c r="I144" s="139">
        <f t="shared" si="146"/>
        <v>0</v>
      </c>
      <c r="J144" s="139">
        <f t="shared" si="146"/>
        <v>0</v>
      </c>
      <c r="K144" s="139">
        <f t="shared" ref="K144:L144" si="147">K140+K141-K142-K143</f>
        <v>0</v>
      </c>
      <c r="L144" s="139">
        <f t="shared" si="147"/>
        <v>0</v>
      </c>
      <c r="M144" s="139">
        <f t="shared" ref="M144:N144" si="148">M140+M141-M142-M143</f>
        <v>0</v>
      </c>
      <c r="N144" s="139">
        <f t="shared" si="148"/>
        <v>0</v>
      </c>
      <c r="O144" s="139">
        <v>0</v>
      </c>
      <c r="P144" s="25">
        <f>P140+P141-P142-P143</f>
        <v>0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138">
        <f t="shared" ref="D145:I145" si="149">D125+D130+D135+D140</f>
        <v>0</v>
      </c>
      <c r="E145" s="138">
        <f t="shared" si="149"/>
        <v>0</v>
      </c>
      <c r="F145" s="138">
        <f t="shared" si="149"/>
        <v>0</v>
      </c>
      <c r="G145" s="138">
        <f t="shared" si="149"/>
        <v>0</v>
      </c>
      <c r="H145" s="138">
        <f t="shared" si="149"/>
        <v>0</v>
      </c>
      <c r="I145" s="138">
        <f t="shared" si="149"/>
        <v>0</v>
      </c>
      <c r="J145" s="138">
        <f t="shared" ref="J145:K145" si="150">J125+J130+J135+J140</f>
        <v>0</v>
      </c>
      <c r="K145" s="138">
        <f t="shared" si="150"/>
        <v>0</v>
      </c>
      <c r="L145" s="138">
        <f t="shared" ref="L145:M145" si="151">L125+L130+L135+L140</f>
        <v>0</v>
      </c>
      <c r="M145" s="138">
        <f t="shared" si="151"/>
        <v>0</v>
      </c>
      <c r="N145" s="138">
        <f t="shared" ref="N145" si="152">N125+N130+N135+N140</f>
        <v>0</v>
      </c>
      <c r="O145" s="138">
        <v>0</v>
      </c>
      <c r="P145" s="109">
        <f t="shared" ref="P145:P149" si="153">P125+P130+P135+P140</f>
        <v>0</v>
      </c>
    </row>
    <row r="146" spans="1:16" ht="15.6" x14ac:dyDescent="0.3">
      <c r="A146" s="674"/>
      <c r="B146" s="24" t="s">
        <v>84</v>
      </c>
      <c r="C146" s="11" t="s">
        <v>3</v>
      </c>
      <c r="D146" s="138">
        <f t="shared" ref="D146:E148" si="154">D126+D131+D136+D141</f>
        <v>0</v>
      </c>
      <c r="E146" s="138">
        <f t="shared" si="154"/>
        <v>0</v>
      </c>
      <c r="F146" s="138">
        <f t="shared" ref="F146:G146" si="155">F126+F131+F136+F141</f>
        <v>0</v>
      </c>
      <c r="G146" s="138">
        <f t="shared" si="155"/>
        <v>0</v>
      </c>
      <c r="H146" s="138">
        <f t="shared" ref="H146:I146" si="156">H126+H131+H136+H141</f>
        <v>0</v>
      </c>
      <c r="I146" s="138">
        <f t="shared" si="156"/>
        <v>0</v>
      </c>
      <c r="J146" s="138">
        <f t="shared" ref="J146:K146" si="157">J126+J131+J136+J141</f>
        <v>0</v>
      </c>
      <c r="K146" s="138">
        <f t="shared" si="157"/>
        <v>0</v>
      </c>
      <c r="L146" s="138">
        <f t="shared" ref="L146:M146" si="158">L126+L131+L136+L141</f>
        <v>0</v>
      </c>
      <c r="M146" s="138">
        <f t="shared" si="158"/>
        <v>0</v>
      </c>
      <c r="N146" s="138">
        <f t="shared" ref="N146" si="159">N126+N131+N136+N141</f>
        <v>0</v>
      </c>
      <c r="O146" s="138">
        <v>0</v>
      </c>
      <c r="P146" s="109">
        <f t="shared" si="153"/>
        <v>0</v>
      </c>
    </row>
    <row r="147" spans="1:16" ht="15.6" x14ac:dyDescent="0.3">
      <c r="A147" s="674"/>
      <c r="B147" s="24" t="s">
        <v>83</v>
      </c>
      <c r="C147" s="11" t="s">
        <v>3</v>
      </c>
      <c r="D147" s="138">
        <f t="shared" si="154"/>
        <v>0</v>
      </c>
      <c r="E147" s="138">
        <f t="shared" si="154"/>
        <v>0</v>
      </c>
      <c r="F147" s="138">
        <f t="shared" ref="F147:G147" si="160">F127+F132+F137+F142</f>
        <v>0</v>
      </c>
      <c r="G147" s="138">
        <f t="shared" si="160"/>
        <v>0</v>
      </c>
      <c r="H147" s="138">
        <f t="shared" ref="H147:I147" si="161">H127+H132+H137+H142</f>
        <v>0</v>
      </c>
      <c r="I147" s="138">
        <f t="shared" si="161"/>
        <v>0</v>
      </c>
      <c r="J147" s="138">
        <f t="shared" ref="J147:K147" si="162">J127+J132+J137+J142</f>
        <v>0</v>
      </c>
      <c r="K147" s="138">
        <f t="shared" si="162"/>
        <v>0</v>
      </c>
      <c r="L147" s="138">
        <f t="shared" ref="L147:M147" si="163">L127+L132+L137+L142</f>
        <v>0</v>
      </c>
      <c r="M147" s="138">
        <f t="shared" si="163"/>
        <v>0</v>
      </c>
      <c r="N147" s="138">
        <f t="shared" ref="N147" si="164">N127+N132+N137+N142</f>
        <v>0</v>
      </c>
      <c r="O147" s="138">
        <v>0</v>
      </c>
      <c r="P147" s="109">
        <f t="shared" si="153"/>
        <v>0</v>
      </c>
    </row>
    <row r="148" spans="1:16" ht="15.6" x14ac:dyDescent="0.3">
      <c r="A148" s="674"/>
      <c r="B148" s="24" t="s">
        <v>82</v>
      </c>
      <c r="C148" s="11" t="s">
        <v>3</v>
      </c>
      <c r="D148" s="138">
        <f t="shared" si="154"/>
        <v>0</v>
      </c>
      <c r="E148" s="138">
        <f t="shared" si="154"/>
        <v>0</v>
      </c>
      <c r="F148" s="138">
        <f t="shared" ref="F148:G148" si="165">F128+F133+F138+F143</f>
        <v>0</v>
      </c>
      <c r="G148" s="138">
        <f t="shared" si="165"/>
        <v>0</v>
      </c>
      <c r="H148" s="138">
        <f t="shared" ref="H148:I148" si="166">H128+H133+H138+H143</f>
        <v>0</v>
      </c>
      <c r="I148" s="138">
        <f t="shared" si="166"/>
        <v>0</v>
      </c>
      <c r="J148" s="138">
        <f t="shared" ref="J148:K148" si="167">J128+J133+J138+J143</f>
        <v>0</v>
      </c>
      <c r="K148" s="138">
        <f t="shared" si="167"/>
        <v>0</v>
      </c>
      <c r="L148" s="138">
        <f t="shared" ref="L148:M148" si="168">L128+L133+L138+L143</f>
        <v>0</v>
      </c>
      <c r="M148" s="138">
        <f t="shared" si="168"/>
        <v>0</v>
      </c>
      <c r="N148" s="138">
        <f t="shared" ref="N148" si="169">N128+N133+N138+N143</f>
        <v>0</v>
      </c>
      <c r="O148" s="138">
        <v>0</v>
      </c>
      <c r="P148" s="109">
        <f t="shared" si="153"/>
        <v>0</v>
      </c>
    </row>
    <row r="149" spans="1:16" ht="15.6" x14ac:dyDescent="0.3">
      <c r="A149" s="675"/>
      <c r="B149" s="24" t="s">
        <v>81</v>
      </c>
      <c r="C149" s="11" t="s">
        <v>3</v>
      </c>
      <c r="D149" s="139">
        <f t="shared" ref="D149:I149" si="170">D145+D146-D147-D148</f>
        <v>0</v>
      </c>
      <c r="E149" s="139">
        <f t="shared" si="170"/>
        <v>0</v>
      </c>
      <c r="F149" s="139">
        <f t="shared" si="170"/>
        <v>0</v>
      </c>
      <c r="G149" s="139">
        <f t="shared" si="170"/>
        <v>0</v>
      </c>
      <c r="H149" s="139">
        <f t="shared" si="170"/>
        <v>0</v>
      </c>
      <c r="I149" s="139">
        <f t="shared" si="170"/>
        <v>0</v>
      </c>
      <c r="J149" s="139">
        <f t="shared" ref="J149:K149" si="171">J145+J146-J147-J148</f>
        <v>0</v>
      </c>
      <c r="K149" s="139">
        <f t="shared" si="171"/>
        <v>0</v>
      </c>
      <c r="L149" s="139">
        <f t="shared" ref="L149:M149" si="172">L145+L146-L147-L148</f>
        <v>0</v>
      </c>
      <c r="M149" s="139">
        <f t="shared" si="172"/>
        <v>0</v>
      </c>
      <c r="N149" s="139">
        <f t="shared" ref="N149" si="173">N145+N146-N147-N148</f>
        <v>0</v>
      </c>
      <c r="O149" s="139">
        <v>0</v>
      </c>
      <c r="P149" s="109">
        <f t="shared" si="153"/>
        <v>0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4">
        <v>0</v>
      </c>
      <c r="E153" s="4">
        <v>0</v>
      </c>
      <c r="F153" s="4">
        <v>0</v>
      </c>
      <c r="G153" s="4">
        <v>2</v>
      </c>
      <c r="H153" s="155"/>
      <c r="I153" s="155"/>
      <c r="J153" s="155"/>
      <c r="K153" s="155"/>
      <c r="L153" s="155"/>
      <c r="M153" s="155"/>
      <c r="N153" s="155"/>
      <c r="O153" s="155">
        <v>1</v>
      </c>
      <c r="P153" s="18">
        <f t="shared" ref="P153:P165" si="174">SUM(D153:O153)</f>
        <v>3</v>
      </c>
    </row>
    <row r="154" spans="1:16" ht="15.6" x14ac:dyDescent="0.3">
      <c r="A154" s="671"/>
      <c r="B154" s="19" t="s">
        <v>72</v>
      </c>
      <c r="C154" s="11" t="s">
        <v>57</v>
      </c>
      <c r="D154" s="4">
        <v>0</v>
      </c>
      <c r="E154" s="4">
        <v>0</v>
      </c>
      <c r="F154" s="4">
        <v>0</v>
      </c>
      <c r="G154" s="155"/>
      <c r="H154" s="155"/>
      <c r="I154" s="155"/>
      <c r="J154" s="155"/>
      <c r="K154" s="155"/>
      <c r="L154" s="155"/>
      <c r="M154" s="155"/>
      <c r="N154" s="155"/>
      <c r="O154" s="155"/>
      <c r="P154" s="18">
        <f t="shared" si="174"/>
        <v>0</v>
      </c>
    </row>
    <row r="155" spans="1:16" ht="15.6" x14ac:dyDescent="0.3">
      <c r="A155" s="671"/>
      <c r="B155" s="19" t="s">
        <v>53</v>
      </c>
      <c r="C155" s="11" t="s">
        <v>57</v>
      </c>
      <c r="D155" s="4">
        <v>0</v>
      </c>
      <c r="E155" s="4">
        <v>0</v>
      </c>
      <c r="F155" s="4">
        <v>0</v>
      </c>
      <c r="G155" s="155"/>
      <c r="H155" s="155"/>
      <c r="I155" s="155"/>
      <c r="J155" s="155"/>
      <c r="K155" s="155"/>
      <c r="L155" s="155"/>
      <c r="M155" s="155"/>
      <c r="N155" s="155"/>
      <c r="O155" s="155"/>
      <c r="P155" s="18">
        <f t="shared" si="174"/>
        <v>0</v>
      </c>
    </row>
    <row r="156" spans="1:16" ht="15.6" x14ac:dyDescent="0.3">
      <c r="A156" s="671"/>
      <c r="B156" s="19" t="s">
        <v>71</v>
      </c>
      <c r="C156" s="11" t="s">
        <v>57</v>
      </c>
      <c r="D156" s="4">
        <v>0</v>
      </c>
      <c r="E156" s="4">
        <v>0</v>
      </c>
      <c r="F156" s="4">
        <v>0</v>
      </c>
      <c r="G156" s="155"/>
      <c r="H156" s="155"/>
      <c r="I156" s="155"/>
      <c r="J156" s="155"/>
      <c r="K156" s="155"/>
      <c r="L156" s="155"/>
      <c r="M156" s="155"/>
      <c r="N156" s="155"/>
      <c r="O156" s="155"/>
      <c r="P156" s="18">
        <f t="shared" si="174"/>
        <v>0</v>
      </c>
    </row>
    <row r="157" spans="1:16" ht="15.6" x14ac:dyDescent="0.3">
      <c r="A157" s="671"/>
      <c r="B157" s="19" t="s">
        <v>52</v>
      </c>
      <c r="C157" s="11" t="s">
        <v>57</v>
      </c>
      <c r="D157" s="4">
        <v>0</v>
      </c>
      <c r="E157" s="4">
        <v>0</v>
      </c>
      <c r="F157" s="4">
        <v>0</v>
      </c>
      <c r="G157" s="155"/>
      <c r="H157" s="155"/>
      <c r="I157" s="155"/>
      <c r="J157" s="155"/>
      <c r="K157" s="155"/>
      <c r="L157" s="155"/>
      <c r="M157" s="155"/>
      <c r="N157" s="155"/>
      <c r="O157" s="155"/>
      <c r="P157" s="18">
        <f t="shared" si="174"/>
        <v>0</v>
      </c>
    </row>
    <row r="158" spans="1:16" ht="15.6" x14ac:dyDescent="0.3">
      <c r="A158" s="671"/>
      <c r="B158" s="19" t="s">
        <v>51</v>
      </c>
      <c r="C158" s="11" t="s">
        <v>57</v>
      </c>
      <c r="D158" s="4">
        <v>0</v>
      </c>
      <c r="E158" s="4">
        <v>0</v>
      </c>
      <c r="F158" s="4">
        <v>0</v>
      </c>
      <c r="G158" s="155"/>
      <c r="H158" s="155"/>
      <c r="I158" s="155"/>
      <c r="J158" s="155"/>
      <c r="K158" s="155"/>
      <c r="L158" s="155"/>
      <c r="M158" s="155"/>
      <c r="N158" s="155"/>
      <c r="O158" s="155"/>
      <c r="P158" s="18">
        <f t="shared" si="174"/>
        <v>0</v>
      </c>
    </row>
    <row r="159" spans="1:16" ht="15.6" x14ac:dyDescent="0.3">
      <c r="A159" s="671"/>
      <c r="B159" s="19" t="s">
        <v>62</v>
      </c>
      <c r="C159" s="11" t="s">
        <v>57</v>
      </c>
      <c r="D159" s="4">
        <v>0</v>
      </c>
      <c r="E159" s="4">
        <v>0</v>
      </c>
      <c r="F159" s="4">
        <v>0</v>
      </c>
      <c r="G159" s="155"/>
      <c r="H159" s="155"/>
      <c r="I159" s="155"/>
      <c r="J159" s="155"/>
      <c r="K159" s="155"/>
      <c r="L159" s="155"/>
      <c r="M159" s="155"/>
      <c r="N159" s="155"/>
      <c r="O159" s="155"/>
      <c r="P159" s="18">
        <f t="shared" si="174"/>
        <v>0</v>
      </c>
    </row>
    <row r="160" spans="1:16" ht="15.6" x14ac:dyDescent="0.3">
      <c r="A160" s="671"/>
      <c r="B160" s="19" t="s">
        <v>50</v>
      </c>
      <c r="C160" s="11" t="s">
        <v>57</v>
      </c>
      <c r="D160" s="4">
        <v>0</v>
      </c>
      <c r="E160" s="4">
        <v>0</v>
      </c>
      <c r="F160" s="4">
        <v>0</v>
      </c>
      <c r="G160" s="155"/>
      <c r="H160" s="155"/>
      <c r="I160" s="155"/>
      <c r="J160" s="155"/>
      <c r="K160" s="155"/>
      <c r="L160" s="155"/>
      <c r="M160" s="155"/>
      <c r="N160" s="155"/>
      <c r="O160" s="155"/>
      <c r="P160" s="18">
        <f t="shared" si="174"/>
        <v>0</v>
      </c>
    </row>
    <row r="161" spans="1:16" ht="15.6" x14ac:dyDescent="0.3">
      <c r="A161" s="671"/>
      <c r="B161" s="19" t="s">
        <v>49</v>
      </c>
      <c r="C161" s="11" t="s">
        <v>57</v>
      </c>
      <c r="D161" s="4">
        <v>0</v>
      </c>
      <c r="E161" s="4">
        <v>0</v>
      </c>
      <c r="F161" s="4">
        <v>0</v>
      </c>
      <c r="G161" s="155"/>
      <c r="H161" s="155"/>
      <c r="I161" s="155"/>
      <c r="J161" s="155"/>
      <c r="K161" s="155"/>
      <c r="L161" s="155"/>
      <c r="M161" s="155"/>
      <c r="N161" s="155"/>
      <c r="O161" s="155"/>
      <c r="P161" s="18">
        <f t="shared" si="174"/>
        <v>0</v>
      </c>
    </row>
    <row r="162" spans="1:16" ht="15.6" x14ac:dyDescent="0.3">
      <c r="A162" s="671"/>
      <c r="B162" s="19" t="s">
        <v>77</v>
      </c>
      <c r="C162" s="11" t="s">
        <v>57</v>
      </c>
      <c r="D162" s="4"/>
      <c r="E162" s="4">
        <v>0</v>
      </c>
      <c r="F162" s="4">
        <v>0</v>
      </c>
      <c r="G162" s="155"/>
      <c r="H162" s="155"/>
      <c r="I162" s="155"/>
      <c r="J162" s="155"/>
      <c r="K162" s="155"/>
      <c r="L162" s="155"/>
      <c r="M162" s="155"/>
      <c r="N162" s="155"/>
      <c r="O162" s="155"/>
      <c r="P162" s="18">
        <f t="shared" si="174"/>
        <v>0</v>
      </c>
    </row>
    <row r="163" spans="1:16" ht="15.6" x14ac:dyDescent="0.3">
      <c r="A163" s="671"/>
      <c r="B163" s="19" t="s">
        <v>69</v>
      </c>
      <c r="C163" s="11" t="s">
        <v>57</v>
      </c>
      <c r="D163" s="4"/>
      <c r="E163" s="4"/>
      <c r="F163" s="4"/>
      <c r="G163" s="155"/>
      <c r="H163" s="155"/>
      <c r="I163" s="155"/>
      <c r="J163" s="155"/>
      <c r="K163" s="155"/>
      <c r="L163" s="155"/>
      <c r="M163" s="155"/>
      <c r="N163" s="155"/>
      <c r="O163" s="155"/>
      <c r="P163" s="18">
        <f t="shared" si="174"/>
        <v>0</v>
      </c>
    </row>
    <row r="164" spans="1:16" ht="15.6" x14ac:dyDescent="0.3">
      <c r="A164" s="671"/>
      <c r="B164" s="19" t="s">
        <v>68</v>
      </c>
      <c r="C164" s="11" t="s">
        <v>57</v>
      </c>
      <c r="D164" s="4"/>
      <c r="E164" s="4"/>
      <c r="F164" s="4"/>
      <c r="G164" s="155"/>
      <c r="H164" s="155"/>
      <c r="I164" s="155"/>
      <c r="J164" s="155"/>
      <c r="K164" s="155"/>
      <c r="L164" s="155"/>
      <c r="M164" s="155"/>
      <c r="N164" s="155"/>
      <c r="O164" s="155"/>
      <c r="P164" s="18">
        <f t="shared" si="174"/>
        <v>0</v>
      </c>
    </row>
    <row r="165" spans="1:16" ht="15.6" x14ac:dyDescent="0.3">
      <c r="A165" s="672"/>
      <c r="B165" s="19" t="s">
        <v>76</v>
      </c>
      <c r="C165" s="11" t="s">
        <v>57</v>
      </c>
      <c r="D165" s="4"/>
      <c r="E165" s="4"/>
      <c r="F165" s="4"/>
      <c r="G165" s="155"/>
      <c r="H165" s="155"/>
      <c r="I165" s="155"/>
      <c r="J165" s="155"/>
      <c r="K165" s="155"/>
      <c r="L165" s="155"/>
      <c r="M165" s="155"/>
      <c r="N165" s="155"/>
      <c r="O165" s="155"/>
      <c r="P165" s="18">
        <f t="shared" si="174"/>
        <v>0</v>
      </c>
    </row>
    <row r="166" spans="1:16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8"/>
    </row>
    <row r="167" spans="1:16" ht="15.6" x14ac:dyDescent="0.3">
      <c r="A167" s="671"/>
      <c r="B167" s="19" t="s">
        <v>74</v>
      </c>
      <c r="C167" s="11" t="s">
        <v>57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>
        <v>1</v>
      </c>
      <c r="P167" s="18">
        <f t="shared" ref="P167:P175" si="175">SUM(D167:O167)</f>
        <v>1</v>
      </c>
    </row>
    <row r="168" spans="1:16" ht="15.6" x14ac:dyDescent="0.3">
      <c r="A168" s="671"/>
      <c r="B168" s="19" t="s">
        <v>73</v>
      </c>
      <c r="C168" s="11" t="s">
        <v>57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8">
        <f t="shared" si="175"/>
        <v>0</v>
      </c>
    </row>
    <row r="169" spans="1:16" ht="15.6" x14ac:dyDescent="0.3">
      <c r="A169" s="671"/>
      <c r="B169" s="19" t="s">
        <v>72</v>
      </c>
      <c r="C169" s="11" t="s">
        <v>57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8">
        <f t="shared" si="175"/>
        <v>0</v>
      </c>
    </row>
    <row r="170" spans="1:16" ht="15.6" x14ac:dyDescent="0.3">
      <c r="A170" s="671"/>
      <c r="B170" s="19" t="s">
        <v>71</v>
      </c>
      <c r="C170" s="11" t="s">
        <v>57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8">
        <f t="shared" si="175"/>
        <v>0</v>
      </c>
    </row>
    <row r="171" spans="1:16" ht="15.6" x14ac:dyDescent="0.3">
      <c r="A171" s="671"/>
      <c r="B171" s="19" t="s">
        <v>52</v>
      </c>
      <c r="C171" s="11" t="s">
        <v>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8">
        <f t="shared" si="175"/>
        <v>0</v>
      </c>
    </row>
    <row r="172" spans="1:16" ht="15.6" x14ac:dyDescent="0.3">
      <c r="A172" s="671"/>
      <c r="B172" s="19" t="s">
        <v>62</v>
      </c>
      <c r="C172" s="11" t="s">
        <v>57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8">
        <f t="shared" si="175"/>
        <v>0</v>
      </c>
    </row>
    <row r="173" spans="1:16" ht="15.6" x14ac:dyDescent="0.3">
      <c r="A173" s="671"/>
      <c r="B173" s="19" t="s">
        <v>61</v>
      </c>
      <c r="C173" s="11" t="s">
        <v>57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8">
        <f t="shared" si="175"/>
        <v>0</v>
      </c>
    </row>
    <row r="174" spans="1:16" ht="15.6" x14ac:dyDescent="0.3">
      <c r="A174" s="671"/>
      <c r="B174" s="19" t="s">
        <v>60</v>
      </c>
      <c r="C174" s="11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8">
        <f t="shared" si="175"/>
        <v>0</v>
      </c>
    </row>
    <row r="175" spans="1:16" ht="15.6" x14ac:dyDescent="0.3">
      <c r="A175" s="672"/>
      <c r="B175" s="19" t="s">
        <v>69</v>
      </c>
      <c r="C175" s="11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8">
        <f t="shared" si="175"/>
        <v>0</v>
      </c>
    </row>
    <row r="176" spans="1:16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8"/>
    </row>
    <row r="177" spans="1:16" ht="15.6" x14ac:dyDescent="0.3">
      <c r="A177" s="671"/>
      <c r="B177" s="19" t="s">
        <v>60</v>
      </c>
      <c r="C177" s="11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8">
        <f t="shared" ref="P177:P182" si="176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8">
        <f t="shared" si="176"/>
        <v>0</v>
      </c>
    </row>
    <row r="179" spans="1:16" ht="15.6" x14ac:dyDescent="0.3">
      <c r="A179" s="671"/>
      <c r="B179" s="19" t="s">
        <v>68</v>
      </c>
      <c r="C179" s="11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8">
        <f t="shared" si="176"/>
        <v>0</v>
      </c>
    </row>
    <row r="180" spans="1:16" ht="15.6" x14ac:dyDescent="0.3">
      <c r="A180" s="671"/>
      <c r="B180" s="19" t="s">
        <v>67</v>
      </c>
      <c r="C180" s="11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8">
        <f t="shared" si="176"/>
        <v>0</v>
      </c>
    </row>
    <row r="181" spans="1:16" ht="15.6" x14ac:dyDescent="0.3">
      <c r="A181" s="671"/>
      <c r="B181" s="19" t="s">
        <v>66</v>
      </c>
      <c r="C181" s="11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8">
        <f t="shared" si="176"/>
        <v>0</v>
      </c>
    </row>
    <row r="182" spans="1:16" ht="15.6" x14ac:dyDescent="0.3">
      <c r="A182" s="672"/>
      <c r="B182" s="19" t="s">
        <v>65</v>
      </c>
      <c r="C182" s="11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8">
        <f t="shared" si="176"/>
        <v>0</v>
      </c>
    </row>
    <row r="183" spans="1:16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8"/>
    </row>
    <row r="184" spans="1:16" ht="15.6" x14ac:dyDescent="0.3">
      <c r="A184" s="671"/>
      <c r="B184" s="19" t="s">
        <v>73</v>
      </c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8"/>
    </row>
    <row r="189" spans="1:16" ht="15.6" x14ac:dyDescent="0.3">
      <c r="A189" s="671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8">
        <f>SUM(D190:O190)</f>
        <v>0</v>
      </c>
    </row>
    <row r="191" spans="1:16" ht="15.6" x14ac:dyDescent="0.3">
      <c r="A191" s="671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8">
        <f>SUM(D191:O191)</f>
        <v>0</v>
      </c>
    </row>
    <row r="192" spans="1:16" ht="15.6" x14ac:dyDescent="0.3">
      <c r="A192" s="672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8">
        <f>SUM(D153:D192)</f>
        <v>0</v>
      </c>
      <c r="E193" s="158">
        <f t="shared" ref="E193:N193" si="177">SUM(E153:E192)</f>
        <v>0</v>
      </c>
      <c r="F193" s="158">
        <f t="shared" si="177"/>
        <v>0</v>
      </c>
      <c r="G193" s="158">
        <f t="shared" si="177"/>
        <v>2</v>
      </c>
      <c r="H193" s="158">
        <f t="shared" si="177"/>
        <v>0</v>
      </c>
      <c r="I193" s="158">
        <f t="shared" si="177"/>
        <v>0</v>
      </c>
      <c r="J193" s="158">
        <f t="shared" si="177"/>
        <v>0</v>
      </c>
      <c r="K193" s="158">
        <f t="shared" si="177"/>
        <v>0</v>
      </c>
      <c r="L193" s="158">
        <f t="shared" si="177"/>
        <v>0</v>
      </c>
      <c r="M193" s="158">
        <f t="shared" si="177"/>
        <v>0</v>
      </c>
      <c r="N193" s="158">
        <f t="shared" si="177"/>
        <v>0</v>
      </c>
      <c r="O193" s="158">
        <v>2</v>
      </c>
      <c r="P193" s="159">
        <f>SUM(P153:P192)</f>
        <v>4</v>
      </c>
    </row>
    <row r="194" spans="1:16" ht="15.6" x14ac:dyDescent="0.3">
      <c r="A194" s="665" t="s">
        <v>58</v>
      </c>
      <c r="B194" s="666"/>
      <c r="C194" s="11" t="s">
        <v>57</v>
      </c>
      <c r="D194" s="4"/>
      <c r="E194" s="4"/>
      <c r="F194" s="4"/>
      <c r="G194" s="4">
        <v>0</v>
      </c>
      <c r="H194" s="4"/>
      <c r="I194" s="4"/>
      <c r="J194" s="4">
        <v>1</v>
      </c>
      <c r="K194" s="4">
        <v>1</v>
      </c>
      <c r="L194" s="4">
        <v>1</v>
      </c>
      <c r="M194" s="4">
        <v>1</v>
      </c>
      <c r="N194" s="4">
        <v>1</v>
      </c>
      <c r="O194" s="4">
        <v>1</v>
      </c>
      <c r="P194" s="9">
        <f>SUM(D194:O194)</f>
        <v>6</v>
      </c>
    </row>
    <row r="195" spans="1:16" ht="15.6" x14ac:dyDescent="0.3">
      <c r="A195" s="667"/>
      <c r="B195" s="668"/>
      <c r="C195" s="16" t="s">
        <v>55</v>
      </c>
      <c r="D195" s="4"/>
      <c r="E195" s="4"/>
      <c r="F195" s="4"/>
      <c r="G195" s="4">
        <v>0</v>
      </c>
      <c r="H195" s="4"/>
      <c r="I195" s="4"/>
      <c r="J195" s="4">
        <v>432</v>
      </c>
      <c r="K195" s="4">
        <f>30*24</f>
        <v>720</v>
      </c>
      <c r="L195" s="4">
        <v>744</v>
      </c>
      <c r="M195" s="4">
        <v>744</v>
      </c>
      <c r="N195" s="4">
        <f>29*24</f>
        <v>696</v>
      </c>
      <c r="O195" s="4">
        <v>744</v>
      </c>
      <c r="P195" s="9">
        <f>SUM(D195:O195)</f>
        <v>4080</v>
      </c>
    </row>
    <row r="196" spans="1:16" ht="15.6" x14ac:dyDescent="0.3">
      <c r="A196" s="85" t="s">
        <v>202</v>
      </c>
      <c r="B196" s="86"/>
      <c r="C196" s="16" t="s">
        <v>55</v>
      </c>
      <c r="D196" s="4">
        <v>24</v>
      </c>
      <c r="E196" s="4">
        <v>24</v>
      </c>
      <c r="F196" s="4">
        <v>24</v>
      </c>
      <c r="G196" s="4">
        <v>24</v>
      </c>
      <c r="H196" s="4">
        <v>24</v>
      </c>
      <c r="I196" s="4">
        <v>24</v>
      </c>
      <c r="J196" s="4">
        <v>24</v>
      </c>
      <c r="K196" s="4">
        <v>24</v>
      </c>
      <c r="L196" s="4">
        <v>24</v>
      </c>
      <c r="M196" s="4">
        <v>24</v>
      </c>
      <c r="N196" s="4">
        <v>24</v>
      </c>
      <c r="O196" s="4">
        <v>24</v>
      </c>
      <c r="P196" s="204">
        <f>SUM(D196:O196)/12</f>
        <v>24</v>
      </c>
    </row>
    <row r="197" spans="1:16" ht="15.6" x14ac:dyDescent="0.3">
      <c r="A197" s="661" t="s">
        <v>56</v>
      </c>
      <c r="B197" s="662"/>
      <c r="C197" s="16" t="s">
        <v>55</v>
      </c>
      <c r="D197" s="4">
        <v>29</v>
      </c>
      <c r="E197" s="4">
        <v>33</v>
      </c>
      <c r="F197" s="4">
        <v>16</v>
      </c>
      <c r="G197" s="4">
        <v>11</v>
      </c>
      <c r="H197" s="4">
        <v>109</v>
      </c>
      <c r="I197" s="4">
        <v>49</v>
      </c>
      <c r="J197" s="4">
        <v>39</v>
      </c>
      <c r="K197" s="4">
        <v>33</v>
      </c>
      <c r="L197" s="4">
        <v>47</v>
      </c>
      <c r="M197" s="4">
        <v>53</v>
      </c>
      <c r="N197" s="4">
        <v>2</v>
      </c>
      <c r="O197" s="4">
        <v>72</v>
      </c>
      <c r="P197" s="9">
        <f>SUM(D197:O197)</f>
        <v>493</v>
      </c>
    </row>
    <row r="198" spans="1:16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178">SUM(D199:O199)</f>
        <v>0</v>
      </c>
    </row>
    <row r="200" spans="1:16" ht="15.6" x14ac:dyDescent="0.3">
      <c r="A200" s="669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178"/>
        <v>0</v>
      </c>
    </row>
    <row r="201" spans="1:16" ht="15.6" x14ac:dyDescent="0.3">
      <c r="A201" s="669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178"/>
        <v>0</v>
      </c>
    </row>
    <row r="202" spans="1:16" ht="15.6" x14ac:dyDescent="0.3">
      <c r="A202" s="669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178"/>
        <v>0</v>
      </c>
    </row>
    <row r="203" spans="1:16" ht="15.6" x14ac:dyDescent="0.3">
      <c r="A203" s="667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178"/>
        <v>0</v>
      </c>
    </row>
    <row r="204" spans="1:16" ht="15.6" x14ac:dyDescent="0.3">
      <c r="A204" s="83" t="s">
        <v>48</v>
      </c>
      <c r="B204" s="79"/>
      <c r="C204" s="11" t="s">
        <v>47</v>
      </c>
      <c r="D204" s="15">
        <f t="shared" ref="D204:N204" si="179">SUM(D199:D203)</f>
        <v>0</v>
      </c>
      <c r="E204" s="15">
        <f t="shared" si="179"/>
        <v>0</v>
      </c>
      <c r="F204" s="15">
        <f t="shared" si="179"/>
        <v>0</v>
      </c>
      <c r="G204" s="15">
        <f t="shared" si="179"/>
        <v>0</v>
      </c>
      <c r="H204" s="15">
        <f t="shared" si="179"/>
        <v>0</v>
      </c>
      <c r="I204" s="15">
        <f t="shared" si="179"/>
        <v>0</v>
      </c>
      <c r="J204" s="15">
        <f t="shared" si="179"/>
        <v>0</v>
      </c>
      <c r="K204" s="15">
        <f t="shared" si="179"/>
        <v>0</v>
      </c>
      <c r="L204" s="15">
        <f t="shared" si="179"/>
        <v>0</v>
      </c>
      <c r="M204" s="15">
        <f t="shared" si="179"/>
        <v>0</v>
      </c>
      <c r="N204" s="15">
        <f t="shared" si="179"/>
        <v>0</v>
      </c>
      <c r="O204" s="15">
        <v>0</v>
      </c>
      <c r="P204" s="110">
        <f t="shared" si="178"/>
        <v>0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/>
      <c r="L206" s="13"/>
      <c r="M206" s="13"/>
      <c r="N206" s="13"/>
      <c r="O206" s="13"/>
      <c r="P206" s="9">
        <f>SUM(D206:O206)</f>
        <v>0</v>
      </c>
    </row>
    <row r="207" spans="1:16" ht="15.6" x14ac:dyDescent="0.3">
      <c r="A207" s="661" t="s">
        <v>42</v>
      </c>
      <c r="B207" s="662"/>
      <c r="C207" s="11" t="s">
        <v>31</v>
      </c>
      <c r="D207" s="13"/>
      <c r="E207" s="13">
        <v>0</v>
      </c>
      <c r="F207" s="13">
        <v>0</v>
      </c>
      <c r="G207" s="13">
        <v>0</v>
      </c>
      <c r="H207" s="555"/>
      <c r="I207" s="13"/>
      <c r="J207" s="13"/>
      <c r="K207" s="13"/>
      <c r="L207" s="13"/>
      <c r="M207" s="13"/>
      <c r="N207" s="13"/>
      <c r="O207" s="13"/>
      <c r="P207" s="9">
        <f>SUM(D207:O207)</f>
        <v>0</v>
      </c>
    </row>
    <row r="208" spans="1:16" ht="15.6" x14ac:dyDescent="0.3">
      <c r="A208" s="663" t="s">
        <v>41</v>
      </c>
      <c r="B208" s="664"/>
      <c r="C208" s="11" t="s">
        <v>31</v>
      </c>
      <c r="D208" s="13"/>
      <c r="E208" s="13">
        <v>0</v>
      </c>
      <c r="F208" s="13">
        <v>0</v>
      </c>
      <c r="G208" s="13">
        <v>0</v>
      </c>
      <c r="H208" s="555"/>
      <c r="I208" s="13"/>
      <c r="J208" s="13"/>
      <c r="K208" s="13"/>
      <c r="L208" s="13"/>
      <c r="M208" s="13"/>
      <c r="N208" s="13"/>
      <c r="O208" s="13"/>
      <c r="P208" s="9">
        <f>SUM(D208:O208)</f>
        <v>0</v>
      </c>
    </row>
    <row r="209" spans="1:16" ht="15.6" x14ac:dyDescent="0.3">
      <c r="A209" s="661" t="s">
        <v>40</v>
      </c>
      <c r="B209" s="662"/>
      <c r="C209" s="11" t="s">
        <v>31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/>
      <c r="L209" s="13"/>
      <c r="M209" s="13"/>
      <c r="N209" s="13"/>
      <c r="O209" s="13"/>
      <c r="P209" s="9">
        <f>SUM(D209:O209)</f>
        <v>0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180">SUM(D206:D209)</f>
        <v>0</v>
      </c>
      <c r="E210" s="10">
        <f t="shared" si="180"/>
        <v>0</v>
      </c>
      <c r="F210" s="10">
        <f t="shared" si="180"/>
        <v>0</v>
      </c>
      <c r="G210" s="10">
        <f t="shared" si="180"/>
        <v>0</v>
      </c>
      <c r="H210" s="10">
        <f t="shared" si="180"/>
        <v>0</v>
      </c>
      <c r="I210" s="10">
        <f t="shared" si="180"/>
        <v>0</v>
      </c>
      <c r="J210" s="10">
        <f t="shared" si="180"/>
        <v>0</v>
      </c>
      <c r="K210" s="10">
        <f t="shared" si="180"/>
        <v>0</v>
      </c>
      <c r="L210" s="10">
        <f t="shared" si="180"/>
        <v>0</v>
      </c>
      <c r="M210" s="10">
        <f t="shared" si="180"/>
        <v>0</v>
      </c>
      <c r="N210" s="10">
        <f t="shared" si="180"/>
        <v>0</v>
      </c>
      <c r="O210" s="10">
        <v>0</v>
      </c>
      <c r="P210" s="9">
        <f>SUM(D210:O210)</f>
        <v>0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13">
        <v>704340</v>
      </c>
      <c r="E212" s="13">
        <f>548325</f>
        <v>548325</v>
      </c>
      <c r="F212" s="13">
        <f>765450+75.54</f>
        <v>765525.54</v>
      </c>
      <c r="G212" s="13">
        <f>1104500+113.31</f>
        <v>1104613.31</v>
      </c>
      <c r="H212" s="13">
        <v>1001200</v>
      </c>
      <c r="I212" s="13">
        <v>1053940</v>
      </c>
      <c r="J212" s="13">
        <v>859400</v>
      </c>
      <c r="K212" s="13">
        <f>7826.62+1028700</f>
        <v>1036526.62</v>
      </c>
      <c r="L212" s="13">
        <v>876414.26</v>
      </c>
      <c r="M212" s="13">
        <v>963800</v>
      </c>
      <c r="N212" s="599">
        <f>113.31+942000</f>
        <v>942113.31</v>
      </c>
      <c r="O212" s="13">
        <v>786790</v>
      </c>
      <c r="P212" s="9">
        <f>SUM(D212:O212)</f>
        <v>10642988.040000001</v>
      </c>
    </row>
    <row r="213" spans="1:16" ht="15.6" x14ac:dyDescent="0.3">
      <c r="A213" s="661" t="s">
        <v>42</v>
      </c>
      <c r="B213" s="662"/>
      <c r="C213" s="11" t="s">
        <v>31</v>
      </c>
      <c r="D213" s="13"/>
      <c r="E213" s="13">
        <v>0</v>
      </c>
      <c r="F213" s="13">
        <v>0</v>
      </c>
      <c r="G213" s="13">
        <v>0</v>
      </c>
      <c r="H213" s="13">
        <v>0</v>
      </c>
      <c r="I213" s="13"/>
      <c r="J213" s="13">
        <v>0</v>
      </c>
      <c r="K213" s="13"/>
      <c r="L213" s="13"/>
      <c r="M213" s="13"/>
      <c r="N213" s="13">
        <v>0</v>
      </c>
      <c r="O213" s="13"/>
      <c r="P213" s="9">
        <f>SUM(D213:O213)</f>
        <v>0</v>
      </c>
    </row>
    <row r="214" spans="1:16" ht="15.6" x14ac:dyDescent="0.3">
      <c r="A214" s="663" t="s">
        <v>41</v>
      </c>
      <c r="B214" s="664"/>
      <c r="C214" s="11" t="s">
        <v>31</v>
      </c>
      <c r="D214" s="13"/>
      <c r="E214" s="13">
        <v>0</v>
      </c>
      <c r="F214" s="13">
        <v>0</v>
      </c>
      <c r="G214" s="13">
        <v>0</v>
      </c>
      <c r="H214" s="13">
        <v>0</v>
      </c>
      <c r="I214" s="13"/>
      <c r="J214" s="13">
        <v>0</v>
      </c>
      <c r="K214" s="13"/>
      <c r="L214" s="13"/>
      <c r="M214" s="13"/>
      <c r="N214" s="13">
        <v>0</v>
      </c>
      <c r="O214" s="13"/>
      <c r="P214" s="9">
        <f>SUM(D214:O214)</f>
        <v>0</v>
      </c>
    </row>
    <row r="215" spans="1:16" ht="15.6" x14ac:dyDescent="0.3">
      <c r="A215" s="661" t="s">
        <v>40</v>
      </c>
      <c r="B215" s="662"/>
      <c r="C215" s="11" t="s">
        <v>31</v>
      </c>
      <c r="D215" s="13">
        <v>1842.06</v>
      </c>
      <c r="E215" s="13">
        <v>2000000</v>
      </c>
      <c r="F215" s="13">
        <v>5500000</v>
      </c>
      <c r="G215" s="13">
        <v>5100000</v>
      </c>
      <c r="H215" s="13">
        <v>4940000</v>
      </c>
      <c r="I215" s="13">
        <v>6040000</v>
      </c>
      <c r="J215" s="13">
        <v>7040000</v>
      </c>
      <c r="K215" s="13">
        <f>300000+3540000</f>
        <v>3840000</v>
      </c>
      <c r="L215" s="13">
        <v>7040000</v>
      </c>
      <c r="M215" s="13">
        <v>6000000</v>
      </c>
      <c r="N215" s="13">
        <v>12040000</v>
      </c>
      <c r="O215" s="13">
        <v>9000000</v>
      </c>
      <c r="P215" s="9">
        <f>SUM(D215:O215)</f>
        <v>68541842.060000002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181">SUM(D212:D215)</f>
        <v>706182.06</v>
      </c>
      <c r="E216" s="10">
        <f t="shared" si="181"/>
        <v>2548325</v>
      </c>
      <c r="F216" s="10">
        <f t="shared" si="181"/>
        <v>6265525.54</v>
      </c>
      <c r="G216" s="10">
        <f t="shared" si="181"/>
        <v>6204613.3100000005</v>
      </c>
      <c r="H216" s="10">
        <f t="shared" si="181"/>
        <v>5941200</v>
      </c>
      <c r="I216" s="10">
        <f t="shared" si="181"/>
        <v>7093940</v>
      </c>
      <c r="J216" s="10">
        <f t="shared" si="181"/>
        <v>7899400</v>
      </c>
      <c r="K216" s="10">
        <f t="shared" si="181"/>
        <v>4876526.62</v>
      </c>
      <c r="L216" s="10">
        <f t="shared" si="181"/>
        <v>7916414.2599999998</v>
      </c>
      <c r="M216" s="10">
        <f t="shared" si="181"/>
        <v>6963800</v>
      </c>
      <c r="N216" s="10">
        <f t="shared" si="181"/>
        <v>12982113.310000001</v>
      </c>
      <c r="O216" s="10">
        <v>9786790</v>
      </c>
      <c r="P216" s="9">
        <f>SUM(D216:O216)</f>
        <v>79184830.099999994</v>
      </c>
    </row>
    <row r="217" spans="1:16" s="2" customFormat="1" ht="15.6" x14ac:dyDescent="0.3">
      <c r="A217" s="76" t="s">
        <v>38</v>
      </c>
      <c r="B217" s="77"/>
      <c r="C217" s="11" t="s">
        <v>31</v>
      </c>
      <c r="D217" s="10">
        <f>D210+D216</f>
        <v>706182.06</v>
      </c>
      <c r="E217" s="10">
        <f t="shared" ref="E217:P217" si="182">E210+E216</f>
        <v>2548325</v>
      </c>
      <c r="F217" s="10">
        <f t="shared" si="182"/>
        <v>6265525.54</v>
      </c>
      <c r="G217" s="10">
        <f t="shared" si="182"/>
        <v>6204613.3100000005</v>
      </c>
      <c r="H217" s="10">
        <f t="shared" si="182"/>
        <v>5941200</v>
      </c>
      <c r="I217" s="10">
        <f t="shared" si="182"/>
        <v>7093940</v>
      </c>
      <c r="J217" s="10">
        <f t="shared" si="182"/>
        <v>7899400</v>
      </c>
      <c r="K217" s="10">
        <f t="shared" si="182"/>
        <v>4876526.62</v>
      </c>
      <c r="L217" s="10">
        <f t="shared" si="182"/>
        <v>7916414.2599999998</v>
      </c>
      <c r="M217" s="10">
        <f t="shared" si="182"/>
        <v>6963800</v>
      </c>
      <c r="N217" s="10">
        <f t="shared" si="182"/>
        <v>12982113.310000001</v>
      </c>
      <c r="O217" s="10">
        <v>9786790</v>
      </c>
      <c r="P217" s="40">
        <f t="shared" si="182"/>
        <v>79184830.099999994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/>
      <c r="E219" s="13">
        <v>0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9">
        <f>SUM(D219:O219)</f>
        <v>0</v>
      </c>
    </row>
    <row r="220" spans="1:16" ht="15.6" x14ac:dyDescent="0.3">
      <c r="A220" s="661" t="s">
        <v>34</v>
      </c>
      <c r="B220" s="662"/>
      <c r="C220" s="11" t="s">
        <v>31</v>
      </c>
      <c r="D220" s="13"/>
      <c r="E220" s="13">
        <v>0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9">
        <f>SUM(D220:O220)</f>
        <v>0</v>
      </c>
    </row>
    <row r="221" spans="1:16" ht="15.6" x14ac:dyDescent="0.3">
      <c r="A221" s="661" t="s">
        <v>33</v>
      </c>
      <c r="B221" s="662"/>
      <c r="C221" s="11" t="s">
        <v>31</v>
      </c>
      <c r="D221" s="13"/>
      <c r="E221" s="13">
        <v>0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9">
        <f>SUM(D221:O221)</f>
        <v>0</v>
      </c>
    </row>
    <row r="222" spans="1:16" ht="15.6" x14ac:dyDescent="0.3">
      <c r="A222" s="661" t="s">
        <v>32</v>
      </c>
      <c r="B222" s="662"/>
      <c r="C222" s="11" t="s">
        <v>31</v>
      </c>
      <c r="D222" s="13"/>
      <c r="E222" s="13">
        <v>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9">
        <f>SUM(D222:O222)</f>
        <v>0</v>
      </c>
    </row>
    <row r="223" spans="1:16" ht="15.6" x14ac:dyDescent="0.3">
      <c r="A223" s="647" t="s">
        <v>36</v>
      </c>
      <c r="B223" s="648"/>
      <c r="C223" s="11" t="s">
        <v>31</v>
      </c>
      <c r="D223" s="12">
        <f t="shared" ref="D223:N223" si="183">SUM(D219:D222)</f>
        <v>0</v>
      </c>
      <c r="E223" s="10">
        <f t="shared" si="183"/>
        <v>0</v>
      </c>
      <c r="F223" s="10">
        <f t="shared" si="183"/>
        <v>0</v>
      </c>
      <c r="G223" s="10">
        <f t="shared" si="183"/>
        <v>0</v>
      </c>
      <c r="H223" s="10">
        <f t="shared" si="183"/>
        <v>0</v>
      </c>
      <c r="I223" s="10">
        <f t="shared" si="183"/>
        <v>0</v>
      </c>
      <c r="J223" s="14">
        <f t="shared" si="183"/>
        <v>0</v>
      </c>
      <c r="K223" s="14">
        <f t="shared" si="183"/>
        <v>0</v>
      </c>
      <c r="L223" s="14">
        <f t="shared" si="183"/>
        <v>0</v>
      </c>
      <c r="M223" s="14">
        <f t="shared" si="183"/>
        <v>0</v>
      </c>
      <c r="N223" s="14">
        <f t="shared" si="183"/>
        <v>0</v>
      </c>
      <c r="O223" s="14">
        <v>0</v>
      </c>
      <c r="P223" s="9">
        <f>SUM(D223:O223)</f>
        <v>0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184">SUM(D225:O225)</f>
        <v>0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184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9">
        <f t="shared" si="184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184"/>
        <v>0</v>
      </c>
    </row>
    <row r="229" spans="1:16" ht="15.6" x14ac:dyDescent="0.3">
      <c r="A229" s="647" t="s">
        <v>212</v>
      </c>
      <c r="B229" s="648"/>
      <c r="C229" s="11" t="s">
        <v>31</v>
      </c>
      <c r="D229" s="13">
        <f>704340+1842.06</f>
        <v>706182.06</v>
      </c>
      <c r="E229" s="13">
        <v>2548325</v>
      </c>
      <c r="F229" s="13">
        <f>6265525.54</f>
        <v>6265525.54</v>
      </c>
      <c r="G229" s="13">
        <f>1104500+5100000+113.31</f>
        <v>6204613.3099999996</v>
      </c>
      <c r="H229" s="13">
        <f>1001200+4940000</f>
        <v>5941200</v>
      </c>
      <c r="I229" s="13">
        <v>7093940</v>
      </c>
      <c r="J229" s="584">
        <f>859400+7040000</f>
        <v>7899400</v>
      </c>
      <c r="K229" s="584">
        <f>4876526.62</f>
        <v>4876526.62</v>
      </c>
      <c r="L229" s="14">
        <v>7916414.2599999998</v>
      </c>
      <c r="M229" s="14">
        <v>6963800</v>
      </c>
      <c r="N229" s="584">
        <v>12982113.310000001</v>
      </c>
      <c r="O229" s="14">
        <v>0</v>
      </c>
      <c r="P229" s="9">
        <f t="shared" si="184"/>
        <v>69398040.099999994</v>
      </c>
    </row>
    <row r="230" spans="1:16" ht="15.6" x14ac:dyDescent="0.3">
      <c r="A230" s="76" t="s">
        <v>213</v>
      </c>
      <c r="B230" s="119"/>
      <c r="C230" s="11" t="s">
        <v>31</v>
      </c>
      <c r="D230" s="12">
        <f>D223+D229</f>
        <v>706182.06</v>
      </c>
      <c r="E230" s="12">
        <f t="shared" ref="E230:N230" si="185">E223+E229</f>
        <v>2548325</v>
      </c>
      <c r="F230" s="12">
        <f t="shared" si="185"/>
        <v>6265525.54</v>
      </c>
      <c r="G230" s="12">
        <f t="shared" si="185"/>
        <v>6204613.3099999996</v>
      </c>
      <c r="H230" s="12">
        <f t="shared" si="185"/>
        <v>5941200</v>
      </c>
      <c r="I230" s="12">
        <f t="shared" si="185"/>
        <v>7093940</v>
      </c>
      <c r="J230" s="12">
        <f t="shared" si="185"/>
        <v>7899400</v>
      </c>
      <c r="K230" s="12">
        <f t="shared" si="185"/>
        <v>4876526.62</v>
      </c>
      <c r="L230" s="12">
        <f t="shared" si="185"/>
        <v>7916414.2599999998</v>
      </c>
      <c r="M230" s="12">
        <f t="shared" si="185"/>
        <v>6963800</v>
      </c>
      <c r="N230" s="12">
        <f t="shared" si="185"/>
        <v>12982113.310000001</v>
      </c>
      <c r="O230" s="12">
        <v>0</v>
      </c>
      <c r="P230" s="9">
        <f t="shared" si="184"/>
        <v>69398040.099999994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v>0</v>
      </c>
      <c r="E232" s="13">
        <v>0</v>
      </c>
      <c r="F232" s="13">
        <v>0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9">
        <f>SUM(D232:O232)</f>
        <v>0</v>
      </c>
    </row>
    <row r="233" spans="1:16" ht="15.6" x14ac:dyDescent="0.3">
      <c r="A233" s="661" t="s">
        <v>28</v>
      </c>
      <c r="B233" s="662"/>
      <c r="C233" s="11" t="s">
        <v>18</v>
      </c>
      <c r="D233" s="13">
        <v>0</v>
      </c>
      <c r="E233" s="13">
        <v>0</v>
      </c>
      <c r="F233" s="13">
        <v>0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9">
        <f>SUM(D233:O233)</f>
        <v>0</v>
      </c>
    </row>
    <row r="234" spans="1:16" ht="15.6" x14ac:dyDescent="0.3">
      <c r="A234" s="661" t="s">
        <v>27</v>
      </c>
      <c r="B234" s="662"/>
      <c r="C234" s="11" t="s">
        <v>18</v>
      </c>
      <c r="D234" s="13">
        <v>0</v>
      </c>
      <c r="E234" s="13">
        <v>0</v>
      </c>
      <c r="F234" s="13">
        <v>0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9">
        <f>SUM(D234:O234)</f>
        <v>0</v>
      </c>
    </row>
    <row r="235" spans="1:16" ht="15.6" x14ac:dyDescent="0.3">
      <c r="A235" s="661" t="s">
        <v>26</v>
      </c>
      <c r="B235" s="662"/>
      <c r="C235" s="11" t="s">
        <v>18</v>
      </c>
      <c r="D235" s="13">
        <v>0</v>
      </c>
      <c r="E235" s="13">
        <v>0</v>
      </c>
      <c r="F235" s="13">
        <v>0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9">
        <f>SUM(D235:O235)</f>
        <v>0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N236" si="186">SUM(D232:D235)</f>
        <v>0</v>
      </c>
      <c r="E236" s="12">
        <f t="shared" si="186"/>
        <v>0</v>
      </c>
      <c r="F236" s="12">
        <f t="shared" si="186"/>
        <v>0</v>
      </c>
      <c r="G236" s="12">
        <f t="shared" si="186"/>
        <v>0</v>
      </c>
      <c r="H236" s="12">
        <f t="shared" si="186"/>
        <v>0</v>
      </c>
      <c r="I236" s="12">
        <f t="shared" si="186"/>
        <v>0</v>
      </c>
      <c r="J236" s="12">
        <f t="shared" si="186"/>
        <v>0</v>
      </c>
      <c r="K236" s="12">
        <f t="shared" si="186"/>
        <v>0</v>
      </c>
      <c r="L236" s="12">
        <f t="shared" si="186"/>
        <v>0</v>
      </c>
      <c r="M236" s="12">
        <f t="shared" si="186"/>
        <v>0</v>
      </c>
      <c r="N236" s="12">
        <f t="shared" si="186"/>
        <v>0</v>
      </c>
      <c r="O236" s="12">
        <v>0</v>
      </c>
      <c r="P236" s="40">
        <f t="shared" ref="P236" si="187">SUM(P232:P235)</f>
        <v>0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v>0</v>
      </c>
      <c r="E238" s="13">
        <v>0</v>
      </c>
      <c r="F238" s="13">
        <v>0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9">
        <f>SUM(D238:O238)</f>
        <v>0</v>
      </c>
    </row>
    <row r="239" spans="1:16" ht="15.6" x14ac:dyDescent="0.3">
      <c r="A239" s="661" t="s">
        <v>22</v>
      </c>
      <c r="B239" s="662"/>
      <c r="C239" s="11" t="s">
        <v>18</v>
      </c>
      <c r="D239" s="15">
        <v>0</v>
      </c>
      <c r="E239" s="15">
        <v>0</v>
      </c>
      <c r="F239" s="15">
        <v>0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9">
        <f>SUM(D239:O239)</f>
        <v>0</v>
      </c>
    </row>
    <row r="240" spans="1:16" ht="15.6" x14ac:dyDescent="0.3">
      <c r="A240" s="661" t="s">
        <v>21</v>
      </c>
      <c r="B240" s="662"/>
      <c r="C240" s="11" t="s">
        <v>18</v>
      </c>
      <c r="D240" s="15">
        <v>0</v>
      </c>
      <c r="E240" s="15">
        <v>0</v>
      </c>
      <c r="F240" s="15">
        <v>0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9">
        <f>SUM(D240:O240)</f>
        <v>0</v>
      </c>
    </row>
    <row r="241" spans="1:16" ht="15.6" x14ac:dyDescent="0.3">
      <c r="A241" s="661" t="s">
        <v>20</v>
      </c>
      <c r="B241" s="662"/>
      <c r="C241" s="11" t="s">
        <v>18</v>
      </c>
      <c r="D241" s="15">
        <v>0</v>
      </c>
      <c r="E241" s="15">
        <v>0</v>
      </c>
      <c r="F241" s="15">
        <v>0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9">
        <f>SUM(D241:O241)</f>
        <v>0</v>
      </c>
    </row>
    <row r="242" spans="1:16" ht="15.6" x14ac:dyDescent="0.3">
      <c r="A242" s="647" t="s">
        <v>19</v>
      </c>
      <c r="B242" s="648"/>
      <c r="C242" s="11" t="s">
        <v>18</v>
      </c>
      <c r="D242" s="12">
        <f t="shared" ref="D242:F242" si="188">SUM(D238:D241)</f>
        <v>0</v>
      </c>
      <c r="E242" s="12">
        <f t="shared" si="188"/>
        <v>0</v>
      </c>
      <c r="F242" s="12">
        <f t="shared" si="188"/>
        <v>0</v>
      </c>
      <c r="G242" s="12">
        <f t="shared" ref="G242:P242" si="189">SUM(G238:G241)</f>
        <v>0</v>
      </c>
      <c r="H242" s="12">
        <f t="shared" si="189"/>
        <v>0</v>
      </c>
      <c r="I242" s="12">
        <f t="shared" si="189"/>
        <v>0</v>
      </c>
      <c r="J242" s="12">
        <f t="shared" si="189"/>
        <v>0</v>
      </c>
      <c r="K242" s="12">
        <f t="shared" si="189"/>
        <v>0</v>
      </c>
      <c r="L242" s="12">
        <f t="shared" si="189"/>
        <v>0</v>
      </c>
      <c r="M242" s="12">
        <f t="shared" si="189"/>
        <v>0</v>
      </c>
      <c r="N242" s="12">
        <f t="shared" si="189"/>
        <v>0</v>
      </c>
      <c r="O242" s="12">
        <v>0</v>
      </c>
      <c r="P242" s="40">
        <f t="shared" si="189"/>
        <v>0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706182.06</v>
      </c>
      <c r="E243" s="10">
        <f t="shared" ref="E243:N243" si="190">E230+E236+E242</f>
        <v>2548325</v>
      </c>
      <c r="F243" s="10">
        <f t="shared" si="190"/>
        <v>6265525.54</v>
      </c>
      <c r="G243" s="10">
        <f t="shared" si="190"/>
        <v>6204613.3099999996</v>
      </c>
      <c r="H243" s="10">
        <f t="shared" si="190"/>
        <v>5941200</v>
      </c>
      <c r="I243" s="10">
        <v>7093940</v>
      </c>
      <c r="J243" s="10">
        <f t="shared" si="190"/>
        <v>7899400</v>
      </c>
      <c r="K243" s="10">
        <f t="shared" si="190"/>
        <v>4876526.62</v>
      </c>
      <c r="L243" s="10">
        <f t="shared" si="190"/>
        <v>7916414.2599999998</v>
      </c>
      <c r="M243" s="10">
        <f t="shared" si="190"/>
        <v>6963800</v>
      </c>
      <c r="N243" s="10">
        <f t="shared" si="190"/>
        <v>12982113.310000001</v>
      </c>
      <c r="O243" s="10">
        <v>0</v>
      </c>
      <c r="P243" s="40">
        <f t="shared" ref="P243" si="191">P216+P223+P236+P242</f>
        <v>79184830.099999994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68">
        <v>0</v>
      </c>
      <c r="E245" s="156">
        <v>0</v>
      </c>
      <c r="F245" s="156">
        <v>0</v>
      </c>
      <c r="G245" s="154"/>
      <c r="H245" s="154"/>
      <c r="I245" s="154"/>
      <c r="J245" s="154"/>
      <c r="K245" s="154"/>
      <c r="L245" s="154"/>
      <c r="M245" s="154"/>
      <c r="N245" s="154"/>
      <c r="O245" s="154"/>
      <c r="P245" s="165">
        <f>O245</f>
        <v>0</v>
      </c>
    </row>
    <row r="246" spans="1:16" ht="15.6" x14ac:dyDescent="0.3">
      <c r="A246" s="657" t="s">
        <v>206</v>
      </c>
      <c r="B246" s="658"/>
      <c r="C246" s="11" t="s">
        <v>18</v>
      </c>
      <c r="D246" s="568">
        <v>0</v>
      </c>
      <c r="E246" s="156">
        <v>0</v>
      </c>
      <c r="F246" s="156">
        <v>0</v>
      </c>
      <c r="G246" s="154"/>
      <c r="H246" s="154"/>
      <c r="I246" s="154"/>
      <c r="J246" s="154"/>
      <c r="K246" s="154"/>
      <c r="L246" s="154"/>
      <c r="M246" s="154"/>
      <c r="N246" s="154"/>
      <c r="O246" s="154"/>
      <c r="P246" s="165">
        <f>O246</f>
        <v>0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0</v>
      </c>
      <c r="E247" s="142">
        <f>E245+E246</f>
        <v>0</v>
      </c>
      <c r="F247" s="142">
        <f t="shared" ref="F247:P247" si="192">F245+F246</f>
        <v>0</v>
      </c>
      <c r="G247" s="142">
        <f t="shared" si="192"/>
        <v>0</v>
      </c>
      <c r="H247" s="142">
        <f t="shared" si="192"/>
        <v>0</v>
      </c>
      <c r="I247" s="142">
        <f t="shared" si="192"/>
        <v>0</v>
      </c>
      <c r="J247" s="142">
        <f t="shared" si="192"/>
        <v>0</v>
      </c>
      <c r="K247" s="142">
        <f t="shared" si="192"/>
        <v>0</v>
      </c>
      <c r="L247" s="142">
        <f t="shared" si="192"/>
        <v>0</v>
      </c>
      <c r="M247" s="142">
        <f t="shared" si="192"/>
        <v>0</v>
      </c>
      <c r="N247" s="156">
        <f t="shared" si="192"/>
        <v>0</v>
      </c>
      <c r="O247" s="156">
        <v>0</v>
      </c>
      <c r="P247" s="165">
        <f t="shared" si="192"/>
        <v>0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8">
        <f>D58/D243</f>
        <v>0.49935091879847526</v>
      </c>
      <c r="E249" s="8">
        <f t="shared" ref="E249:F249" si="193">E58/E243</f>
        <v>0.15675926539982146</v>
      </c>
      <c r="F249" s="8">
        <f t="shared" si="193"/>
        <v>7.9940137950503032E-2</v>
      </c>
      <c r="G249" s="8">
        <f t="shared" ref="G249:P249" si="194">G58/G243%</f>
        <v>7.0691303081384129</v>
      </c>
      <c r="H249" s="8">
        <f t="shared" si="194"/>
        <v>6.370859927287416</v>
      </c>
      <c r="I249" s="8">
        <f t="shared" si="194"/>
        <v>5.4224533897946703</v>
      </c>
      <c r="J249" s="8">
        <f t="shared" si="194"/>
        <v>3.8294749601235543</v>
      </c>
      <c r="K249" s="8">
        <f t="shared" si="194"/>
        <v>14.577581450790891</v>
      </c>
      <c r="L249" s="8">
        <f t="shared" si="194"/>
        <v>9.1612432874375624</v>
      </c>
      <c r="M249" s="8">
        <f t="shared" si="194"/>
        <v>4.5423311984835859</v>
      </c>
      <c r="N249" s="8">
        <f t="shared" si="194"/>
        <v>1.7106439044014168</v>
      </c>
      <c r="O249" s="8" t="e">
        <v>#DIV/0!</v>
      </c>
      <c r="P249" s="111">
        <f t="shared" si="194"/>
        <v>6.372302229641333</v>
      </c>
    </row>
    <row r="250" spans="1:16" ht="15.6" x14ac:dyDescent="0.3">
      <c r="A250" s="643" t="s">
        <v>208</v>
      </c>
      <c r="B250" s="644"/>
      <c r="C250" s="5" t="s">
        <v>6</v>
      </c>
      <c r="D250" s="29" t="e">
        <f>D210/(D223+D245)</f>
        <v>#DIV/0!</v>
      </c>
      <c r="E250" s="29" t="e">
        <f t="shared" ref="E250:F250" si="195">E210/(E223+E245)</f>
        <v>#DIV/0!</v>
      </c>
      <c r="F250" s="29" t="e">
        <f t="shared" si="195"/>
        <v>#DIV/0!</v>
      </c>
      <c r="G250" s="29" t="e">
        <f>G210/(G223+G245)%</f>
        <v>#DIV/0!</v>
      </c>
      <c r="H250" s="573" t="e">
        <f t="shared" ref="H250" si="196">H222/(H242+H244)</f>
        <v>#DIV/0!</v>
      </c>
      <c r="I250" s="573">
        <f t="shared" ref="I250" si="197">I223/I243</f>
        <v>0</v>
      </c>
      <c r="J250" s="29" t="e">
        <f t="shared" ref="J250:P250" si="198">J210/(J223+J245)%</f>
        <v>#DIV/0!</v>
      </c>
      <c r="K250" s="29" t="e">
        <f t="shared" si="198"/>
        <v>#DIV/0!</v>
      </c>
      <c r="L250" s="29" t="e">
        <f t="shared" si="198"/>
        <v>#DIV/0!</v>
      </c>
      <c r="M250" s="29" t="e">
        <f t="shared" si="198"/>
        <v>#DIV/0!</v>
      </c>
      <c r="N250" s="29" t="e">
        <f t="shared" si="198"/>
        <v>#DIV/0!</v>
      </c>
      <c r="O250" s="29" t="e">
        <v>#DIV/0!</v>
      </c>
      <c r="P250" s="108" t="e">
        <f t="shared" si="198"/>
        <v>#DIV/0!</v>
      </c>
    </row>
    <row r="251" spans="1:16" ht="16.2" thickBot="1" x14ac:dyDescent="0.35">
      <c r="A251" s="652" t="s">
        <v>15</v>
      </c>
      <c r="B251" s="653"/>
      <c r="C251" s="5" t="s">
        <v>6</v>
      </c>
      <c r="D251" s="29" t="e">
        <f>D210/D223</f>
        <v>#DIV/0!</v>
      </c>
      <c r="E251" s="29" t="e">
        <f t="shared" ref="E251:F251" si="199">E210/E223</f>
        <v>#DIV/0!</v>
      </c>
      <c r="F251" s="29" t="e">
        <f t="shared" si="199"/>
        <v>#DIV/0!</v>
      </c>
      <c r="G251" s="7" t="e">
        <f t="shared" ref="G251:P251" si="200">G210/G223%</f>
        <v>#DIV/0!</v>
      </c>
      <c r="H251" s="7" t="e">
        <f t="shared" si="200"/>
        <v>#DIV/0!</v>
      </c>
      <c r="I251" s="7" t="e">
        <f t="shared" si="200"/>
        <v>#DIV/0!</v>
      </c>
      <c r="J251" s="7" t="e">
        <f t="shared" si="200"/>
        <v>#DIV/0!</v>
      </c>
      <c r="K251" s="7" t="e">
        <f t="shared" si="200"/>
        <v>#DIV/0!</v>
      </c>
      <c r="L251" s="7" t="e">
        <f t="shared" si="200"/>
        <v>#DIV/0!</v>
      </c>
      <c r="M251" s="7" t="e">
        <f t="shared" si="200"/>
        <v>#DIV/0!</v>
      </c>
      <c r="N251" s="7" t="e">
        <f t="shared" si="200"/>
        <v>#DIV/0!</v>
      </c>
      <c r="O251" s="7" t="e">
        <v>#DIV/0!</v>
      </c>
      <c r="P251" s="112" t="e">
        <f t="shared" si="200"/>
        <v>#DIV/0!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" customHeight="1" x14ac:dyDescent="0.3">
      <c r="A253" s="643" t="s">
        <v>13</v>
      </c>
      <c r="B253" s="644"/>
      <c r="C253" s="5" t="s">
        <v>3</v>
      </c>
      <c r="D253" s="4">
        <v>0</v>
      </c>
      <c r="E253" s="4"/>
      <c r="F253" s="4"/>
      <c r="G253" s="155"/>
      <c r="H253" s="155"/>
      <c r="I253" s="155"/>
      <c r="J253" s="155"/>
      <c r="K253" s="155"/>
      <c r="L253" s="132"/>
      <c r="M253" s="155"/>
      <c r="N253" s="155"/>
      <c r="O253" s="4"/>
      <c r="P253" s="113">
        <f>SUM(D253:O253)</f>
        <v>0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0</v>
      </c>
      <c r="E254" s="4"/>
      <c r="F254" s="4"/>
      <c r="G254" s="155"/>
      <c r="H254" s="155"/>
      <c r="I254" s="155"/>
      <c r="J254" s="155"/>
      <c r="K254" s="155"/>
      <c r="L254" s="132"/>
      <c r="M254" s="155"/>
      <c r="N254" s="155"/>
      <c r="O254" s="4"/>
      <c r="P254" s="113">
        <f>SUM(D254:O254)</f>
        <v>0</v>
      </c>
    </row>
    <row r="255" spans="1:16" ht="15.75" customHeight="1" x14ac:dyDescent="0.3">
      <c r="A255" s="643" t="s">
        <v>11</v>
      </c>
      <c r="B255" s="644"/>
      <c r="C255" s="5" t="s">
        <v>3</v>
      </c>
      <c r="D255" s="4">
        <v>0</v>
      </c>
      <c r="E255" s="4"/>
      <c r="F255" s="4"/>
      <c r="G255" s="155">
        <f t="shared" ref="G255:I255" si="201">G95</f>
        <v>0</v>
      </c>
      <c r="H255" s="155">
        <f t="shared" si="201"/>
        <v>0</v>
      </c>
      <c r="I255" s="155">
        <f t="shared" si="201"/>
        <v>0</v>
      </c>
      <c r="J255" s="155">
        <f t="shared" ref="J255:K255" si="202">J95</f>
        <v>0</v>
      </c>
      <c r="K255" s="155">
        <f t="shared" si="202"/>
        <v>0</v>
      </c>
      <c r="L255" s="132">
        <f t="shared" ref="L255:M255" si="203">L95</f>
        <v>0</v>
      </c>
      <c r="M255" s="155">
        <f t="shared" si="203"/>
        <v>0</v>
      </c>
      <c r="N255" s="155">
        <f t="shared" ref="N255" si="204">N95</f>
        <v>0</v>
      </c>
      <c r="O255" s="155">
        <v>0</v>
      </c>
      <c r="P255" s="113">
        <f>SUM(D255:O255)</f>
        <v>0</v>
      </c>
    </row>
    <row r="256" spans="1:16" ht="15.6" x14ac:dyDescent="0.3">
      <c r="A256" s="643" t="s">
        <v>10</v>
      </c>
      <c r="B256" s="644"/>
      <c r="C256" s="5" t="s">
        <v>3</v>
      </c>
      <c r="D256" s="4">
        <v>0</v>
      </c>
      <c r="E256" s="4"/>
      <c r="F256" s="4"/>
      <c r="G256" s="155">
        <f t="shared" ref="G256:I256" si="205">G91</f>
        <v>0</v>
      </c>
      <c r="H256" s="155">
        <f t="shared" si="205"/>
        <v>0</v>
      </c>
      <c r="I256" s="155">
        <f t="shared" si="205"/>
        <v>0</v>
      </c>
      <c r="J256" s="155">
        <f t="shared" ref="J256:K256" si="206">J91</f>
        <v>0</v>
      </c>
      <c r="K256" s="155">
        <f t="shared" si="206"/>
        <v>0</v>
      </c>
      <c r="L256" s="132">
        <f t="shared" ref="L256:M256" si="207">L91</f>
        <v>0</v>
      </c>
      <c r="M256" s="155">
        <f t="shared" si="207"/>
        <v>0</v>
      </c>
      <c r="N256" s="155">
        <f t="shared" ref="N256" si="208">N91</f>
        <v>0</v>
      </c>
      <c r="O256" s="155">
        <v>0</v>
      </c>
      <c r="P256" s="113">
        <f>SUM(D256:O256)</f>
        <v>0</v>
      </c>
    </row>
    <row r="257" spans="1:16" ht="15.6" customHeight="1" x14ac:dyDescent="0.3">
      <c r="A257" s="643" t="s">
        <v>9</v>
      </c>
      <c r="B257" s="644"/>
      <c r="C257" s="5" t="s">
        <v>3</v>
      </c>
      <c r="D257" s="4">
        <v>0</v>
      </c>
      <c r="E257" s="4"/>
      <c r="F257" s="4"/>
      <c r="G257" s="155"/>
      <c r="H257" s="155"/>
      <c r="I257" s="155"/>
      <c r="J257" s="155"/>
      <c r="K257" s="4"/>
      <c r="L257" s="132"/>
      <c r="M257" s="155"/>
      <c r="N257" s="155"/>
      <c r="O257" s="4"/>
      <c r="P257" s="113">
        <f>SUM(D257:O257)</f>
        <v>0</v>
      </c>
    </row>
    <row r="258" spans="1:16" ht="15.6" x14ac:dyDescent="0.3">
      <c r="A258" s="647" t="s">
        <v>8</v>
      </c>
      <c r="B258" s="648"/>
      <c r="C258" s="5" t="s">
        <v>3</v>
      </c>
      <c r="D258" s="161" t="e">
        <f t="shared" ref="D258:P258" si="209">D257/D256</f>
        <v>#DIV/0!</v>
      </c>
      <c r="E258" s="161" t="e">
        <f t="shared" si="209"/>
        <v>#DIV/0!</v>
      </c>
      <c r="F258" s="161" t="e">
        <f t="shared" si="209"/>
        <v>#DIV/0!</v>
      </c>
      <c r="G258" s="161" t="e">
        <f t="shared" si="209"/>
        <v>#DIV/0!</v>
      </c>
      <c r="H258" s="161" t="e">
        <f t="shared" si="209"/>
        <v>#DIV/0!</v>
      </c>
      <c r="I258" s="161" t="e">
        <f t="shared" si="209"/>
        <v>#DIV/0!</v>
      </c>
      <c r="J258" s="161" t="e">
        <f t="shared" si="209"/>
        <v>#DIV/0!</v>
      </c>
      <c r="K258" s="3" t="e">
        <f t="shared" si="209"/>
        <v>#DIV/0!</v>
      </c>
      <c r="L258" s="3" t="e">
        <f t="shared" si="209"/>
        <v>#DIV/0!</v>
      </c>
      <c r="M258" s="3" t="e">
        <f t="shared" si="209"/>
        <v>#DIV/0!</v>
      </c>
      <c r="N258" s="3" t="e">
        <f t="shared" si="209"/>
        <v>#DIV/0!</v>
      </c>
      <c r="O258" s="3" t="e">
        <v>#DIV/0!</v>
      </c>
      <c r="P258" s="113" t="e">
        <f t="shared" si="209"/>
        <v>#DIV/0!</v>
      </c>
    </row>
    <row r="259" spans="1:16" ht="15.6" x14ac:dyDescent="0.3">
      <c r="A259" s="647" t="s">
        <v>7</v>
      </c>
      <c r="B259" s="648"/>
      <c r="C259" s="5" t="s">
        <v>6</v>
      </c>
      <c r="D259" s="161" t="e">
        <f t="shared" ref="D259:P259" si="210">D92/D255*100</f>
        <v>#DIV/0!</v>
      </c>
      <c r="E259" s="161" t="e">
        <f t="shared" si="210"/>
        <v>#DIV/0!</v>
      </c>
      <c r="F259" s="161" t="e">
        <f t="shared" si="210"/>
        <v>#DIV/0!</v>
      </c>
      <c r="G259" s="161" t="e">
        <f t="shared" si="210"/>
        <v>#DIV/0!</v>
      </c>
      <c r="H259" s="161" t="e">
        <f t="shared" si="210"/>
        <v>#DIV/0!</v>
      </c>
      <c r="I259" s="161" t="e">
        <f t="shared" si="210"/>
        <v>#DIV/0!</v>
      </c>
      <c r="J259" s="161" t="e">
        <f t="shared" si="210"/>
        <v>#DIV/0!</v>
      </c>
      <c r="K259" s="6" t="e">
        <f t="shared" si="210"/>
        <v>#DIV/0!</v>
      </c>
      <c r="L259" s="6" t="e">
        <f t="shared" si="210"/>
        <v>#DIV/0!</v>
      </c>
      <c r="M259" s="6" t="e">
        <f t="shared" si="210"/>
        <v>#DIV/0!</v>
      </c>
      <c r="N259" s="6" t="e">
        <f t="shared" si="210"/>
        <v>#DIV/0!</v>
      </c>
      <c r="O259" s="6" t="e">
        <v>#DIV/0!</v>
      </c>
      <c r="P259" s="114" t="e">
        <f t="shared" si="210"/>
        <v>#DIV/0!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" customHeight="1" x14ac:dyDescent="0.3">
      <c r="A261" s="643" t="s">
        <v>4</v>
      </c>
      <c r="B261" s="644"/>
      <c r="C261" s="5" t="s">
        <v>3</v>
      </c>
      <c r="D261" s="4">
        <v>0</v>
      </c>
      <c r="E261" s="4"/>
      <c r="F261" s="4"/>
      <c r="G261" s="4">
        <v>4</v>
      </c>
      <c r="H261" s="4">
        <v>6</v>
      </c>
      <c r="I261" s="4">
        <v>4</v>
      </c>
      <c r="J261" s="4"/>
      <c r="K261" s="4"/>
      <c r="L261" s="4">
        <v>2</v>
      </c>
      <c r="M261" s="4"/>
      <c r="N261" s="4">
        <v>7</v>
      </c>
      <c r="O261" s="4">
        <v>5</v>
      </c>
      <c r="P261" s="40">
        <f>SUM(D261:O261)</f>
        <v>28</v>
      </c>
    </row>
    <row r="262" spans="1:16" s="2" customFormat="1" ht="15.75" customHeight="1" x14ac:dyDescent="0.3">
      <c r="A262" s="643" t="s">
        <v>2</v>
      </c>
      <c r="B262" s="644"/>
      <c r="C262" s="5" t="s">
        <v>0</v>
      </c>
      <c r="D262" s="4">
        <v>0</v>
      </c>
      <c r="E262" s="4"/>
      <c r="F262" s="4"/>
      <c r="G262" s="4">
        <v>1</v>
      </c>
      <c r="H262" s="4">
        <v>1</v>
      </c>
      <c r="I262" s="4">
        <v>1</v>
      </c>
      <c r="J262" s="4"/>
      <c r="K262" s="4"/>
      <c r="L262" s="4">
        <v>1</v>
      </c>
      <c r="M262" s="4"/>
      <c r="N262" s="4">
        <v>13</v>
      </c>
      <c r="O262" s="4">
        <v>1</v>
      </c>
      <c r="P262" s="40">
        <f>SUM(D262:O262)</f>
        <v>18</v>
      </c>
    </row>
    <row r="263" spans="1:16" ht="16.2" thickBot="1" x14ac:dyDescent="0.35">
      <c r="A263" s="645" t="s">
        <v>1</v>
      </c>
      <c r="B263" s="646"/>
      <c r="C263" s="115" t="s">
        <v>0</v>
      </c>
      <c r="D263" s="116" t="e">
        <f t="shared" ref="D263:H263" si="211">D261/D262</f>
        <v>#DIV/0!</v>
      </c>
      <c r="E263" s="116" t="e">
        <f t="shared" si="211"/>
        <v>#DIV/0!</v>
      </c>
      <c r="F263" s="116" t="e">
        <f t="shared" si="211"/>
        <v>#DIV/0!</v>
      </c>
      <c r="G263" s="116">
        <f t="shared" si="211"/>
        <v>4</v>
      </c>
      <c r="H263" s="559">
        <f t="shared" si="211"/>
        <v>6</v>
      </c>
      <c r="I263" s="559">
        <v>4</v>
      </c>
      <c r="J263" s="116" t="e">
        <f t="shared" ref="J263:K263" si="212">J261/J262</f>
        <v>#DIV/0!</v>
      </c>
      <c r="K263" s="116" t="e">
        <f t="shared" si="212"/>
        <v>#DIV/0!</v>
      </c>
      <c r="L263" s="116">
        <f t="shared" ref="L263:P263" si="213">L261/L262</f>
        <v>2</v>
      </c>
      <c r="M263" s="116" t="e">
        <f t="shared" si="213"/>
        <v>#DIV/0!</v>
      </c>
      <c r="N263" s="116">
        <f t="shared" si="213"/>
        <v>0.53846153846153844</v>
      </c>
      <c r="O263" s="116">
        <v>5</v>
      </c>
      <c r="P263" s="202">
        <f t="shared" si="213"/>
        <v>1.5555555555555556</v>
      </c>
    </row>
  </sheetData>
  <mergeCells count="158"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63"/>
  <sheetViews>
    <sheetView workbookViewId="0">
      <pane xSplit="3" topLeftCell="M1" activePane="topRight" state="frozen"/>
      <selection pane="topRight" activeCell="O1" sqref="O1: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</cols>
  <sheetData>
    <row r="1" spans="1:16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6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6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6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6" ht="17.399999999999999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6" ht="18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6" ht="16.2" thickBot="1" x14ac:dyDescent="0.35">
      <c r="A7" s="720" t="s">
        <v>174</v>
      </c>
      <c r="B7" s="72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722">
        <v>0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4"/>
    </row>
    <row r="9" spans="1:16" ht="15.6" x14ac:dyDescent="0.3">
      <c r="A9" s="725" t="s">
        <v>176</v>
      </c>
      <c r="B9" s="726"/>
      <c r="C9" s="58" t="s">
        <v>152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2440</v>
      </c>
      <c r="N9" s="57">
        <v>3384</v>
      </c>
      <c r="O9" s="57">
        <v>1824</v>
      </c>
      <c r="P9" s="56">
        <f>SUM(D9:O9)</f>
        <v>7648</v>
      </c>
    </row>
    <row r="10" spans="1:16" x14ac:dyDescent="0.3">
      <c r="A10" s="649" t="s">
        <v>228</v>
      </c>
      <c r="B10" s="65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0"/>
      <c r="P10" s="651"/>
    </row>
    <row r="11" spans="1:16" ht="15.6" x14ac:dyDescent="0.3">
      <c r="A11" s="663" t="s">
        <v>157</v>
      </c>
      <c r="B11" s="664"/>
      <c r="C11" s="11" t="s">
        <v>152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1493</v>
      </c>
      <c r="N11" s="26">
        <f>286+1122</f>
        <v>1408</v>
      </c>
      <c r="O11" s="26">
        <v>998</v>
      </c>
      <c r="P11" s="55">
        <f>SUM(D11:O11)</f>
        <v>3899</v>
      </c>
    </row>
    <row r="12" spans="1:16" ht="15.6" x14ac:dyDescent="0.3">
      <c r="A12" s="663" t="s">
        <v>156</v>
      </c>
      <c r="B12" s="664"/>
      <c r="C12" s="11" t="s">
        <v>152</v>
      </c>
      <c r="D12" s="26">
        <v>0</v>
      </c>
      <c r="E12" s="26">
        <v>0</v>
      </c>
      <c r="F12" s="26">
        <v>0</v>
      </c>
      <c r="G12" s="26" t="s">
        <v>228</v>
      </c>
      <c r="H12" s="26">
        <v>0</v>
      </c>
      <c r="I12" s="26"/>
      <c r="J12" s="26"/>
      <c r="K12" s="26"/>
      <c r="L12" s="26"/>
      <c r="M12" s="26"/>
      <c r="N12" s="26">
        <v>15</v>
      </c>
      <c r="O12" s="26">
        <v>4</v>
      </c>
      <c r="P12" s="55">
        <f>SUM(D12:O12)</f>
        <v>19</v>
      </c>
    </row>
    <row r="13" spans="1:16" s="63" customFormat="1" ht="15.6" x14ac:dyDescent="0.3">
      <c r="A13" s="663" t="s">
        <v>155</v>
      </c>
      <c r="B13" s="664"/>
      <c r="C13" s="11" t="s">
        <v>152</v>
      </c>
      <c r="D13" s="26">
        <v>0</v>
      </c>
      <c r="E13" s="26"/>
      <c r="F13" s="26">
        <v>0</v>
      </c>
      <c r="G13" s="26">
        <v>0</v>
      </c>
      <c r="H13" s="26">
        <v>0</v>
      </c>
      <c r="I13" s="26"/>
      <c r="J13" s="26"/>
      <c r="K13" s="26"/>
      <c r="L13" s="26"/>
      <c r="M13" s="26">
        <v>221</v>
      </c>
      <c r="N13" s="26">
        <v>1317</v>
      </c>
      <c r="O13" s="26">
        <v>164</v>
      </c>
      <c r="P13" s="55">
        <f>SUM(D13:O13)</f>
        <v>1702</v>
      </c>
    </row>
    <row r="14" spans="1:16" ht="15.6" x14ac:dyDescent="0.3">
      <c r="A14" s="661" t="s">
        <v>154</v>
      </c>
      <c r="B14" s="662"/>
      <c r="C14" s="11" t="s">
        <v>152</v>
      </c>
      <c r="D14" s="26">
        <v>0</v>
      </c>
      <c r="E14" s="26"/>
      <c r="F14" s="26">
        <v>0</v>
      </c>
      <c r="G14" s="26">
        <v>0</v>
      </c>
      <c r="H14" s="26">
        <v>0</v>
      </c>
      <c r="I14" s="26"/>
      <c r="J14" s="26"/>
      <c r="K14" s="26"/>
      <c r="L14" s="26"/>
      <c r="M14" s="26">
        <v>259</v>
      </c>
      <c r="N14" s="26">
        <v>173</v>
      </c>
      <c r="O14" s="26">
        <v>271</v>
      </c>
      <c r="P14" s="55">
        <f>SUM(D14:O14)</f>
        <v>703</v>
      </c>
    </row>
    <row r="15" spans="1:16" s="63" customFormat="1" ht="15.6" x14ac:dyDescent="0.3">
      <c r="A15" s="676" t="s">
        <v>158</v>
      </c>
      <c r="B15" s="677"/>
      <c r="C15" s="62" t="s">
        <v>152</v>
      </c>
      <c r="D15" s="34">
        <f t="shared" ref="D15:P15" si="0">SUM(D11:D14)</f>
        <v>0</v>
      </c>
      <c r="E15" s="34">
        <f t="shared" si="0"/>
        <v>0</v>
      </c>
      <c r="F15" s="34">
        <f t="shared" si="0"/>
        <v>0</v>
      </c>
      <c r="G15" s="34">
        <f t="shared" si="0"/>
        <v>0</v>
      </c>
      <c r="H15" s="34">
        <f t="shared" si="0"/>
        <v>0</v>
      </c>
      <c r="I15" s="34">
        <f t="shared" si="0"/>
        <v>0</v>
      </c>
      <c r="J15" s="34">
        <f t="shared" si="0"/>
        <v>0</v>
      </c>
      <c r="K15" s="34">
        <f t="shared" si="0"/>
        <v>0</v>
      </c>
      <c r="L15" s="34">
        <f t="shared" si="0"/>
        <v>0</v>
      </c>
      <c r="M15" s="34">
        <f t="shared" si="0"/>
        <v>1973</v>
      </c>
      <c r="N15" s="34">
        <f t="shared" si="0"/>
        <v>2913</v>
      </c>
      <c r="O15" s="34">
        <v>1437</v>
      </c>
      <c r="P15" s="55">
        <f t="shared" si="0"/>
        <v>6323</v>
      </c>
    </row>
    <row r="16" spans="1:16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1"/>
    </row>
    <row r="17" spans="1:17" s="2" customFormat="1" ht="15.6" x14ac:dyDescent="0.3">
      <c r="A17" s="663" t="s">
        <v>180</v>
      </c>
      <c r="B17" s="664"/>
      <c r="C17" s="11" t="s">
        <v>152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/>
      <c r="N17" s="26"/>
      <c r="O17" s="26"/>
      <c r="P17" s="55">
        <f>SUM(D17:O17)</f>
        <v>0</v>
      </c>
      <c r="Q17" s="172"/>
    </row>
    <row r="18" spans="1:17" s="2" customFormat="1" ht="15.6" x14ac:dyDescent="0.3">
      <c r="A18" s="663" t="s">
        <v>181</v>
      </c>
      <c r="B18" s="664"/>
      <c r="C18" s="11" t="s">
        <v>152</v>
      </c>
      <c r="D18" s="26"/>
      <c r="E18" s="26"/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/>
      <c r="N18" s="26"/>
      <c r="O18" s="26"/>
      <c r="P18" s="55">
        <f>SUM(D18:O18)</f>
        <v>0</v>
      </c>
      <c r="Q18" s="172"/>
    </row>
    <row r="19" spans="1:17" s="2" customFormat="1" ht="15.6" x14ac:dyDescent="0.3">
      <c r="A19" s="663" t="s">
        <v>182</v>
      </c>
      <c r="B19" s="664"/>
      <c r="C19" s="11" t="s">
        <v>152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/>
      <c r="N19" s="26"/>
      <c r="O19" s="26"/>
      <c r="P19" s="55">
        <f>SUM(D19:O19)</f>
        <v>0</v>
      </c>
      <c r="Q19" s="172"/>
    </row>
    <row r="20" spans="1:17" s="2" customFormat="1" ht="15.6" x14ac:dyDescent="0.3">
      <c r="A20" s="661" t="s">
        <v>183</v>
      </c>
      <c r="B20" s="662"/>
      <c r="C20" s="11" t="s">
        <v>152</v>
      </c>
      <c r="D20" s="26"/>
      <c r="E20" s="26"/>
      <c r="F20" s="26">
        <v>0</v>
      </c>
      <c r="G20" s="26"/>
      <c r="H20" s="26">
        <v>0</v>
      </c>
      <c r="I20" s="26"/>
      <c r="J20" s="26"/>
      <c r="K20" s="26">
        <v>0</v>
      </c>
      <c r="L20" s="26"/>
      <c r="M20" s="26"/>
      <c r="N20" s="26"/>
      <c r="O20" s="26"/>
      <c r="P20" s="55">
        <f>SUM(D20:O20)</f>
        <v>0</v>
      </c>
      <c r="Q20" s="172"/>
    </row>
    <row r="21" spans="1:17" s="73" customFormat="1" ht="15.6" x14ac:dyDescent="0.3">
      <c r="A21" s="676" t="s">
        <v>184</v>
      </c>
      <c r="B21" s="677"/>
      <c r="C21" s="62" t="s">
        <v>152</v>
      </c>
      <c r="D21" s="34">
        <f>SUM(D17:D20)</f>
        <v>0</v>
      </c>
      <c r="E21" s="34">
        <f t="shared" ref="E21:P21" si="1">SUM(E17:E20)</f>
        <v>0</v>
      </c>
      <c r="F21" s="34">
        <f t="shared" si="1"/>
        <v>0</v>
      </c>
      <c r="G21" s="34">
        <f t="shared" si="1"/>
        <v>0</v>
      </c>
      <c r="H21" s="34">
        <f t="shared" si="1"/>
        <v>0</v>
      </c>
      <c r="I21" s="34">
        <f t="shared" si="1"/>
        <v>0</v>
      </c>
      <c r="J21" s="34">
        <f t="shared" si="1"/>
        <v>0</v>
      </c>
      <c r="K21" s="34">
        <f t="shared" si="1"/>
        <v>0</v>
      </c>
      <c r="L21" s="34">
        <f t="shared" si="1"/>
        <v>0</v>
      </c>
      <c r="M21" s="34">
        <f t="shared" si="1"/>
        <v>0</v>
      </c>
      <c r="N21" s="34">
        <f t="shared" si="1"/>
        <v>0</v>
      </c>
      <c r="O21" s="34">
        <v>0</v>
      </c>
      <c r="P21" s="55">
        <f t="shared" si="1"/>
        <v>0</v>
      </c>
    </row>
    <row r="22" spans="1:17" s="2" customFormat="1" ht="15.6" x14ac:dyDescent="0.3">
      <c r="A22" s="591" t="s">
        <v>185</v>
      </c>
      <c r="B22" s="593"/>
      <c r="C22" s="11" t="s">
        <v>152</v>
      </c>
      <c r="D22" s="34">
        <f>D21+D15</f>
        <v>0</v>
      </c>
      <c r="E22" s="34">
        <f t="shared" ref="E22:P22" si="2">E21+E15</f>
        <v>0</v>
      </c>
      <c r="F22" s="34">
        <f t="shared" si="2"/>
        <v>0</v>
      </c>
      <c r="G22" s="34">
        <f t="shared" si="2"/>
        <v>0</v>
      </c>
      <c r="H22" s="34">
        <f t="shared" si="2"/>
        <v>0</v>
      </c>
      <c r="I22" s="34">
        <f t="shared" si="2"/>
        <v>0</v>
      </c>
      <c r="J22" s="34">
        <f t="shared" si="2"/>
        <v>0</v>
      </c>
      <c r="K22" s="34">
        <f t="shared" si="2"/>
        <v>0</v>
      </c>
      <c r="L22" s="34">
        <f t="shared" si="2"/>
        <v>0</v>
      </c>
      <c r="M22" s="34">
        <f t="shared" si="2"/>
        <v>1973</v>
      </c>
      <c r="N22" s="34">
        <f t="shared" si="2"/>
        <v>2913</v>
      </c>
      <c r="O22" s="34">
        <v>1437</v>
      </c>
      <c r="P22" s="55">
        <f t="shared" si="2"/>
        <v>6323</v>
      </c>
    </row>
    <row r="23" spans="1:17" x14ac:dyDescent="0.3">
      <c r="A23" s="712"/>
      <c r="B23" s="713"/>
      <c r="C23" s="713"/>
      <c r="D23" s="713"/>
      <c r="E23" s="713"/>
      <c r="F23" s="713"/>
      <c r="G23" s="713"/>
      <c r="H23" s="713"/>
      <c r="I23" s="713"/>
      <c r="J23" s="713"/>
      <c r="K23" s="713"/>
      <c r="L23" s="713"/>
      <c r="M23" s="713"/>
      <c r="N23" s="713"/>
      <c r="O23" s="713"/>
      <c r="P23" s="714"/>
    </row>
    <row r="24" spans="1:17" ht="15.6" x14ac:dyDescent="0.3">
      <c r="A24" s="715" t="s">
        <v>179</v>
      </c>
      <c r="B24" s="37" t="s">
        <v>153</v>
      </c>
      <c r="C24" s="5" t="s">
        <v>152</v>
      </c>
      <c r="D24" s="54">
        <f>D9-D22</f>
        <v>0</v>
      </c>
      <c r="E24" s="54">
        <f t="shared" ref="E24:P24" si="3">E9-E22</f>
        <v>0</v>
      </c>
      <c r="F24" s="54">
        <f t="shared" si="3"/>
        <v>0</v>
      </c>
      <c r="G24" s="54">
        <f t="shared" si="3"/>
        <v>0</v>
      </c>
      <c r="H24" s="54">
        <f t="shared" si="3"/>
        <v>0</v>
      </c>
      <c r="I24" s="54">
        <f t="shared" si="3"/>
        <v>0</v>
      </c>
      <c r="J24" s="54">
        <f t="shared" si="3"/>
        <v>0</v>
      </c>
      <c r="K24" s="54">
        <f t="shared" si="3"/>
        <v>0</v>
      </c>
      <c r="L24" s="54">
        <f t="shared" si="3"/>
        <v>0</v>
      </c>
      <c r="M24" s="54">
        <f t="shared" si="3"/>
        <v>467</v>
      </c>
      <c r="N24" s="54">
        <f t="shared" si="3"/>
        <v>471</v>
      </c>
      <c r="O24" s="54">
        <v>387</v>
      </c>
      <c r="P24" s="99">
        <f t="shared" si="3"/>
        <v>1325</v>
      </c>
    </row>
    <row r="25" spans="1:17" ht="15.6" x14ac:dyDescent="0.3">
      <c r="A25" s="716"/>
      <c r="B25" s="53" t="s">
        <v>151</v>
      </c>
      <c r="C25" s="52" t="s">
        <v>6</v>
      </c>
      <c r="D25" s="51" t="e">
        <f t="shared" ref="D25:P25" si="4">D24/D9</f>
        <v>#DIV/0!</v>
      </c>
      <c r="E25" s="51" t="e">
        <f t="shared" si="4"/>
        <v>#DIV/0!</v>
      </c>
      <c r="F25" s="51" t="e">
        <f t="shared" si="4"/>
        <v>#DIV/0!</v>
      </c>
      <c r="G25" s="51" t="e">
        <f t="shared" si="4"/>
        <v>#DIV/0!</v>
      </c>
      <c r="H25" s="51" t="e">
        <f t="shared" si="4"/>
        <v>#DIV/0!</v>
      </c>
      <c r="I25" s="51" t="e">
        <f t="shared" si="4"/>
        <v>#DIV/0!</v>
      </c>
      <c r="J25" s="51" t="e">
        <f t="shared" si="4"/>
        <v>#DIV/0!</v>
      </c>
      <c r="K25" s="51" t="e">
        <f t="shared" si="4"/>
        <v>#DIV/0!</v>
      </c>
      <c r="L25" s="51" t="e">
        <f t="shared" si="4"/>
        <v>#DIV/0!</v>
      </c>
      <c r="M25" s="51">
        <f t="shared" si="4"/>
        <v>0.19139344262295083</v>
      </c>
      <c r="N25" s="51">
        <f t="shared" si="4"/>
        <v>0.13918439716312056</v>
      </c>
      <c r="O25" s="51">
        <v>0.21217105263157895</v>
      </c>
      <c r="P25" s="100">
        <f t="shared" si="4"/>
        <v>0.17324790794979081</v>
      </c>
    </row>
    <row r="26" spans="1:17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1"/>
    </row>
    <row r="27" spans="1:17" x14ac:dyDescent="0.3">
      <c r="A27" s="717" t="s">
        <v>149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  <c r="N27" s="718"/>
      <c r="O27" s="718"/>
      <c r="P27" s="719"/>
    </row>
    <row r="28" spans="1:17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ht="15.6" x14ac:dyDescent="0.3">
      <c r="A29" s="710" t="s">
        <v>146</v>
      </c>
      <c r="B29" s="642">
        <v>5111.67</v>
      </c>
      <c r="C29" s="5" t="s">
        <v>140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>
        <v>1</v>
      </c>
      <c r="O29" s="43">
        <v>1</v>
      </c>
      <c r="P29" s="45">
        <f>SUM(D29:O29)</f>
        <v>2</v>
      </c>
    </row>
    <row r="30" spans="1:17" ht="15.6" x14ac:dyDescent="0.3">
      <c r="A30" s="711"/>
      <c r="B30" s="642"/>
      <c r="C30" s="42" t="s">
        <v>139</v>
      </c>
      <c r="D30" s="15" t="e">
        <f t="shared" ref="D30:P30" si="5">D29/(D9/1000)</f>
        <v>#DIV/0!</v>
      </c>
      <c r="E30" s="15" t="e">
        <f t="shared" si="5"/>
        <v>#DIV/0!</v>
      </c>
      <c r="F30" s="15" t="e">
        <f t="shared" si="5"/>
        <v>#DIV/0!</v>
      </c>
      <c r="G30" s="15" t="e">
        <f t="shared" si="5"/>
        <v>#DIV/0!</v>
      </c>
      <c r="H30" s="15" t="e">
        <f t="shared" si="5"/>
        <v>#DIV/0!</v>
      </c>
      <c r="I30" s="15" t="e">
        <f t="shared" si="5"/>
        <v>#DIV/0!</v>
      </c>
      <c r="J30" s="15" t="e">
        <f t="shared" si="5"/>
        <v>#DIV/0!</v>
      </c>
      <c r="K30" s="15" t="e">
        <f t="shared" si="5"/>
        <v>#DIV/0!</v>
      </c>
      <c r="L30" s="15">
        <v>0</v>
      </c>
      <c r="M30" s="15">
        <f t="shared" si="5"/>
        <v>0</v>
      </c>
      <c r="N30" s="15">
        <f t="shared" si="5"/>
        <v>0.29550827423167847</v>
      </c>
      <c r="O30" s="15">
        <v>0.54824561403508765</v>
      </c>
      <c r="P30" s="102">
        <f t="shared" si="5"/>
        <v>0.2615062761506276</v>
      </c>
    </row>
    <row r="31" spans="1:17" ht="15.6" x14ac:dyDescent="0.3">
      <c r="A31" s="673" t="s">
        <v>145</v>
      </c>
      <c r="B31" s="642">
        <v>1537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ht="15.6" x14ac:dyDescent="0.3">
      <c r="A32" s="675"/>
      <c r="B32" s="642"/>
      <c r="C32" s="42" t="s">
        <v>139</v>
      </c>
      <c r="D32" s="15" t="e">
        <f t="shared" ref="D32:P32" si="6">D31/(D9/1000)</f>
        <v>#DIV/0!</v>
      </c>
      <c r="E32" s="15" t="e">
        <f t="shared" si="6"/>
        <v>#DIV/0!</v>
      </c>
      <c r="F32" s="15" t="e">
        <f t="shared" si="6"/>
        <v>#DIV/0!</v>
      </c>
      <c r="G32" s="15" t="e">
        <f t="shared" si="6"/>
        <v>#DIV/0!</v>
      </c>
      <c r="H32" s="15" t="e">
        <f t="shared" si="6"/>
        <v>#DIV/0!</v>
      </c>
      <c r="I32" s="15" t="e">
        <f t="shared" si="6"/>
        <v>#DIV/0!</v>
      </c>
      <c r="J32" s="15" t="e">
        <f t="shared" si="6"/>
        <v>#DIV/0!</v>
      </c>
      <c r="K32" s="15" t="e">
        <f t="shared" si="6"/>
        <v>#DIV/0!</v>
      </c>
      <c r="L32" s="15" t="e">
        <f t="shared" si="6"/>
        <v>#DIV/0!</v>
      </c>
      <c r="M32" s="15">
        <f t="shared" si="6"/>
        <v>0</v>
      </c>
      <c r="N32" s="15">
        <f t="shared" si="6"/>
        <v>0</v>
      </c>
      <c r="O32" s="15">
        <v>0</v>
      </c>
      <c r="P32" s="102">
        <f t="shared" si="6"/>
        <v>0</v>
      </c>
    </row>
    <row r="33" spans="1:16" ht="15.6" x14ac:dyDescent="0.3">
      <c r="A33" s="673" t="s">
        <v>144</v>
      </c>
      <c r="B33" s="642">
        <v>1781.02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ht="15.6" x14ac:dyDescent="0.3">
      <c r="A34" s="675"/>
      <c r="B34" s="642"/>
      <c r="C34" s="42" t="s">
        <v>139</v>
      </c>
      <c r="D34" s="15" t="e">
        <f t="shared" ref="D34:P34" si="7">D33/(D9/1000)</f>
        <v>#DIV/0!</v>
      </c>
      <c r="E34" s="15" t="e">
        <f t="shared" si="7"/>
        <v>#DIV/0!</v>
      </c>
      <c r="F34" s="15" t="e">
        <f t="shared" si="7"/>
        <v>#DIV/0!</v>
      </c>
      <c r="G34" s="15" t="e">
        <f t="shared" si="7"/>
        <v>#DIV/0!</v>
      </c>
      <c r="H34" s="15" t="e">
        <f t="shared" si="7"/>
        <v>#DIV/0!</v>
      </c>
      <c r="I34" s="15" t="e">
        <f t="shared" si="7"/>
        <v>#DIV/0!</v>
      </c>
      <c r="J34" s="15" t="e">
        <f t="shared" si="7"/>
        <v>#DIV/0!</v>
      </c>
      <c r="K34" s="15" t="e">
        <f t="shared" si="7"/>
        <v>#DIV/0!</v>
      </c>
      <c r="L34" s="15" t="e">
        <f t="shared" si="7"/>
        <v>#DIV/0!</v>
      </c>
      <c r="M34" s="15">
        <f t="shared" si="7"/>
        <v>0</v>
      </c>
      <c r="N34" s="15">
        <f t="shared" si="7"/>
        <v>0</v>
      </c>
      <c r="O34" s="15">
        <v>0</v>
      </c>
      <c r="P34" s="102">
        <f t="shared" si="7"/>
        <v>0</v>
      </c>
    </row>
    <row r="35" spans="1:16" ht="15.6" x14ac:dyDescent="0.3">
      <c r="A35" s="673" t="s">
        <v>143</v>
      </c>
      <c r="B35" s="642">
        <v>5979.95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02"/>
    </row>
    <row r="36" spans="1:16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ht="15.6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ht="15.6" x14ac:dyDescent="0.3">
      <c r="A38" s="675"/>
      <c r="B38" s="642"/>
      <c r="C38" s="5" t="s">
        <v>142</v>
      </c>
      <c r="D38" s="15" t="e">
        <f t="shared" ref="D38:P38" si="8">D37/(D9/1000)</f>
        <v>#DIV/0!</v>
      </c>
      <c r="E38" s="15" t="e">
        <f t="shared" si="8"/>
        <v>#DIV/0!</v>
      </c>
      <c r="F38" s="15" t="e">
        <f t="shared" si="8"/>
        <v>#DIV/0!</v>
      </c>
      <c r="G38" s="15" t="e">
        <f t="shared" si="8"/>
        <v>#DIV/0!</v>
      </c>
      <c r="H38" s="15" t="e">
        <f t="shared" si="8"/>
        <v>#DIV/0!</v>
      </c>
      <c r="I38" s="15" t="e">
        <f t="shared" si="8"/>
        <v>#DIV/0!</v>
      </c>
      <c r="J38" s="15" t="e">
        <f t="shared" si="8"/>
        <v>#DIV/0!</v>
      </c>
      <c r="K38" s="15" t="e">
        <f t="shared" si="8"/>
        <v>#DIV/0!</v>
      </c>
      <c r="L38" s="15" t="e">
        <f t="shared" si="8"/>
        <v>#DIV/0!</v>
      </c>
      <c r="M38" s="15">
        <f t="shared" si="8"/>
        <v>0</v>
      </c>
      <c r="N38" s="15">
        <f t="shared" si="8"/>
        <v>0</v>
      </c>
      <c r="O38" s="15">
        <v>0</v>
      </c>
      <c r="P38" s="102">
        <f t="shared" si="8"/>
        <v>0</v>
      </c>
    </row>
    <row r="39" spans="1:16" ht="15.6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ht="15.6" x14ac:dyDescent="0.3">
      <c r="A40" s="675"/>
      <c r="B40" s="642"/>
      <c r="C40" s="42" t="s">
        <v>139</v>
      </c>
      <c r="D40" s="15" t="e">
        <f t="shared" ref="D40:P40" si="9">D39/(D9/1000)</f>
        <v>#DIV/0!</v>
      </c>
      <c r="E40" s="15" t="e">
        <f t="shared" si="9"/>
        <v>#DIV/0!</v>
      </c>
      <c r="F40" s="15" t="e">
        <f t="shared" si="9"/>
        <v>#DIV/0!</v>
      </c>
      <c r="G40" s="15" t="e">
        <f t="shared" si="9"/>
        <v>#DIV/0!</v>
      </c>
      <c r="H40" s="15" t="e">
        <f t="shared" si="9"/>
        <v>#DIV/0!</v>
      </c>
      <c r="I40" s="15" t="e">
        <f t="shared" si="9"/>
        <v>#DIV/0!</v>
      </c>
      <c r="J40" s="15" t="e">
        <f t="shared" si="9"/>
        <v>#DIV/0!</v>
      </c>
      <c r="K40" s="15" t="e">
        <f t="shared" si="9"/>
        <v>#DIV/0!</v>
      </c>
      <c r="L40" s="15" t="e">
        <f t="shared" si="9"/>
        <v>#DIV/0!</v>
      </c>
      <c r="M40" s="15">
        <f t="shared" si="9"/>
        <v>0</v>
      </c>
      <c r="N40" s="15">
        <f t="shared" si="9"/>
        <v>0</v>
      </c>
      <c r="O40" s="15">
        <v>0</v>
      </c>
      <c r="P40" s="102">
        <f t="shared" si="9"/>
        <v>0</v>
      </c>
    </row>
    <row r="41" spans="1:16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0</v>
      </c>
      <c r="E41" s="41">
        <f t="shared" ref="E41:N41" si="10">(E29*$B29)+(E31*$B31)+(E33*$B33)+(E35*$B35)+(E37*$B37)+(E39*$B39)</f>
        <v>0</v>
      </c>
      <c r="F41" s="41">
        <f t="shared" si="10"/>
        <v>0</v>
      </c>
      <c r="G41" s="41">
        <f t="shared" si="10"/>
        <v>0</v>
      </c>
      <c r="H41" s="41">
        <f t="shared" si="10"/>
        <v>0</v>
      </c>
      <c r="I41" s="41">
        <f t="shared" si="10"/>
        <v>0</v>
      </c>
      <c r="J41" s="41">
        <f t="shared" si="10"/>
        <v>0</v>
      </c>
      <c r="K41" s="41">
        <f t="shared" si="10"/>
        <v>0</v>
      </c>
      <c r="L41" s="41">
        <f t="shared" si="10"/>
        <v>0</v>
      </c>
      <c r="M41" s="41">
        <f t="shared" si="10"/>
        <v>0</v>
      </c>
      <c r="N41" s="41">
        <f t="shared" si="10"/>
        <v>5111.67</v>
      </c>
      <c r="O41" s="41">
        <v>5111.67</v>
      </c>
      <c r="P41" s="39">
        <f>SUM(D41:O41)</f>
        <v>10223.34</v>
      </c>
    </row>
    <row r="42" spans="1:16" ht="15.6" x14ac:dyDescent="0.3">
      <c r="A42" s="708" t="s">
        <v>137</v>
      </c>
      <c r="B42" s="709"/>
      <c r="C42" s="42" t="s">
        <v>115</v>
      </c>
      <c r="D42" s="15" t="e">
        <f t="shared" ref="D42:P42" si="11">D41/D9</f>
        <v>#DIV/0!</v>
      </c>
      <c r="E42" s="15" t="e">
        <f t="shared" si="11"/>
        <v>#DIV/0!</v>
      </c>
      <c r="F42" s="15" t="e">
        <f t="shared" si="11"/>
        <v>#DIV/0!</v>
      </c>
      <c r="G42" s="15" t="e">
        <f t="shared" si="11"/>
        <v>#DIV/0!</v>
      </c>
      <c r="H42" s="15" t="e">
        <f t="shared" si="11"/>
        <v>#DIV/0!</v>
      </c>
      <c r="I42" s="15" t="e">
        <f t="shared" si="11"/>
        <v>#DIV/0!</v>
      </c>
      <c r="J42" s="15" t="e">
        <f t="shared" si="11"/>
        <v>#DIV/0!</v>
      </c>
      <c r="K42" s="15" t="e">
        <f t="shared" si="11"/>
        <v>#DIV/0!</v>
      </c>
      <c r="L42" s="15" t="e">
        <f t="shared" si="11"/>
        <v>#DIV/0!</v>
      </c>
      <c r="M42" s="15">
        <f t="shared" si="11"/>
        <v>0</v>
      </c>
      <c r="N42" s="15">
        <f t="shared" si="11"/>
        <v>1.510540780141844</v>
      </c>
      <c r="O42" s="15">
        <v>2.8024506578947368</v>
      </c>
      <c r="P42" s="44">
        <f t="shared" si="11"/>
        <v>1.3367337866108786</v>
      </c>
    </row>
    <row r="43" spans="1:16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6"/>
      <c r="O43" s="706"/>
      <c r="P43" s="707"/>
    </row>
    <row r="44" spans="1:16" ht="15.6" x14ac:dyDescent="0.3">
      <c r="A44" s="661" t="s">
        <v>135</v>
      </c>
      <c r="B44" s="662"/>
      <c r="C44" s="11" t="s">
        <v>134</v>
      </c>
      <c r="D44" s="4">
        <v>0</v>
      </c>
      <c r="E44" s="4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334</v>
      </c>
      <c r="N44" s="43">
        <v>461</v>
      </c>
      <c r="O44" s="43">
        <v>3061</v>
      </c>
      <c r="P44" s="39">
        <f>SUM(D44:O44)</f>
        <v>3856</v>
      </c>
    </row>
    <row r="45" spans="1:16" ht="15.6" x14ac:dyDescent="0.3">
      <c r="A45" s="708" t="s">
        <v>133</v>
      </c>
      <c r="B45" s="709"/>
      <c r="C45" s="42" t="s">
        <v>132</v>
      </c>
      <c r="D45" s="15" t="e">
        <f t="shared" ref="D45:P45" si="12">D44/D9</f>
        <v>#DIV/0!</v>
      </c>
      <c r="E45" s="15" t="e">
        <f t="shared" si="12"/>
        <v>#DIV/0!</v>
      </c>
      <c r="F45" s="15" t="e">
        <f t="shared" si="12"/>
        <v>#DIV/0!</v>
      </c>
      <c r="G45" s="15" t="e">
        <f t="shared" si="12"/>
        <v>#DIV/0!</v>
      </c>
      <c r="H45" s="15" t="e">
        <f t="shared" si="12"/>
        <v>#DIV/0!</v>
      </c>
      <c r="I45" s="15" t="e">
        <f t="shared" si="12"/>
        <v>#DIV/0!</v>
      </c>
      <c r="J45" s="15" t="e">
        <f t="shared" si="12"/>
        <v>#DIV/0!</v>
      </c>
      <c r="K45" s="15" t="e">
        <f t="shared" si="12"/>
        <v>#DIV/0!</v>
      </c>
      <c r="L45" s="15" t="e">
        <f t="shared" si="12"/>
        <v>#DIV/0!</v>
      </c>
      <c r="M45" s="15">
        <f t="shared" si="12"/>
        <v>0.13688524590163934</v>
      </c>
      <c r="N45" s="15">
        <f t="shared" si="12"/>
        <v>0.13622931442080377</v>
      </c>
      <c r="O45" s="15">
        <v>1.6781798245614035</v>
      </c>
      <c r="P45" s="102">
        <f t="shared" si="12"/>
        <v>0.50418410041841</v>
      </c>
    </row>
    <row r="46" spans="1:16" ht="15.6" x14ac:dyDescent="0.3">
      <c r="A46" s="643" t="s">
        <v>131</v>
      </c>
      <c r="B46" s="644"/>
      <c r="C46" s="5" t="s">
        <v>31</v>
      </c>
      <c r="D46" s="3">
        <f>1.165*(14100+(D44*119.1))</f>
        <v>16426.5</v>
      </c>
      <c r="E46" s="3">
        <f t="shared" ref="E46:N46" si="13">1.165*(14100+(E44*119.1))</f>
        <v>16426.5</v>
      </c>
      <c r="F46" s="3">
        <f t="shared" si="13"/>
        <v>16426.5</v>
      </c>
      <c r="G46" s="3">
        <f t="shared" si="13"/>
        <v>16426.5</v>
      </c>
      <c r="H46" s="3">
        <f t="shared" si="13"/>
        <v>16426.5</v>
      </c>
      <c r="I46" s="3">
        <f t="shared" si="13"/>
        <v>16426.5</v>
      </c>
      <c r="J46" s="3">
        <f t="shared" si="13"/>
        <v>16426.5</v>
      </c>
      <c r="K46" s="3">
        <f t="shared" si="13"/>
        <v>16426.5</v>
      </c>
      <c r="L46" s="3">
        <f t="shared" si="13"/>
        <v>16426.5</v>
      </c>
      <c r="M46" s="3">
        <f t="shared" si="13"/>
        <v>62769.501000000004</v>
      </c>
      <c r="N46" s="3">
        <f t="shared" si="13"/>
        <v>80390.941500000015</v>
      </c>
      <c r="O46" s="3">
        <v>441144.84149999998</v>
      </c>
      <c r="P46" s="39">
        <f>SUM(D46:O46)</f>
        <v>732143.78399999999</v>
      </c>
    </row>
    <row r="47" spans="1:16" s="2" customFormat="1" ht="15.6" x14ac:dyDescent="0.3">
      <c r="A47" s="661" t="s">
        <v>130</v>
      </c>
      <c r="B47" s="662"/>
      <c r="C47" s="11" t="s">
        <v>115</v>
      </c>
      <c r="D47" s="15" t="e">
        <f t="shared" ref="D47:P47" si="14">D46/D9</f>
        <v>#DIV/0!</v>
      </c>
      <c r="E47" s="15" t="e">
        <f t="shared" si="14"/>
        <v>#DIV/0!</v>
      </c>
      <c r="F47" s="15" t="e">
        <f t="shared" si="14"/>
        <v>#DIV/0!</v>
      </c>
      <c r="G47" s="15" t="e">
        <f t="shared" si="14"/>
        <v>#DIV/0!</v>
      </c>
      <c r="H47" s="15" t="e">
        <f t="shared" si="14"/>
        <v>#DIV/0!</v>
      </c>
      <c r="I47" s="15" t="e">
        <f t="shared" si="14"/>
        <v>#DIV/0!</v>
      </c>
      <c r="J47" s="15" t="e">
        <f t="shared" si="14"/>
        <v>#DIV/0!</v>
      </c>
      <c r="K47" s="15" t="e">
        <f t="shared" si="14"/>
        <v>#DIV/0!</v>
      </c>
      <c r="L47" s="15" t="e">
        <f t="shared" si="14"/>
        <v>#DIV/0!</v>
      </c>
      <c r="M47" s="15">
        <f t="shared" si="14"/>
        <v>25.725205327868853</v>
      </c>
      <c r="N47" s="15">
        <f t="shared" si="14"/>
        <v>23.756188386524826</v>
      </c>
      <c r="O47" s="15">
        <v>241.85572450657892</v>
      </c>
      <c r="P47" s="102">
        <f t="shared" si="14"/>
        <v>95.730097280334732</v>
      </c>
    </row>
    <row r="48" spans="1:16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7"/>
    </row>
    <row r="49" spans="1:16" ht="15.6" x14ac:dyDescent="0.3">
      <c r="A49" s="661" t="s">
        <v>128</v>
      </c>
      <c r="B49" s="662"/>
      <c r="C49" s="5" t="s">
        <v>127</v>
      </c>
      <c r="D49" s="4"/>
      <c r="E49" s="4"/>
      <c r="F49" s="4"/>
      <c r="G49" s="4"/>
      <c r="H49" s="4"/>
      <c r="I49" s="4"/>
      <c r="J49" s="4"/>
      <c r="K49" s="4"/>
      <c r="L49" s="4"/>
      <c r="M49" s="4">
        <v>210</v>
      </c>
      <c r="N49" s="4"/>
      <c r="O49" s="4"/>
      <c r="P49" s="39">
        <f>SUM(D49:O49)</f>
        <v>210</v>
      </c>
    </row>
    <row r="50" spans="1:16" ht="15.6" x14ac:dyDescent="0.3">
      <c r="A50" s="661" t="s">
        <v>187</v>
      </c>
      <c r="B50" s="662"/>
      <c r="C50" s="5" t="s">
        <v>126</v>
      </c>
      <c r="D50" s="4"/>
      <c r="E50" s="4"/>
      <c r="F50" s="4"/>
      <c r="G50" s="4"/>
      <c r="H50" s="4"/>
      <c r="I50" s="4"/>
      <c r="J50" s="4"/>
      <c r="K50" s="4"/>
      <c r="L50" s="4"/>
      <c r="M50" s="4">
        <v>7</v>
      </c>
      <c r="N50" s="4"/>
      <c r="O50" s="4"/>
      <c r="P50" s="39">
        <f>SUM(D50:O50)</f>
        <v>7</v>
      </c>
    </row>
    <row r="51" spans="1:16" ht="15.6" x14ac:dyDescent="0.3">
      <c r="A51" s="643" t="s">
        <v>125</v>
      </c>
      <c r="B51" s="644"/>
      <c r="C51" s="5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>
        <v>17710</v>
      </c>
      <c r="N51" s="13"/>
      <c r="O51" s="13"/>
      <c r="P51" s="40">
        <f>SUM(D51:O51)</f>
        <v>17710</v>
      </c>
    </row>
    <row r="52" spans="1:16" ht="15.6" x14ac:dyDescent="0.3">
      <c r="A52" s="661" t="s">
        <v>124</v>
      </c>
      <c r="B52" s="66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1200</v>
      </c>
      <c r="N52" s="13">
        <v>0</v>
      </c>
      <c r="O52" s="13">
        <v>0</v>
      </c>
      <c r="P52" s="40">
        <f>SUM(D52:O52)</f>
        <v>1200</v>
      </c>
    </row>
    <row r="53" spans="1:16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7"/>
    </row>
    <row r="54" spans="1:16" ht="15.6" x14ac:dyDescent="0.3">
      <c r="A54" s="661" t="s">
        <v>122</v>
      </c>
      <c r="B54" s="662"/>
      <c r="C54" s="11" t="s">
        <v>18</v>
      </c>
      <c r="D54" s="13"/>
      <c r="E54" s="13"/>
      <c r="F54" s="13"/>
      <c r="G54" s="13"/>
      <c r="H54" s="13"/>
      <c r="I54" s="13"/>
      <c r="J54" s="13"/>
      <c r="K54" s="13"/>
      <c r="L54" s="13"/>
      <c r="M54" s="13">
        <v>246361.25</v>
      </c>
      <c r="N54" s="13">
        <f>40000*6</f>
        <v>240000</v>
      </c>
      <c r="O54" s="13">
        <v>536538.69999999995</v>
      </c>
      <c r="P54" s="39">
        <f>SUM(D54:O54)</f>
        <v>1022899.95</v>
      </c>
    </row>
    <row r="55" spans="1:16" ht="15.6" x14ac:dyDescent="0.3">
      <c r="A55" s="592" t="s">
        <v>121</v>
      </c>
      <c r="B55" s="593"/>
      <c r="C55" s="11" t="s">
        <v>18</v>
      </c>
      <c r="D55" s="13">
        <v>0</v>
      </c>
      <c r="E55" s="13">
        <v>0</v>
      </c>
      <c r="F55" s="13">
        <v>0</v>
      </c>
      <c r="G55" s="13">
        <f>AVERAGE(D55:F55)</f>
        <v>0</v>
      </c>
      <c r="H55" s="13">
        <v>0</v>
      </c>
      <c r="I55" s="13">
        <v>0</v>
      </c>
      <c r="J55" s="13">
        <f>AVERAGE(D55:I55)</f>
        <v>0</v>
      </c>
      <c r="K55" s="13">
        <v>0</v>
      </c>
      <c r="L55" s="13">
        <v>0</v>
      </c>
      <c r="M55" s="13">
        <v>32000</v>
      </c>
      <c r="N55" s="13">
        <v>32000</v>
      </c>
      <c r="O55" s="13">
        <v>32000</v>
      </c>
      <c r="P55" s="39">
        <f>SUM(D55:O55)</f>
        <v>96000</v>
      </c>
    </row>
    <row r="56" spans="1:16" ht="15.6" x14ac:dyDescent="0.3">
      <c r="A56" s="661" t="s">
        <v>120</v>
      </c>
      <c r="B56" s="662"/>
      <c r="C56" s="5" t="s">
        <v>18</v>
      </c>
      <c r="D56" s="13">
        <v>0</v>
      </c>
      <c r="E56" s="13">
        <v>0</v>
      </c>
      <c r="F56" s="13">
        <v>0</v>
      </c>
      <c r="G56" s="13">
        <f>AVERAGE(D56:F56)</f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/>
      <c r="N56" s="13"/>
      <c r="O56" s="13">
        <v>280000</v>
      </c>
      <c r="P56" s="39">
        <f>SUM(D56:O56)</f>
        <v>280000</v>
      </c>
    </row>
    <row r="57" spans="1:16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7"/>
    </row>
    <row r="58" spans="1:16" ht="15.6" x14ac:dyDescent="0.3">
      <c r="A58" s="643" t="s">
        <v>118</v>
      </c>
      <c r="B58" s="644"/>
      <c r="C58" s="5" t="s">
        <v>18</v>
      </c>
      <c r="D58" s="13">
        <f>D41+D46+D51+D52+D54+D55+D56</f>
        <v>16426.5</v>
      </c>
      <c r="E58" s="13">
        <f t="shared" ref="E58:N58" si="15">E41+E46+E51+E52+E54+E55+E56</f>
        <v>16426.5</v>
      </c>
      <c r="F58" s="13">
        <f t="shared" si="15"/>
        <v>16426.5</v>
      </c>
      <c r="G58" s="13">
        <f t="shared" si="15"/>
        <v>16426.5</v>
      </c>
      <c r="H58" s="13">
        <f t="shared" si="15"/>
        <v>16426.5</v>
      </c>
      <c r="I58" s="13">
        <f t="shared" si="15"/>
        <v>16426.5</v>
      </c>
      <c r="J58" s="13">
        <f t="shared" si="15"/>
        <v>16426.5</v>
      </c>
      <c r="K58" s="13">
        <f t="shared" si="15"/>
        <v>16426.5</v>
      </c>
      <c r="L58" s="13">
        <f t="shared" si="15"/>
        <v>16426.5</v>
      </c>
      <c r="M58" s="13">
        <f t="shared" si="15"/>
        <v>360040.75099999999</v>
      </c>
      <c r="N58" s="13">
        <f t="shared" si="15"/>
        <v>357502.6115</v>
      </c>
      <c r="O58" s="13">
        <v>1294795.2115</v>
      </c>
      <c r="P58" s="64">
        <f>SUM(D58:O58)</f>
        <v>2160177.074</v>
      </c>
    </row>
    <row r="59" spans="1:16" ht="15.6" x14ac:dyDescent="0.3">
      <c r="A59" s="643" t="s">
        <v>117</v>
      </c>
      <c r="B59" s="644"/>
      <c r="C59" s="5" t="s">
        <v>115</v>
      </c>
      <c r="D59" s="15" t="e">
        <f t="shared" ref="D59:P59" si="16">D58/D9</f>
        <v>#DIV/0!</v>
      </c>
      <c r="E59" s="15" t="e">
        <f t="shared" si="16"/>
        <v>#DIV/0!</v>
      </c>
      <c r="F59" s="15" t="e">
        <f t="shared" si="16"/>
        <v>#DIV/0!</v>
      </c>
      <c r="G59" s="15" t="e">
        <f t="shared" si="16"/>
        <v>#DIV/0!</v>
      </c>
      <c r="H59" s="15" t="e">
        <f t="shared" si="16"/>
        <v>#DIV/0!</v>
      </c>
      <c r="I59" s="15" t="e">
        <f t="shared" si="16"/>
        <v>#DIV/0!</v>
      </c>
      <c r="J59" s="15" t="e">
        <f t="shared" si="16"/>
        <v>#DIV/0!</v>
      </c>
      <c r="K59" s="15" t="e">
        <f t="shared" si="16"/>
        <v>#DIV/0!</v>
      </c>
      <c r="L59" s="15" t="e">
        <f t="shared" si="16"/>
        <v>#DIV/0!</v>
      </c>
      <c r="M59" s="15">
        <f t="shared" si="16"/>
        <v>147.55768483606556</v>
      </c>
      <c r="N59" s="15">
        <f t="shared" si="16"/>
        <v>105.64497975768322</v>
      </c>
      <c r="O59" s="15">
        <v>709.86579577850875</v>
      </c>
      <c r="P59" s="102">
        <f t="shared" si="16"/>
        <v>282.44993122384938</v>
      </c>
    </row>
    <row r="60" spans="1:16" ht="15.6" x14ac:dyDescent="0.3">
      <c r="A60" s="643" t="s">
        <v>116</v>
      </c>
      <c r="B60" s="644"/>
      <c r="C60" s="5" t="s">
        <v>115</v>
      </c>
      <c r="D60" s="15" t="e">
        <f>D58/D22</f>
        <v>#DIV/0!</v>
      </c>
      <c r="E60" s="15" t="e">
        <f t="shared" ref="E60:N60" si="17">E58/E22</f>
        <v>#DIV/0!</v>
      </c>
      <c r="F60" s="15" t="e">
        <f t="shared" si="17"/>
        <v>#DIV/0!</v>
      </c>
      <c r="G60" s="15" t="e">
        <f t="shared" si="17"/>
        <v>#DIV/0!</v>
      </c>
      <c r="H60" s="15" t="e">
        <f t="shared" si="17"/>
        <v>#DIV/0!</v>
      </c>
      <c r="I60" s="15" t="e">
        <f t="shared" si="17"/>
        <v>#DIV/0!</v>
      </c>
      <c r="J60" s="15" t="e">
        <f t="shared" si="17"/>
        <v>#DIV/0!</v>
      </c>
      <c r="K60" s="15" t="e">
        <f t="shared" si="17"/>
        <v>#DIV/0!</v>
      </c>
      <c r="L60" s="15" t="e">
        <f t="shared" si="17"/>
        <v>#DIV/0!</v>
      </c>
      <c r="M60" s="15">
        <f t="shared" si="17"/>
        <v>182.48390826153067</v>
      </c>
      <c r="N60" s="15">
        <f t="shared" si="17"/>
        <v>122.72660882251974</v>
      </c>
      <c r="O60" s="15">
        <v>901.04050904662495</v>
      </c>
      <c r="P60" s="103">
        <f>P58/P22</f>
        <v>341.63799999999998</v>
      </c>
    </row>
    <row r="61" spans="1:16" ht="15.6" x14ac:dyDescent="0.3">
      <c r="A61" s="661" t="s">
        <v>114</v>
      </c>
      <c r="B61" s="662"/>
      <c r="C61" s="5" t="s">
        <v>3</v>
      </c>
      <c r="D61" s="4">
        <v>0</v>
      </c>
      <c r="E61" s="4">
        <v>0</v>
      </c>
      <c r="F61" s="4">
        <v>0</v>
      </c>
      <c r="G61" s="4">
        <v>0</v>
      </c>
      <c r="H61" s="4"/>
      <c r="I61" s="4"/>
      <c r="J61" s="4"/>
      <c r="K61" s="4"/>
      <c r="L61" s="4"/>
      <c r="M61" s="4">
        <v>6</v>
      </c>
      <c r="N61" s="4">
        <v>6</v>
      </c>
      <c r="O61" s="4">
        <v>6</v>
      </c>
      <c r="P61" s="9">
        <f>O61</f>
        <v>6</v>
      </c>
    </row>
    <row r="62" spans="1:16" ht="15.6" x14ac:dyDescent="0.3">
      <c r="A62" s="643" t="s">
        <v>113</v>
      </c>
      <c r="B62" s="644"/>
      <c r="C62" s="5" t="s">
        <v>112</v>
      </c>
      <c r="D62" s="15" t="e">
        <f t="shared" ref="D62:P62" si="18">(D61*1000*31)/D9</f>
        <v>#DIV/0!</v>
      </c>
      <c r="E62" s="15" t="e">
        <f t="shared" si="18"/>
        <v>#DIV/0!</v>
      </c>
      <c r="F62" s="15" t="e">
        <f t="shared" si="18"/>
        <v>#DIV/0!</v>
      </c>
      <c r="G62" s="15" t="e">
        <f t="shared" si="18"/>
        <v>#DIV/0!</v>
      </c>
      <c r="H62" s="15" t="e">
        <f t="shared" si="18"/>
        <v>#DIV/0!</v>
      </c>
      <c r="I62" s="15" t="e">
        <f t="shared" si="18"/>
        <v>#DIV/0!</v>
      </c>
      <c r="J62" s="15" t="e">
        <f t="shared" si="18"/>
        <v>#DIV/0!</v>
      </c>
      <c r="K62" s="15" t="e">
        <f t="shared" si="18"/>
        <v>#DIV/0!</v>
      </c>
      <c r="L62" s="15" t="e">
        <f t="shared" si="18"/>
        <v>#DIV/0!</v>
      </c>
      <c r="M62" s="15">
        <f t="shared" si="18"/>
        <v>76.229508196721312</v>
      </c>
      <c r="N62" s="15">
        <f t="shared" si="18"/>
        <v>54.964539007092199</v>
      </c>
      <c r="O62" s="15">
        <v>101.97368421052632</v>
      </c>
      <c r="P62" s="102">
        <f t="shared" si="18"/>
        <v>24.320083682008367</v>
      </c>
    </row>
    <row r="63" spans="1:16" ht="15.6" x14ac:dyDescent="0.3">
      <c r="A63" s="700" t="s">
        <v>111</v>
      </c>
      <c r="B63" s="701"/>
      <c r="C63" s="38" t="s">
        <v>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2</v>
      </c>
      <c r="N63" s="4">
        <v>2</v>
      </c>
      <c r="O63" s="4">
        <v>2</v>
      </c>
      <c r="P63" s="9">
        <f>SUM(D63:O63)</f>
        <v>6</v>
      </c>
    </row>
    <row r="64" spans="1:16" x14ac:dyDescent="0.3">
      <c r="A64" s="702"/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4"/>
    </row>
    <row r="65" spans="1:16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707"/>
    </row>
    <row r="66" spans="1:16" ht="15.6" x14ac:dyDescent="0.3">
      <c r="A66" s="688" t="s">
        <v>109</v>
      </c>
      <c r="B66" s="37" t="s">
        <v>85</v>
      </c>
      <c r="C66" s="5" t="s">
        <v>3</v>
      </c>
      <c r="D66" s="4">
        <v>0</v>
      </c>
      <c r="E66" s="4">
        <v>0</v>
      </c>
      <c r="F66" s="4">
        <v>0</v>
      </c>
      <c r="G66" s="4">
        <v>0</v>
      </c>
      <c r="H66" s="4">
        <f>G71</f>
        <v>0</v>
      </c>
      <c r="I66" s="157"/>
      <c r="J66" s="157"/>
      <c r="K66" s="157"/>
      <c r="L66" s="157"/>
      <c r="M66" s="157">
        <v>1</v>
      </c>
      <c r="N66" s="4">
        <f t="shared" ref="N66" si="19">M71</f>
        <v>1</v>
      </c>
      <c r="O66" s="157">
        <v>1</v>
      </c>
      <c r="P66" s="35">
        <f>D66</f>
        <v>0</v>
      </c>
    </row>
    <row r="67" spans="1:16" ht="15.6" x14ac:dyDescent="0.3">
      <c r="A67" s="689"/>
      <c r="B67" s="24" t="s">
        <v>104</v>
      </c>
      <c r="C67" s="5" t="s">
        <v>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155"/>
      <c r="J67" s="155"/>
      <c r="K67" s="155"/>
      <c r="L67" s="155"/>
      <c r="M67" s="155"/>
      <c r="N67" s="4">
        <v>0</v>
      </c>
      <c r="O67" s="155"/>
      <c r="P67" s="35">
        <f>SUM(D67:O67)</f>
        <v>0</v>
      </c>
    </row>
    <row r="68" spans="1:16" ht="27" x14ac:dyDescent="0.3">
      <c r="A68" s="689"/>
      <c r="B68" s="24" t="s">
        <v>103</v>
      </c>
      <c r="C68" s="5" t="s">
        <v>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155"/>
      <c r="J68" s="155"/>
      <c r="K68" s="155"/>
      <c r="L68" s="155"/>
      <c r="M68" s="155"/>
      <c r="N68" s="4">
        <v>0</v>
      </c>
      <c r="O68" s="155"/>
      <c r="P68" s="35">
        <f t="shared" ref="P68:P69" si="20">SUM(D68:O68)</f>
        <v>0</v>
      </c>
    </row>
    <row r="69" spans="1:16" s="2" customFormat="1" ht="27" x14ac:dyDescent="0.3">
      <c r="A69" s="689"/>
      <c r="B69" s="24" t="s">
        <v>102</v>
      </c>
      <c r="C69" s="11" t="s">
        <v>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155"/>
      <c r="J69" s="155"/>
      <c r="K69" s="155"/>
      <c r="L69" s="155"/>
      <c r="M69" s="155"/>
      <c r="N69" s="4">
        <v>0</v>
      </c>
      <c r="O69" s="155"/>
      <c r="P69" s="74">
        <f t="shared" si="20"/>
        <v>0</v>
      </c>
    </row>
    <row r="70" spans="1:16" s="2" customFormat="1" ht="15.6" x14ac:dyDescent="0.3">
      <c r="A70" s="689"/>
      <c r="B70" s="24" t="s">
        <v>188</v>
      </c>
      <c r="C70" s="11" t="s">
        <v>3</v>
      </c>
      <c r="D70" s="4">
        <f>D68+D69</f>
        <v>0</v>
      </c>
      <c r="E70" s="4">
        <f t="shared" ref="E70:P70" si="21">E68+E69</f>
        <v>0</v>
      </c>
      <c r="F70" s="4">
        <f t="shared" si="21"/>
        <v>0</v>
      </c>
      <c r="G70" s="4">
        <f t="shared" si="21"/>
        <v>0</v>
      </c>
      <c r="H70" s="4">
        <f t="shared" si="21"/>
        <v>0</v>
      </c>
      <c r="I70" s="155">
        <f t="shared" si="21"/>
        <v>0</v>
      </c>
      <c r="J70" s="155">
        <f t="shared" si="21"/>
        <v>0</v>
      </c>
      <c r="K70" s="155">
        <f t="shared" si="21"/>
        <v>0</v>
      </c>
      <c r="L70" s="155">
        <f t="shared" si="21"/>
        <v>0</v>
      </c>
      <c r="M70" s="155">
        <f t="shared" si="21"/>
        <v>0</v>
      </c>
      <c r="N70" s="4">
        <f t="shared" si="21"/>
        <v>0</v>
      </c>
      <c r="O70" s="155">
        <v>0</v>
      </c>
      <c r="P70" s="170">
        <f t="shared" si="21"/>
        <v>0</v>
      </c>
    </row>
    <row r="71" spans="1:16" ht="15.6" x14ac:dyDescent="0.3">
      <c r="A71" s="690"/>
      <c r="B71" s="37" t="s">
        <v>81</v>
      </c>
      <c r="C71" s="5" t="s">
        <v>3</v>
      </c>
      <c r="D71" s="26">
        <f>D66+D67-D70</f>
        <v>0</v>
      </c>
      <c r="E71" s="26">
        <f t="shared" ref="E71:N71" si="22">E66+E67-E70</f>
        <v>0</v>
      </c>
      <c r="F71" s="26">
        <f t="shared" si="22"/>
        <v>0</v>
      </c>
      <c r="G71" s="26">
        <f t="shared" si="22"/>
        <v>0</v>
      </c>
      <c r="H71" s="26">
        <f t="shared" si="22"/>
        <v>0</v>
      </c>
      <c r="I71" s="158">
        <f t="shared" si="22"/>
        <v>0</v>
      </c>
      <c r="J71" s="158">
        <f t="shared" si="22"/>
        <v>0</v>
      </c>
      <c r="K71" s="158">
        <f t="shared" si="22"/>
        <v>0</v>
      </c>
      <c r="L71" s="158">
        <f t="shared" si="22"/>
        <v>0</v>
      </c>
      <c r="M71" s="158">
        <f t="shared" si="22"/>
        <v>1</v>
      </c>
      <c r="N71" s="158">
        <f t="shared" si="22"/>
        <v>1</v>
      </c>
      <c r="O71" s="158">
        <v>1</v>
      </c>
      <c r="P71" s="55">
        <f>P66+P67-P70</f>
        <v>0</v>
      </c>
    </row>
    <row r="72" spans="1:16" ht="15.6" x14ac:dyDescent="0.3">
      <c r="A72" s="688" t="s">
        <v>108</v>
      </c>
      <c r="B72" s="37" t="s">
        <v>85</v>
      </c>
      <c r="C72" s="5" t="s">
        <v>3</v>
      </c>
      <c r="D72" s="4">
        <v>0</v>
      </c>
      <c r="E72" s="4">
        <v>0</v>
      </c>
      <c r="F72" s="4">
        <v>0</v>
      </c>
      <c r="G72" s="4">
        <v>0</v>
      </c>
      <c r="H72" s="4">
        <f>G77</f>
        <v>0</v>
      </c>
      <c r="I72" s="157"/>
      <c r="J72" s="157"/>
      <c r="K72" s="157"/>
      <c r="L72" s="157"/>
      <c r="M72" s="157"/>
      <c r="N72" s="157"/>
      <c r="O72" s="157"/>
      <c r="P72" s="35">
        <f>D72</f>
        <v>0</v>
      </c>
    </row>
    <row r="73" spans="1:16" ht="15.6" x14ac:dyDescent="0.3">
      <c r="A73" s="689"/>
      <c r="B73" s="24" t="s">
        <v>104</v>
      </c>
      <c r="C73" s="5" t="s">
        <v>3</v>
      </c>
      <c r="D73" s="4">
        <v>0</v>
      </c>
      <c r="E73" s="4">
        <v>0</v>
      </c>
      <c r="F73" s="4">
        <v>0</v>
      </c>
      <c r="G73" s="4">
        <v>0</v>
      </c>
      <c r="H73" s="155"/>
      <c r="I73" s="155"/>
      <c r="J73" s="155"/>
      <c r="K73" s="155"/>
      <c r="L73" s="155"/>
      <c r="M73" s="155"/>
      <c r="N73" s="155"/>
      <c r="O73" s="155"/>
      <c r="P73" s="35">
        <f>SUM(D73:O73)</f>
        <v>0</v>
      </c>
    </row>
    <row r="74" spans="1:16" ht="27" x14ac:dyDescent="0.3">
      <c r="A74" s="689"/>
      <c r="B74" s="24" t="s">
        <v>103</v>
      </c>
      <c r="C74" s="5" t="s">
        <v>3</v>
      </c>
      <c r="D74" s="4">
        <v>0</v>
      </c>
      <c r="E74" s="4">
        <v>0</v>
      </c>
      <c r="F74" s="4">
        <v>0</v>
      </c>
      <c r="G74" s="4">
        <v>0</v>
      </c>
      <c r="H74" s="155"/>
      <c r="I74" s="155"/>
      <c r="J74" s="155"/>
      <c r="K74" s="155"/>
      <c r="L74" s="155"/>
      <c r="M74" s="155"/>
      <c r="N74" s="155"/>
      <c r="O74" s="155"/>
      <c r="P74" s="35">
        <f>SUM(D74:O74)</f>
        <v>0</v>
      </c>
    </row>
    <row r="75" spans="1:16" s="2" customFormat="1" ht="27" x14ac:dyDescent="0.3">
      <c r="A75" s="689"/>
      <c r="B75" s="24" t="s">
        <v>102</v>
      </c>
      <c r="C75" s="11" t="s">
        <v>3</v>
      </c>
      <c r="D75" s="4">
        <v>0</v>
      </c>
      <c r="E75" s="4">
        <v>0</v>
      </c>
      <c r="F75" s="4">
        <v>0</v>
      </c>
      <c r="G75" s="4">
        <v>0</v>
      </c>
      <c r="H75" s="155"/>
      <c r="I75" s="155"/>
      <c r="J75" s="155"/>
      <c r="K75" s="155"/>
      <c r="L75" s="155"/>
      <c r="M75" s="155"/>
      <c r="N75" s="155"/>
      <c r="O75" s="155"/>
      <c r="P75" s="35">
        <f>SUM(D75:O75)</f>
        <v>0</v>
      </c>
    </row>
    <row r="76" spans="1:16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P76" si="23">E74+E75</f>
        <v>0</v>
      </c>
      <c r="F76" s="4">
        <f t="shared" si="23"/>
        <v>0</v>
      </c>
      <c r="G76" s="4">
        <f t="shared" si="23"/>
        <v>0</v>
      </c>
      <c r="H76" s="155">
        <f t="shared" si="23"/>
        <v>0</v>
      </c>
      <c r="I76" s="155">
        <f t="shared" si="23"/>
        <v>0</v>
      </c>
      <c r="J76" s="155">
        <f t="shared" si="23"/>
        <v>0</v>
      </c>
      <c r="K76" s="155">
        <f t="shared" si="23"/>
        <v>0</v>
      </c>
      <c r="L76" s="155">
        <f t="shared" si="23"/>
        <v>0</v>
      </c>
      <c r="M76" s="155">
        <f t="shared" si="23"/>
        <v>0</v>
      </c>
      <c r="N76" s="155">
        <f t="shared" si="23"/>
        <v>0</v>
      </c>
      <c r="O76" s="155">
        <v>0</v>
      </c>
      <c r="P76" s="104">
        <f t="shared" si="23"/>
        <v>0</v>
      </c>
    </row>
    <row r="77" spans="1:16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P77" si="24">E73+E74-E76</f>
        <v>0</v>
      </c>
      <c r="F77" s="26">
        <f t="shared" si="24"/>
        <v>0</v>
      </c>
      <c r="G77" s="26">
        <f t="shared" si="24"/>
        <v>0</v>
      </c>
      <c r="H77" s="158">
        <f t="shared" si="24"/>
        <v>0</v>
      </c>
      <c r="I77" s="158">
        <f t="shared" si="24"/>
        <v>0</v>
      </c>
      <c r="J77" s="158">
        <f t="shared" si="24"/>
        <v>0</v>
      </c>
      <c r="K77" s="158">
        <f t="shared" si="24"/>
        <v>0</v>
      </c>
      <c r="L77" s="158">
        <f t="shared" si="24"/>
        <v>0</v>
      </c>
      <c r="M77" s="158">
        <f t="shared" si="24"/>
        <v>0</v>
      </c>
      <c r="N77" s="158">
        <f t="shared" si="24"/>
        <v>0</v>
      </c>
      <c r="O77" s="158">
        <v>0</v>
      </c>
      <c r="P77" s="105">
        <f t="shared" si="24"/>
        <v>0</v>
      </c>
    </row>
    <row r="78" spans="1:16" ht="15.6" x14ac:dyDescent="0.3">
      <c r="A78" s="688" t="s">
        <v>107</v>
      </c>
      <c r="B78" s="37" t="s">
        <v>85</v>
      </c>
      <c r="C78" s="5" t="s">
        <v>3</v>
      </c>
      <c r="D78" s="4">
        <v>0</v>
      </c>
      <c r="E78" s="4">
        <v>0</v>
      </c>
      <c r="F78" s="4">
        <v>0</v>
      </c>
      <c r="G78" s="4">
        <v>0</v>
      </c>
      <c r="H78" s="157"/>
      <c r="I78" s="157"/>
      <c r="J78" s="157"/>
      <c r="K78" s="157"/>
      <c r="L78" s="157"/>
      <c r="M78" s="157"/>
      <c r="N78" s="157"/>
      <c r="O78" s="157"/>
      <c r="P78" s="35">
        <f>D78</f>
        <v>0</v>
      </c>
    </row>
    <row r="79" spans="1:16" ht="15.6" x14ac:dyDescent="0.3">
      <c r="A79" s="689"/>
      <c r="B79" s="24" t="s">
        <v>104</v>
      </c>
      <c r="C79" s="5" t="s">
        <v>3</v>
      </c>
      <c r="D79" s="4">
        <v>0</v>
      </c>
      <c r="E79" s="4">
        <v>0</v>
      </c>
      <c r="F79" s="4">
        <v>0</v>
      </c>
      <c r="G79" s="4">
        <v>0</v>
      </c>
      <c r="H79" s="155"/>
      <c r="I79" s="155"/>
      <c r="J79" s="155"/>
      <c r="K79" s="155"/>
      <c r="L79" s="155"/>
      <c r="M79" s="155"/>
      <c r="N79" s="155"/>
      <c r="O79" s="155"/>
      <c r="P79" s="35">
        <f>SUM(D79:O79)</f>
        <v>0</v>
      </c>
    </row>
    <row r="80" spans="1:16" ht="27" x14ac:dyDescent="0.3">
      <c r="A80" s="689"/>
      <c r="B80" s="24" t="s">
        <v>103</v>
      </c>
      <c r="C80" s="5" t="s">
        <v>3</v>
      </c>
      <c r="D80" s="4">
        <v>0</v>
      </c>
      <c r="E80" s="4">
        <v>0</v>
      </c>
      <c r="F80" s="4">
        <v>0</v>
      </c>
      <c r="G80" s="4">
        <v>0</v>
      </c>
      <c r="H80" s="155"/>
      <c r="I80" s="155"/>
      <c r="J80" s="155"/>
      <c r="K80" s="155"/>
      <c r="L80" s="155"/>
      <c r="M80" s="155"/>
      <c r="N80" s="155"/>
      <c r="O80" s="155"/>
      <c r="P80" s="35">
        <f>SUM(D80:O80)</f>
        <v>0</v>
      </c>
    </row>
    <row r="81" spans="1:16" s="2" customFormat="1" ht="27" x14ac:dyDescent="0.3">
      <c r="A81" s="689"/>
      <c r="B81" s="24" t="s">
        <v>102</v>
      </c>
      <c r="C81" s="11" t="s">
        <v>3</v>
      </c>
      <c r="D81" s="4">
        <v>0</v>
      </c>
      <c r="E81" s="4">
        <v>0</v>
      </c>
      <c r="F81" s="4">
        <v>0</v>
      </c>
      <c r="G81" s="4">
        <v>0</v>
      </c>
      <c r="H81" s="155"/>
      <c r="I81" s="155"/>
      <c r="J81" s="155"/>
      <c r="K81" s="155"/>
      <c r="L81" s="155"/>
      <c r="M81" s="155"/>
      <c r="N81" s="155"/>
      <c r="O81" s="155"/>
      <c r="P81" s="74">
        <f>SUM(D81:O81)</f>
        <v>0</v>
      </c>
    </row>
    <row r="82" spans="1:16" s="2" customFormat="1" ht="15.6" x14ac:dyDescent="0.3">
      <c r="A82" s="689"/>
      <c r="B82" s="24" t="s">
        <v>188</v>
      </c>
      <c r="C82" s="11" t="s">
        <v>3</v>
      </c>
      <c r="D82" s="4">
        <f>D81+D80</f>
        <v>0</v>
      </c>
      <c r="E82" s="4">
        <f t="shared" ref="E82:P82" si="25">E81+E80</f>
        <v>0</v>
      </c>
      <c r="F82" s="4">
        <f t="shared" si="25"/>
        <v>0</v>
      </c>
      <c r="G82" s="4">
        <f t="shared" si="25"/>
        <v>0</v>
      </c>
      <c r="H82" s="155">
        <f t="shared" si="25"/>
        <v>0</v>
      </c>
      <c r="I82" s="155">
        <f t="shared" si="25"/>
        <v>0</v>
      </c>
      <c r="J82" s="155">
        <f t="shared" si="25"/>
        <v>0</v>
      </c>
      <c r="K82" s="155">
        <f t="shared" si="25"/>
        <v>0</v>
      </c>
      <c r="L82" s="155">
        <f t="shared" si="25"/>
        <v>0</v>
      </c>
      <c r="M82" s="155">
        <f t="shared" si="25"/>
        <v>0</v>
      </c>
      <c r="N82" s="155">
        <f t="shared" si="25"/>
        <v>0</v>
      </c>
      <c r="O82" s="155">
        <v>0</v>
      </c>
      <c r="P82" s="104">
        <f t="shared" si="25"/>
        <v>0</v>
      </c>
    </row>
    <row r="83" spans="1:16" ht="15.6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 t="shared" ref="E83:P83" si="26">E78+E79-E82</f>
        <v>0</v>
      </c>
      <c r="F83" s="26">
        <f t="shared" si="26"/>
        <v>0</v>
      </c>
      <c r="G83" s="26">
        <f t="shared" si="26"/>
        <v>0</v>
      </c>
      <c r="H83" s="158">
        <f t="shared" si="26"/>
        <v>0</v>
      </c>
      <c r="I83" s="158">
        <f t="shared" si="26"/>
        <v>0</v>
      </c>
      <c r="J83" s="158">
        <f t="shared" si="26"/>
        <v>0</v>
      </c>
      <c r="K83" s="158">
        <f t="shared" si="26"/>
        <v>0</v>
      </c>
      <c r="L83" s="158">
        <f t="shared" si="26"/>
        <v>0</v>
      </c>
      <c r="M83" s="158">
        <f t="shared" si="26"/>
        <v>0</v>
      </c>
      <c r="N83" s="158">
        <f t="shared" si="26"/>
        <v>0</v>
      </c>
      <c r="O83" s="158">
        <v>0</v>
      </c>
      <c r="P83" s="105">
        <f t="shared" si="26"/>
        <v>0</v>
      </c>
    </row>
    <row r="84" spans="1:16" ht="15.6" x14ac:dyDescent="0.3">
      <c r="A84" s="691" t="s">
        <v>106</v>
      </c>
      <c r="B84" s="37" t="s">
        <v>85</v>
      </c>
      <c r="C84" s="5" t="s">
        <v>3</v>
      </c>
      <c r="D84" s="4">
        <v>0</v>
      </c>
      <c r="E84" s="4">
        <f>D89</f>
        <v>0</v>
      </c>
      <c r="F84" s="4">
        <f t="shared" ref="F84:G84" si="27">E89</f>
        <v>0</v>
      </c>
      <c r="G84" s="4">
        <f t="shared" si="27"/>
        <v>0</v>
      </c>
      <c r="H84" s="157"/>
      <c r="I84" s="157"/>
      <c r="J84" s="157"/>
      <c r="K84" s="157"/>
      <c r="L84" s="157"/>
      <c r="M84" s="157"/>
      <c r="N84" s="157"/>
      <c r="O84" s="157"/>
      <c r="P84" s="35">
        <f>D84</f>
        <v>0</v>
      </c>
    </row>
    <row r="85" spans="1:16" ht="15.6" x14ac:dyDescent="0.3">
      <c r="A85" s="692"/>
      <c r="B85" s="37" t="s">
        <v>104</v>
      </c>
      <c r="C85" s="5" t="s">
        <v>3</v>
      </c>
      <c r="D85" s="4">
        <v>0</v>
      </c>
      <c r="E85" s="4">
        <v>0</v>
      </c>
      <c r="F85" s="4">
        <v>0</v>
      </c>
      <c r="G85" s="4">
        <v>0</v>
      </c>
      <c r="H85" s="155"/>
      <c r="I85" s="155"/>
      <c r="J85" s="155"/>
      <c r="K85" s="155"/>
      <c r="L85" s="155"/>
      <c r="M85" s="155"/>
      <c r="N85" s="155"/>
      <c r="O85" s="155"/>
      <c r="P85" s="35">
        <f>SUM(D85:O85)</f>
        <v>0</v>
      </c>
    </row>
    <row r="86" spans="1:16" ht="27" x14ac:dyDescent="0.3">
      <c r="A86" s="692"/>
      <c r="B86" s="37" t="s">
        <v>103</v>
      </c>
      <c r="C86" s="5" t="s">
        <v>3</v>
      </c>
      <c r="D86" s="4">
        <v>0</v>
      </c>
      <c r="E86" s="4">
        <v>0</v>
      </c>
      <c r="F86" s="4">
        <v>0</v>
      </c>
      <c r="G86" s="4">
        <v>0</v>
      </c>
      <c r="H86" s="155"/>
      <c r="I86" s="155"/>
      <c r="J86" s="155"/>
      <c r="K86" s="155"/>
      <c r="L86" s="155"/>
      <c r="M86" s="155"/>
      <c r="N86" s="155"/>
      <c r="O86" s="155"/>
      <c r="P86" s="35">
        <f>SUM(D86:O86)</f>
        <v>0</v>
      </c>
    </row>
    <row r="87" spans="1:16" s="2" customFormat="1" ht="27" x14ac:dyDescent="0.3">
      <c r="A87" s="692"/>
      <c r="B87" s="24" t="s">
        <v>102</v>
      </c>
      <c r="C87" s="11" t="s">
        <v>3</v>
      </c>
      <c r="D87" s="4">
        <v>0</v>
      </c>
      <c r="E87" s="4">
        <v>0</v>
      </c>
      <c r="F87" s="4">
        <v>0</v>
      </c>
      <c r="G87" s="4">
        <v>0</v>
      </c>
      <c r="H87" s="155"/>
      <c r="I87" s="155"/>
      <c r="J87" s="155"/>
      <c r="K87" s="155"/>
      <c r="L87" s="155"/>
      <c r="M87" s="155"/>
      <c r="N87" s="155"/>
      <c r="O87" s="155"/>
      <c r="P87" s="74">
        <f>SUM(D87:O87)</f>
        <v>0</v>
      </c>
    </row>
    <row r="88" spans="1:16" s="2" customFormat="1" ht="15.6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G88" si="28">E86+E87</f>
        <v>0</v>
      </c>
      <c r="F88" s="4">
        <f t="shared" si="28"/>
        <v>0</v>
      </c>
      <c r="G88" s="4">
        <f t="shared" si="28"/>
        <v>0</v>
      </c>
      <c r="H88" s="155">
        <f t="shared" ref="H88:N88" si="29">H87+H86</f>
        <v>0</v>
      </c>
      <c r="I88" s="155">
        <f t="shared" si="29"/>
        <v>0</v>
      </c>
      <c r="J88" s="155">
        <f t="shared" si="29"/>
        <v>0</v>
      </c>
      <c r="K88" s="155">
        <f t="shared" si="29"/>
        <v>0</v>
      </c>
      <c r="L88" s="155">
        <f t="shared" si="29"/>
        <v>0</v>
      </c>
      <c r="M88" s="155">
        <f t="shared" si="29"/>
        <v>0</v>
      </c>
      <c r="N88" s="155">
        <f t="shared" si="29"/>
        <v>0</v>
      </c>
      <c r="O88" s="155">
        <v>0</v>
      </c>
      <c r="P88" s="74">
        <f>SUM(D88:O88)</f>
        <v>0</v>
      </c>
    </row>
    <row r="89" spans="1:16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v>0</v>
      </c>
      <c r="F89" s="26">
        <v>0</v>
      </c>
      <c r="G89" s="26">
        <v>0</v>
      </c>
      <c r="H89" s="158">
        <f t="shared" ref="H89:N89" si="30">H84+H85-H88</f>
        <v>0</v>
      </c>
      <c r="I89" s="158">
        <f t="shared" si="30"/>
        <v>0</v>
      </c>
      <c r="J89" s="158">
        <f t="shared" si="30"/>
        <v>0</v>
      </c>
      <c r="K89" s="158">
        <f t="shared" si="30"/>
        <v>0</v>
      </c>
      <c r="L89" s="158">
        <f t="shared" si="30"/>
        <v>0</v>
      </c>
      <c r="M89" s="158">
        <f t="shared" si="30"/>
        <v>0</v>
      </c>
      <c r="N89" s="158">
        <f t="shared" si="30"/>
        <v>0</v>
      </c>
      <c r="O89" s="158">
        <v>0</v>
      </c>
      <c r="P89" s="105">
        <f t="shared" ref="P89" si="31">P84+P85-P86-P87</f>
        <v>0</v>
      </c>
    </row>
    <row r="90" spans="1:16" ht="15.6" x14ac:dyDescent="0.3">
      <c r="A90" s="694" t="s">
        <v>105</v>
      </c>
      <c r="B90" s="24" t="s">
        <v>85</v>
      </c>
      <c r="C90" s="11" t="s">
        <v>3</v>
      </c>
      <c r="D90" s="564">
        <f>D66+D72+D78+D84</f>
        <v>0</v>
      </c>
      <c r="E90" s="564">
        <f t="shared" ref="E90:N93" si="32">E66+E72+E78+E84</f>
        <v>0</v>
      </c>
      <c r="F90" s="564">
        <f t="shared" si="32"/>
        <v>0</v>
      </c>
      <c r="G90" s="135">
        <f t="shared" si="32"/>
        <v>0</v>
      </c>
      <c r="H90" s="135">
        <f t="shared" si="32"/>
        <v>0</v>
      </c>
      <c r="I90" s="135">
        <f t="shared" si="32"/>
        <v>0</v>
      </c>
      <c r="J90" s="135">
        <f t="shared" si="32"/>
        <v>0</v>
      </c>
      <c r="K90" s="135">
        <f t="shared" si="32"/>
        <v>0</v>
      </c>
      <c r="L90" s="135">
        <f t="shared" si="32"/>
        <v>0</v>
      </c>
      <c r="M90" s="135">
        <f t="shared" si="32"/>
        <v>1</v>
      </c>
      <c r="N90" s="135">
        <f t="shared" si="32"/>
        <v>1</v>
      </c>
      <c r="O90" s="135">
        <v>1</v>
      </c>
      <c r="P90" s="35">
        <f>D90</f>
        <v>0</v>
      </c>
    </row>
    <row r="91" spans="1:16" ht="15.6" x14ac:dyDescent="0.3">
      <c r="A91" s="695"/>
      <c r="B91" s="24" t="s">
        <v>104</v>
      </c>
      <c r="C91" s="11" t="s">
        <v>3</v>
      </c>
      <c r="D91" s="564">
        <f>D67+D73+D79+D85</f>
        <v>0</v>
      </c>
      <c r="E91" s="564">
        <f t="shared" si="32"/>
        <v>0</v>
      </c>
      <c r="F91" s="564">
        <f t="shared" si="32"/>
        <v>0</v>
      </c>
      <c r="G91" s="135">
        <f t="shared" si="32"/>
        <v>0</v>
      </c>
      <c r="H91" s="135">
        <f t="shared" si="32"/>
        <v>0</v>
      </c>
      <c r="I91" s="135">
        <f t="shared" si="32"/>
        <v>0</v>
      </c>
      <c r="J91" s="135">
        <f t="shared" si="32"/>
        <v>0</v>
      </c>
      <c r="K91" s="135">
        <f t="shared" si="32"/>
        <v>0</v>
      </c>
      <c r="L91" s="135">
        <f t="shared" si="32"/>
        <v>0</v>
      </c>
      <c r="M91" s="135">
        <f t="shared" si="32"/>
        <v>0</v>
      </c>
      <c r="N91" s="135">
        <f t="shared" si="32"/>
        <v>0</v>
      </c>
      <c r="O91" s="135">
        <v>0</v>
      </c>
      <c r="P91" s="35">
        <f>SUM(D91:O91)</f>
        <v>0</v>
      </c>
    </row>
    <row r="92" spans="1:16" ht="27" x14ac:dyDescent="0.3">
      <c r="A92" s="695"/>
      <c r="B92" s="24" t="s">
        <v>103</v>
      </c>
      <c r="C92" s="11" t="s">
        <v>3</v>
      </c>
      <c r="D92" s="564">
        <f>D68+D74+D80+D86</f>
        <v>0</v>
      </c>
      <c r="E92" s="564">
        <f t="shared" si="32"/>
        <v>0</v>
      </c>
      <c r="F92" s="564">
        <f t="shared" si="32"/>
        <v>0</v>
      </c>
      <c r="G92" s="135">
        <f t="shared" si="32"/>
        <v>0</v>
      </c>
      <c r="H92" s="135">
        <f t="shared" si="32"/>
        <v>0</v>
      </c>
      <c r="I92" s="135">
        <f t="shared" si="32"/>
        <v>0</v>
      </c>
      <c r="J92" s="135">
        <f t="shared" si="32"/>
        <v>0</v>
      </c>
      <c r="K92" s="135">
        <f t="shared" si="32"/>
        <v>0</v>
      </c>
      <c r="L92" s="135">
        <f t="shared" si="32"/>
        <v>0</v>
      </c>
      <c r="M92" s="135">
        <f t="shared" si="32"/>
        <v>0</v>
      </c>
      <c r="N92" s="135">
        <f t="shared" si="32"/>
        <v>0</v>
      </c>
      <c r="O92" s="135">
        <v>0</v>
      </c>
      <c r="P92" s="35">
        <f>SUM(D92:O92)</f>
        <v>0</v>
      </c>
    </row>
    <row r="93" spans="1:16" s="2" customFormat="1" ht="27" x14ac:dyDescent="0.3">
      <c r="A93" s="695"/>
      <c r="B93" s="24" t="s">
        <v>102</v>
      </c>
      <c r="C93" s="11"/>
      <c r="D93" s="565">
        <f>D69+D75+D81+D87</f>
        <v>0</v>
      </c>
      <c r="E93" s="565">
        <f t="shared" si="32"/>
        <v>0</v>
      </c>
      <c r="F93" s="565">
        <f t="shared" si="32"/>
        <v>0</v>
      </c>
      <c r="G93" s="135">
        <f t="shared" si="32"/>
        <v>0</v>
      </c>
      <c r="H93" s="135">
        <f t="shared" si="32"/>
        <v>0</v>
      </c>
      <c r="I93" s="135">
        <f t="shared" si="32"/>
        <v>0</v>
      </c>
      <c r="J93" s="135">
        <f t="shared" si="32"/>
        <v>0</v>
      </c>
      <c r="K93" s="135">
        <f t="shared" si="32"/>
        <v>0</v>
      </c>
      <c r="L93" s="135">
        <f t="shared" si="32"/>
        <v>0</v>
      </c>
      <c r="M93" s="135">
        <f t="shared" si="32"/>
        <v>0</v>
      </c>
      <c r="N93" s="135">
        <f t="shared" si="32"/>
        <v>0</v>
      </c>
      <c r="O93" s="135">
        <v>0</v>
      </c>
      <c r="P93" s="35">
        <f>SUM(D93:O93)</f>
        <v>0</v>
      </c>
    </row>
    <row r="94" spans="1:16" s="2" customFormat="1" ht="15.6" x14ac:dyDescent="0.3">
      <c r="A94" s="695"/>
      <c r="B94" s="24" t="s">
        <v>188</v>
      </c>
      <c r="C94" s="11" t="s">
        <v>3</v>
      </c>
      <c r="D94" s="565">
        <f>D93+D92</f>
        <v>0</v>
      </c>
      <c r="E94" s="565">
        <f t="shared" ref="E94:P94" si="33">E93+E92</f>
        <v>0</v>
      </c>
      <c r="F94" s="565">
        <f t="shared" si="33"/>
        <v>0</v>
      </c>
      <c r="G94" s="136">
        <f t="shared" si="33"/>
        <v>0</v>
      </c>
      <c r="H94" s="136">
        <f t="shared" si="33"/>
        <v>0</v>
      </c>
      <c r="I94" s="136">
        <f t="shared" si="33"/>
        <v>0</v>
      </c>
      <c r="J94" s="136">
        <f t="shared" si="33"/>
        <v>0</v>
      </c>
      <c r="K94" s="136">
        <f t="shared" si="33"/>
        <v>0</v>
      </c>
      <c r="L94" s="136">
        <f t="shared" si="33"/>
        <v>0</v>
      </c>
      <c r="M94" s="136">
        <f t="shared" si="33"/>
        <v>0</v>
      </c>
      <c r="N94" s="136">
        <f t="shared" si="33"/>
        <v>0</v>
      </c>
      <c r="O94" s="136">
        <v>0</v>
      </c>
      <c r="P94" s="143">
        <f t="shared" si="33"/>
        <v>0</v>
      </c>
    </row>
    <row r="95" spans="1:16" ht="16.2" thickBot="1" x14ac:dyDescent="0.35">
      <c r="A95" s="696"/>
      <c r="B95" s="24" t="s">
        <v>81</v>
      </c>
      <c r="C95" s="11" t="s">
        <v>3</v>
      </c>
      <c r="D95" s="566">
        <f>D90+D91-D94</f>
        <v>0</v>
      </c>
      <c r="E95" s="566">
        <f t="shared" ref="E95:P95" si="34">E90+E91-E94</f>
        <v>0</v>
      </c>
      <c r="F95" s="566">
        <f t="shared" si="34"/>
        <v>0</v>
      </c>
      <c r="G95" s="137">
        <f t="shared" si="34"/>
        <v>0</v>
      </c>
      <c r="H95" s="137">
        <f t="shared" si="34"/>
        <v>0</v>
      </c>
      <c r="I95" s="137">
        <f t="shared" si="34"/>
        <v>0</v>
      </c>
      <c r="J95" s="137">
        <f t="shared" si="34"/>
        <v>0</v>
      </c>
      <c r="K95" s="137">
        <f t="shared" si="34"/>
        <v>0</v>
      </c>
      <c r="L95" s="137">
        <f t="shared" si="34"/>
        <v>0</v>
      </c>
      <c r="M95" s="137">
        <f t="shared" si="34"/>
        <v>1</v>
      </c>
      <c r="N95" s="137">
        <f t="shared" si="34"/>
        <v>1</v>
      </c>
      <c r="O95" s="137">
        <v>1</v>
      </c>
      <c r="P95" s="144">
        <f t="shared" si="34"/>
        <v>0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9"/>
    </row>
    <row r="98" spans="1:16" ht="15.6" x14ac:dyDescent="0.3">
      <c r="A98" s="88" t="s">
        <v>190</v>
      </c>
      <c r="B98" s="69"/>
      <c r="C98" s="11" t="s">
        <v>3</v>
      </c>
      <c r="D98" s="553"/>
      <c r="E98" s="553"/>
      <c r="F98" s="553"/>
      <c r="G98" s="70"/>
      <c r="H98" s="70"/>
      <c r="I98" s="70"/>
      <c r="J98" s="71"/>
      <c r="K98" s="71"/>
      <c r="L98" s="71"/>
      <c r="M98" s="71"/>
      <c r="N98" s="71"/>
      <c r="O98" s="71"/>
      <c r="P98" s="107">
        <f>SUM(D98:O98)</f>
        <v>0</v>
      </c>
    </row>
    <row r="99" spans="1:16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2"/>
    </row>
    <row r="101" spans="1:16" ht="15.6" x14ac:dyDescent="0.3">
      <c r="A101" s="661" t="s">
        <v>100</v>
      </c>
      <c r="B101" s="662"/>
      <c r="C101" s="11" t="s">
        <v>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132">
        <v>0</v>
      </c>
      <c r="M101" s="155">
        <v>46</v>
      </c>
      <c r="N101" s="4">
        <v>46</v>
      </c>
      <c r="O101" s="155">
        <v>46</v>
      </c>
      <c r="P101" s="32">
        <f t="shared" ref="P101:P116" si="35">O101</f>
        <v>46</v>
      </c>
    </row>
    <row r="102" spans="1:16" ht="15.6" x14ac:dyDescent="0.3">
      <c r="A102" s="661" t="s">
        <v>99</v>
      </c>
      <c r="B102" s="662"/>
      <c r="C102" s="11" t="s">
        <v>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132">
        <v>0</v>
      </c>
      <c r="M102" s="155">
        <v>6</v>
      </c>
      <c r="N102" s="4">
        <v>6</v>
      </c>
      <c r="O102" s="155">
        <v>6</v>
      </c>
      <c r="P102" s="32">
        <f t="shared" si="35"/>
        <v>6</v>
      </c>
    </row>
    <row r="103" spans="1:16" ht="15.6" x14ac:dyDescent="0.3">
      <c r="A103" s="663" t="s">
        <v>98</v>
      </c>
      <c r="B103" s="664"/>
      <c r="C103" s="11" t="s">
        <v>3</v>
      </c>
      <c r="D103" s="4">
        <v>0</v>
      </c>
      <c r="E103" s="4">
        <v>0</v>
      </c>
      <c r="F103" s="4">
        <v>0</v>
      </c>
      <c r="G103" s="4">
        <v>0</v>
      </c>
      <c r="H103" s="155"/>
      <c r="I103" s="155"/>
      <c r="J103" s="155"/>
      <c r="K103" s="155"/>
      <c r="L103" s="132"/>
      <c r="M103" s="155">
        <v>5</v>
      </c>
      <c r="N103" s="4">
        <v>6</v>
      </c>
      <c r="O103" s="155">
        <v>5</v>
      </c>
      <c r="P103" s="32">
        <f t="shared" si="35"/>
        <v>5</v>
      </c>
    </row>
    <row r="104" spans="1:16" ht="15.6" x14ac:dyDescent="0.3">
      <c r="A104" s="663" t="s">
        <v>97</v>
      </c>
      <c r="B104" s="664"/>
      <c r="C104" s="11" t="s">
        <v>3</v>
      </c>
      <c r="D104" s="4">
        <v>0</v>
      </c>
      <c r="E104" s="4">
        <v>0</v>
      </c>
      <c r="F104" s="4">
        <v>0</v>
      </c>
      <c r="G104" s="4">
        <v>0</v>
      </c>
      <c r="H104" s="155"/>
      <c r="I104" s="155"/>
      <c r="J104" s="155"/>
      <c r="K104" s="155"/>
      <c r="L104" s="132"/>
      <c r="M104" s="155">
        <v>11</v>
      </c>
      <c r="N104" s="4">
        <v>11</v>
      </c>
      <c r="O104" s="155">
        <v>11</v>
      </c>
      <c r="P104" s="32">
        <f t="shared" si="35"/>
        <v>11</v>
      </c>
    </row>
    <row r="105" spans="1:16" ht="15.6" x14ac:dyDescent="0.3">
      <c r="A105" s="686" t="s">
        <v>96</v>
      </c>
      <c r="B105" s="687"/>
      <c r="C105" s="11" t="s">
        <v>3</v>
      </c>
      <c r="D105" s="169">
        <f>SUM(D101:D104)</f>
        <v>0</v>
      </c>
      <c r="E105" s="169">
        <f t="shared" ref="E105:N105" si="36">SUM(E101:E104)</f>
        <v>0</v>
      </c>
      <c r="F105" s="169">
        <f t="shared" si="36"/>
        <v>0</v>
      </c>
      <c r="G105" s="169">
        <f t="shared" si="36"/>
        <v>0</v>
      </c>
      <c r="H105" s="169">
        <f t="shared" si="36"/>
        <v>0</v>
      </c>
      <c r="I105" s="169">
        <f t="shared" si="36"/>
        <v>0</v>
      </c>
      <c r="J105" s="33">
        <f t="shared" si="36"/>
        <v>0</v>
      </c>
      <c r="K105" s="169">
        <f t="shared" si="36"/>
        <v>0</v>
      </c>
      <c r="L105" s="169">
        <f t="shared" si="36"/>
        <v>0</v>
      </c>
      <c r="M105" s="169">
        <f t="shared" si="36"/>
        <v>68</v>
      </c>
      <c r="N105" s="169">
        <f t="shared" si="36"/>
        <v>69</v>
      </c>
      <c r="O105" s="169">
        <v>68</v>
      </c>
      <c r="P105" s="32">
        <f t="shared" si="35"/>
        <v>68</v>
      </c>
    </row>
    <row r="106" spans="1:16" s="2" customForma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5"/>
    </row>
    <row r="107" spans="1:16" ht="15.6" x14ac:dyDescent="0.3">
      <c r="A107" s="661" t="s">
        <v>193</v>
      </c>
      <c r="B107" s="662"/>
      <c r="C107" s="11" t="s">
        <v>3</v>
      </c>
      <c r="D107" s="132">
        <v>0</v>
      </c>
      <c r="E107" s="132">
        <v>0</v>
      </c>
      <c r="F107" s="132">
        <v>0</v>
      </c>
      <c r="G107" s="132">
        <v>0</v>
      </c>
      <c r="H107" s="132">
        <v>0</v>
      </c>
      <c r="I107" s="132">
        <v>0</v>
      </c>
      <c r="J107" s="132">
        <v>0</v>
      </c>
      <c r="K107" s="132">
        <v>0</v>
      </c>
      <c r="L107" s="132">
        <v>0</v>
      </c>
      <c r="M107" s="129">
        <v>138</v>
      </c>
      <c r="N107" s="4">
        <v>138</v>
      </c>
      <c r="O107" s="155">
        <v>138</v>
      </c>
      <c r="P107" s="32">
        <f t="shared" si="35"/>
        <v>138</v>
      </c>
    </row>
    <row r="108" spans="1:16" ht="15.6" x14ac:dyDescent="0.3">
      <c r="A108" s="661" t="s">
        <v>194</v>
      </c>
      <c r="B108" s="662"/>
      <c r="C108" s="11" t="s">
        <v>3</v>
      </c>
      <c r="D108" s="132">
        <v>0</v>
      </c>
      <c r="E108" s="132">
        <v>0</v>
      </c>
      <c r="F108" s="132">
        <v>0</v>
      </c>
      <c r="G108" s="132">
        <v>0</v>
      </c>
      <c r="H108" s="132">
        <v>0</v>
      </c>
      <c r="I108" s="155"/>
      <c r="J108" s="155"/>
      <c r="K108" s="132">
        <v>0</v>
      </c>
      <c r="L108" s="132">
        <v>0</v>
      </c>
      <c r="M108" s="129">
        <v>7</v>
      </c>
      <c r="N108" s="4">
        <v>7</v>
      </c>
      <c r="O108" s="155">
        <v>7</v>
      </c>
      <c r="P108" s="32">
        <f t="shared" si="35"/>
        <v>7</v>
      </c>
    </row>
    <row r="109" spans="1:16" ht="15.6" x14ac:dyDescent="0.3">
      <c r="A109" s="661" t="s">
        <v>195</v>
      </c>
      <c r="B109" s="662"/>
      <c r="C109" s="11" t="s">
        <v>3</v>
      </c>
      <c r="D109" s="132">
        <v>0</v>
      </c>
      <c r="E109" s="132">
        <v>0</v>
      </c>
      <c r="F109" s="132">
        <v>0</v>
      </c>
      <c r="G109" s="132">
        <v>0</v>
      </c>
      <c r="H109" s="132">
        <v>0</v>
      </c>
      <c r="I109" s="155"/>
      <c r="J109" s="155"/>
      <c r="K109" s="132">
        <v>0</v>
      </c>
      <c r="L109" s="132">
        <v>0</v>
      </c>
      <c r="M109" s="129">
        <v>15</v>
      </c>
      <c r="N109" s="4">
        <v>14</v>
      </c>
      <c r="O109" s="155">
        <v>15</v>
      </c>
      <c r="P109" s="32">
        <f t="shared" si="35"/>
        <v>15</v>
      </c>
    </row>
    <row r="110" spans="1:16" ht="15.6" x14ac:dyDescent="0.3">
      <c r="A110" s="661" t="s">
        <v>196</v>
      </c>
      <c r="B110" s="662"/>
      <c r="C110" s="11" t="s">
        <v>3</v>
      </c>
      <c r="D110" s="132">
        <v>0</v>
      </c>
      <c r="E110" s="132">
        <v>0</v>
      </c>
      <c r="F110" s="132">
        <v>0</v>
      </c>
      <c r="G110" s="132">
        <v>0</v>
      </c>
      <c r="H110" s="132">
        <v>0</v>
      </c>
      <c r="I110" s="155"/>
      <c r="J110" s="155"/>
      <c r="K110" s="132">
        <v>0</v>
      </c>
      <c r="L110" s="132">
        <v>0</v>
      </c>
      <c r="M110" s="129">
        <v>1</v>
      </c>
      <c r="N110" s="4">
        <v>1</v>
      </c>
      <c r="O110" s="155">
        <v>1</v>
      </c>
      <c r="P110" s="32">
        <f>O110</f>
        <v>1</v>
      </c>
    </row>
    <row r="111" spans="1:16" ht="15.6" x14ac:dyDescent="0.3">
      <c r="A111" s="676" t="s">
        <v>95</v>
      </c>
      <c r="B111" s="677"/>
      <c r="C111" s="11" t="s">
        <v>3</v>
      </c>
      <c r="D111" s="169">
        <f>SUM(D107:D110)</f>
        <v>0</v>
      </c>
      <c r="E111" s="169">
        <f t="shared" ref="E111:N111" si="37">SUM(E107:E110)</f>
        <v>0</v>
      </c>
      <c r="F111" s="169">
        <f t="shared" si="37"/>
        <v>0</v>
      </c>
      <c r="G111" s="169">
        <f t="shared" si="37"/>
        <v>0</v>
      </c>
      <c r="H111" s="169">
        <f t="shared" si="37"/>
        <v>0</v>
      </c>
      <c r="I111" s="169">
        <f t="shared" si="37"/>
        <v>0</v>
      </c>
      <c r="J111" s="169">
        <f t="shared" si="37"/>
        <v>0</v>
      </c>
      <c r="K111" s="33">
        <f t="shared" si="37"/>
        <v>0</v>
      </c>
      <c r="L111" s="134">
        <f t="shared" si="37"/>
        <v>0</v>
      </c>
      <c r="M111" s="33">
        <f t="shared" si="37"/>
        <v>161</v>
      </c>
      <c r="N111" s="169">
        <f t="shared" si="37"/>
        <v>160</v>
      </c>
      <c r="O111" s="169">
        <v>161</v>
      </c>
      <c r="P111" s="32">
        <f t="shared" si="35"/>
        <v>161</v>
      </c>
    </row>
    <row r="112" spans="1:16" s="2" customForma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2"/>
    </row>
    <row r="113" spans="1:16" ht="15.6" x14ac:dyDescent="0.3">
      <c r="A113" s="661" t="s">
        <v>197</v>
      </c>
      <c r="B113" s="662"/>
      <c r="C113" s="11" t="s">
        <v>3</v>
      </c>
      <c r="D113" s="133">
        <v>0</v>
      </c>
      <c r="E113" s="133">
        <v>0</v>
      </c>
      <c r="F113" s="133">
        <v>0</v>
      </c>
      <c r="G113" s="133">
        <v>0</v>
      </c>
      <c r="H113" s="133">
        <v>0</v>
      </c>
      <c r="I113" s="133">
        <v>0</v>
      </c>
      <c r="J113" s="133">
        <v>0</v>
      </c>
      <c r="K113" s="133">
        <v>0</v>
      </c>
      <c r="L113" s="129">
        <v>0</v>
      </c>
      <c r="M113" s="129"/>
      <c r="N113" s="129"/>
      <c r="O113" s="129"/>
      <c r="P113" s="174">
        <f t="shared" si="35"/>
        <v>0</v>
      </c>
    </row>
    <row r="114" spans="1:16" ht="15.6" x14ac:dyDescent="0.3">
      <c r="A114" s="661" t="s">
        <v>198</v>
      </c>
      <c r="B114" s="662"/>
      <c r="C114" s="11" t="s">
        <v>3</v>
      </c>
      <c r="D114" s="133">
        <v>0</v>
      </c>
      <c r="E114" s="133">
        <v>0</v>
      </c>
      <c r="F114" s="133">
        <v>0</v>
      </c>
      <c r="G114" s="133">
        <v>0</v>
      </c>
      <c r="H114" s="133">
        <v>0</v>
      </c>
      <c r="I114" s="133">
        <v>0</v>
      </c>
      <c r="J114" s="133">
        <v>0</v>
      </c>
      <c r="K114" s="133">
        <v>0</v>
      </c>
      <c r="L114" s="129">
        <v>0</v>
      </c>
      <c r="M114" s="129"/>
      <c r="N114" s="129"/>
      <c r="O114" s="129"/>
      <c r="P114" s="174">
        <f t="shared" si="35"/>
        <v>0</v>
      </c>
    </row>
    <row r="115" spans="1:16" ht="15.6" x14ac:dyDescent="0.3">
      <c r="A115" s="661" t="s">
        <v>199</v>
      </c>
      <c r="B115" s="662"/>
      <c r="C115" s="11" t="s">
        <v>3</v>
      </c>
      <c r="D115" s="133"/>
      <c r="E115" s="133"/>
      <c r="F115" s="133">
        <v>0</v>
      </c>
      <c r="G115" s="133">
        <v>0</v>
      </c>
      <c r="H115" s="133">
        <v>0</v>
      </c>
      <c r="I115" s="129"/>
      <c r="J115" s="133">
        <v>0</v>
      </c>
      <c r="K115" s="133">
        <v>0</v>
      </c>
      <c r="L115" s="129">
        <v>0</v>
      </c>
      <c r="M115" s="129"/>
      <c r="N115" s="129"/>
      <c r="O115" s="129"/>
      <c r="P115" s="174">
        <f t="shared" si="35"/>
        <v>0</v>
      </c>
    </row>
    <row r="116" spans="1:16" ht="15.6" x14ac:dyDescent="0.3">
      <c r="A116" s="661" t="s">
        <v>200</v>
      </c>
      <c r="B116" s="662"/>
      <c r="C116" s="11" t="s">
        <v>3</v>
      </c>
      <c r="D116" s="133"/>
      <c r="E116" s="133"/>
      <c r="F116" s="133">
        <v>0</v>
      </c>
      <c r="G116" s="133">
        <v>0</v>
      </c>
      <c r="H116" s="133">
        <v>0</v>
      </c>
      <c r="I116" s="129"/>
      <c r="J116" s="133">
        <v>0</v>
      </c>
      <c r="K116" s="133">
        <v>0</v>
      </c>
      <c r="L116" s="129">
        <v>0</v>
      </c>
      <c r="M116" s="129"/>
      <c r="N116" s="129"/>
      <c r="O116" s="129"/>
      <c r="P116" s="174">
        <f t="shared" si="35"/>
        <v>0</v>
      </c>
    </row>
    <row r="117" spans="1:16" ht="15.6" x14ac:dyDescent="0.3">
      <c r="A117" s="676" t="s">
        <v>94</v>
      </c>
      <c r="B117" s="677"/>
      <c r="C117" s="11" t="s">
        <v>3</v>
      </c>
      <c r="D117" s="169">
        <f>SUM(D113:D116)</f>
        <v>0</v>
      </c>
      <c r="E117" s="169">
        <f t="shared" ref="E117:P117" si="38">SUM(E113:E116)</f>
        <v>0</v>
      </c>
      <c r="F117" s="169">
        <f t="shared" si="38"/>
        <v>0</v>
      </c>
      <c r="G117" s="169">
        <f t="shared" si="38"/>
        <v>0</v>
      </c>
      <c r="H117" s="169">
        <f t="shared" si="38"/>
        <v>0</v>
      </c>
      <c r="I117" s="169">
        <f t="shared" si="38"/>
        <v>0</v>
      </c>
      <c r="J117" s="169">
        <f t="shared" si="38"/>
        <v>0</v>
      </c>
      <c r="K117" s="169">
        <f t="shared" si="38"/>
        <v>0</v>
      </c>
      <c r="L117" s="169">
        <f t="shared" si="38"/>
        <v>0</v>
      </c>
      <c r="M117" s="169">
        <f t="shared" si="38"/>
        <v>0</v>
      </c>
      <c r="N117" s="169">
        <f t="shared" si="38"/>
        <v>0</v>
      </c>
      <c r="O117" s="169">
        <v>0</v>
      </c>
      <c r="P117" s="159">
        <f t="shared" si="38"/>
        <v>0</v>
      </c>
    </row>
    <row r="118" spans="1:16" s="2" customFormat="1" ht="15.6" x14ac:dyDescent="0.3">
      <c r="A118" s="596" t="s">
        <v>191</v>
      </c>
      <c r="B118" s="597"/>
      <c r="C118" s="11" t="s">
        <v>3</v>
      </c>
      <c r="D118" s="169">
        <f t="shared" ref="D118:P118" si="39">D111+D117</f>
        <v>0</v>
      </c>
      <c r="E118" s="169">
        <f t="shared" si="39"/>
        <v>0</v>
      </c>
      <c r="F118" s="169">
        <f t="shared" si="39"/>
        <v>0</v>
      </c>
      <c r="G118" s="169">
        <f t="shared" si="39"/>
        <v>0</v>
      </c>
      <c r="H118" s="169">
        <f t="shared" si="39"/>
        <v>0</v>
      </c>
      <c r="I118" s="169">
        <f t="shared" si="39"/>
        <v>0</v>
      </c>
      <c r="J118" s="169">
        <f t="shared" si="39"/>
        <v>0</v>
      </c>
      <c r="K118" s="169">
        <f t="shared" si="39"/>
        <v>0</v>
      </c>
      <c r="L118" s="169">
        <f t="shared" si="39"/>
        <v>0</v>
      </c>
      <c r="M118" s="169">
        <f t="shared" si="39"/>
        <v>161</v>
      </c>
      <c r="N118" s="169">
        <f t="shared" si="39"/>
        <v>160</v>
      </c>
      <c r="O118" s="169">
        <v>161</v>
      </c>
      <c r="P118" s="169">
        <f t="shared" si="39"/>
        <v>161</v>
      </c>
    </row>
    <row r="119" spans="1:16" ht="15.6" x14ac:dyDescent="0.3">
      <c r="A119" s="676" t="s">
        <v>192</v>
      </c>
      <c r="B119" s="677"/>
      <c r="C119" s="11" t="s">
        <v>3</v>
      </c>
      <c r="D119" s="169">
        <f t="shared" ref="D119:P119" si="40">D118+D105</f>
        <v>0</v>
      </c>
      <c r="E119" s="169">
        <f t="shared" si="40"/>
        <v>0</v>
      </c>
      <c r="F119" s="169">
        <f t="shared" si="40"/>
        <v>0</v>
      </c>
      <c r="G119" s="169">
        <f t="shared" si="40"/>
        <v>0</v>
      </c>
      <c r="H119" s="169">
        <f t="shared" si="40"/>
        <v>0</v>
      </c>
      <c r="I119" s="169">
        <f t="shared" si="40"/>
        <v>0</v>
      </c>
      <c r="J119" s="169">
        <f t="shared" si="40"/>
        <v>0</v>
      </c>
      <c r="K119" s="169">
        <f t="shared" si="40"/>
        <v>0</v>
      </c>
      <c r="L119" s="169">
        <f t="shared" si="40"/>
        <v>0</v>
      </c>
      <c r="M119" s="169">
        <f t="shared" si="40"/>
        <v>229</v>
      </c>
      <c r="N119" s="169">
        <f t="shared" si="40"/>
        <v>229</v>
      </c>
      <c r="O119" s="169">
        <v>229</v>
      </c>
      <c r="P119" s="169">
        <f t="shared" si="40"/>
        <v>229</v>
      </c>
    </row>
    <row r="120" spans="1:16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0"/>
      <c r="P120" s="651"/>
    </row>
    <row r="121" spans="1:16" ht="17.399999999999999" x14ac:dyDescent="0.3">
      <c r="A121" s="661" t="s">
        <v>93</v>
      </c>
      <c r="B121" s="662"/>
      <c r="C121" s="5" t="s">
        <v>3</v>
      </c>
      <c r="D121" s="562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128">
        <v>0</v>
      </c>
      <c r="M121" s="128">
        <v>2215</v>
      </c>
      <c r="N121" s="4">
        <v>2223</v>
      </c>
      <c r="O121" s="128">
        <v>2241</v>
      </c>
      <c r="P121" s="31">
        <f>O121</f>
        <v>2241</v>
      </c>
    </row>
    <row r="122" spans="1:16" ht="17.399999999999999" x14ac:dyDescent="0.3">
      <c r="A122" s="661" t="s">
        <v>92</v>
      </c>
      <c r="B122" s="662"/>
      <c r="C122" s="5" t="s">
        <v>3</v>
      </c>
      <c r="D122" s="562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128">
        <v>0</v>
      </c>
      <c r="M122" s="128">
        <v>1145</v>
      </c>
      <c r="N122" s="4">
        <v>1145</v>
      </c>
      <c r="O122" s="128">
        <v>1145</v>
      </c>
      <c r="P122" s="31">
        <f>O122</f>
        <v>1145</v>
      </c>
    </row>
    <row r="123" spans="1:16" ht="15.6" x14ac:dyDescent="0.3">
      <c r="A123" s="678" t="s">
        <v>91</v>
      </c>
      <c r="B123" s="679"/>
      <c r="C123" s="30" t="s">
        <v>6</v>
      </c>
      <c r="D123" s="573" t="e">
        <f t="shared" ref="D123:P123" si="41">D122/D121</f>
        <v>#DIV/0!</v>
      </c>
      <c r="E123" s="573" t="e">
        <f t="shared" si="41"/>
        <v>#DIV/0!</v>
      </c>
      <c r="F123" s="573" t="e">
        <f t="shared" si="41"/>
        <v>#DIV/0!</v>
      </c>
      <c r="G123" s="573" t="e">
        <f t="shared" si="41"/>
        <v>#DIV/0!</v>
      </c>
      <c r="H123" s="573" t="e">
        <f t="shared" si="41"/>
        <v>#DIV/0!</v>
      </c>
      <c r="I123" s="573" t="e">
        <f t="shared" si="41"/>
        <v>#DIV/0!</v>
      </c>
      <c r="J123" s="573" t="e">
        <f t="shared" si="41"/>
        <v>#DIV/0!</v>
      </c>
      <c r="K123" s="573" t="e">
        <f t="shared" si="41"/>
        <v>#DIV/0!</v>
      </c>
      <c r="L123" s="573" t="e">
        <f t="shared" si="41"/>
        <v>#DIV/0!</v>
      </c>
      <c r="M123" s="573">
        <f t="shared" si="41"/>
        <v>0.5169300225733634</v>
      </c>
      <c r="N123" s="573">
        <f t="shared" si="41"/>
        <v>0.51506972559604136</v>
      </c>
      <c r="O123" s="573">
        <v>0.51093261936635426</v>
      </c>
      <c r="P123" s="108">
        <f t="shared" si="41"/>
        <v>0.51093261936635426</v>
      </c>
    </row>
    <row r="124" spans="1:16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5"/>
      <c r="P124" s="656"/>
    </row>
    <row r="125" spans="1:16" ht="15.6" x14ac:dyDescent="0.3">
      <c r="A125" s="673" t="s">
        <v>230</v>
      </c>
      <c r="B125" s="24" t="s">
        <v>85</v>
      </c>
      <c r="C125" s="11" t="s">
        <v>3</v>
      </c>
      <c r="D125" s="132">
        <v>0</v>
      </c>
      <c r="E125" s="132">
        <f>D129</f>
        <v>0</v>
      </c>
      <c r="F125" s="132">
        <f t="shared" ref="F125:H125" si="42">E129</f>
        <v>0</v>
      </c>
      <c r="G125" s="132">
        <f t="shared" si="42"/>
        <v>0</v>
      </c>
      <c r="H125" s="132">
        <f t="shared" si="42"/>
        <v>0</v>
      </c>
      <c r="I125" s="157"/>
      <c r="J125" s="132">
        <f t="shared" ref="J125" si="43">I129</f>
        <v>0</v>
      </c>
      <c r="K125" s="157"/>
      <c r="L125" s="157"/>
      <c r="M125" s="157">
        <v>1</v>
      </c>
      <c r="N125" s="132">
        <f t="shared" ref="N125" si="44">M129</f>
        <v>5</v>
      </c>
      <c r="O125" s="157">
        <v>1</v>
      </c>
      <c r="P125" s="25">
        <f>D125</f>
        <v>0</v>
      </c>
    </row>
    <row r="126" spans="1:16" ht="15.6" x14ac:dyDescent="0.3">
      <c r="A126" s="674"/>
      <c r="B126" s="24" t="s">
        <v>84</v>
      </c>
      <c r="C126" s="11" t="s">
        <v>3</v>
      </c>
      <c r="D126" s="132">
        <v>0</v>
      </c>
      <c r="E126" s="132">
        <v>0</v>
      </c>
      <c r="F126" s="132">
        <v>0</v>
      </c>
      <c r="G126" s="132">
        <v>0</v>
      </c>
      <c r="H126" s="132">
        <v>0</v>
      </c>
      <c r="I126" s="132">
        <v>0</v>
      </c>
      <c r="J126" s="132">
        <v>0</v>
      </c>
      <c r="K126" s="155"/>
      <c r="L126" s="155"/>
      <c r="M126" s="155">
        <v>4</v>
      </c>
      <c r="N126" s="132">
        <v>0</v>
      </c>
      <c r="O126" s="155">
        <v>0</v>
      </c>
      <c r="P126" s="18">
        <f>SUM(D126:O126)</f>
        <v>4</v>
      </c>
    </row>
    <row r="127" spans="1:16" ht="15.6" x14ac:dyDescent="0.3">
      <c r="A127" s="674"/>
      <c r="B127" s="82" t="s">
        <v>88</v>
      </c>
      <c r="C127" s="11" t="s">
        <v>3</v>
      </c>
      <c r="D127" s="132">
        <v>0</v>
      </c>
      <c r="E127" s="132">
        <v>0</v>
      </c>
      <c r="F127" s="132">
        <v>0</v>
      </c>
      <c r="G127" s="132">
        <v>0</v>
      </c>
      <c r="H127" s="132">
        <v>0</v>
      </c>
      <c r="I127" s="155"/>
      <c r="J127" s="132">
        <v>0</v>
      </c>
      <c r="K127" s="155"/>
      <c r="L127" s="155"/>
      <c r="M127" s="155">
        <v>0</v>
      </c>
      <c r="N127" s="132">
        <v>4</v>
      </c>
      <c r="O127" s="155">
        <v>0</v>
      </c>
      <c r="P127" s="18">
        <f>SUM(D127:O127)</f>
        <v>4</v>
      </c>
    </row>
    <row r="128" spans="1:16" ht="15.6" x14ac:dyDescent="0.3">
      <c r="A128" s="674"/>
      <c r="B128" s="24" t="s">
        <v>82</v>
      </c>
      <c r="C128" s="11" t="s">
        <v>3</v>
      </c>
      <c r="D128" s="132">
        <v>0</v>
      </c>
      <c r="E128" s="132">
        <v>0</v>
      </c>
      <c r="F128" s="132">
        <v>0</v>
      </c>
      <c r="G128" s="132">
        <v>0</v>
      </c>
      <c r="H128" s="132">
        <v>0</v>
      </c>
      <c r="I128" s="155"/>
      <c r="J128" s="132">
        <v>0</v>
      </c>
      <c r="K128" s="155"/>
      <c r="L128" s="155"/>
      <c r="M128" s="155">
        <v>0</v>
      </c>
      <c r="N128" s="132">
        <v>0</v>
      </c>
      <c r="O128" s="155">
        <v>0</v>
      </c>
      <c r="P128" s="18">
        <f>SUM(D128:O128)</f>
        <v>0</v>
      </c>
    </row>
    <row r="129" spans="1:16" ht="15.6" x14ac:dyDescent="0.3">
      <c r="A129" s="675"/>
      <c r="B129" s="24" t="s">
        <v>81</v>
      </c>
      <c r="C129" s="11" t="s">
        <v>3</v>
      </c>
      <c r="D129" s="132">
        <f>D125+D126-D127-D128</f>
        <v>0</v>
      </c>
      <c r="E129" s="132">
        <f t="shared" ref="E129:N129" si="45">E125+E126-E127-E128</f>
        <v>0</v>
      </c>
      <c r="F129" s="132">
        <f t="shared" si="45"/>
        <v>0</v>
      </c>
      <c r="G129" s="132">
        <f t="shared" si="45"/>
        <v>0</v>
      </c>
      <c r="H129" s="132">
        <f t="shared" si="45"/>
        <v>0</v>
      </c>
      <c r="I129" s="157">
        <v>0</v>
      </c>
      <c r="J129" s="132">
        <f t="shared" si="45"/>
        <v>0</v>
      </c>
      <c r="K129" s="157">
        <f t="shared" si="45"/>
        <v>0</v>
      </c>
      <c r="L129" s="157">
        <f t="shared" si="45"/>
        <v>0</v>
      </c>
      <c r="M129" s="157">
        <v>5</v>
      </c>
      <c r="N129" s="157">
        <f t="shared" si="45"/>
        <v>1</v>
      </c>
      <c r="O129" s="157">
        <v>1</v>
      </c>
      <c r="P129" s="25">
        <f>P125+P126-P127-P128</f>
        <v>0</v>
      </c>
    </row>
    <row r="130" spans="1:16" ht="15.6" x14ac:dyDescent="0.3">
      <c r="A130" s="673" t="s">
        <v>231</v>
      </c>
      <c r="B130" s="28" t="s">
        <v>85</v>
      </c>
      <c r="C130" s="27" t="s">
        <v>3</v>
      </c>
      <c r="D130" s="132">
        <v>0</v>
      </c>
      <c r="E130" s="132">
        <f>D134</f>
        <v>0</v>
      </c>
      <c r="F130" s="132">
        <f t="shared" ref="F130:H130" si="46">E134</f>
        <v>0</v>
      </c>
      <c r="G130" s="132">
        <f t="shared" si="46"/>
        <v>0</v>
      </c>
      <c r="H130" s="132">
        <f t="shared" si="46"/>
        <v>0</v>
      </c>
      <c r="I130" s="155"/>
      <c r="J130" s="155"/>
      <c r="K130" s="155"/>
      <c r="L130" s="155"/>
      <c r="M130" s="155">
        <v>6</v>
      </c>
      <c r="N130" s="132">
        <f t="shared" ref="N130" si="47">M134</f>
        <v>6</v>
      </c>
      <c r="O130" s="155">
        <v>6</v>
      </c>
      <c r="P130" s="25">
        <f>D130</f>
        <v>0</v>
      </c>
    </row>
    <row r="131" spans="1:16" ht="15.6" x14ac:dyDescent="0.3">
      <c r="A131" s="674"/>
      <c r="B131" s="24" t="s">
        <v>84</v>
      </c>
      <c r="C131" s="11" t="s">
        <v>3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155"/>
      <c r="J131" s="155"/>
      <c r="K131" s="155"/>
      <c r="L131" s="155"/>
      <c r="M131" s="155">
        <v>0</v>
      </c>
      <c r="N131" s="132">
        <v>0</v>
      </c>
      <c r="O131" s="155">
        <v>0</v>
      </c>
      <c r="P131" s="18">
        <f>SUM(D131:O131)</f>
        <v>0</v>
      </c>
    </row>
    <row r="132" spans="1:16" ht="15.6" x14ac:dyDescent="0.3">
      <c r="A132" s="674"/>
      <c r="B132" s="82" t="s">
        <v>88</v>
      </c>
      <c r="C132" s="11" t="s">
        <v>3</v>
      </c>
      <c r="D132" s="132">
        <v>0</v>
      </c>
      <c r="E132" s="132">
        <v>0</v>
      </c>
      <c r="F132" s="132">
        <v>0</v>
      </c>
      <c r="G132" s="132">
        <v>0</v>
      </c>
      <c r="H132" s="132">
        <v>0</v>
      </c>
      <c r="I132" s="155"/>
      <c r="J132" s="155"/>
      <c r="K132" s="155"/>
      <c r="L132" s="155"/>
      <c r="M132" s="155">
        <v>0</v>
      </c>
      <c r="N132" s="132">
        <v>0</v>
      </c>
      <c r="O132" s="155">
        <v>0</v>
      </c>
      <c r="P132" s="18">
        <f>SUM(D132:O132)</f>
        <v>0</v>
      </c>
    </row>
    <row r="133" spans="1:16" ht="15.6" x14ac:dyDescent="0.3">
      <c r="A133" s="674"/>
      <c r="B133" s="24" t="s">
        <v>82</v>
      </c>
      <c r="C133" s="11" t="s">
        <v>3</v>
      </c>
      <c r="D133" s="132">
        <v>0</v>
      </c>
      <c r="E133" s="132">
        <v>0</v>
      </c>
      <c r="F133" s="132">
        <v>0</v>
      </c>
      <c r="G133" s="132">
        <v>0</v>
      </c>
      <c r="H133" s="132">
        <v>0</v>
      </c>
      <c r="I133" s="155"/>
      <c r="J133" s="155"/>
      <c r="K133" s="155"/>
      <c r="L133" s="155"/>
      <c r="M133" s="155">
        <v>0</v>
      </c>
      <c r="N133" s="132">
        <v>0</v>
      </c>
      <c r="O133" s="155">
        <v>0</v>
      </c>
      <c r="P133" s="18">
        <f>SUM(D133:O133)</f>
        <v>0</v>
      </c>
    </row>
    <row r="134" spans="1:16" ht="15.6" x14ac:dyDescent="0.3">
      <c r="A134" s="675"/>
      <c r="B134" s="24" t="s">
        <v>81</v>
      </c>
      <c r="C134" s="11" t="s">
        <v>3</v>
      </c>
      <c r="D134" s="132">
        <f>D130+D131-D132-D133</f>
        <v>0</v>
      </c>
      <c r="E134" s="132">
        <f t="shared" ref="E134:N134" si="48">E130+E131-E132-E133</f>
        <v>0</v>
      </c>
      <c r="F134" s="132">
        <f t="shared" si="48"/>
        <v>0</v>
      </c>
      <c r="G134" s="132">
        <f t="shared" si="48"/>
        <v>0</v>
      </c>
      <c r="H134" s="132">
        <f t="shared" si="48"/>
        <v>0</v>
      </c>
      <c r="I134" s="157">
        <f t="shared" si="48"/>
        <v>0</v>
      </c>
      <c r="J134" s="157">
        <f t="shared" si="48"/>
        <v>0</v>
      </c>
      <c r="K134" s="157">
        <f t="shared" si="48"/>
        <v>0</v>
      </c>
      <c r="L134" s="157">
        <f t="shared" si="48"/>
        <v>0</v>
      </c>
      <c r="M134" s="157">
        <v>6</v>
      </c>
      <c r="N134" s="157">
        <f t="shared" si="48"/>
        <v>6</v>
      </c>
      <c r="O134" s="157">
        <v>6</v>
      </c>
      <c r="P134" s="25">
        <f>P130+P131-P132-P133</f>
        <v>0</v>
      </c>
    </row>
    <row r="135" spans="1:16" ht="15.6" x14ac:dyDescent="0.3">
      <c r="A135" s="673" t="s">
        <v>89</v>
      </c>
      <c r="B135" s="24" t="s">
        <v>85</v>
      </c>
      <c r="C135" s="11" t="s">
        <v>3</v>
      </c>
      <c r="D135" s="132">
        <v>0</v>
      </c>
      <c r="E135" s="132">
        <f>D139</f>
        <v>0</v>
      </c>
      <c r="F135" s="132">
        <f t="shared" ref="F135:H135" si="49">E139</f>
        <v>0</v>
      </c>
      <c r="G135" s="132">
        <f t="shared" si="49"/>
        <v>0</v>
      </c>
      <c r="H135" s="132">
        <f t="shared" si="49"/>
        <v>0</v>
      </c>
      <c r="I135" s="157"/>
      <c r="J135" s="157"/>
      <c r="K135" s="157"/>
      <c r="L135" s="157"/>
      <c r="M135" s="157">
        <v>1</v>
      </c>
      <c r="N135" s="157"/>
      <c r="O135" s="157">
        <v>0</v>
      </c>
      <c r="P135" s="25">
        <f>D135</f>
        <v>0</v>
      </c>
    </row>
    <row r="136" spans="1:16" ht="15.6" x14ac:dyDescent="0.3">
      <c r="A136" s="674"/>
      <c r="B136" s="24" t="s">
        <v>84</v>
      </c>
      <c r="C136" s="11" t="s">
        <v>3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55"/>
      <c r="J136" s="155"/>
      <c r="K136" s="155"/>
      <c r="L136" s="155"/>
      <c r="M136" s="155">
        <v>1</v>
      </c>
      <c r="N136" s="155"/>
      <c r="O136" s="155">
        <v>1</v>
      </c>
      <c r="P136" s="18">
        <f>SUM(D136:O136)</f>
        <v>2</v>
      </c>
    </row>
    <row r="137" spans="1:16" ht="15.6" x14ac:dyDescent="0.3">
      <c r="A137" s="674"/>
      <c r="B137" s="82" t="s">
        <v>88</v>
      </c>
      <c r="C137" s="11" t="s">
        <v>3</v>
      </c>
      <c r="D137" s="132">
        <v>0</v>
      </c>
      <c r="E137" s="132">
        <v>0</v>
      </c>
      <c r="F137" s="132">
        <v>0</v>
      </c>
      <c r="G137" s="132">
        <v>0</v>
      </c>
      <c r="H137" s="132">
        <v>0</v>
      </c>
      <c r="I137" s="155"/>
      <c r="J137" s="155"/>
      <c r="K137" s="155"/>
      <c r="L137" s="155"/>
      <c r="M137" s="155">
        <v>1</v>
      </c>
      <c r="N137" s="155"/>
      <c r="O137" s="155">
        <v>1</v>
      </c>
      <c r="P137" s="18">
        <f>SUM(D137:O137)</f>
        <v>2</v>
      </c>
    </row>
    <row r="138" spans="1:16" ht="15.6" x14ac:dyDescent="0.3">
      <c r="A138" s="674"/>
      <c r="B138" s="24" t="s">
        <v>82</v>
      </c>
      <c r="C138" s="11" t="s">
        <v>3</v>
      </c>
      <c r="D138" s="132">
        <v>0</v>
      </c>
      <c r="E138" s="132">
        <v>0</v>
      </c>
      <c r="F138" s="132">
        <v>0</v>
      </c>
      <c r="G138" s="132">
        <v>0</v>
      </c>
      <c r="H138" s="132">
        <v>0</v>
      </c>
      <c r="I138" s="155"/>
      <c r="J138" s="155"/>
      <c r="K138" s="155"/>
      <c r="L138" s="155"/>
      <c r="M138" s="155">
        <v>0</v>
      </c>
      <c r="N138" s="155"/>
      <c r="O138" s="155">
        <v>0</v>
      </c>
      <c r="P138" s="18">
        <f>SUM(D138:O138)</f>
        <v>0</v>
      </c>
    </row>
    <row r="139" spans="1:16" ht="15.6" x14ac:dyDescent="0.3">
      <c r="A139" s="675"/>
      <c r="B139" s="24" t="s">
        <v>81</v>
      </c>
      <c r="C139" s="11" t="s">
        <v>3</v>
      </c>
      <c r="D139" s="132">
        <f>D135+D136-D137-D138</f>
        <v>0</v>
      </c>
      <c r="E139" s="132">
        <f t="shared" ref="E139:N139" si="50">E135+E136-E137-E138</f>
        <v>0</v>
      </c>
      <c r="F139" s="132">
        <f t="shared" si="50"/>
        <v>0</v>
      </c>
      <c r="G139" s="132">
        <f t="shared" si="50"/>
        <v>0</v>
      </c>
      <c r="H139" s="132">
        <f t="shared" si="50"/>
        <v>0</v>
      </c>
      <c r="I139" s="157">
        <f t="shared" si="50"/>
        <v>0</v>
      </c>
      <c r="J139" s="157">
        <f t="shared" si="50"/>
        <v>0</v>
      </c>
      <c r="K139" s="157">
        <f t="shared" si="50"/>
        <v>0</v>
      </c>
      <c r="L139" s="157">
        <f t="shared" si="50"/>
        <v>0</v>
      </c>
      <c r="M139" s="157">
        <v>1</v>
      </c>
      <c r="N139" s="157">
        <f t="shared" si="50"/>
        <v>0</v>
      </c>
      <c r="O139" s="157">
        <v>0</v>
      </c>
      <c r="P139" s="25">
        <f>P135+P136-P137-P138</f>
        <v>0</v>
      </c>
    </row>
    <row r="140" spans="1:16" ht="15.6" x14ac:dyDescent="0.3">
      <c r="A140" s="673" t="s">
        <v>87</v>
      </c>
      <c r="B140" s="24" t="s">
        <v>85</v>
      </c>
      <c r="C140" s="11" t="s">
        <v>3</v>
      </c>
      <c r="D140" s="132">
        <v>0</v>
      </c>
      <c r="E140" s="132">
        <f>D144</f>
        <v>0</v>
      </c>
      <c r="F140" s="132">
        <f t="shared" ref="F140" si="51">E144</f>
        <v>0</v>
      </c>
      <c r="G140" s="157">
        <v>0</v>
      </c>
      <c r="H140" s="132">
        <f t="shared" ref="H140" si="52">G144</f>
        <v>0</v>
      </c>
      <c r="I140" s="132">
        <v>0</v>
      </c>
      <c r="J140" s="157"/>
      <c r="K140" s="157"/>
      <c r="L140" s="157"/>
      <c r="M140" s="157">
        <v>109</v>
      </c>
      <c r="N140" s="132">
        <f>M144</f>
        <v>109</v>
      </c>
      <c r="O140" s="157">
        <v>116</v>
      </c>
      <c r="P140" s="25">
        <f>D140</f>
        <v>0</v>
      </c>
    </row>
    <row r="141" spans="1:16" ht="15.6" x14ac:dyDescent="0.3">
      <c r="A141" s="674"/>
      <c r="B141" s="24" t="s">
        <v>84</v>
      </c>
      <c r="C141" s="11" t="s">
        <v>3</v>
      </c>
      <c r="D141" s="132">
        <v>0</v>
      </c>
      <c r="E141" s="132">
        <v>0</v>
      </c>
      <c r="F141" s="132">
        <v>0</v>
      </c>
      <c r="G141" s="155">
        <v>0</v>
      </c>
      <c r="H141" s="132">
        <v>0</v>
      </c>
      <c r="I141" s="155"/>
      <c r="J141" s="155"/>
      <c r="K141" s="155"/>
      <c r="L141" s="155"/>
      <c r="M141" s="155">
        <v>0</v>
      </c>
      <c r="N141" s="132">
        <v>7</v>
      </c>
      <c r="O141" s="155">
        <v>7</v>
      </c>
      <c r="P141" s="18">
        <f>SUM(D141:O141)</f>
        <v>14</v>
      </c>
    </row>
    <row r="142" spans="1:16" ht="15.6" x14ac:dyDescent="0.3">
      <c r="A142" s="674"/>
      <c r="B142" s="24" t="s">
        <v>83</v>
      </c>
      <c r="C142" s="11" t="s">
        <v>3</v>
      </c>
      <c r="D142" s="132">
        <v>0</v>
      </c>
      <c r="E142" s="132">
        <v>0</v>
      </c>
      <c r="F142" s="132">
        <v>0</v>
      </c>
      <c r="G142" s="155">
        <v>0</v>
      </c>
      <c r="H142" s="132">
        <v>0</v>
      </c>
      <c r="I142" s="132">
        <v>0</v>
      </c>
      <c r="J142" s="155"/>
      <c r="K142" s="155"/>
      <c r="L142" s="155"/>
      <c r="M142" s="155">
        <v>0</v>
      </c>
      <c r="N142" s="132">
        <v>0</v>
      </c>
      <c r="O142" s="155">
        <v>0</v>
      </c>
      <c r="P142" s="18">
        <f>SUM(D142:O142)</f>
        <v>0</v>
      </c>
    </row>
    <row r="143" spans="1:16" ht="15.6" x14ac:dyDescent="0.3">
      <c r="A143" s="674"/>
      <c r="B143" s="24" t="s">
        <v>82</v>
      </c>
      <c r="C143" s="11" t="s">
        <v>3</v>
      </c>
      <c r="D143" s="132">
        <v>0</v>
      </c>
      <c r="E143" s="132">
        <v>0</v>
      </c>
      <c r="F143" s="132">
        <v>0</v>
      </c>
      <c r="G143" s="155">
        <v>0</v>
      </c>
      <c r="H143" s="132">
        <v>0</v>
      </c>
      <c r="I143" s="155"/>
      <c r="J143" s="155"/>
      <c r="K143" s="155"/>
      <c r="L143" s="155"/>
      <c r="M143" s="155">
        <v>0</v>
      </c>
      <c r="N143" s="132">
        <v>0</v>
      </c>
      <c r="O143" s="155">
        <v>0</v>
      </c>
      <c r="P143" s="18">
        <f>SUM(D143:O143)</f>
        <v>0</v>
      </c>
    </row>
    <row r="144" spans="1:16" ht="15.6" x14ac:dyDescent="0.3">
      <c r="A144" s="675"/>
      <c r="B144" s="24" t="s">
        <v>81</v>
      </c>
      <c r="C144" s="11" t="s">
        <v>3</v>
      </c>
      <c r="D144" s="132">
        <f>D140+D141-D142-D143</f>
        <v>0</v>
      </c>
      <c r="E144" s="132">
        <f t="shared" ref="E144:F144" si="53">E140+E141-E142-E143</f>
        <v>0</v>
      </c>
      <c r="F144" s="132">
        <f t="shared" si="53"/>
        <v>0</v>
      </c>
      <c r="G144" s="157">
        <v>0</v>
      </c>
      <c r="H144" s="132">
        <f t="shared" ref="H144:L144" si="54">H140+H141-H142-H143</f>
        <v>0</v>
      </c>
      <c r="I144" s="157">
        <f t="shared" si="54"/>
        <v>0</v>
      </c>
      <c r="J144" s="157">
        <f t="shared" si="54"/>
        <v>0</v>
      </c>
      <c r="K144" s="157">
        <f t="shared" si="54"/>
        <v>0</v>
      </c>
      <c r="L144" s="157">
        <f t="shared" si="54"/>
        <v>0</v>
      </c>
      <c r="M144" s="157">
        <v>109</v>
      </c>
      <c r="N144" s="132">
        <f t="shared" ref="N144" si="55">N140+N141-N142-N143</f>
        <v>116</v>
      </c>
      <c r="O144" s="157">
        <v>123</v>
      </c>
      <c r="P144" s="25">
        <f>P140+P141-P142-P143</f>
        <v>14</v>
      </c>
    </row>
    <row r="145" spans="1:16" s="2" customFormat="1" ht="15.6" x14ac:dyDescent="0.3">
      <c r="A145" s="673" t="s">
        <v>86</v>
      </c>
      <c r="B145" s="24" t="s">
        <v>85</v>
      </c>
      <c r="C145" s="11" t="s">
        <v>3</v>
      </c>
      <c r="D145" s="23">
        <f t="shared" ref="D145:P149" si="56">D125+D130+D135+D140</f>
        <v>0</v>
      </c>
      <c r="E145" s="23">
        <f t="shared" si="56"/>
        <v>0</v>
      </c>
      <c r="F145" s="23">
        <f t="shared" si="56"/>
        <v>0</v>
      </c>
      <c r="G145" s="23">
        <f t="shared" si="56"/>
        <v>0</v>
      </c>
      <c r="H145" s="23">
        <f t="shared" si="56"/>
        <v>0</v>
      </c>
      <c r="I145" s="138">
        <f t="shared" si="56"/>
        <v>0</v>
      </c>
      <c r="J145" s="23">
        <f t="shared" si="56"/>
        <v>0</v>
      </c>
      <c r="K145" s="23">
        <f t="shared" si="56"/>
        <v>0</v>
      </c>
      <c r="L145" s="23">
        <f t="shared" si="56"/>
        <v>0</v>
      </c>
      <c r="M145" s="23">
        <f t="shared" si="56"/>
        <v>117</v>
      </c>
      <c r="N145" s="23">
        <f t="shared" si="56"/>
        <v>120</v>
      </c>
      <c r="O145" s="23">
        <v>123</v>
      </c>
      <c r="P145" s="109">
        <f t="shared" si="56"/>
        <v>0</v>
      </c>
    </row>
    <row r="146" spans="1:16" ht="15.6" x14ac:dyDescent="0.3">
      <c r="A146" s="674"/>
      <c r="B146" s="24" t="s">
        <v>84</v>
      </c>
      <c r="C146" s="11" t="s">
        <v>3</v>
      </c>
      <c r="D146" s="23">
        <f t="shared" si="56"/>
        <v>0</v>
      </c>
      <c r="E146" s="23">
        <f t="shared" si="56"/>
        <v>0</v>
      </c>
      <c r="F146" s="23">
        <f t="shared" si="56"/>
        <v>0</v>
      </c>
      <c r="G146" s="23">
        <f t="shared" si="56"/>
        <v>0</v>
      </c>
      <c r="H146" s="23">
        <f t="shared" si="56"/>
        <v>0</v>
      </c>
      <c r="I146" s="138">
        <v>0</v>
      </c>
      <c r="J146" s="23">
        <f t="shared" si="56"/>
        <v>0</v>
      </c>
      <c r="K146" s="23">
        <f t="shared" si="56"/>
        <v>0</v>
      </c>
      <c r="L146" s="23">
        <f t="shared" si="56"/>
        <v>0</v>
      </c>
      <c r="M146" s="23">
        <f t="shared" si="56"/>
        <v>5</v>
      </c>
      <c r="N146" s="23">
        <f t="shared" si="56"/>
        <v>7</v>
      </c>
      <c r="O146" s="23">
        <v>8</v>
      </c>
      <c r="P146" s="109">
        <f t="shared" si="56"/>
        <v>20</v>
      </c>
    </row>
    <row r="147" spans="1:16" ht="15.6" x14ac:dyDescent="0.3">
      <c r="A147" s="674"/>
      <c r="B147" s="24" t="s">
        <v>83</v>
      </c>
      <c r="C147" s="11" t="s">
        <v>3</v>
      </c>
      <c r="D147" s="23">
        <f t="shared" si="56"/>
        <v>0</v>
      </c>
      <c r="E147" s="23">
        <f t="shared" si="56"/>
        <v>0</v>
      </c>
      <c r="F147" s="23">
        <f t="shared" si="56"/>
        <v>0</v>
      </c>
      <c r="G147" s="23">
        <f t="shared" si="56"/>
        <v>0</v>
      </c>
      <c r="H147" s="23">
        <f t="shared" si="56"/>
        <v>0</v>
      </c>
      <c r="I147" s="23">
        <f t="shared" si="56"/>
        <v>0</v>
      </c>
      <c r="J147" s="23">
        <f t="shared" si="56"/>
        <v>0</v>
      </c>
      <c r="K147" s="23">
        <f t="shared" si="56"/>
        <v>0</v>
      </c>
      <c r="L147" s="23">
        <f t="shared" si="56"/>
        <v>0</v>
      </c>
      <c r="M147" s="23">
        <f t="shared" si="56"/>
        <v>1</v>
      </c>
      <c r="N147" s="23">
        <f t="shared" si="56"/>
        <v>4</v>
      </c>
      <c r="O147" s="23">
        <v>1</v>
      </c>
      <c r="P147" s="109">
        <f t="shared" si="56"/>
        <v>6</v>
      </c>
    </row>
    <row r="148" spans="1:16" ht="15.6" x14ac:dyDescent="0.3">
      <c r="A148" s="674"/>
      <c r="B148" s="24" t="s">
        <v>82</v>
      </c>
      <c r="C148" s="11" t="s">
        <v>3</v>
      </c>
      <c r="D148" s="23">
        <f t="shared" si="56"/>
        <v>0</v>
      </c>
      <c r="E148" s="23">
        <f t="shared" si="56"/>
        <v>0</v>
      </c>
      <c r="F148" s="23">
        <f t="shared" si="56"/>
        <v>0</v>
      </c>
      <c r="G148" s="23">
        <f t="shared" si="56"/>
        <v>0</v>
      </c>
      <c r="H148" s="23">
        <f t="shared" si="56"/>
        <v>0</v>
      </c>
      <c r="I148" s="23">
        <f t="shared" si="56"/>
        <v>0</v>
      </c>
      <c r="J148" s="23">
        <f t="shared" si="56"/>
        <v>0</v>
      </c>
      <c r="K148" s="23">
        <f t="shared" si="56"/>
        <v>0</v>
      </c>
      <c r="L148" s="23">
        <f t="shared" si="56"/>
        <v>0</v>
      </c>
      <c r="M148" s="23">
        <f t="shared" si="56"/>
        <v>0</v>
      </c>
      <c r="N148" s="23">
        <f t="shared" si="56"/>
        <v>0</v>
      </c>
      <c r="O148" s="23">
        <v>0</v>
      </c>
      <c r="P148" s="109">
        <f t="shared" si="56"/>
        <v>0</v>
      </c>
    </row>
    <row r="149" spans="1:16" ht="15.6" x14ac:dyDescent="0.3">
      <c r="A149" s="675"/>
      <c r="B149" s="24" t="s">
        <v>81</v>
      </c>
      <c r="C149" s="11" t="s">
        <v>3</v>
      </c>
      <c r="D149" s="157">
        <f t="shared" ref="D149:N149" si="57">D145+D146-D147-D148</f>
        <v>0</v>
      </c>
      <c r="E149" s="157">
        <f t="shared" si="57"/>
        <v>0</v>
      </c>
      <c r="F149" s="157">
        <f t="shared" si="57"/>
        <v>0</v>
      </c>
      <c r="G149" s="157">
        <f t="shared" si="57"/>
        <v>0</v>
      </c>
      <c r="H149" s="157">
        <f t="shared" si="57"/>
        <v>0</v>
      </c>
      <c r="I149" s="157">
        <f t="shared" si="57"/>
        <v>0</v>
      </c>
      <c r="J149" s="157">
        <f t="shared" si="57"/>
        <v>0</v>
      </c>
      <c r="K149" s="157">
        <f t="shared" si="57"/>
        <v>0</v>
      </c>
      <c r="L149" s="157">
        <f t="shared" si="57"/>
        <v>0</v>
      </c>
      <c r="M149" s="157">
        <f t="shared" si="57"/>
        <v>121</v>
      </c>
      <c r="N149" s="157">
        <f t="shared" si="57"/>
        <v>123</v>
      </c>
      <c r="O149" s="157">
        <v>130</v>
      </c>
      <c r="P149" s="109">
        <f t="shared" si="56"/>
        <v>14</v>
      </c>
    </row>
    <row r="150" spans="1:16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0"/>
      <c r="P150" s="651"/>
    </row>
    <row r="151" spans="1:16" ht="15.6" x14ac:dyDescent="0.3">
      <c r="A151" s="661" t="s">
        <v>79</v>
      </c>
      <c r="B151" s="66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9"/>
    </row>
    <row r="152" spans="1:16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9"/>
    </row>
    <row r="153" spans="1:16" ht="15.6" x14ac:dyDescent="0.3">
      <c r="A153" s="671"/>
      <c r="B153" s="19" t="s">
        <v>73</v>
      </c>
      <c r="C153" s="11" t="s">
        <v>57</v>
      </c>
      <c r="D153" s="132">
        <v>0</v>
      </c>
      <c r="E153" s="132"/>
      <c r="F153" s="132"/>
      <c r="G153" s="132"/>
      <c r="H153" s="132">
        <v>0</v>
      </c>
      <c r="I153" s="132"/>
      <c r="J153" s="132">
        <v>0</v>
      </c>
      <c r="K153" s="132">
        <v>0</v>
      </c>
      <c r="L153" s="132"/>
      <c r="M153" s="4">
        <v>9</v>
      </c>
      <c r="N153" s="4">
        <v>6</v>
      </c>
      <c r="O153" s="155">
        <v>5</v>
      </c>
      <c r="P153" s="18">
        <f t="shared" ref="P153:P165" si="58">SUM(D153:O153)</f>
        <v>20</v>
      </c>
    </row>
    <row r="154" spans="1:16" ht="15.6" x14ac:dyDescent="0.3">
      <c r="A154" s="671"/>
      <c r="B154" s="19" t="s">
        <v>72</v>
      </c>
      <c r="C154" s="11" t="s">
        <v>57</v>
      </c>
      <c r="D154" s="132"/>
      <c r="E154" s="132"/>
      <c r="F154" s="132"/>
      <c r="G154" s="132"/>
      <c r="H154" s="132"/>
      <c r="I154" s="132"/>
      <c r="J154" s="155"/>
      <c r="K154" s="155"/>
      <c r="L154" s="132"/>
      <c r="M154" s="4">
        <v>1</v>
      </c>
      <c r="N154" s="4">
        <v>0</v>
      </c>
      <c r="O154" s="155">
        <v>2</v>
      </c>
      <c r="P154" s="18">
        <f t="shared" si="58"/>
        <v>3</v>
      </c>
    </row>
    <row r="155" spans="1:16" ht="15.6" x14ac:dyDescent="0.3">
      <c r="A155" s="671"/>
      <c r="B155" s="19" t="s">
        <v>53</v>
      </c>
      <c r="C155" s="11" t="s">
        <v>57</v>
      </c>
      <c r="D155" s="132"/>
      <c r="E155" s="132"/>
      <c r="F155" s="132"/>
      <c r="G155" s="132"/>
      <c r="H155" s="132"/>
      <c r="I155" s="132"/>
      <c r="J155" s="155"/>
      <c r="K155" s="155"/>
      <c r="L155" s="132"/>
      <c r="M155" s="4">
        <v>1</v>
      </c>
      <c r="N155" s="4">
        <v>0</v>
      </c>
      <c r="O155" s="155"/>
      <c r="P155" s="18">
        <f t="shared" si="58"/>
        <v>1</v>
      </c>
    </row>
    <row r="156" spans="1:16" ht="15.6" x14ac:dyDescent="0.3">
      <c r="A156" s="671"/>
      <c r="B156" s="19" t="s">
        <v>71</v>
      </c>
      <c r="C156" s="11" t="s">
        <v>57</v>
      </c>
      <c r="D156" s="132"/>
      <c r="E156" s="132"/>
      <c r="F156" s="132"/>
      <c r="G156" s="132"/>
      <c r="H156" s="132"/>
      <c r="I156" s="132"/>
      <c r="J156" s="155"/>
      <c r="K156" s="155"/>
      <c r="L156" s="132"/>
      <c r="M156" s="4"/>
      <c r="N156" s="4">
        <v>1</v>
      </c>
      <c r="O156" s="155"/>
      <c r="P156" s="18">
        <f t="shared" si="58"/>
        <v>1</v>
      </c>
    </row>
    <row r="157" spans="1:16" ht="15.6" x14ac:dyDescent="0.3">
      <c r="A157" s="671"/>
      <c r="B157" s="19" t="s">
        <v>52</v>
      </c>
      <c r="C157" s="11" t="s">
        <v>57</v>
      </c>
      <c r="D157" s="132"/>
      <c r="E157" s="132">
        <v>0</v>
      </c>
      <c r="F157" s="132"/>
      <c r="G157" s="132"/>
      <c r="H157" s="132"/>
      <c r="I157" s="132"/>
      <c r="J157" s="155"/>
      <c r="K157" s="132">
        <v>0</v>
      </c>
      <c r="L157" s="132"/>
      <c r="M157" s="4"/>
      <c r="N157" s="4">
        <v>0</v>
      </c>
      <c r="O157" s="155"/>
      <c r="P157" s="18">
        <f t="shared" si="58"/>
        <v>0</v>
      </c>
    </row>
    <row r="158" spans="1:16" ht="15.6" x14ac:dyDescent="0.3">
      <c r="A158" s="671"/>
      <c r="B158" s="19" t="s">
        <v>51</v>
      </c>
      <c r="C158" s="11" t="s">
        <v>57</v>
      </c>
      <c r="D158" s="132">
        <v>0</v>
      </c>
      <c r="E158" s="132"/>
      <c r="F158" s="132">
        <v>0</v>
      </c>
      <c r="G158" s="132"/>
      <c r="H158" s="132"/>
      <c r="I158" s="132">
        <v>0</v>
      </c>
      <c r="J158" s="132">
        <v>0</v>
      </c>
      <c r="K158" s="155"/>
      <c r="L158" s="132">
        <v>0</v>
      </c>
      <c r="M158" s="4"/>
      <c r="N158" s="4"/>
      <c r="O158" s="155"/>
      <c r="P158" s="18">
        <f t="shared" si="58"/>
        <v>0</v>
      </c>
    </row>
    <row r="159" spans="1:16" ht="15.6" x14ac:dyDescent="0.3">
      <c r="A159" s="671"/>
      <c r="B159" s="19" t="s">
        <v>62</v>
      </c>
      <c r="C159" s="11" t="s">
        <v>57</v>
      </c>
      <c r="D159" s="132"/>
      <c r="E159" s="132"/>
      <c r="F159" s="132"/>
      <c r="G159" s="132"/>
      <c r="H159" s="132"/>
      <c r="I159" s="4"/>
      <c r="J159" s="155"/>
      <c r="K159" s="155"/>
      <c r="L159" s="132"/>
      <c r="M159" s="4"/>
      <c r="N159" s="4"/>
      <c r="O159" s="155"/>
      <c r="P159" s="18">
        <f t="shared" si="58"/>
        <v>0</v>
      </c>
    </row>
    <row r="160" spans="1:16" ht="15.6" x14ac:dyDescent="0.3">
      <c r="A160" s="671"/>
      <c r="B160" s="19" t="s">
        <v>50</v>
      </c>
      <c r="C160" s="11" t="s">
        <v>57</v>
      </c>
      <c r="D160" s="132"/>
      <c r="E160" s="132"/>
      <c r="F160" s="132"/>
      <c r="G160" s="132"/>
      <c r="H160" s="132"/>
      <c r="I160" s="4"/>
      <c r="J160" s="155"/>
      <c r="K160" s="155"/>
      <c r="L160" s="132"/>
      <c r="M160" s="4"/>
      <c r="N160" s="4"/>
      <c r="O160" s="155"/>
      <c r="P160" s="18">
        <f t="shared" si="58"/>
        <v>0</v>
      </c>
    </row>
    <row r="161" spans="1:16" ht="15.6" x14ac:dyDescent="0.3">
      <c r="A161" s="671"/>
      <c r="B161" s="19" t="s">
        <v>49</v>
      </c>
      <c r="C161" s="11" t="s">
        <v>57</v>
      </c>
      <c r="D161" s="132"/>
      <c r="E161" s="132"/>
      <c r="F161" s="132"/>
      <c r="G161" s="132"/>
      <c r="H161" s="132"/>
      <c r="I161" s="4"/>
      <c r="J161" s="155"/>
      <c r="K161" s="155"/>
      <c r="L161" s="132"/>
      <c r="M161" s="4"/>
      <c r="N161" s="4"/>
      <c r="O161" s="4"/>
      <c r="P161" s="18">
        <f t="shared" si="58"/>
        <v>0</v>
      </c>
    </row>
    <row r="162" spans="1:16" ht="15.6" x14ac:dyDescent="0.3">
      <c r="A162" s="671"/>
      <c r="B162" s="19" t="s">
        <v>77</v>
      </c>
      <c r="C162" s="11" t="s">
        <v>57</v>
      </c>
      <c r="D162" s="132"/>
      <c r="E162" s="132"/>
      <c r="F162" s="132"/>
      <c r="G162" s="132"/>
      <c r="H162" s="132"/>
      <c r="I162" s="4"/>
      <c r="J162" s="4"/>
      <c r="K162" s="4"/>
      <c r="L162" s="4"/>
      <c r="M162" s="4"/>
      <c r="N162" s="4"/>
      <c r="O162" s="4"/>
      <c r="P162" s="18">
        <f t="shared" si="58"/>
        <v>0</v>
      </c>
    </row>
    <row r="163" spans="1:16" ht="15.6" x14ac:dyDescent="0.3">
      <c r="A163" s="671"/>
      <c r="B163" s="19" t="s">
        <v>69</v>
      </c>
      <c r="C163" s="11" t="s">
        <v>57</v>
      </c>
      <c r="D163" s="132"/>
      <c r="E163" s="132"/>
      <c r="F163" s="132"/>
      <c r="G163" s="132"/>
      <c r="H163" s="132"/>
      <c r="I163" s="4"/>
      <c r="J163" s="4"/>
      <c r="K163" s="4"/>
      <c r="L163" s="4"/>
      <c r="M163" s="4"/>
      <c r="N163" s="4"/>
      <c r="O163" s="4"/>
      <c r="P163" s="18">
        <f t="shared" si="58"/>
        <v>0</v>
      </c>
    </row>
    <row r="164" spans="1:16" ht="15.6" x14ac:dyDescent="0.3">
      <c r="A164" s="671"/>
      <c r="B164" s="19" t="s">
        <v>68</v>
      </c>
      <c r="C164" s="11" t="s">
        <v>57</v>
      </c>
      <c r="D164" s="132"/>
      <c r="E164" s="132"/>
      <c r="F164" s="132"/>
      <c r="G164" s="132"/>
      <c r="H164" s="132"/>
      <c r="I164" s="4"/>
      <c r="J164" s="4"/>
      <c r="K164" s="4"/>
      <c r="L164" s="4"/>
      <c r="M164" s="4"/>
      <c r="N164" s="4"/>
      <c r="O164" s="4"/>
      <c r="P164" s="18">
        <f t="shared" si="58"/>
        <v>0</v>
      </c>
    </row>
    <row r="165" spans="1:16" ht="15.6" x14ac:dyDescent="0.3">
      <c r="A165" s="672"/>
      <c r="B165" s="19" t="s">
        <v>76</v>
      </c>
      <c r="C165" s="11" t="s">
        <v>57</v>
      </c>
      <c r="D165" s="132"/>
      <c r="E165" s="132"/>
      <c r="F165" s="132"/>
      <c r="G165" s="132"/>
      <c r="H165" s="132"/>
      <c r="I165" s="4"/>
      <c r="J165" s="4"/>
      <c r="K165" s="4"/>
      <c r="L165" s="4"/>
      <c r="M165" s="4"/>
      <c r="N165" s="4"/>
      <c r="O165" s="4"/>
      <c r="P165" s="18">
        <f t="shared" si="58"/>
        <v>0</v>
      </c>
    </row>
    <row r="166" spans="1:16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132"/>
      <c r="H166" s="4"/>
      <c r="I166" s="4"/>
      <c r="J166" s="4"/>
      <c r="K166" s="4"/>
      <c r="L166" s="4"/>
      <c r="M166" s="4"/>
      <c r="N166" s="4"/>
      <c r="O166" s="4"/>
      <c r="P166" s="18"/>
    </row>
    <row r="167" spans="1:16" ht="15.6" x14ac:dyDescent="0.3">
      <c r="A167" s="671"/>
      <c r="B167" s="19" t="s">
        <v>74</v>
      </c>
      <c r="C167" s="11" t="s">
        <v>57</v>
      </c>
      <c r="D167" s="132"/>
      <c r="E167" s="132"/>
      <c r="F167" s="132">
        <v>0</v>
      </c>
      <c r="G167" s="132"/>
      <c r="H167" s="132"/>
      <c r="I167" s="155"/>
      <c r="J167" s="132">
        <v>0</v>
      </c>
      <c r="K167" s="155"/>
      <c r="L167" s="4"/>
      <c r="M167" s="4">
        <v>2</v>
      </c>
      <c r="N167" s="4">
        <v>1</v>
      </c>
      <c r="O167" s="4">
        <v>1</v>
      </c>
      <c r="P167" s="18">
        <f t="shared" ref="P167:P175" si="59">SUM(D167:O167)</f>
        <v>4</v>
      </c>
    </row>
    <row r="168" spans="1:16" ht="15.6" x14ac:dyDescent="0.3">
      <c r="A168" s="671"/>
      <c r="B168" s="19" t="s">
        <v>73</v>
      </c>
      <c r="C168" s="11" t="s">
        <v>57</v>
      </c>
      <c r="D168" s="132"/>
      <c r="E168" s="132"/>
      <c r="F168" s="132"/>
      <c r="G168" s="132">
        <v>1</v>
      </c>
      <c r="H168" s="132">
        <v>0</v>
      </c>
      <c r="I168" s="4"/>
      <c r="J168" s="4"/>
      <c r="K168" s="155"/>
      <c r="L168" s="4"/>
      <c r="M168" s="4">
        <v>1</v>
      </c>
      <c r="N168" s="4"/>
      <c r="O168" s="4">
        <v>1</v>
      </c>
      <c r="P168" s="18">
        <f t="shared" si="59"/>
        <v>3</v>
      </c>
    </row>
    <row r="169" spans="1:16" ht="15.6" x14ac:dyDescent="0.3">
      <c r="A169" s="671"/>
      <c r="B169" s="19" t="s">
        <v>72</v>
      </c>
      <c r="C169" s="11" t="s">
        <v>57</v>
      </c>
      <c r="D169" s="132"/>
      <c r="E169" s="132"/>
      <c r="F169" s="132"/>
      <c r="G169" s="132"/>
      <c r="H169" s="132"/>
      <c r="I169" s="4"/>
      <c r="J169" s="4"/>
      <c r="K169" s="4"/>
      <c r="L169" s="4"/>
      <c r="M169" s="4"/>
      <c r="N169" s="4"/>
      <c r="O169" s="4"/>
      <c r="P169" s="18">
        <f t="shared" si="59"/>
        <v>0</v>
      </c>
    </row>
    <row r="170" spans="1:16" ht="15.6" x14ac:dyDescent="0.3">
      <c r="A170" s="671"/>
      <c r="B170" s="19" t="s">
        <v>71</v>
      </c>
      <c r="C170" s="11" t="s">
        <v>57</v>
      </c>
      <c r="D170" s="132"/>
      <c r="E170" s="132"/>
      <c r="F170" s="132"/>
      <c r="G170" s="132"/>
      <c r="H170" s="132"/>
      <c r="I170" s="4"/>
      <c r="J170" s="4"/>
      <c r="K170" s="4"/>
      <c r="L170" s="4"/>
      <c r="M170" s="4"/>
      <c r="N170" s="4"/>
      <c r="O170" s="4"/>
      <c r="P170" s="18">
        <f t="shared" si="59"/>
        <v>0</v>
      </c>
    </row>
    <row r="171" spans="1:16" ht="15.6" x14ac:dyDescent="0.3">
      <c r="A171" s="671"/>
      <c r="B171" s="19" t="s">
        <v>52</v>
      </c>
      <c r="C171" s="11" t="s">
        <v>57</v>
      </c>
      <c r="D171" s="132"/>
      <c r="E171" s="132"/>
      <c r="F171" s="132"/>
      <c r="G171" s="132"/>
      <c r="H171" s="132"/>
      <c r="I171" s="4"/>
      <c r="J171" s="4"/>
      <c r="K171" s="4"/>
      <c r="L171" s="4"/>
      <c r="M171" s="4"/>
      <c r="N171" s="4"/>
      <c r="O171" s="4"/>
      <c r="P171" s="18">
        <f t="shared" si="59"/>
        <v>0</v>
      </c>
    </row>
    <row r="172" spans="1:16" ht="15.6" x14ac:dyDescent="0.3">
      <c r="A172" s="671"/>
      <c r="B172" s="19" t="s">
        <v>62</v>
      </c>
      <c r="C172" s="11" t="s">
        <v>57</v>
      </c>
      <c r="D172" s="132"/>
      <c r="E172" s="132"/>
      <c r="F172" s="132"/>
      <c r="G172" s="132"/>
      <c r="H172" s="132"/>
      <c r="I172" s="4"/>
      <c r="J172" s="4"/>
      <c r="K172" s="4"/>
      <c r="L172" s="4"/>
      <c r="M172" s="4"/>
      <c r="N172" s="4"/>
      <c r="O172" s="4"/>
      <c r="P172" s="18">
        <f t="shared" si="59"/>
        <v>0</v>
      </c>
    </row>
    <row r="173" spans="1:16" ht="15.6" x14ac:dyDescent="0.3">
      <c r="A173" s="671"/>
      <c r="B173" s="19" t="s">
        <v>61</v>
      </c>
      <c r="C173" s="11" t="s">
        <v>57</v>
      </c>
      <c r="D173" s="132"/>
      <c r="E173" s="132"/>
      <c r="F173" s="132"/>
      <c r="G173" s="13"/>
      <c r="H173" s="132"/>
      <c r="I173" s="4"/>
      <c r="J173" s="4"/>
      <c r="K173" s="4"/>
      <c r="L173" s="4"/>
      <c r="M173" s="4"/>
      <c r="N173" s="4"/>
      <c r="O173" s="4"/>
      <c r="P173" s="18">
        <f t="shared" si="59"/>
        <v>0</v>
      </c>
    </row>
    <row r="174" spans="1:16" ht="15.6" x14ac:dyDescent="0.3">
      <c r="A174" s="671"/>
      <c r="B174" s="19" t="s">
        <v>60</v>
      </c>
      <c r="C174" s="11" t="s">
        <v>57</v>
      </c>
      <c r="D174" s="132"/>
      <c r="E174" s="132"/>
      <c r="F174" s="132"/>
      <c r="G174" s="13"/>
      <c r="H174" s="132"/>
      <c r="I174" s="4"/>
      <c r="J174" s="4"/>
      <c r="K174" s="4"/>
      <c r="L174" s="4"/>
      <c r="M174" s="4"/>
      <c r="N174" s="4"/>
      <c r="O174" s="4"/>
      <c r="P174" s="18">
        <f t="shared" si="59"/>
        <v>0</v>
      </c>
    </row>
    <row r="175" spans="1:16" ht="15.6" x14ac:dyDescent="0.3">
      <c r="A175" s="672"/>
      <c r="B175" s="19" t="s">
        <v>69</v>
      </c>
      <c r="C175" s="11" t="s">
        <v>57</v>
      </c>
      <c r="D175" s="132"/>
      <c r="E175" s="132"/>
      <c r="F175" s="132"/>
      <c r="G175" s="132"/>
      <c r="H175" s="132"/>
      <c r="I175" s="4"/>
      <c r="J175" s="4"/>
      <c r="K175" s="4"/>
      <c r="L175" s="4"/>
      <c r="M175" s="4"/>
      <c r="N175" s="4"/>
      <c r="O175" s="4"/>
      <c r="P175" s="18">
        <f t="shared" si="59"/>
        <v>0</v>
      </c>
    </row>
    <row r="176" spans="1:16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132"/>
      <c r="H176" s="4"/>
      <c r="I176" s="4"/>
      <c r="J176" s="4"/>
      <c r="K176" s="4"/>
      <c r="L176" s="4"/>
      <c r="M176" s="4"/>
      <c r="N176" s="4"/>
      <c r="O176" s="4"/>
      <c r="P176" s="18"/>
    </row>
    <row r="177" spans="1:16" ht="15.6" x14ac:dyDescent="0.3">
      <c r="A177" s="671"/>
      <c r="B177" s="19" t="s">
        <v>60</v>
      </c>
      <c r="C177" s="11" t="s">
        <v>57</v>
      </c>
      <c r="D177" s="4"/>
      <c r="E177" s="4"/>
      <c r="F177" s="4"/>
      <c r="G177" s="132"/>
      <c r="H177" s="4"/>
      <c r="I177" s="4"/>
      <c r="J177" s="4"/>
      <c r="K177" s="4"/>
      <c r="L177" s="4"/>
      <c r="M177" s="4"/>
      <c r="N177" s="4"/>
      <c r="O177" s="4"/>
      <c r="P177" s="18">
        <f t="shared" ref="P177:P182" si="60">SUM(D177:O177)</f>
        <v>0</v>
      </c>
    </row>
    <row r="178" spans="1:16" ht="15.6" x14ac:dyDescent="0.3">
      <c r="A178" s="671"/>
      <c r="B178" s="19" t="s">
        <v>69</v>
      </c>
      <c r="C178" s="11" t="s">
        <v>57</v>
      </c>
      <c r="D178" s="4"/>
      <c r="E178" s="4"/>
      <c r="F178" s="4"/>
      <c r="G178" s="132"/>
      <c r="H178" s="4"/>
      <c r="I178" s="4"/>
      <c r="J178" s="4"/>
      <c r="K178" s="4"/>
      <c r="L178" s="4"/>
      <c r="M178" s="4"/>
      <c r="N178" s="4"/>
      <c r="O178" s="4"/>
      <c r="P178" s="18">
        <f t="shared" si="60"/>
        <v>0</v>
      </c>
    </row>
    <row r="179" spans="1:16" ht="15.6" x14ac:dyDescent="0.3">
      <c r="A179" s="671"/>
      <c r="B179" s="19" t="s">
        <v>68</v>
      </c>
      <c r="C179" s="11" t="s">
        <v>57</v>
      </c>
      <c r="D179" s="4"/>
      <c r="E179" s="4"/>
      <c r="F179" s="4"/>
      <c r="G179" s="132"/>
      <c r="H179" s="4"/>
      <c r="I179" s="4"/>
      <c r="J179" s="4"/>
      <c r="K179" s="4"/>
      <c r="L179" s="4"/>
      <c r="M179" s="4"/>
      <c r="N179" s="4"/>
      <c r="O179" s="4"/>
      <c r="P179" s="18">
        <f t="shared" si="60"/>
        <v>0</v>
      </c>
    </row>
    <row r="180" spans="1:16" ht="15.6" x14ac:dyDescent="0.3">
      <c r="A180" s="671"/>
      <c r="B180" s="19" t="s">
        <v>67</v>
      </c>
      <c r="C180" s="11" t="s">
        <v>57</v>
      </c>
      <c r="D180" s="4"/>
      <c r="E180" s="4"/>
      <c r="F180" s="4"/>
      <c r="G180" s="132"/>
      <c r="H180" s="4"/>
      <c r="I180" s="4"/>
      <c r="J180" s="4"/>
      <c r="K180" s="4"/>
      <c r="L180" s="4"/>
      <c r="M180" s="4"/>
      <c r="N180" s="4"/>
      <c r="O180" s="4"/>
      <c r="P180" s="18">
        <f t="shared" si="60"/>
        <v>0</v>
      </c>
    </row>
    <row r="181" spans="1:16" ht="15.6" x14ac:dyDescent="0.3">
      <c r="A181" s="671"/>
      <c r="B181" s="19" t="s">
        <v>66</v>
      </c>
      <c r="C181" s="11" t="s">
        <v>57</v>
      </c>
      <c r="D181" s="4"/>
      <c r="E181" s="4"/>
      <c r="F181" s="4"/>
      <c r="G181" s="132"/>
      <c r="H181" s="4"/>
      <c r="I181" s="4"/>
      <c r="J181" s="4"/>
      <c r="K181" s="4"/>
      <c r="L181" s="4"/>
      <c r="M181" s="4"/>
      <c r="N181" s="4"/>
      <c r="O181" s="4"/>
      <c r="P181" s="18">
        <f t="shared" si="60"/>
        <v>0</v>
      </c>
    </row>
    <row r="182" spans="1:16" ht="15.6" x14ac:dyDescent="0.3">
      <c r="A182" s="672"/>
      <c r="B182" s="19" t="s">
        <v>65</v>
      </c>
      <c r="C182" s="11" t="s">
        <v>57</v>
      </c>
      <c r="D182" s="4"/>
      <c r="E182" s="4"/>
      <c r="F182" s="4"/>
      <c r="G182" s="132"/>
      <c r="H182" s="4"/>
      <c r="I182" s="4"/>
      <c r="J182" s="4"/>
      <c r="K182" s="4"/>
      <c r="L182" s="4"/>
      <c r="M182" s="4"/>
      <c r="N182" s="4"/>
      <c r="O182" s="4"/>
      <c r="P182" s="18">
        <f t="shared" si="60"/>
        <v>0</v>
      </c>
    </row>
    <row r="183" spans="1:16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8"/>
    </row>
    <row r="184" spans="1:16" ht="15.6" x14ac:dyDescent="0.3">
      <c r="A184" s="671"/>
      <c r="B184" s="19" t="s">
        <v>73</v>
      </c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8">
        <f>SUM(D184:O184)</f>
        <v>0</v>
      </c>
    </row>
    <row r="185" spans="1:16" ht="15.6" x14ac:dyDescent="0.3">
      <c r="A185" s="671"/>
      <c r="B185" s="19" t="s">
        <v>72</v>
      </c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8">
        <f>SUM(D185:O185)</f>
        <v>0</v>
      </c>
    </row>
    <row r="186" spans="1:16" ht="15.6" x14ac:dyDescent="0.3">
      <c r="A186" s="671"/>
      <c r="B186" s="19" t="s">
        <v>53</v>
      </c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8">
        <f>SUM(D186:O186)</f>
        <v>0</v>
      </c>
    </row>
    <row r="187" spans="1:16" ht="15.6" x14ac:dyDescent="0.3">
      <c r="A187" s="672"/>
      <c r="B187" s="19" t="s">
        <v>52</v>
      </c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8">
        <f>SUM(D187:O187)</f>
        <v>0</v>
      </c>
    </row>
    <row r="188" spans="1:16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8"/>
    </row>
    <row r="189" spans="1:16" ht="15.6" x14ac:dyDescent="0.3">
      <c r="A189" s="671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8">
        <f>SUM(D189:O189)</f>
        <v>0</v>
      </c>
    </row>
    <row r="190" spans="1:16" ht="15.6" x14ac:dyDescent="0.3">
      <c r="A190" s="671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8">
        <f>SUM(D190:O190)</f>
        <v>0</v>
      </c>
    </row>
    <row r="191" spans="1:16" ht="15.6" x14ac:dyDescent="0.3">
      <c r="A191" s="671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8">
        <f>SUM(D191:O191)</f>
        <v>0</v>
      </c>
    </row>
    <row r="192" spans="1:16" ht="15.6" x14ac:dyDescent="0.3">
      <c r="A192" s="672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8">
        <f>SUM(D192:O192)</f>
        <v>0</v>
      </c>
    </row>
    <row r="193" spans="1:16" ht="15.6" x14ac:dyDescent="0.3">
      <c r="A193" s="84" t="s">
        <v>59</v>
      </c>
      <c r="B193" s="17"/>
      <c r="C193" s="11"/>
      <c r="D193" s="158">
        <f>SUM(D153:D192)</f>
        <v>0</v>
      </c>
      <c r="E193" s="158">
        <f t="shared" ref="E193:P193" si="61">SUM(E153:E192)</f>
        <v>0</v>
      </c>
      <c r="F193" s="158">
        <f t="shared" si="61"/>
        <v>0</v>
      </c>
      <c r="G193" s="158">
        <v>0</v>
      </c>
      <c r="H193" s="158">
        <f t="shared" si="61"/>
        <v>0</v>
      </c>
      <c r="I193" s="158">
        <f t="shared" si="61"/>
        <v>0</v>
      </c>
      <c r="J193" s="158">
        <f t="shared" si="61"/>
        <v>0</v>
      </c>
      <c r="K193" s="158">
        <f t="shared" si="61"/>
        <v>0</v>
      </c>
      <c r="L193" s="158">
        <f t="shared" si="61"/>
        <v>0</v>
      </c>
      <c r="M193" s="158">
        <f t="shared" si="61"/>
        <v>14</v>
      </c>
      <c r="N193" s="158">
        <f t="shared" si="61"/>
        <v>8</v>
      </c>
      <c r="O193" s="158">
        <v>9</v>
      </c>
      <c r="P193" s="160">
        <f t="shared" si="61"/>
        <v>32</v>
      </c>
    </row>
    <row r="194" spans="1:16" ht="15.6" x14ac:dyDescent="0.3">
      <c r="A194" s="665" t="s">
        <v>58</v>
      </c>
      <c r="B194" s="666"/>
      <c r="C194" s="11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155"/>
      <c r="J194" s="4">
        <v>0</v>
      </c>
      <c r="K194" s="4">
        <v>0</v>
      </c>
      <c r="L194" s="155">
        <v>0</v>
      </c>
      <c r="M194" s="155">
        <v>2</v>
      </c>
      <c r="N194" s="4">
        <v>1</v>
      </c>
      <c r="O194" s="155"/>
      <c r="P194" s="18">
        <f>SUM(D194:O194)</f>
        <v>3</v>
      </c>
    </row>
    <row r="195" spans="1:16" ht="15.6" x14ac:dyDescent="0.3">
      <c r="A195" s="667"/>
      <c r="B195" s="668"/>
      <c r="C195" s="16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155"/>
      <c r="J195" s="4">
        <v>0</v>
      </c>
      <c r="K195" s="4">
        <v>0</v>
      </c>
      <c r="L195" s="155">
        <v>0</v>
      </c>
      <c r="M195" s="155">
        <v>12</v>
      </c>
      <c r="N195" s="4">
        <v>2</v>
      </c>
      <c r="O195" s="155"/>
      <c r="P195" s="18">
        <f>SUM(D195:O195)</f>
        <v>14</v>
      </c>
    </row>
    <row r="196" spans="1:16" ht="15.6" x14ac:dyDescent="0.3">
      <c r="A196" s="594" t="s">
        <v>202</v>
      </c>
      <c r="B196" s="595"/>
      <c r="C196" s="16" t="s">
        <v>55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155">
        <v>0</v>
      </c>
      <c r="M196" s="155">
        <v>4</v>
      </c>
      <c r="N196" s="4">
        <v>3</v>
      </c>
      <c r="O196" s="155">
        <v>5</v>
      </c>
      <c r="P196" s="18">
        <f>SUM(D196:O196)/12</f>
        <v>1</v>
      </c>
    </row>
    <row r="197" spans="1:16" ht="15.6" x14ac:dyDescent="0.3">
      <c r="A197" s="661" t="s">
        <v>56</v>
      </c>
      <c r="B197" s="662"/>
      <c r="C197" s="16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155">
        <v>0</v>
      </c>
      <c r="M197" s="155">
        <v>23</v>
      </c>
      <c r="N197" s="4">
        <v>52</v>
      </c>
      <c r="O197" s="155">
        <v>44</v>
      </c>
      <c r="P197" s="18">
        <f>SUM(D197:O197)</f>
        <v>119</v>
      </c>
    </row>
    <row r="198" spans="1:16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0"/>
      <c r="P198" s="651"/>
    </row>
    <row r="199" spans="1:16" ht="15.6" x14ac:dyDescent="0.3">
      <c r="A199" s="665" t="s">
        <v>54</v>
      </c>
      <c r="B199" s="593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62">SUM(D199:O199)</f>
        <v>0</v>
      </c>
    </row>
    <row r="200" spans="1:16" ht="15.6" x14ac:dyDescent="0.3">
      <c r="A200" s="669"/>
      <c r="B200" s="593" t="s">
        <v>52</v>
      </c>
      <c r="C200" s="11" t="s">
        <v>47</v>
      </c>
      <c r="D200" s="4"/>
      <c r="E200" s="4"/>
      <c r="F200" s="4"/>
      <c r="G200" s="4"/>
      <c r="H200" s="4"/>
      <c r="I200" s="4"/>
      <c r="J200" s="4">
        <v>0</v>
      </c>
      <c r="K200" s="4"/>
      <c r="L200" s="4"/>
      <c r="M200" s="4"/>
      <c r="N200" s="4"/>
      <c r="O200" s="4"/>
      <c r="P200" s="9">
        <f t="shared" si="62"/>
        <v>0</v>
      </c>
    </row>
    <row r="201" spans="1:16" ht="15.6" x14ac:dyDescent="0.3">
      <c r="A201" s="669"/>
      <c r="B201" s="593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62"/>
        <v>0</v>
      </c>
    </row>
    <row r="202" spans="1:16" ht="15.6" x14ac:dyDescent="0.3">
      <c r="A202" s="669"/>
      <c r="B202" s="593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62"/>
        <v>0</v>
      </c>
    </row>
    <row r="203" spans="1:16" ht="15.6" x14ac:dyDescent="0.3">
      <c r="A203" s="667"/>
      <c r="B203" s="593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62"/>
        <v>0</v>
      </c>
    </row>
    <row r="204" spans="1:16" ht="15.6" x14ac:dyDescent="0.3">
      <c r="A204" s="83" t="s">
        <v>48</v>
      </c>
      <c r="B204" s="593"/>
      <c r="C204" s="11" t="s">
        <v>47</v>
      </c>
      <c r="D204" s="15">
        <f t="shared" ref="D204:N204" si="63">SUM(D199:D203)</f>
        <v>0</v>
      </c>
      <c r="E204" s="15">
        <f t="shared" si="63"/>
        <v>0</v>
      </c>
      <c r="F204" s="15">
        <f t="shared" si="63"/>
        <v>0</v>
      </c>
      <c r="G204" s="15">
        <f t="shared" si="63"/>
        <v>0</v>
      </c>
      <c r="H204" s="15">
        <f t="shared" si="63"/>
        <v>0</v>
      </c>
      <c r="I204" s="15">
        <f t="shared" si="63"/>
        <v>0</v>
      </c>
      <c r="J204" s="15">
        <f t="shared" si="63"/>
        <v>0</v>
      </c>
      <c r="K204" s="15">
        <f t="shared" si="63"/>
        <v>0</v>
      </c>
      <c r="L204" s="15">
        <f t="shared" si="63"/>
        <v>0</v>
      </c>
      <c r="M204" s="15">
        <f t="shared" si="63"/>
        <v>0</v>
      </c>
      <c r="N204" s="15">
        <f t="shared" si="63"/>
        <v>0</v>
      </c>
      <c r="O204" s="15">
        <v>0</v>
      </c>
      <c r="P204" s="110">
        <f t="shared" si="62"/>
        <v>0</v>
      </c>
    </row>
    <row r="205" spans="1:16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1"/>
    </row>
    <row r="206" spans="1:16" ht="15.6" x14ac:dyDescent="0.3">
      <c r="A206" s="661" t="s">
        <v>43</v>
      </c>
      <c r="B206" s="662"/>
      <c r="C206" s="11" t="s">
        <v>31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555">
        <v>0</v>
      </c>
      <c r="K206" s="555">
        <v>0</v>
      </c>
      <c r="L206" s="13">
        <v>0</v>
      </c>
      <c r="M206" s="13">
        <v>499290</v>
      </c>
      <c r="N206" s="13"/>
      <c r="O206" s="13"/>
      <c r="P206" s="9">
        <f>SUM(D206:O206)</f>
        <v>499290</v>
      </c>
    </row>
    <row r="207" spans="1:16" ht="15.6" x14ac:dyDescent="0.3">
      <c r="A207" s="661" t="s">
        <v>42</v>
      </c>
      <c r="B207" s="662"/>
      <c r="C207" s="11" t="s">
        <v>31</v>
      </c>
      <c r="D207" s="13">
        <v>0</v>
      </c>
      <c r="E207" s="13">
        <v>0</v>
      </c>
      <c r="F207" s="13">
        <v>0</v>
      </c>
      <c r="G207" s="13">
        <v>0</v>
      </c>
      <c r="H207" s="13"/>
      <c r="I207" s="13"/>
      <c r="J207" s="13"/>
      <c r="K207" s="13"/>
      <c r="L207" s="13"/>
      <c r="M207" s="13">
        <v>14940</v>
      </c>
      <c r="N207" s="13"/>
      <c r="O207" s="13"/>
      <c r="P207" s="9">
        <f>SUM(D207:O207)</f>
        <v>14940</v>
      </c>
    </row>
    <row r="208" spans="1:16" ht="15.6" x14ac:dyDescent="0.3">
      <c r="A208" s="663" t="s">
        <v>41</v>
      </c>
      <c r="B208" s="664"/>
      <c r="C208" s="11" t="s">
        <v>31</v>
      </c>
      <c r="D208" s="13">
        <v>0</v>
      </c>
      <c r="E208" s="13">
        <v>0</v>
      </c>
      <c r="F208" s="13">
        <v>0</v>
      </c>
      <c r="G208" s="13">
        <v>0</v>
      </c>
      <c r="H208" s="13"/>
      <c r="I208" s="13"/>
      <c r="J208" s="13"/>
      <c r="K208" s="13"/>
      <c r="L208" s="13"/>
      <c r="M208" s="13">
        <v>173890</v>
      </c>
      <c r="N208" s="13"/>
      <c r="O208" s="13"/>
      <c r="P208" s="9">
        <f>SUM(D208:O208)</f>
        <v>173890</v>
      </c>
    </row>
    <row r="209" spans="1:16" ht="15.6" x14ac:dyDescent="0.3">
      <c r="A209" s="661" t="s">
        <v>40</v>
      </c>
      <c r="B209" s="662"/>
      <c r="C209" s="11" t="s">
        <v>31</v>
      </c>
      <c r="D209" s="13">
        <v>0</v>
      </c>
      <c r="E209" s="13">
        <v>0</v>
      </c>
      <c r="F209" s="13">
        <v>0</v>
      </c>
      <c r="G209" s="13">
        <v>0</v>
      </c>
      <c r="H209" s="13"/>
      <c r="I209" s="13"/>
      <c r="J209" s="13"/>
      <c r="K209" s="13"/>
      <c r="L209" s="13"/>
      <c r="M209" s="13">
        <v>80240</v>
      </c>
      <c r="N209" s="13"/>
      <c r="O209" s="13"/>
      <c r="P209" s="9">
        <f>SUM(D209:O209)</f>
        <v>80240</v>
      </c>
    </row>
    <row r="210" spans="1:16" ht="15.6" x14ac:dyDescent="0.3">
      <c r="A210" s="647" t="s">
        <v>45</v>
      </c>
      <c r="B210" s="648"/>
      <c r="C210" s="11" t="s">
        <v>31</v>
      </c>
      <c r="D210" s="10">
        <f t="shared" ref="D210:N210" si="64">SUM(D206:D209)</f>
        <v>0</v>
      </c>
      <c r="E210" s="10">
        <f t="shared" si="64"/>
        <v>0</v>
      </c>
      <c r="F210" s="10">
        <f t="shared" si="64"/>
        <v>0</v>
      </c>
      <c r="G210" s="10">
        <f t="shared" si="64"/>
        <v>0</v>
      </c>
      <c r="H210" s="10">
        <f t="shared" si="64"/>
        <v>0</v>
      </c>
      <c r="I210" s="10">
        <f t="shared" si="64"/>
        <v>0</v>
      </c>
      <c r="J210" s="10">
        <f t="shared" si="64"/>
        <v>0</v>
      </c>
      <c r="K210" s="10">
        <f t="shared" si="64"/>
        <v>0</v>
      </c>
      <c r="L210" s="10">
        <f t="shared" si="64"/>
        <v>0</v>
      </c>
      <c r="M210" s="10">
        <f t="shared" si="64"/>
        <v>768360</v>
      </c>
      <c r="N210" s="10">
        <f t="shared" si="64"/>
        <v>0</v>
      </c>
      <c r="O210" s="10">
        <v>0</v>
      </c>
      <c r="P210" s="9">
        <f>SUM(D210:O210)</f>
        <v>768360</v>
      </c>
    </row>
    <row r="211" spans="1:16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0"/>
      <c r="N211" s="650"/>
      <c r="O211" s="650"/>
      <c r="P211" s="651"/>
    </row>
    <row r="212" spans="1:16" ht="15.6" x14ac:dyDescent="0.3">
      <c r="A212" s="661" t="s">
        <v>43</v>
      </c>
      <c r="B212" s="662"/>
      <c r="C212" s="11" t="s">
        <v>31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555">
        <v>0</v>
      </c>
      <c r="K212" s="13">
        <v>0</v>
      </c>
      <c r="L212" s="13">
        <v>0</v>
      </c>
      <c r="M212" s="13"/>
      <c r="N212" s="13"/>
      <c r="O212" s="13"/>
      <c r="P212" s="9">
        <f>SUM(D212:O212)</f>
        <v>0</v>
      </c>
    </row>
    <row r="213" spans="1:16" ht="15.6" x14ac:dyDescent="0.3">
      <c r="A213" s="661" t="s">
        <v>42</v>
      </c>
      <c r="B213" s="662"/>
      <c r="C213" s="11" t="s">
        <v>31</v>
      </c>
      <c r="D213" s="13">
        <v>0</v>
      </c>
      <c r="E213" s="13">
        <v>0</v>
      </c>
      <c r="F213" s="13">
        <v>0</v>
      </c>
      <c r="G213" s="13"/>
      <c r="H213" s="13"/>
      <c r="I213" s="13"/>
      <c r="J213" s="555">
        <v>0</v>
      </c>
      <c r="K213" s="13">
        <v>0</v>
      </c>
      <c r="L213" s="13">
        <v>0</v>
      </c>
      <c r="M213" s="13"/>
      <c r="N213" s="13"/>
      <c r="O213" s="13"/>
      <c r="P213" s="9">
        <f>SUM(D213:O213)</f>
        <v>0</v>
      </c>
    </row>
    <row r="214" spans="1:16" ht="15.6" x14ac:dyDescent="0.3">
      <c r="A214" s="663" t="s">
        <v>41</v>
      </c>
      <c r="B214" s="664"/>
      <c r="C214" s="11" t="s">
        <v>31</v>
      </c>
      <c r="D214" s="13">
        <v>0</v>
      </c>
      <c r="E214" s="13">
        <v>0</v>
      </c>
      <c r="F214" s="13">
        <v>0</v>
      </c>
      <c r="G214" s="13"/>
      <c r="H214" s="13"/>
      <c r="I214" s="13"/>
      <c r="J214" s="555">
        <v>0</v>
      </c>
      <c r="K214" s="13">
        <v>0</v>
      </c>
      <c r="L214" s="13">
        <v>0</v>
      </c>
      <c r="M214" s="13"/>
      <c r="N214" s="13"/>
      <c r="O214" s="13"/>
      <c r="P214" s="9">
        <f>SUM(D214:O214)</f>
        <v>0</v>
      </c>
    </row>
    <row r="215" spans="1:16" ht="15.6" x14ac:dyDescent="0.3">
      <c r="A215" s="661" t="s">
        <v>40</v>
      </c>
      <c r="B215" s="662"/>
      <c r="C215" s="11" t="s">
        <v>31</v>
      </c>
      <c r="D215" s="13">
        <v>0</v>
      </c>
      <c r="E215" s="13">
        <v>0</v>
      </c>
      <c r="F215" s="13">
        <v>0</v>
      </c>
      <c r="G215" s="13"/>
      <c r="H215" s="13"/>
      <c r="I215" s="13"/>
      <c r="J215" s="555">
        <v>0</v>
      </c>
      <c r="K215" s="13">
        <v>0</v>
      </c>
      <c r="L215" s="13">
        <v>0</v>
      </c>
      <c r="M215" s="13"/>
      <c r="N215" s="13"/>
      <c r="O215" s="13"/>
      <c r="P215" s="9">
        <f>SUM(D215:O215)</f>
        <v>0</v>
      </c>
    </row>
    <row r="216" spans="1:16" ht="15.6" x14ac:dyDescent="0.3">
      <c r="A216" s="647" t="s">
        <v>39</v>
      </c>
      <c r="B216" s="648"/>
      <c r="C216" s="11" t="s">
        <v>31</v>
      </c>
      <c r="D216" s="10">
        <f t="shared" ref="D216:N216" si="65">SUM(D212:D215)</f>
        <v>0</v>
      </c>
      <c r="E216" s="10">
        <f t="shared" si="65"/>
        <v>0</v>
      </c>
      <c r="F216" s="10">
        <f t="shared" si="65"/>
        <v>0</v>
      </c>
      <c r="G216" s="10">
        <f t="shared" si="65"/>
        <v>0</v>
      </c>
      <c r="H216" s="10">
        <f t="shared" si="65"/>
        <v>0</v>
      </c>
      <c r="I216" s="10">
        <f t="shared" si="65"/>
        <v>0</v>
      </c>
      <c r="J216" s="10">
        <f t="shared" si="65"/>
        <v>0</v>
      </c>
      <c r="K216" s="10">
        <f t="shared" si="65"/>
        <v>0</v>
      </c>
      <c r="L216" s="10">
        <f t="shared" si="65"/>
        <v>0</v>
      </c>
      <c r="M216" s="10">
        <f t="shared" si="65"/>
        <v>0</v>
      </c>
      <c r="N216" s="10">
        <f t="shared" si="65"/>
        <v>0</v>
      </c>
      <c r="O216" s="10">
        <v>0</v>
      </c>
      <c r="P216" s="9">
        <f>SUM(D216:O216)</f>
        <v>0</v>
      </c>
    </row>
    <row r="217" spans="1:16" s="2" customFormat="1" ht="15.6" x14ac:dyDescent="0.3">
      <c r="A217" s="589" t="s">
        <v>38</v>
      </c>
      <c r="B217" s="590"/>
      <c r="C217" s="11" t="s">
        <v>31</v>
      </c>
      <c r="D217" s="10">
        <f>D210+D216</f>
        <v>0</v>
      </c>
      <c r="E217" s="10">
        <f t="shared" ref="E217:P217" si="66">E210+E216</f>
        <v>0</v>
      </c>
      <c r="F217" s="10">
        <f t="shared" si="66"/>
        <v>0</v>
      </c>
      <c r="G217" s="10">
        <f t="shared" si="66"/>
        <v>0</v>
      </c>
      <c r="H217" s="10">
        <f t="shared" si="66"/>
        <v>0</v>
      </c>
      <c r="I217" s="10">
        <f t="shared" si="66"/>
        <v>0</v>
      </c>
      <c r="J217" s="10">
        <f t="shared" si="66"/>
        <v>0</v>
      </c>
      <c r="K217" s="10">
        <f t="shared" si="66"/>
        <v>0</v>
      </c>
      <c r="L217" s="10">
        <f t="shared" si="66"/>
        <v>0</v>
      </c>
      <c r="M217" s="10">
        <f t="shared" si="66"/>
        <v>768360</v>
      </c>
      <c r="N217" s="10">
        <f t="shared" si="66"/>
        <v>0</v>
      </c>
      <c r="O217" s="10">
        <v>0</v>
      </c>
      <c r="P217" s="40">
        <f t="shared" si="66"/>
        <v>768360</v>
      </c>
    </row>
    <row r="218" spans="1:16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0"/>
      <c r="P218" s="651"/>
    </row>
    <row r="219" spans="1:16" ht="15.6" x14ac:dyDescent="0.3">
      <c r="A219" s="661" t="s">
        <v>35</v>
      </c>
      <c r="B219" s="662"/>
      <c r="C219" s="11" t="s">
        <v>31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1494977.47</v>
      </c>
      <c r="N219" s="13">
        <f>240361.1+914440.98</f>
        <v>1154802.08</v>
      </c>
      <c r="O219" s="13">
        <v>790405</v>
      </c>
      <c r="P219" s="9">
        <f>SUM(D219:O219)</f>
        <v>3440184.55</v>
      </c>
    </row>
    <row r="220" spans="1:16" ht="15.6" x14ac:dyDescent="0.3">
      <c r="A220" s="661" t="s">
        <v>34</v>
      </c>
      <c r="B220" s="662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/>
      <c r="I220" s="13"/>
      <c r="J220" s="13"/>
      <c r="K220" s="13"/>
      <c r="L220" s="13"/>
      <c r="M220" s="13">
        <v>0</v>
      </c>
      <c r="N220" s="13">
        <v>2608.35</v>
      </c>
      <c r="O220" s="13">
        <v>696</v>
      </c>
      <c r="P220" s="9">
        <f>SUM(D220:O220)</f>
        <v>3304.35</v>
      </c>
    </row>
    <row r="221" spans="1:16" ht="15.6" x14ac:dyDescent="0.3">
      <c r="A221" s="661" t="s">
        <v>33</v>
      </c>
      <c r="B221" s="662"/>
      <c r="C221" s="11" t="s">
        <v>31</v>
      </c>
      <c r="D221" s="13">
        <v>0</v>
      </c>
      <c r="E221" s="13">
        <v>0</v>
      </c>
      <c r="F221" s="13">
        <v>0</v>
      </c>
      <c r="G221" s="13">
        <v>0</v>
      </c>
      <c r="H221" s="13"/>
      <c r="I221" s="13"/>
      <c r="J221" s="13"/>
      <c r="K221" s="13"/>
      <c r="L221" s="13"/>
      <c r="M221" s="13">
        <v>716425.81</v>
      </c>
      <c r="N221" s="13">
        <v>4066044.6</v>
      </c>
      <c r="O221" s="13">
        <v>442892</v>
      </c>
      <c r="P221" s="9">
        <f>SUM(D221:O221)</f>
        <v>5225362.41</v>
      </c>
    </row>
    <row r="222" spans="1:16" ht="15.6" x14ac:dyDescent="0.3">
      <c r="A222" s="661" t="s">
        <v>32</v>
      </c>
      <c r="B222" s="662"/>
      <c r="C222" s="11" t="s">
        <v>31</v>
      </c>
      <c r="D222" s="13">
        <v>0</v>
      </c>
      <c r="E222" s="13">
        <v>0</v>
      </c>
      <c r="F222" s="13">
        <v>0</v>
      </c>
      <c r="G222" s="13">
        <v>0</v>
      </c>
      <c r="H222" s="13"/>
      <c r="I222" s="13"/>
      <c r="J222" s="13"/>
      <c r="K222" s="13"/>
      <c r="L222" s="13"/>
      <c r="M222" s="13">
        <v>1137950.22</v>
      </c>
      <c r="N222" s="13">
        <v>509021.81</v>
      </c>
      <c r="O222" s="13">
        <v>991379</v>
      </c>
      <c r="P222" s="9">
        <f>SUM(D222:O222)</f>
        <v>2638351.0300000003</v>
      </c>
    </row>
    <row r="223" spans="1:16" ht="15.6" x14ac:dyDescent="0.3">
      <c r="A223" s="647" t="s">
        <v>36</v>
      </c>
      <c r="B223" s="648"/>
      <c r="C223" s="11" t="s">
        <v>31</v>
      </c>
      <c r="D223" s="12">
        <f t="shared" ref="D223:N223" si="67">SUM(D219:D222)</f>
        <v>0</v>
      </c>
      <c r="E223" s="10">
        <f t="shared" si="67"/>
        <v>0</v>
      </c>
      <c r="F223" s="10">
        <f t="shared" si="67"/>
        <v>0</v>
      </c>
      <c r="G223" s="10">
        <f t="shared" si="67"/>
        <v>0</v>
      </c>
      <c r="H223" s="10">
        <f t="shared" si="67"/>
        <v>0</v>
      </c>
      <c r="I223" s="10">
        <f t="shared" si="67"/>
        <v>0</v>
      </c>
      <c r="J223" s="14">
        <f t="shared" si="67"/>
        <v>0</v>
      </c>
      <c r="K223" s="14">
        <f t="shared" si="67"/>
        <v>0</v>
      </c>
      <c r="L223" s="14">
        <f t="shared" si="67"/>
        <v>0</v>
      </c>
      <c r="M223" s="14">
        <f t="shared" si="67"/>
        <v>3349353.5</v>
      </c>
      <c r="N223" s="14">
        <f t="shared" si="67"/>
        <v>5732476.8399999999</v>
      </c>
      <c r="O223" s="14">
        <v>2225372</v>
      </c>
      <c r="P223" s="9">
        <f>SUM(D223:O223)</f>
        <v>11307202.34</v>
      </c>
    </row>
    <row r="224" spans="1:16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0"/>
      <c r="P224" s="651"/>
    </row>
    <row r="225" spans="1:16" ht="15.6" x14ac:dyDescent="0.3">
      <c r="A225" s="661" t="s">
        <v>35</v>
      </c>
      <c r="B225" s="662"/>
      <c r="C225" s="11" t="s">
        <v>31</v>
      </c>
      <c r="D225" s="13">
        <v>0</v>
      </c>
      <c r="E225" s="13">
        <v>0</v>
      </c>
      <c r="F225" s="13">
        <v>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9">
        <f t="shared" ref="P225:P230" si="68">SUM(D225:O225)</f>
        <v>0</v>
      </c>
    </row>
    <row r="226" spans="1:16" ht="15.6" x14ac:dyDescent="0.3">
      <c r="A226" s="661" t="s">
        <v>34</v>
      </c>
      <c r="B226" s="662"/>
      <c r="C226" s="11" t="s">
        <v>31</v>
      </c>
      <c r="D226" s="13">
        <v>0</v>
      </c>
      <c r="E226" s="13">
        <v>0</v>
      </c>
      <c r="F226" s="13">
        <v>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9">
        <f t="shared" si="68"/>
        <v>0</v>
      </c>
    </row>
    <row r="227" spans="1:16" ht="15.6" x14ac:dyDescent="0.3">
      <c r="A227" s="661" t="s">
        <v>33</v>
      </c>
      <c r="B227" s="662"/>
      <c r="C227" s="11" t="s">
        <v>31</v>
      </c>
      <c r="D227" s="13">
        <v>0</v>
      </c>
      <c r="E227" s="13">
        <v>0</v>
      </c>
      <c r="F227" s="13">
        <v>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9">
        <f t="shared" si="68"/>
        <v>0</v>
      </c>
    </row>
    <row r="228" spans="1:16" ht="15.6" x14ac:dyDescent="0.3">
      <c r="A228" s="661" t="s">
        <v>32</v>
      </c>
      <c r="B228" s="662"/>
      <c r="C228" s="11" t="s">
        <v>31</v>
      </c>
      <c r="D228" s="13">
        <v>0</v>
      </c>
      <c r="E228" s="13">
        <v>0</v>
      </c>
      <c r="F228" s="13">
        <v>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9">
        <f t="shared" si="68"/>
        <v>0</v>
      </c>
    </row>
    <row r="229" spans="1:16" ht="15.6" x14ac:dyDescent="0.3">
      <c r="A229" s="647" t="s">
        <v>212</v>
      </c>
      <c r="B229" s="648"/>
      <c r="C229" s="11" t="s">
        <v>31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586">
        <v>0</v>
      </c>
      <c r="K229" s="586">
        <v>0</v>
      </c>
      <c r="L229" s="14">
        <v>0</v>
      </c>
      <c r="M229" s="14">
        <f t="shared" ref="M229:N229" si="69">SUM(M225:M228)</f>
        <v>0</v>
      </c>
      <c r="N229" s="14">
        <f t="shared" si="69"/>
        <v>0</v>
      </c>
      <c r="O229" s="14">
        <v>0</v>
      </c>
      <c r="P229" s="9">
        <f t="shared" si="68"/>
        <v>0</v>
      </c>
    </row>
    <row r="230" spans="1:16" ht="15.6" x14ac:dyDescent="0.3">
      <c r="A230" s="589" t="s">
        <v>213</v>
      </c>
      <c r="B230" s="119"/>
      <c r="C230" s="11" t="s">
        <v>31</v>
      </c>
      <c r="D230" s="12">
        <f>D223+D229</f>
        <v>0</v>
      </c>
      <c r="E230" s="12">
        <f t="shared" ref="E230:N230" si="70">E223+E229</f>
        <v>0</v>
      </c>
      <c r="F230" s="12">
        <f t="shared" si="70"/>
        <v>0</v>
      </c>
      <c r="G230" s="12">
        <f t="shared" si="70"/>
        <v>0</v>
      </c>
      <c r="H230" s="12">
        <f t="shared" si="70"/>
        <v>0</v>
      </c>
      <c r="I230" s="12">
        <f t="shared" si="70"/>
        <v>0</v>
      </c>
      <c r="J230" s="12">
        <f t="shared" si="70"/>
        <v>0</v>
      </c>
      <c r="K230" s="12">
        <v>0</v>
      </c>
      <c r="L230" s="12">
        <v>0</v>
      </c>
      <c r="M230" s="12">
        <f t="shared" si="70"/>
        <v>3349353.5</v>
      </c>
      <c r="N230" s="12">
        <f t="shared" si="70"/>
        <v>5732476.8399999999</v>
      </c>
      <c r="O230" s="12">
        <v>2225372</v>
      </c>
      <c r="P230" s="9">
        <f t="shared" si="68"/>
        <v>11307202.34</v>
      </c>
    </row>
    <row r="231" spans="1:16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0"/>
      <c r="N231" s="650"/>
      <c r="O231" s="650"/>
      <c r="P231" s="651"/>
    </row>
    <row r="232" spans="1:16" ht="15.6" x14ac:dyDescent="0.3">
      <c r="A232" s="661" t="s">
        <v>29</v>
      </c>
      <c r="B232" s="662"/>
      <c r="C232" s="11" t="s">
        <v>18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36690.18</v>
      </c>
      <c r="N232" s="13">
        <f>8397+0.72+72326.94+0</f>
        <v>80724.66</v>
      </c>
      <c r="O232" s="13">
        <v>80230</v>
      </c>
      <c r="P232" s="9">
        <f>SUM(D232:O232)</f>
        <v>197644.84</v>
      </c>
    </row>
    <row r="233" spans="1:16" ht="15.6" x14ac:dyDescent="0.3">
      <c r="A233" s="661" t="s">
        <v>28</v>
      </c>
      <c r="B233" s="662"/>
      <c r="C233" s="11" t="s">
        <v>18</v>
      </c>
      <c r="D233" s="13">
        <v>0</v>
      </c>
      <c r="E233" s="13"/>
      <c r="F233" s="13">
        <v>0</v>
      </c>
      <c r="G233" s="13"/>
      <c r="H233" s="13"/>
      <c r="I233" s="13"/>
      <c r="J233" s="13"/>
      <c r="K233" s="13"/>
      <c r="L233" s="13"/>
      <c r="M233" s="13">
        <v>173.89</v>
      </c>
      <c r="N233" s="13">
        <v>173.89</v>
      </c>
      <c r="O233" s="13">
        <v>174</v>
      </c>
      <c r="P233" s="9">
        <f>SUM(D233:O233)</f>
        <v>521.78</v>
      </c>
    </row>
    <row r="234" spans="1:16" ht="15.6" x14ac:dyDescent="0.3">
      <c r="A234" s="661" t="s">
        <v>27</v>
      </c>
      <c r="B234" s="662"/>
      <c r="C234" s="11" t="s">
        <v>18</v>
      </c>
      <c r="D234" s="13">
        <v>0</v>
      </c>
      <c r="E234" s="13"/>
      <c r="F234" s="13">
        <v>0</v>
      </c>
      <c r="G234" s="13"/>
      <c r="H234" s="13"/>
      <c r="I234" s="13"/>
      <c r="J234" s="13"/>
      <c r="K234" s="13"/>
      <c r="L234" s="13"/>
      <c r="M234" s="13">
        <v>18510.78</v>
      </c>
      <c r="N234" s="13">
        <v>30851.3</v>
      </c>
      <c r="O234" s="13">
        <v>30851</v>
      </c>
      <c r="P234" s="9">
        <f>SUM(D234:O234)</f>
        <v>80213.08</v>
      </c>
    </row>
    <row r="235" spans="1:16" ht="15.6" x14ac:dyDescent="0.3">
      <c r="A235" s="661" t="s">
        <v>26</v>
      </c>
      <c r="B235" s="662"/>
      <c r="C235" s="11" t="s">
        <v>18</v>
      </c>
      <c r="D235" s="13">
        <v>0</v>
      </c>
      <c r="E235" s="13"/>
      <c r="F235" s="13">
        <v>0</v>
      </c>
      <c r="G235" s="13"/>
      <c r="H235" s="13"/>
      <c r="I235" s="13"/>
      <c r="J235" s="13"/>
      <c r="K235" s="13"/>
      <c r="L235" s="13"/>
      <c r="M235" s="13">
        <v>50589.24</v>
      </c>
      <c r="N235" s="13">
        <v>67452.320000000007</v>
      </c>
      <c r="O235" s="13">
        <v>63237</v>
      </c>
      <c r="P235" s="9">
        <f>SUM(D235:O235)</f>
        <v>181278.56</v>
      </c>
    </row>
    <row r="236" spans="1:16" ht="15.6" x14ac:dyDescent="0.3">
      <c r="A236" s="647" t="s">
        <v>25</v>
      </c>
      <c r="B236" s="648"/>
      <c r="C236" s="11" t="s">
        <v>18</v>
      </c>
      <c r="D236" s="12">
        <f t="shared" ref="D236:P236" si="71">SUM(D232:D235)</f>
        <v>0</v>
      </c>
      <c r="E236" s="12">
        <f t="shared" si="71"/>
        <v>0</v>
      </c>
      <c r="F236" s="12">
        <f t="shared" si="71"/>
        <v>0</v>
      </c>
      <c r="G236" s="12">
        <f t="shared" si="71"/>
        <v>0</v>
      </c>
      <c r="H236" s="12">
        <f t="shared" si="71"/>
        <v>0</v>
      </c>
      <c r="I236" s="12">
        <f t="shared" si="71"/>
        <v>0</v>
      </c>
      <c r="J236" s="12">
        <f t="shared" si="71"/>
        <v>0</v>
      </c>
      <c r="K236" s="12">
        <f t="shared" si="71"/>
        <v>0</v>
      </c>
      <c r="L236" s="12">
        <f t="shared" si="71"/>
        <v>0</v>
      </c>
      <c r="M236" s="12">
        <f t="shared" si="71"/>
        <v>105964.09</v>
      </c>
      <c r="N236" s="12">
        <f t="shared" si="71"/>
        <v>179202.17</v>
      </c>
      <c r="O236" s="12">
        <v>174492</v>
      </c>
      <c r="P236" s="40">
        <f t="shared" si="71"/>
        <v>459658.26</v>
      </c>
    </row>
    <row r="237" spans="1:16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0"/>
      <c r="N237" s="650"/>
      <c r="O237" s="650"/>
      <c r="P237" s="651"/>
    </row>
    <row r="238" spans="1:16" ht="15.6" x14ac:dyDescent="0.3">
      <c r="A238" s="661" t="s">
        <v>23</v>
      </c>
      <c r="B238" s="662"/>
      <c r="C238" s="11" t="s">
        <v>18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64296</v>
      </c>
      <c r="N238" s="13">
        <f>10716+130378</f>
        <v>141094</v>
      </c>
      <c r="O238" s="13">
        <v>140201</v>
      </c>
      <c r="P238" s="9">
        <f>SUM(D238:O238)</f>
        <v>345591</v>
      </c>
    </row>
    <row r="239" spans="1:16" ht="15.6" x14ac:dyDescent="0.3">
      <c r="A239" s="661" t="s">
        <v>22</v>
      </c>
      <c r="B239" s="662"/>
      <c r="C239" s="11" t="s">
        <v>18</v>
      </c>
      <c r="D239" s="15">
        <v>0</v>
      </c>
      <c r="E239" s="15">
        <v>0</v>
      </c>
      <c r="F239" s="15">
        <v>0</v>
      </c>
      <c r="G239" s="15"/>
      <c r="H239" s="15"/>
      <c r="I239" s="15"/>
      <c r="J239" s="15"/>
      <c r="K239" s="15"/>
      <c r="L239" s="15"/>
      <c r="M239" s="15">
        <v>893</v>
      </c>
      <c r="N239" s="15">
        <v>893</v>
      </c>
      <c r="O239" s="15">
        <v>893</v>
      </c>
      <c r="P239" s="9">
        <f>SUM(D239:O239)</f>
        <v>2679</v>
      </c>
    </row>
    <row r="240" spans="1:16" ht="15.6" x14ac:dyDescent="0.3">
      <c r="A240" s="661" t="s">
        <v>21</v>
      </c>
      <c r="B240" s="662"/>
      <c r="C240" s="11" t="s">
        <v>18</v>
      </c>
      <c r="D240" s="15">
        <v>0</v>
      </c>
      <c r="E240" s="15">
        <v>0</v>
      </c>
      <c r="F240" s="15">
        <v>0</v>
      </c>
      <c r="G240" s="15"/>
      <c r="H240" s="15"/>
      <c r="I240" s="15"/>
      <c r="J240" s="15"/>
      <c r="K240" s="15"/>
      <c r="L240" s="15"/>
      <c r="M240" s="15">
        <v>5358</v>
      </c>
      <c r="N240" s="15">
        <v>8930</v>
      </c>
      <c r="O240" s="15">
        <v>8930</v>
      </c>
      <c r="P240" s="9">
        <f>SUM(D240:O240)</f>
        <v>23218</v>
      </c>
    </row>
    <row r="241" spans="1:16" ht="15.6" x14ac:dyDescent="0.3">
      <c r="A241" s="661" t="s">
        <v>20</v>
      </c>
      <c r="B241" s="662"/>
      <c r="C241" s="11" t="s">
        <v>18</v>
      </c>
      <c r="D241" s="15">
        <v>0</v>
      </c>
      <c r="E241" s="15">
        <v>0</v>
      </c>
      <c r="F241" s="15">
        <v>0</v>
      </c>
      <c r="G241" s="15"/>
      <c r="H241" s="15"/>
      <c r="I241" s="15"/>
      <c r="J241" s="15"/>
      <c r="K241" s="15"/>
      <c r="L241" s="15"/>
      <c r="M241" s="15">
        <v>10716</v>
      </c>
      <c r="N241" s="15">
        <v>14288</v>
      </c>
      <c r="O241" s="15">
        <v>13395</v>
      </c>
      <c r="P241" s="9">
        <f>SUM(D241:O241)</f>
        <v>38399</v>
      </c>
    </row>
    <row r="242" spans="1:16" ht="15.6" x14ac:dyDescent="0.3">
      <c r="A242" s="647" t="s">
        <v>19</v>
      </c>
      <c r="B242" s="648"/>
      <c r="C242" s="11" t="s">
        <v>18</v>
      </c>
      <c r="D242" s="12">
        <f t="shared" ref="D242:P242" si="72">SUM(D238:D241)</f>
        <v>0</v>
      </c>
      <c r="E242" s="12">
        <f t="shared" si="72"/>
        <v>0</v>
      </c>
      <c r="F242" s="12">
        <f t="shared" si="72"/>
        <v>0</v>
      </c>
      <c r="G242" s="12">
        <f t="shared" si="72"/>
        <v>0</v>
      </c>
      <c r="H242" s="12">
        <f t="shared" si="72"/>
        <v>0</v>
      </c>
      <c r="I242" s="12">
        <f t="shared" si="72"/>
        <v>0</v>
      </c>
      <c r="J242" s="12">
        <f t="shared" si="72"/>
        <v>0</v>
      </c>
      <c r="K242" s="12">
        <f t="shared" si="72"/>
        <v>0</v>
      </c>
      <c r="L242" s="12">
        <f t="shared" si="72"/>
        <v>0</v>
      </c>
      <c r="M242" s="12">
        <f t="shared" si="72"/>
        <v>81263</v>
      </c>
      <c r="N242" s="12">
        <f t="shared" si="72"/>
        <v>165205</v>
      </c>
      <c r="O242" s="12">
        <v>163419</v>
      </c>
      <c r="P242" s="40">
        <f t="shared" si="72"/>
        <v>409887</v>
      </c>
    </row>
    <row r="243" spans="1:16" ht="15.6" x14ac:dyDescent="0.3">
      <c r="A243" s="647" t="s">
        <v>214</v>
      </c>
      <c r="B243" s="648"/>
      <c r="C243" s="11" t="s">
        <v>18</v>
      </c>
      <c r="D243" s="10">
        <f>D230+D236+D242</f>
        <v>0</v>
      </c>
      <c r="E243" s="10">
        <f t="shared" ref="E243:N243" si="73">E230+E236+E242</f>
        <v>0</v>
      </c>
      <c r="F243" s="10">
        <f t="shared" si="73"/>
        <v>0</v>
      </c>
      <c r="G243" s="10">
        <f t="shared" si="73"/>
        <v>0</v>
      </c>
      <c r="H243" s="10">
        <f t="shared" si="73"/>
        <v>0</v>
      </c>
      <c r="I243" s="10">
        <f t="shared" si="73"/>
        <v>0</v>
      </c>
      <c r="J243" s="10">
        <f t="shared" si="73"/>
        <v>0</v>
      </c>
      <c r="K243" s="10">
        <f t="shared" si="73"/>
        <v>0</v>
      </c>
      <c r="L243" s="10">
        <f t="shared" si="73"/>
        <v>0</v>
      </c>
      <c r="M243" s="10">
        <f t="shared" si="73"/>
        <v>3536580.59</v>
      </c>
      <c r="N243" s="10">
        <f t="shared" si="73"/>
        <v>6076884.0099999998</v>
      </c>
      <c r="O243" s="10">
        <v>2563283</v>
      </c>
      <c r="P243" s="40">
        <f t="shared" ref="P243" si="74">P216+P223+P236+P242</f>
        <v>12176747.6</v>
      </c>
    </row>
    <row r="244" spans="1:16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0"/>
      <c r="N244" s="650"/>
      <c r="O244" s="650"/>
      <c r="P244" s="651"/>
    </row>
    <row r="245" spans="1:16" ht="15.6" x14ac:dyDescent="0.3">
      <c r="A245" s="657" t="s">
        <v>205</v>
      </c>
      <c r="B245" s="658"/>
      <c r="C245" s="11" t="s">
        <v>18</v>
      </c>
      <c r="D245" s="556">
        <v>0</v>
      </c>
      <c r="E245" s="154">
        <v>0</v>
      </c>
      <c r="F245" s="154">
        <v>0</v>
      </c>
      <c r="G245" s="154">
        <v>0</v>
      </c>
      <c r="H245" s="154">
        <v>0</v>
      </c>
      <c r="I245" s="154">
        <v>0</v>
      </c>
      <c r="J245" s="154">
        <v>0</v>
      </c>
      <c r="K245" s="154">
        <v>0</v>
      </c>
      <c r="L245" s="154">
        <v>0</v>
      </c>
      <c r="M245" s="154">
        <v>1774421.9500000002</v>
      </c>
      <c r="N245" s="156">
        <v>3827804.01</v>
      </c>
      <c r="O245" s="154"/>
      <c r="P245" s="165">
        <f>O245</f>
        <v>0</v>
      </c>
    </row>
    <row r="246" spans="1:16" ht="15.6" x14ac:dyDescent="0.3">
      <c r="A246" s="657" t="s">
        <v>206</v>
      </c>
      <c r="B246" s="658"/>
      <c r="C246" s="11" t="s">
        <v>18</v>
      </c>
      <c r="D246" s="556">
        <v>0</v>
      </c>
      <c r="E246" s="154">
        <v>0</v>
      </c>
      <c r="F246" s="154">
        <v>0</v>
      </c>
      <c r="G246" s="154">
        <v>0</v>
      </c>
      <c r="H246" s="154">
        <v>0</v>
      </c>
      <c r="I246" s="154"/>
      <c r="J246" s="154">
        <v>0</v>
      </c>
      <c r="K246" s="154"/>
      <c r="L246" s="154"/>
      <c r="M246" s="154">
        <v>561865</v>
      </c>
      <c r="N246" s="156">
        <v>4585366.95</v>
      </c>
      <c r="O246" s="154"/>
      <c r="P246" s="165">
        <f>O246</f>
        <v>0</v>
      </c>
    </row>
    <row r="247" spans="1:16" ht="15.6" x14ac:dyDescent="0.3">
      <c r="A247" s="659" t="s">
        <v>207</v>
      </c>
      <c r="B247" s="660"/>
      <c r="C247" s="11" t="s">
        <v>18</v>
      </c>
      <c r="D247" s="142">
        <f>D245+D246</f>
        <v>0</v>
      </c>
      <c r="E247" s="142">
        <f>E245+E246</f>
        <v>0</v>
      </c>
      <c r="F247" s="142">
        <f t="shared" ref="F247:P247" si="75">F245+F246</f>
        <v>0</v>
      </c>
      <c r="G247" s="142">
        <f t="shared" si="75"/>
        <v>0</v>
      </c>
      <c r="H247" s="142">
        <f t="shared" si="75"/>
        <v>0</v>
      </c>
      <c r="I247" s="142">
        <f t="shared" si="75"/>
        <v>0</v>
      </c>
      <c r="J247" s="142">
        <f t="shared" si="75"/>
        <v>0</v>
      </c>
      <c r="K247" s="142">
        <f t="shared" si="75"/>
        <v>0</v>
      </c>
      <c r="L247" s="142">
        <f t="shared" si="75"/>
        <v>0</v>
      </c>
      <c r="M247" s="142">
        <f t="shared" si="75"/>
        <v>2336286.9500000002</v>
      </c>
      <c r="N247" s="156">
        <f t="shared" si="75"/>
        <v>8413170.9600000009</v>
      </c>
      <c r="O247" s="156">
        <v>0</v>
      </c>
      <c r="P247" s="165">
        <f t="shared" si="75"/>
        <v>0</v>
      </c>
    </row>
    <row r="248" spans="1:16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0"/>
      <c r="P248" s="651"/>
    </row>
    <row r="249" spans="1:16" ht="15.6" x14ac:dyDescent="0.3">
      <c r="A249" s="643" t="s">
        <v>16</v>
      </c>
      <c r="B249" s="644"/>
      <c r="C249" s="5" t="s">
        <v>6</v>
      </c>
      <c r="D249" s="571" t="e">
        <f>D58/D243</f>
        <v>#DIV/0!</v>
      </c>
      <c r="E249" s="571" t="e">
        <f t="shared" ref="E249:F249" si="76">E58/E243</f>
        <v>#DIV/0!</v>
      </c>
      <c r="F249" s="571" t="e">
        <f t="shared" si="76"/>
        <v>#DIV/0!</v>
      </c>
      <c r="G249" s="571" t="e">
        <f t="shared" ref="G249:P249" si="77">G58/G243%</f>
        <v>#DIV/0!</v>
      </c>
      <c r="H249" s="571" t="e">
        <f t="shared" si="77"/>
        <v>#DIV/0!</v>
      </c>
      <c r="I249" s="571" t="e">
        <f t="shared" si="77"/>
        <v>#DIV/0!</v>
      </c>
      <c r="J249" s="571" t="e">
        <f t="shared" si="77"/>
        <v>#DIV/0!</v>
      </c>
      <c r="K249" s="571" t="e">
        <f t="shared" si="77"/>
        <v>#DIV/0!</v>
      </c>
      <c r="L249" s="571" t="e">
        <f t="shared" si="77"/>
        <v>#DIV/0!</v>
      </c>
      <c r="M249" s="571">
        <f t="shared" si="77"/>
        <v>10.180476362338458</v>
      </c>
      <c r="N249" s="571">
        <f t="shared" si="77"/>
        <v>5.8829921866486306</v>
      </c>
      <c r="O249" s="571">
        <v>50.513158769437474</v>
      </c>
      <c r="P249" s="111">
        <f t="shared" si="77"/>
        <v>17.740181080865963</v>
      </c>
    </row>
    <row r="250" spans="1:16" ht="15.6" x14ac:dyDescent="0.3">
      <c r="A250" s="643" t="s">
        <v>208</v>
      </c>
      <c r="B250" s="644"/>
      <c r="C250" s="5" t="s">
        <v>6</v>
      </c>
      <c r="D250" s="573" t="e">
        <f>D210/(D223+D245)</f>
        <v>#DIV/0!</v>
      </c>
      <c r="E250" s="573" t="e">
        <f t="shared" ref="E250:F250" si="78">E210/(E223+E245)</f>
        <v>#DIV/0!</v>
      </c>
      <c r="F250" s="573" t="e">
        <f t="shared" si="78"/>
        <v>#DIV/0!</v>
      </c>
      <c r="G250" s="573" t="e">
        <f t="shared" ref="G250:P250" si="79">G210/(G223+G245)%</f>
        <v>#DIV/0!</v>
      </c>
      <c r="H250" s="573" t="e">
        <f t="shared" si="79"/>
        <v>#DIV/0!</v>
      </c>
      <c r="I250" s="573" t="e">
        <f t="shared" si="79"/>
        <v>#DIV/0!</v>
      </c>
      <c r="J250" s="573" t="e">
        <f t="shared" si="79"/>
        <v>#DIV/0!</v>
      </c>
      <c r="K250" s="573">
        <v>0</v>
      </c>
      <c r="L250" s="573">
        <v>0</v>
      </c>
      <c r="M250" s="573">
        <f t="shared" si="79"/>
        <v>14.995973330564281</v>
      </c>
      <c r="N250" s="573">
        <f t="shared" si="79"/>
        <v>0</v>
      </c>
      <c r="O250" s="573">
        <v>0</v>
      </c>
      <c r="P250" s="108">
        <f t="shared" si="79"/>
        <v>6.7953148523916838</v>
      </c>
    </row>
    <row r="251" spans="1:16" ht="16.2" thickBot="1" x14ac:dyDescent="0.35">
      <c r="A251" s="652" t="s">
        <v>15</v>
      </c>
      <c r="B251" s="653"/>
      <c r="C251" s="5" t="s">
        <v>6</v>
      </c>
      <c r="D251" s="573" t="e">
        <f>D210/D223</f>
        <v>#DIV/0!</v>
      </c>
      <c r="E251" s="573" t="e">
        <f t="shared" ref="E251:F251" si="80">E210/E223</f>
        <v>#DIV/0!</v>
      </c>
      <c r="F251" s="573" t="e">
        <f t="shared" si="80"/>
        <v>#DIV/0!</v>
      </c>
      <c r="G251" s="7" t="e">
        <f t="shared" ref="G251:P251" si="81">G210/G223%</f>
        <v>#DIV/0!</v>
      </c>
      <c r="H251" s="7" t="e">
        <f t="shared" si="81"/>
        <v>#DIV/0!</v>
      </c>
      <c r="I251" s="7" t="e">
        <f t="shared" si="81"/>
        <v>#DIV/0!</v>
      </c>
      <c r="J251" s="7" t="e">
        <f t="shared" si="81"/>
        <v>#DIV/0!</v>
      </c>
      <c r="K251" s="7">
        <v>0</v>
      </c>
      <c r="L251" s="7">
        <v>0</v>
      </c>
      <c r="M251" s="7">
        <f t="shared" si="81"/>
        <v>22.940546586079968</v>
      </c>
      <c r="N251" s="7">
        <f t="shared" si="81"/>
        <v>0</v>
      </c>
      <c r="O251" s="7">
        <v>0</v>
      </c>
      <c r="P251" s="112">
        <f t="shared" si="81"/>
        <v>6.7953148523916838</v>
      </c>
    </row>
    <row r="252" spans="1:16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5"/>
      <c r="P252" s="656"/>
    </row>
    <row r="253" spans="1:16" s="2" customFormat="1" ht="15.6" x14ac:dyDescent="0.3">
      <c r="A253" s="643" t="s">
        <v>13</v>
      </c>
      <c r="B253" s="644"/>
      <c r="C253" s="5" t="s">
        <v>3</v>
      </c>
      <c r="D253" s="4">
        <f>D103</f>
        <v>0</v>
      </c>
      <c r="E253" s="4">
        <v>0</v>
      </c>
      <c r="F253" s="4">
        <v>0</v>
      </c>
      <c r="G253" s="155"/>
      <c r="H253" s="155"/>
      <c r="I253" s="132"/>
      <c r="J253" s="132"/>
      <c r="K253" s="132"/>
      <c r="L253" s="132"/>
      <c r="M253" s="132"/>
      <c r="N253" s="132"/>
      <c r="O253" s="132"/>
      <c r="P253" s="113">
        <f>SUM(D253:O253)</f>
        <v>0</v>
      </c>
    </row>
    <row r="254" spans="1:16" s="2" customFormat="1" ht="15.6" x14ac:dyDescent="0.3">
      <c r="A254" s="643" t="s">
        <v>12</v>
      </c>
      <c r="B254" s="644"/>
      <c r="C254" s="5" t="s">
        <v>3</v>
      </c>
      <c r="D254" s="4">
        <v>0</v>
      </c>
      <c r="E254" s="4">
        <v>0</v>
      </c>
      <c r="F254" s="4">
        <v>0</v>
      </c>
      <c r="G254" s="155"/>
      <c r="H254" s="155"/>
      <c r="I254" s="132"/>
      <c r="J254" s="132"/>
      <c r="K254" s="132"/>
      <c r="L254" s="132"/>
      <c r="M254" s="132"/>
      <c r="N254" s="132"/>
      <c r="O254" s="132"/>
      <c r="P254" s="113">
        <f>SUM(D254:O254)</f>
        <v>0</v>
      </c>
    </row>
    <row r="255" spans="1:16" ht="15.6" x14ac:dyDescent="0.3">
      <c r="A255" s="643" t="s">
        <v>11</v>
      </c>
      <c r="B255" s="644"/>
      <c r="C255" s="5" t="s">
        <v>3</v>
      </c>
      <c r="D255" s="4">
        <v>0</v>
      </c>
      <c r="E255" s="4">
        <v>0</v>
      </c>
      <c r="F255" s="4">
        <v>0</v>
      </c>
      <c r="G255" s="155">
        <f t="shared" ref="G255:N255" si="82">G95</f>
        <v>0</v>
      </c>
      <c r="H255" s="155">
        <f t="shared" si="82"/>
        <v>0</v>
      </c>
      <c r="I255" s="132">
        <f t="shared" si="82"/>
        <v>0</v>
      </c>
      <c r="J255" s="132">
        <f t="shared" si="82"/>
        <v>0</v>
      </c>
      <c r="K255" s="132">
        <f t="shared" si="82"/>
        <v>0</v>
      </c>
      <c r="L255" s="132">
        <f t="shared" si="82"/>
        <v>0</v>
      </c>
      <c r="M255" s="132">
        <f t="shared" si="82"/>
        <v>1</v>
      </c>
      <c r="N255" s="132">
        <f t="shared" si="82"/>
        <v>1</v>
      </c>
      <c r="O255" s="132">
        <v>1</v>
      </c>
      <c r="P255" s="113">
        <v>0</v>
      </c>
    </row>
    <row r="256" spans="1:16" ht="15.6" x14ac:dyDescent="0.3">
      <c r="A256" s="643" t="s">
        <v>10</v>
      </c>
      <c r="B256" s="644"/>
      <c r="C256" s="5" t="s">
        <v>3</v>
      </c>
      <c r="D256" s="4">
        <v>0</v>
      </c>
      <c r="E256" s="4">
        <v>0</v>
      </c>
      <c r="F256" s="4">
        <v>0</v>
      </c>
      <c r="G256" s="155">
        <f t="shared" ref="G256:N256" si="83">G91</f>
        <v>0</v>
      </c>
      <c r="H256" s="155">
        <f t="shared" si="83"/>
        <v>0</v>
      </c>
      <c r="I256" s="132">
        <f t="shared" si="83"/>
        <v>0</v>
      </c>
      <c r="J256" s="132">
        <f t="shared" si="83"/>
        <v>0</v>
      </c>
      <c r="K256" s="132">
        <f t="shared" si="83"/>
        <v>0</v>
      </c>
      <c r="L256" s="132">
        <f t="shared" si="83"/>
        <v>0</v>
      </c>
      <c r="M256" s="132">
        <f t="shared" si="83"/>
        <v>0</v>
      </c>
      <c r="N256" s="132">
        <f t="shared" si="83"/>
        <v>0</v>
      </c>
      <c r="O256" s="132">
        <v>0</v>
      </c>
      <c r="P256" s="113">
        <f>SUM(D256:O256)</f>
        <v>0</v>
      </c>
    </row>
    <row r="257" spans="1:16" ht="15.6" x14ac:dyDescent="0.3">
      <c r="A257" s="643" t="s">
        <v>9</v>
      </c>
      <c r="B257" s="644"/>
      <c r="C257" s="5" t="s">
        <v>3</v>
      </c>
      <c r="D257" s="4">
        <v>0</v>
      </c>
      <c r="E257" s="4">
        <v>0</v>
      </c>
      <c r="F257" s="4">
        <v>0</v>
      </c>
      <c r="G257" s="155"/>
      <c r="H257" s="155"/>
      <c r="I257" s="132"/>
      <c r="J257" s="132"/>
      <c r="K257" s="132"/>
      <c r="L257" s="132"/>
      <c r="M257" s="132"/>
      <c r="N257" s="132"/>
      <c r="O257" s="132"/>
      <c r="P257" s="113">
        <f>SUM(D257:O257)</f>
        <v>0</v>
      </c>
    </row>
    <row r="258" spans="1:16" ht="15.6" x14ac:dyDescent="0.3">
      <c r="A258" s="647" t="s">
        <v>8</v>
      </c>
      <c r="B258" s="648"/>
      <c r="C258" s="5" t="s">
        <v>3</v>
      </c>
      <c r="D258" s="161" t="e">
        <f t="shared" ref="D258:P258" si="84">D257/D256</f>
        <v>#DIV/0!</v>
      </c>
      <c r="E258" s="161" t="e">
        <f t="shared" si="84"/>
        <v>#DIV/0!</v>
      </c>
      <c r="F258" s="161" t="e">
        <f t="shared" si="84"/>
        <v>#DIV/0!</v>
      </c>
      <c r="G258" s="161" t="e">
        <f t="shared" si="84"/>
        <v>#DIV/0!</v>
      </c>
      <c r="H258" s="161" t="e">
        <f t="shared" si="84"/>
        <v>#DIV/0!</v>
      </c>
      <c r="I258" s="3" t="e">
        <f t="shared" si="84"/>
        <v>#DIV/0!</v>
      </c>
      <c r="J258" s="3" t="e">
        <f t="shared" si="84"/>
        <v>#DIV/0!</v>
      </c>
      <c r="K258" s="3" t="e">
        <f t="shared" si="84"/>
        <v>#DIV/0!</v>
      </c>
      <c r="L258" s="3" t="e">
        <f t="shared" si="84"/>
        <v>#DIV/0!</v>
      </c>
      <c r="M258" s="3" t="e">
        <f t="shared" si="84"/>
        <v>#DIV/0!</v>
      </c>
      <c r="N258" s="3" t="e">
        <f t="shared" si="84"/>
        <v>#DIV/0!</v>
      </c>
      <c r="O258" s="3" t="e">
        <v>#DIV/0!</v>
      </c>
      <c r="P258" s="113" t="e">
        <f t="shared" si="84"/>
        <v>#DIV/0!</v>
      </c>
    </row>
    <row r="259" spans="1:16" ht="15.6" x14ac:dyDescent="0.3">
      <c r="A259" s="647" t="s">
        <v>7</v>
      </c>
      <c r="B259" s="648"/>
      <c r="C259" s="5" t="s">
        <v>6</v>
      </c>
      <c r="D259" s="161" t="e">
        <f t="shared" ref="D259:P259" si="85">D92/D255*100</f>
        <v>#DIV/0!</v>
      </c>
      <c r="E259" s="161" t="e">
        <f t="shared" si="85"/>
        <v>#DIV/0!</v>
      </c>
      <c r="F259" s="161" t="e">
        <f t="shared" si="85"/>
        <v>#DIV/0!</v>
      </c>
      <c r="G259" s="161" t="e">
        <f t="shared" si="85"/>
        <v>#DIV/0!</v>
      </c>
      <c r="H259" s="161" t="e">
        <f t="shared" si="85"/>
        <v>#DIV/0!</v>
      </c>
      <c r="I259" s="6" t="e">
        <f t="shared" si="85"/>
        <v>#DIV/0!</v>
      </c>
      <c r="J259" s="6" t="e">
        <f t="shared" si="85"/>
        <v>#DIV/0!</v>
      </c>
      <c r="K259" s="6" t="e">
        <f t="shared" si="85"/>
        <v>#DIV/0!</v>
      </c>
      <c r="L259" s="6" t="e">
        <f t="shared" si="85"/>
        <v>#DIV/0!</v>
      </c>
      <c r="M259" s="6">
        <f t="shared" si="85"/>
        <v>0</v>
      </c>
      <c r="N259" s="6">
        <f t="shared" si="85"/>
        <v>0</v>
      </c>
      <c r="O259" s="6">
        <v>0</v>
      </c>
      <c r="P259" s="114" t="e">
        <f t="shared" si="85"/>
        <v>#DIV/0!</v>
      </c>
    </row>
    <row r="260" spans="1:16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1"/>
    </row>
    <row r="261" spans="1:16" s="2" customFormat="1" ht="15.6" x14ac:dyDescent="0.3">
      <c r="A261" s="643" t="s">
        <v>4</v>
      </c>
      <c r="B261" s="644"/>
      <c r="C261" s="5" t="s">
        <v>3</v>
      </c>
      <c r="D261" s="155">
        <v>0</v>
      </c>
      <c r="E261" s="155">
        <v>0</v>
      </c>
      <c r="F261" s="155">
        <v>0</v>
      </c>
      <c r="G261" s="155"/>
      <c r="H261" s="155"/>
      <c r="I261" s="155"/>
      <c r="J261" s="155"/>
      <c r="K261" s="155"/>
      <c r="L261" s="155"/>
      <c r="M261" s="155"/>
      <c r="N261" s="155"/>
      <c r="O261" s="155">
        <v>23</v>
      </c>
      <c r="P261" s="40">
        <f>SUM(D261:O261)</f>
        <v>23</v>
      </c>
    </row>
    <row r="262" spans="1:16" s="2" customFormat="1" ht="15.6" x14ac:dyDescent="0.3">
      <c r="A262" s="643" t="s">
        <v>2</v>
      </c>
      <c r="B262" s="644"/>
      <c r="C262" s="5" t="s">
        <v>0</v>
      </c>
      <c r="D262" s="155">
        <v>0</v>
      </c>
      <c r="E262" s="155">
        <v>0</v>
      </c>
      <c r="F262" s="155">
        <v>0</v>
      </c>
      <c r="G262" s="155"/>
      <c r="H262" s="155"/>
      <c r="I262" s="155"/>
      <c r="J262" s="155"/>
      <c r="K262" s="155"/>
      <c r="L262" s="155"/>
      <c r="M262" s="155"/>
      <c r="N262" s="155"/>
      <c r="O262" s="155">
        <v>7</v>
      </c>
      <c r="P262" s="40">
        <f>SUM(D262:O262)</f>
        <v>7</v>
      </c>
    </row>
    <row r="263" spans="1:16" ht="16.2" thickBot="1" x14ac:dyDescent="0.35">
      <c r="A263" s="645" t="s">
        <v>1</v>
      </c>
      <c r="B263" s="646"/>
      <c r="C263" s="115" t="s">
        <v>0</v>
      </c>
      <c r="D263" s="163" t="e">
        <f t="shared" ref="D263:P263" si="86">D261/D262</f>
        <v>#DIV/0!</v>
      </c>
      <c r="E263" s="163" t="e">
        <f t="shared" si="86"/>
        <v>#DIV/0!</v>
      </c>
      <c r="F263" s="163" t="e">
        <f t="shared" si="86"/>
        <v>#DIV/0!</v>
      </c>
      <c r="G263" s="163" t="e">
        <f t="shared" si="86"/>
        <v>#DIV/0!</v>
      </c>
      <c r="H263" s="163" t="e">
        <f t="shared" si="86"/>
        <v>#DIV/0!</v>
      </c>
      <c r="I263" s="163" t="e">
        <f t="shared" si="86"/>
        <v>#DIV/0!</v>
      </c>
      <c r="J263" s="163" t="e">
        <f t="shared" si="86"/>
        <v>#DIV/0!</v>
      </c>
      <c r="K263" s="163" t="e">
        <f t="shared" si="86"/>
        <v>#DIV/0!</v>
      </c>
      <c r="L263" s="163" t="e">
        <f t="shared" si="86"/>
        <v>#DIV/0!</v>
      </c>
      <c r="M263" s="163" t="e">
        <f t="shared" si="86"/>
        <v>#DIV/0!</v>
      </c>
      <c r="N263" s="163" t="e">
        <f t="shared" si="86"/>
        <v>#DIV/0!</v>
      </c>
      <c r="O263" s="163">
        <v>3.2857142857142856</v>
      </c>
      <c r="P263" s="202">
        <f t="shared" si="86"/>
        <v>3.2857142857142856</v>
      </c>
    </row>
  </sheetData>
  <mergeCells count="158">
    <mergeCell ref="A13:B13"/>
    <mergeCell ref="A14:B14"/>
    <mergeCell ref="A15:B15"/>
    <mergeCell ref="A16:P16"/>
    <mergeCell ref="A17:B17"/>
    <mergeCell ref="A18:B18"/>
    <mergeCell ref="A7:B7"/>
    <mergeCell ref="A8:P8"/>
    <mergeCell ref="A9:B9"/>
    <mergeCell ref="A10:P10"/>
    <mergeCell ref="A11:B11"/>
    <mergeCell ref="A12:B12"/>
    <mergeCell ref="A27:P27"/>
    <mergeCell ref="A29:A30"/>
    <mergeCell ref="B29:B30"/>
    <mergeCell ref="A31:A32"/>
    <mergeCell ref="B31:B32"/>
    <mergeCell ref="A33:A34"/>
    <mergeCell ref="B33:B34"/>
    <mergeCell ref="A19:B19"/>
    <mergeCell ref="A20:B20"/>
    <mergeCell ref="A21:B21"/>
    <mergeCell ref="A23:P23"/>
    <mergeCell ref="A24:A25"/>
    <mergeCell ref="A26:P26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3:B263"/>
    <mergeCell ref="A257:B257"/>
    <mergeCell ref="A258:B258"/>
    <mergeCell ref="A259:B259"/>
    <mergeCell ref="A260:P260"/>
    <mergeCell ref="A261:B261"/>
    <mergeCell ref="A262:B262"/>
    <mergeCell ref="A251:B251"/>
    <mergeCell ref="A252:P252"/>
    <mergeCell ref="A253:B253"/>
    <mergeCell ref="A254:B254"/>
    <mergeCell ref="A255:B255"/>
    <mergeCell ref="A256:B2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263"/>
  <sheetViews>
    <sheetView workbookViewId="0">
      <pane xSplit="1" ySplit="7" topLeftCell="K8" activePane="bottomRight" state="frozen"/>
      <selection pane="topRight" activeCell="B1" sqref="B1"/>
      <selection pane="bottomLeft" activeCell="A8" sqref="A8"/>
      <selection pane="bottomRight" activeCell="M9" sqref="M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6" bestFit="1" customWidth="1"/>
    <col min="18" max="18" width="10.109375" bestFit="1" customWidth="1"/>
  </cols>
  <sheetData>
    <row r="1" spans="1:18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20"/>
    </row>
    <row r="2" spans="1:18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</row>
    <row r="3" spans="1:18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1"/>
    </row>
    <row r="4" spans="1:18" ht="18" thickBot="1" x14ac:dyDescent="0.35">
      <c r="A4" s="93" t="s">
        <v>227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4"/>
    </row>
    <row r="5" spans="1:18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337"/>
    </row>
    <row r="6" spans="1:18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1:18" ht="16.2" thickBot="1" x14ac:dyDescent="0.35">
      <c r="A7" s="241" t="s">
        <v>174</v>
      </c>
      <c r="B7" s="242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8" ht="15" thickBot="1" x14ac:dyDescent="0.35">
      <c r="A8" s="301" t="s">
        <v>159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3"/>
    </row>
    <row r="9" spans="1:18" x14ac:dyDescent="0.3">
      <c r="A9" s="245" t="s">
        <v>176</v>
      </c>
      <c r="B9" s="246"/>
      <c r="C9" s="58" t="s">
        <v>152</v>
      </c>
      <c r="D9" s="34">
        <f>Mulanje!D9+Luchenza!D9+Thyolo!D9+Muloza!D9+MUST!D9+Phalombe!D9+Mikolongwe!D9+Migowi!D9</f>
        <v>120548</v>
      </c>
      <c r="E9" s="34">
        <f>Mulanje!E9+Luchenza!E9+Thyolo!E9+Muloza!E9+MUST!E9+Phalombe!E9+Mikolongwe!E9+Migowi!E9</f>
        <v>125442</v>
      </c>
      <c r="F9" s="34">
        <f>Mulanje!F9+Luchenza!F9+Thyolo!F9+Muloza!F9+MUST!F9+Phalombe!F9+Mikolongwe!F9+Migowi!F9</f>
        <v>121596</v>
      </c>
      <c r="G9" s="34">
        <f>Mulanje!G9+Luchenza!G9+Thyolo!G9+Muloza!G9+MUST!G9+Phalombe!G9+Mikolongwe!G9+Migowi!G9</f>
        <v>114780</v>
      </c>
      <c r="H9" s="34">
        <f>Mulanje!H9+Luchenza!H9+Thyolo!H9+Muloza!H9+MUST!H9+Phalombe!H9+Mikolongwe!H9+Migowi!H9</f>
        <v>142252</v>
      </c>
      <c r="I9" s="34">
        <f>Mulanje!I9+Luchenza!I9+Thyolo!I9+Muloza!I9+MUST!I9+Phalombe!I9+Mikolongwe!I9+Migowi!I9</f>
        <v>117758</v>
      </c>
      <c r="J9" s="34">
        <f>Mulanje!J9+Luchenza!J9+Thyolo!J9+Muloza!J9+MUST!J9+Phalombe!J9+Mikolongwe!J9+Migowi!J9</f>
        <v>121755</v>
      </c>
      <c r="K9" s="34">
        <f>Mulanje!K9+Luchenza!K9+Thyolo!K9+Muloza!K9+MUST!K9+Phalombe!K9+Mikolongwe!K9+Migowi!K9</f>
        <v>120699</v>
      </c>
      <c r="L9" s="34">
        <f>Mulanje!L9+Luchenza!L9+Thyolo!L9+Muloza!L9+MUST!L9+Phalombe!L9+Mikolongwe!L9+Migowi!L9</f>
        <v>123606</v>
      </c>
      <c r="M9" s="34">
        <f>Mulanje!M9+Luchenza!M9+Thyolo!M9+Muloza!M9+MUST!M9+Phalombe!M9+Mikolongwe!M9+Migowi!M9+Nkando!M9</f>
        <v>110544</v>
      </c>
      <c r="N9" s="34">
        <f>Mulanje!N9+Luchenza!N9+Thyolo!N9+Muloza!N9+MUST!N9+Phalombe!N9+Mikolongwe!N9+Migowi!N9+Nkando!N9</f>
        <v>130963</v>
      </c>
      <c r="O9" s="34">
        <f>Mulanje!O9+Luchenza!O9+Thyolo!O9+Muloza!O9+MUST!O9+Phalombe!O9+Mikolongwe!O9+Migowi!O9+Nkando!O9</f>
        <v>130523</v>
      </c>
      <c r="P9" s="152">
        <f>SUM(D9:O9)</f>
        <v>1480466</v>
      </c>
      <c r="R9" s="186"/>
    </row>
    <row r="10" spans="1:18" ht="14.4" x14ac:dyDescent="0.3">
      <c r="A10" s="281" t="s">
        <v>177</v>
      </c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3"/>
    </row>
    <row r="11" spans="1:18" x14ac:dyDescent="0.3">
      <c r="A11" s="243" t="s">
        <v>157</v>
      </c>
      <c r="B11" s="244"/>
      <c r="C11" s="11" t="s">
        <v>152</v>
      </c>
      <c r="D11" s="26">
        <f>Mulanje!D11+Luchenza!D11+Thyolo!D11+Muloza!D11+MUST!D11+Phalombe!D11+Mikolongwe!D11+Migowi!D11</f>
        <v>41840</v>
      </c>
      <c r="E11" s="26">
        <f>Mulanje!E11+Luchenza!E11+Thyolo!E11+Muloza!E11+MUST!E11+Phalombe!E11+Mikolongwe!E11+Migowi!E11</f>
        <v>54501</v>
      </c>
      <c r="F11" s="26">
        <f>Mulanje!F11+Luchenza!F11+Thyolo!F11+Muloza!F11+MUST!F11+Phalombe!F11+Mikolongwe!F11+Migowi!F11</f>
        <v>46984</v>
      </c>
      <c r="G11" s="26">
        <f>Mulanje!G11+Luchenza!G11+Thyolo!G11+Muloza!G11+MUST!G11+Phalombe!G11+Mikolongwe!G11+Migowi!G11</f>
        <v>43700</v>
      </c>
      <c r="H11" s="26">
        <f>Mulanje!H11+Luchenza!H11+Thyolo!H11+Muloza!H11+MUST!H11+Phalombe!H11+Mikolongwe!H11+Migowi!H11</f>
        <v>44866</v>
      </c>
      <c r="I11" s="26">
        <f>Mulanje!I11+Luchenza!I11+Thyolo!I11+Muloza!I11+MUST!I11+Phalombe!I11+Mikolongwe!I11+Migowi!I11</f>
        <v>48728</v>
      </c>
      <c r="J11" s="26">
        <f>Mulanje!J11+Luchenza!J11+Thyolo!J11+Muloza!J11+MUST!J11+Phalombe!J11+Mikolongwe!J11+Migowi!J11</f>
        <v>43977</v>
      </c>
      <c r="K11" s="26">
        <f>Mulanje!K11+Luchenza!K11+Thyolo!K11+Muloza!K11+MUST!K11+Phalombe!K11+Mikolongwe!K11+Migowi!K11</f>
        <v>48579</v>
      </c>
      <c r="L11" s="26">
        <f>Mulanje!L11+Luchenza!L11+Thyolo!L11+Muloza!L11+MUST!L11+Phalombe!L11+Mikolongwe!L11+Migowi!L11</f>
        <v>47989</v>
      </c>
      <c r="M11" s="26">
        <f>Mulanje!M11+Luchenza!M11+Thyolo!M11+Muloza!M11+MUST!M11+Phalombe!M11+Mikolongwe!M11+Migowi!M11+Nkando!M11</f>
        <v>50661</v>
      </c>
      <c r="N11" s="26">
        <f>Mulanje!N11+Luchenza!N11+Thyolo!N11+Muloza!N11+MUST!N11+Phalombe!N11+Mikolongwe!N11+Migowi!N11+Nkando!N11</f>
        <v>47603</v>
      </c>
      <c r="O11" s="26">
        <f>Mulanje!O11+Luchenza!O11+Thyolo!O11+Muloza!O11+MUST!O11+Phalombe!O11+Mikolongwe!O11+Migowi!O11+Nkando!O11</f>
        <v>64944.7</v>
      </c>
      <c r="P11" s="55">
        <f>SUM(D11:O11)</f>
        <v>584372.69999999995</v>
      </c>
    </row>
    <row r="12" spans="1:18" x14ac:dyDescent="0.3">
      <c r="A12" s="243" t="s">
        <v>156</v>
      </c>
      <c r="B12" s="244"/>
      <c r="C12" s="11" t="s">
        <v>152</v>
      </c>
      <c r="D12" s="26">
        <f>Mulanje!D12+Luchenza!D12+Thyolo!D12+Muloza!D12+MUST!D12+Phalombe!D12+Mikolongwe!D12+Migowi!D12</f>
        <v>1185</v>
      </c>
      <c r="E12" s="26">
        <f>Mulanje!E12+Luchenza!E12+Thyolo!E12+Muloza!E12+MUST!E12+Phalombe!E12+Mikolongwe!E12+Migowi!E12</f>
        <v>1100</v>
      </c>
      <c r="F12" s="26">
        <f>Mulanje!F12+Luchenza!F12+Thyolo!F12+Muloza!F12+MUST!F12+Phalombe!F12+Mikolongwe!F12+Migowi!F12</f>
        <v>1191</v>
      </c>
      <c r="G12" s="26">
        <f>Mulanje!G12+Luchenza!G12+Thyolo!G12+Muloza!G12+MUST!G12+Phalombe!G12+Mikolongwe!G12+Migowi!G12</f>
        <v>1087</v>
      </c>
      <c r="H12" s="26">
        <f>Mulanje!H12+Luchenza!H12+Thyolo!H12+Muloza!H12+MUST!H12+Phalombe!H12+Mikolongwe!H12+Migowi!H12</f>
        <v>1074</v>
      </c>
      <c r="I12" s="26">
        <f>Mulanje!I12+Luchenza!I12+Thyolo!I12+Muloza!I12+MUST!I12+Phalombe!I12+Mikolongwe!I12+Migowi!I12</f>
        <v>1156</v>
      </c>
      <c r="J12" s="26">
        <f>Mulanje!J12+Luchenza!J12+Thyolo!J12+Muloza!J12+MUST!J12+Phalombe!J12+Mikolongwe!J12+Migowi!J12</f>
        <v>1205</v>
      </c>
      <c r="K12" s="26">
        <f>Mulanje!K12+Luchenza!K12+Thyolo!K12+Muloza!K12+MUST!K12+Phalombe!K12+Mikolongwe!K12+Migowi!K12</f>
        <v>1242</v>
      </c>
      <c r="L12" s="26">
        <f>Mulanje!L12+Luchenza!L12+Thyolo!L12+Muloza!L12+MUST!L12+Phalombe!L12+Mikolongwe!L12+Migowi!L12</f>
        <v>1245</v>
      </c>
      <c r="M12" s="26">
        <f>Mulanje!M12+Luchenza!M12+Thyolo!M12+Muloza!M12+MUST!M12+Phalombe!M12+Mikolongwe!M12+Migowi!M12+Nkando!M12</f>
        <v>1002</v>
      </c>
      <c r="N12" s="26">
        <f>Mulanje!N12+Luchenza!N12+Thyolo!N12+Muloza!N12+MUST!N12+Phalombe!N12+Mikolongwe!N12+Migowi!N12+Nkando!N12</f>
        <v>1009</v>
      </c>
      <c r="O12" s="26">
        <f>Mulanje!O12+Luchenza!O12+Thyolo!O12+Muloza!O12+MUST!O12+Phalombe!O12+Mikolongwe!O12+Migowi!O12+Nkando!O12</f>
        <v>916</v>
      </c>
      <c r="P12" s="55">
        <f>SUM(D12:O12)</f>
        <v>13412</v>
      </c>
    </row>
    <row r="13" spans="1:18" x14ac:dyDescent="0.3">
      <c r="A13" s="243" t="s">
        <v>155</v>
      </c>
      <c r="B13" s="244"/>
      <c r="C13" s="11" t="s">
        <v>152</v>
      </c>
      <c r="D13" s="26">
        <f>Mulanje!D13+Luchenza!D13+Thyolo!D13+Muloza!D13+MUST!D13+Phalombe!D13+Mikolongwe!D13+Migowi!D13</f>
        <v>21988</v>
      </c>
      <c r="E13" s="26">
        <f>Mulanje!E13+Luchenza!E13+Thyolo!E13+Muloza!E13+MUST!E13+Phalombe!E13+Mikolongwe!E13+Migowi!E13</f>
        <v>14023</v>
      </c>
      <c r="F13" s="26">
        <f>Mulanje!F13+Luchenza!F13+Thyolo!F13+Muloza!F13+MUST!F13+Phalombe!F13+Mikolongwe!F13+Migowi!F13</f>
        <v>13849</v>
      </c>
      <c r="G13" s="26">
        <f>Mulanje!G13+Luchenza!G13+Thyolo!G13+Muloza!G13+MUST!G13+Phalombe!G13+Mikolongwe!G13+Migowi!G13</f>
        <v>15051</v>
      </c>
      <c r="H13" s="26">
        <f>Mulanje!H13+Luchenza!H13+Thyolo!H13+Muloza!H13+MUST!H13+Phalombe!H13+Mikolongwe!H13+Migowi!H13</f>
        <v>12498</v>
      </c>
      <c r="I13" s="26">
        <f>Mulanje!I13+Luchenza!I13+Thyolo!I13+Muloza!I13+MUST!I13+Phalombe!I13+Mikolongwe!I13+Migowi!I13</f>
        <v>4234</v>
      </c>
      <c r="J13" s="26">
        <f>Mulanje!J13+Luchenza!J13+Thyolo!J13+Muloza!J13+MUST!J13+Phalombe!J13+Mikolongwe!J13+Migowi!J13</f>
        <v>5496</v>
      </c>
      <c r="K13" s="26">
        <f>Mulanje!K13+Luchenza!K13+Thyolo!K13+Muloza!K13+MUST!K13+Phalombe!K13+Mikolongwe!K13+Migowi!K13</f>
        <v>3521</v>
      </c>
      <c r="L13" s="26">
        <f>Mulanje!L13+Luchenza!L13+Thyolo!L13+Muloza!L13+MUST!L13+Phalombe!L13+Mikolongwe!L13+Migowi!L13</f>
        <v>4078</v>
      </c>
      <c r="M13" s="26">
        <f>Mulanje!M13+Luchenza!M13+Thyolo!M13+Muloza!M13+MUST!M13+Phalombe!M13+Mikolongwe!M13+Migowi!M13+Nkando!M13</f>
        <v>2180</v>
      </c>
      <c r="N13" s="26">
        <f>Mulanje!N13+Luchenza!N13+Thyolo!N13+Muloza!N13+MUST!N13+Phalombe!N13+Mikolongwe!N13+Migowi!N13+Nkando!N13</f>
        <v>4411</v>
      </c>
      <c r="O13" s="26">
        <f>Mulanje!O13+Luchenza!O13+Thyolo!O13+Muloza!O13+MUST!O13+Phalombe!O13+Mikolongwe!O13+Migowi!O13+Nkando!O13</f>
        <v>6924</v>
      </c>
      <c r="P13" s="55">
        <f>SUM(D13:O13)</f>
        <v>108253</v>
      </c>
    </row>
    <row r="14" spans="1:18" x14ac:dyDescent="0.3">
      <c r="A14" s="237" t="s">
        <v>154</v>
      </c>
      <c r="B14" s="238"/>
      <c r="C14" s="11" t="s">
        <v>152</v>
      </c>
      <c r="D14" s="26">
        <f>Mulanje!D14+Luchenza!D14+Thyolo!D14+Muloza!D14+MUST!D14+Phalombe!D14+Mikolongwe!D14+Migowi!D14</f>
        <v>608</v>
      </c>
      <c r="E14" s="26">
        <f>Mulanje!E14+Luchenza!E14+Thyolo!E14+Muloza!E14+MUST!E14+Phalombe!E14+Mikolongwe!E14+Migowi!E14</f>
        <v>689</v>
      </c>
      <c r="F14" s="26">
        <f>Mulanje!F14+Luchenza!F14+Thyolo!F14+Muloza!F14+MUST!F14+Phalombe!F14+Mikolongwe!F14+Migowi!F14</f>
        <v>800</v>
      </c>
      <c r="G14" s="26">
        <f>Mulanje!G14+Luchenza!G14+Thyolo!G14+Muloza!G14+MUST!G14+Phalombe!G14+Mikolongwe!G14+Migowi!G14</f>
        <v>655</v>
      </c>
      <c r="H14" s="26">
        <f>Mulanje!H14+Luchenza!H14+Thyolo!H14+Muloza!H14+MUST!H14+Phalombe!H14+Mikolongwe!H14+Migowi!H14</f>
        <v>777</v>
      </c>
      <c r="I14" s="26">
        <f>Mulanje!I14+Luchenza!I14+Thyolo!I14+Muloza!I14+MUST!I14+Phalombe!I14+Mikolongwe!I14+Migowi!I14</f>
        <v>722</v>
      </c>
      <c r="J14" s="26">
        <f>Mulanje!J14+Luchenza!J14+Thyolo!J14+Muloza!J14+MUST!J14+Phalombe!J14+Mikolongwe!J14+Migowi!J14</f>
        <v>3448</v>
      </c>
      <c r="K14" s="26">
        <f>Mulanje!K14+Luchenza!K14+Thyolo!K14+Muloza!K14+MUST!K14+Phalombe!K14+Mikolongwe!K14+Migowi!K14</f>
        <v>2165</v>
      </c>
      <c r="L14" s="26">
        <f>Mulanje!L14+Luchenza!L14+Thyolo!L14+Muloza!L14+MUST!L14+Phalombe!L14+Mikolongwe!L14+Migowi!L14</f>
        <v>618</v>
      </c>
      <c r="M14" s="26">
        <f>Mulanje!M14+Luchenza!M14+Thyolo!M14+Muloza!M14+MUST!M14+Phalombe!M14+Mikolongwe!M14+Migowi!M14+Nkando!M14</f>
        <v>858</v>
      </c>
      <c r="N14" s="26">
        <f>Mulanje!N14+Luchenza!N14+Thyolo!N14+Muloza!N14+MUST!N14+Phalombe!N14+Mikolongwe!N14+Migowi!N14+Nkando!N14</f>
        <v>726</v>
      </c>
      <c r="O14" s="26">
        <f>Mulanje!O14+Luchenza!O14+Thyolo!O14+Muloza!O14+MUST!O14+Phalombe!O14+Mikolongwe!O14+Migowi!O14+Nkando!O14</f>
        <v>877</v>
      </c>
      <c r="P14" s="55">
        <f>SUM(D14:O14)</f>
        <v>12943</v>
      </c>
    </row>
    <row r="15" spans="1:18" s="63" customFormat="1" x14ac:dyDescent="0.3">
      <c r="A15" s="239" t="s">
        <v>158</v>
      </c>
      <c r="B15" s="240"/>
      <c r="C15" s="62" t="s">
        <v>152</v>
      </c>
      <c r="D15" s="34">
        <f t="shared" ref="D15:O15" si="0">SUM(D11:D14)</f>
        <v>65621</v>
      </c>
      <c r="E15" s="34">
        <f t="shared" si="0"/>
        <v>70313</v>
      </c>
      <c r="F15" s="34">
        <f t="shared" si="0"/>
        <v>62824</v>
      </c>
      <c r="G15" s="34">
        <f t="shared" si="0"/>
        <v>60493</v>
      </c>
      <c r="H15" s="34">
        <f t="shared" si="0"/>
        <v>59215</v>
      </c>
      <c r="I15" s="34">
        <f t="shared" si="0"/>
        <v>54840</v>
      </c>
      <c r="J15" s="34">
        <f t="shared" si="0"/>
        <v>54126</v>
      </c>
      <c r="K15" s="34">
        <f t="shared" si="0"/>
        <v>55507</v>
      </c>
      <c r="L15" s="34">
        <f t="shared" si="0"/>
        <v>53930</v>
      </c>
      <c r="M15" s="34">
        <f>SUM(M11:M14)</f>
        <v>54701</v>
      </c>
      <c r="N15" s="34">
        <f t="shared" si="0"/>
        <v>53749</v>
      </c>
      <c r="O15" s="34">
        <f t="shared" si="0"/>
        <v>73661.7</v>
      </c>
      <c r="P15" s="55">
        <f>SUM(P11:P14)</f>
        <v>718980.7</v>
      </c>
    </row>
    <row r="16" spans="1:18" s="2" customFormat="1" ht="14.4" x14ac:dyDescent="0.3">
      <c r="A16" s="281" t="s">
        <v>178</v>
      </c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3"/>
    </row>
    <row r="17" spans="1:16" s="2" customFormat="1" x14ac:dyDescent="0.3">
      <c r="A17" s="243" t="s">
        <v>180</v>
      </c>
      <c r="B17" s="244"/>
      <c r="C17" s="11" t="s">
        <v>152</v>
      </c>
      <c r="D17" s="26">
        <f>Mulanje!D17+Luchenza!D17+Thyolo!D17+Muloza!D17+MUST!D17+Phalombe!D17+Mikolongwe!D17+Migowi!D17</f>
        <v>6765.1</v>
      </c>
      <c r="E17" s="26">
        <f>Mulanje!E17+Luchenza!E17+Thyolo!E17+Muloza!E17+MUST!E17+Phalombe!E17+Mikolongwe!E17+Migowi!E17</f>
        <v>7412</v>
      </c>
      <c r="F17" s="26">
        <f>Mulanje!F17+Luchenza!F17+Thyolo!F17+Muloza!F17+MUST!F17+Phalombe!F17+Mikolongwe!F17+Migowi!F17</f>
        <v>10526.9</v>
      </c>
      <c r="G17" s="26">
        <f>Mulanje!G17+Luchenza!G17+Thyolo!G17+Muloza!G17+MUST!G17+Phalombe!G17+Mikolongwe!G17+Migowi!G17</f>
        <v>6631.6</v>
      </c>
      <c r="H17" s="26">
        <f>Mulanje!H17+Luchenza!H17+Thyolo!H17+Muloza!H17+MUST!H17+Phalombe!H17+Mikolongwe!H17+Migowi!H17</f>
        <v>16946.5</v>
      </c>
      <c r="I17" s="26">
        <f>Mulanje!I17+Luchenza!I17+Thyolo!I17+Muloza!I17+MUST!I17+Phalombe!I17+Mikolongwe!I17+Migowi!I17</f>
        <v>6451</v>
      </c>
      <c r="J17" s="26">
        <f>Mulanje!J17+Luchenza!J17+Thyolo!J17+Muloza!J17+MUST!J17+Phalombe!J17+Mikolongwe!J17+Migowi!J17</f>
        <v>9963.9</v>
      </c>
      <c r="K17" s="26">
        <f>Mulanje!K17+Luchenza!K17+Thyolo!K17+Muloza!K17+MUST!K17+Phalombe!K17+Mikolongwe!K17+Migowi!K17</f>
        <v>8575.2000000000007</v>
      </c>
      <c r="L17" s="26">
        <f>Mulanje!L17+Luchenza!L17+Thyolo!L17+Muloza!L17+MUST!L17+Phalombe!L17+Mikolongwe!L17+Migowi!L17</f>
        <v>8389</v>
      </c>
      <c r="M17" s="26">
        <f>Mulanje!M17+Luchenza!M17+Thyolo!M17+Muloza!M17+MUST!M17+Phalombe!M17+Mikolongwe!M17+Migowi!M17+Nkando!M17</f>
        <v>9434.1</v>
      </c>
      <c r="N17" s="26">
        <f>Mulanje!N17+Luchenza!N17+Thyolo!N17+Muloza!N17+MUST!N17+Phalombe!N17+Mikolongwe!N17+Migowi!N17+Nkando!N17</f>
        <v>7363</v>
      </c>
      <c r="O17" s="26">
        <f>Mulanje!O17+Luchenza!O17+Thyolo!O17+Muloza!O17+MUST!O17+Phalombe!O17+Mikolongwe!O17+Migowi!O17+Nkando!O17</f>
        <v>8668.9</v>
      </c>
      <c r="P17" s="55">
        <f>SUM(D17:O17)</f>
        <v>107127.2</v>
      </c>
    </row>
    <row r="18" spans="1:16" s="2" customFormat="1" x14ac:dyDescent="0.3">
      <c r="A18" s="243" t="s">
        <v>181</v>
      </c>
      <c r="B18" s="244"/>
      <c r="C18" s="11" t="s">
        <v>152</v>
      </c>
      <c r="D18" s="26">
        <f>Mulanje!D18+Luchenza!D18+Thyolo!D18+Muloza!D18+MUST!D18+Phalombe!D18+Mikolongwe!D18+Migowi!D18</f>
        <v>65</v>
      </c>
      <c r="E18" s="26">
        <f>Mulanje!E18+Luchenza!E18+Thyolo!E18+Muloza!E18+MUST!E18+Phalombe!E18+Mikolongwe!E18+Migowi!E18</f>
        <v>72</v>
      </c>
      <c r="F18" s="26">
        <f>Mulanje!F18+Luchenza!F18+Thyolo!F18+Muloza!F18+MUST!F18+Phalombe!F18+Mikolongwe!F18+Migowi!F18</f>
        <v>110</v>
      </c>
      <c r="G18" s="26">
        <f>Mulanje!G18+Luchenza!G18+Thyolo!G18+Muloza!G18+MUST!G18+Phalombe!G18+Mikolongwe!G18+Migowi!G18</f>
        <v>73</v>
      </c>
      <c r="H18" s="26">
        <f>Mulanje!H18+Luchenza!H18+Thyolo!H18+Muloza!H18+MUST!H18+Phalombe!H18+Mikolongwe!H18+Migowi!H18</f>
        <v>162</v>
      </c>
      <c r="I18" s="26">
        <f>Mulanje!I18+Luchenza!I18+Thyolo!I18+Muloza!I18+MUST!I18+Phalombe!I18+Mikolongwe!I18+Migowi!I18</f>
        <v>98</v>
      </c>
      <c r="J18" s="26">
        <f>Mulanje!J18+Luchenza!J18+Thyolo!J18+Muloza!J18+MUST!J18+Phalombe!J18+Mikolongwe!J18+Migowi!J18</f>
        <v>127</v>
      </c>
      <c r="K18" s="26">
        <f>Mulanje!K18+Luchenza!K18+Thyolo!K18+Muloza!K18+MUST!K18+Phalombe!K18+Mikolongwe!K18+Migowi!K18</f>
        <v>133</v>
      </c>
      <c r="L18" s="26">
        <f>Mulanje!L18+Luchenza!L18+Thyolo!L18+Muloza!L18+MUST!L18+Phalombe!L18+Mikolongwe!L18+Migowi!L18</f>
        <v>141</v>
      </c>
      <c r="M18" s="26">
        <f>Mulanje!M18+Luchenza!M18+Thyolo!M18+Muloza!M18+MUST!M18+Phalombe!M18+Mikolongwe!M18+Migowi!M18+Nkando!M18</f>
        <v>461</v>
      </c>
      <c r="N18" s="26">
        <f>Mulanje!N18+Luchenza!N18+Thyolo!N18+Muloza!N18+MUST!N18+Phalombe!N18+Mikolongwe!N18+Migowi!N18+Nkando!N18</f>
        <v>427</v>
      </c>
      <c r="O18" s="26">
        <f>Mulanje!O18+Luchenza!O18+Thyolo!O18+Muloza!O18+MUST!O18+Phalombe!O18+Mikolongwe!O18+Migowi!O18+Nkando!O18</f>
        <v>231</v>
      </c>
      <c r="P18" s="55">
        <f>SUM(D18:O18)</f>
        <v>2100</v>
      </c>
    </row>
    <row r="19" spans="1:16" s="2" customFormat="1" x14ac:dyDescent="0.3">
      <c r="A19" s="243" t="s">
        <v>182</v>
      </c>
      <c r="B19" s="244"/>
      <c r="C19" s="11" t="s">
        <v>152</v>
      </c>
      <c r="D19" s="26">
        <f>Mulanje!D19+Luchenza!D19+Thyolo!D19+Muloza!D19+MUST!D19+Phalombe!D19+Mikolongwe!D19+Migowi!D19</f>
        <v>8822</v>
      </c>
      <c r="E19" s="26">
        <f>Mulanje!E19+Luchenza!E19+Thyolo!E19+Muloza!E19+MUST!E19+Phalombe!E19+Mikolongwe!E19+Migowi!E19</f>
        <v>7789</v>
      </c>
      <c r="F19" s="26">
        <f>Mulanje!F19+Luchenza!F19+Thyolo!F19+Muloza!F19+MUST!F19+Phalombe!F19+Mikolongwe!F19+Migowi!F19</f>
        <v>16249.6</v>
      </c>
      <c r="G19" s="26">
        <f>Mulanje!G19+Luchenza!G19+Thyolo!G19+Muloza!G19+MUST!G19+Phalombe!G19+Mikolongwe!G19+Migowi!G19</f>
        <v>7775</v>
      </c>
      <c r="H19" s="26">
        <f>Mulanje!H19+Luchenza!H19+Thyolo!H19+Muloza!H19+MUST!H19+Phalombe!H19+Mikolongwe!H19+Migowi!H19</f>
        <v>22418</v>
      </c>
      <c r="I19" s="26">
        <f>Mulanje!I19+Luchenza!I19+Thyolo!I19+Muloza!I19+MUST!I19+Phalombe!I19+Mikolongwe!I19+Migowi!I19</f>
        <v>21390</v>
      </c>
      <c r="J19" s="26">
        <f>Mulanje!J19+Luchenza!J19+Thyolo!J19+Muloza!J19+MUST!J19+Phalombe!J19+Mikolongwe!J19+Migowi!J19</f>
        <v>18339.2</v>
      </c>
      <c r="K19" s="26">
        <f>Mulanje!K19+Luchenza!K19+Thyolo!K19+Muloza!K19+MUST!K19+Phalombe!K19+Mikolongwe!K19+Migowi!K19</f>
        <v>18485</v>
      </c>
      <c r="L19" s="26">
        <f>Mulanje!L19+Luchenza!L19+Thyolo!L19+Muloza!L19+MUST!L19+Phalombe!L19+Mikolongwe!L19+Migowi!L19</f>
        <v>21393</v>
      </c>
      <c r="M19" s="26">
        <f>Mulanje!M19+Luchenza!M19+Thyolo!M19+Muloza!M19+MUST!M19+Phalombe!M19+Mikolongwe!M19+Migowi!M19+Nkando!M19</f>
        <v>12132.1</v>
      </c>
      <c r="N19" s="26">
        <f>Mulanje!N19+Luchenza!N19+Thyolo!N19+Muloza!N19+MUST!N19+Phalombe!N19+Mikolongwe!N19+Migowi!N19+Nkando!N19</f>
        <v>31025</v>
      </c>
      <c r="O19" s="26">
        <f>Mulanje!O19+Luchenza!O19+Thyolo!O19+Muloza!O19+MUST!O19+Phalombe!O19+Mikolongwe!O19+Migowi!O19+Nkando!O19</f>
        <v>14945.4</v>
      </c>
      <c r="P19" s="55">
        <f>SUM(D19:O19)</f>
        <v>200763.3</v>
      </c>
    </row>
    <row r="20" spans="1:16" s="2" customFormat="1" x14ac:dyDescent="0.3">
      <c r="A20" s="237" t="s">
        <v>183</v>
      </c>
      <c r="B20" s="238"/>
      <c r="C20" s="11" t="s">
        <v>152</v>
      </c>
      <c r="D20" s="26">
        <f>Mulanje!D20+Luchenza!D20+Thyolo!D20+Muloza!D20+MUST!D20+Phalombe!D20+Mikolongwe!D20+Migowi!D20</f>
        <v>1561</v>
      </c>
      <c r="E20" s="26">
        <f>Mulanje!E20+Luchenza!E20+Thyolo!E20+Muloza!E20+MUST!E20+Phalombe!E20+Mikolongwe!E20+Migowi!E20</f>
        <v>2279</v>
      </c>
      <c r="F20" s="26">
        <f>Mulanje!F20+Luchenza!F20+Thyolo!F20+Muloza!F20+MUST!F20+Phalombe!F20+Mikolongwe!F20+Migowi!F20</f>
        <v>1672</v>
      </c>
      <c r="G20" s="26">
        <f>Mulanje!G20+Luchenza!G20+Thyolo!G20+Muloza!G20+MUST!G20+Phalombe!G20+Mikolongwe!G20+Migowi!G20</f>
        <v>1722</v>
      </c>
      <c r="H20" s="26">
        <f>Mulanje!H20+Luchenza!H20+Thyolo!H20+Muloza!H20+MUST!H20+Phalombe!H20+Mikolongwe!H20+Migowi!H20</f>
        <v>4672.6000000000004</v>
      </c>
      <c r="I20" s="26">
        <f>Mulanje!I20+Luchenza!I20+Thyolo!I20+Muloza!I20+MUST!I20+Phalombe!I20+Mikolongwe!I20+Migowi!I20</f>
        <v>1646</v>
      </c>
      <c r="J20" s="26">
        <f>Mulanje!J20+Luchenza!J20+Thyolo!J20+Muloza!J20+MUST!J20+Phalombe!J20+Mikolongwe!J20+Migowi!J20</f>
        <v>1791.8</v>
      </c>
      <c r="K20" s="26">
        <f>Mulanje!K20+Luchenza!K20+Thyolo!K20+Muloza!K20+MUST!K20+Phalombe!K20+Mikolongwe!K20+Migowi!K20</f>
        <v>1945.3</v>
      </c>
      <c r="L20" s="26">
        <f>Mulanje!L20+Luchenza!L20+Thyolo!L20+Muloza!L20+MUST!L20+Phalombe!L20+Mikolongwe!L20+Migowi!L20</f>
        <v>2552</v>
      </c>
      <c r="M20" s="26">
        <f>Mulanje!M20+Luchenza!M20+Thyolo!M20+Muloza!M20+MUST!M20+Phalombe!M20+Mikolongwe!M20+Migowi!M20+Nkando!M20</f>
        <v>2533.4999999999995</v>
      </c>
      <c r="N20" s="26">
        <f>Mulanje!N20+Luchenza!N20+Thyolo!N20+Muloza!N20+MUST!N20+Phalombe!N20+Mikolongwe!N20+Migowi!N20+Nkando!N20</f>
        <v>3353.6</v>
      </c>
      <c r="O20" s="26">
        <f>Mulanje!O20+Luchenza!O20+Thyolo!O20+Muloza!O20+MUST!O20+Phalombe!O20+Mikolongwe!O20+Migowi!O20+Nkando!O20</f>
        <v>1918</v>
      </c>
      <c r="P20" s="55">
        <f>SUM(D20:O20)</f>
        <v>27646.799999999999</v>
      </c>
    </row>
    <row r="21" spans="1:16" s="73" customFormat="1" x14ac:dyDescent="0.3">
      <c r="A21" s="239" t="s">
        <v>184</v>
      </c>
      <c r="B21" s="240"/>
      <c r="C21" s="62" t="s">
        <v>152</v>
      </c>
      <c r="D21" s="34">
        <f>SUM(D17:D20)</f>
        <v>17213.099999999999</v>
      </c>
      <c r="E21" s="34">
        <f t="shared" ref="E21:P21" si="1">SUM(E17:E20)</f>
        <v>17552</v>
      </c>
      <c r="F21" s="34">
        <f t="shared" si="1"/>
        <v>28558.5</v>
      </c>
      <c r="G21" s="34">
        <f t="shared" si="1"/>
        <v>16201.6</v>
      </c>
      <c r="H21" s="34">
        <f t="shared" si="1"/>
        <v>44199.1</v>
      </c>
      <c r="I21" s="34">
        <f t="shared" si="1"/>
        <v>29585</v>
      </c>
      <c r="J21" s="34">
        <f t="shared" si="1"/>
        <v>30221.899999999998</v>
      </c>
      <c r="K21" s="34">
        <f t="shared" si="1"/>
        <v>29138.5</v>
      </c>
      <c r="L21" s="34">
        <f t="shared" si="1"/>
        <v>32475</v>
      </c>
      <c r="M21" s="34">
        <f t="shared" si="1"/>
        <v>24560.7</v>
      </c>
      <c r="N21" s="34">
        <f t="shared" si="1"/>
        <v>42168.6</v>
      </c>
      <c r="O21" s="34">
        <f t="shared" si="1"/>
        <v>25763.3</v>
      </c>
      <c r="P21" s="55">
        <f t="shared" si="1"/>
        <v>337637.3</v>
      </c>
    </row>
    <row r="22" spans="1:16" s="2" customFormat="1" x14ac:dyDescent="0.3">
      <c r="A22" s="336" t="s">
        <v>185</v>
      </c>
      <c r="B22" s="323"/>
      <c r="C22" s="11" t="s">
        <v>152</v>
      </c>
      <c r="D22" s="34">
        <f>D21+D15</f>
        <v>82834.100000000006</v>
      </c>
      <c r="E22" s="34">
        <f t="shared" ref="E22:P22" si="2">E21+E15</f>
        <v>87865</v>
      </c>
      <c r="F22" s="34">
        <f t="shared" si="2"/>
        <v>91382.5</v>
      </c>
      <c r="G22" s="34">
        <f t="shared" si="2"/>
        <v>76694.600000000006</v>
      </c>
      <c r="H22" s="34">
        <f t="shared" si="2"/>
        <v>103414.1</v>
      </c>
      <c r="I22" s="34">
        <f t="shared" si="2"/>
        <v>84425</v>
      </c>
      <c r="J22" s="34">
        <f t="shared" si="2"/>
        <v>84347.9</v>
      </c>
      <c r="K22" s="34">
        <f t="shared" si="2"/>
        <v>84645.5</v>
      </c>
      <c r="L22" s="34">
        <f t="shared" si="2"/>
        <v>86405</v>
      </c>
      <c r="M22" s="34">
        <f t="shared" si="2"/>
        <v>79261.7</v>
      </c>
      <c r="N22" s="34">
        <f t="shared" si="2"/>
        <v>95917.6</v>
      </c>
      <c r="O22" s="34">
        <f t="shared" si="2"/>
        <v>99425</v>
      </c>
      <c r="P22" s="55">
        <f t="shared" si="2"/>
        <v>1056618</v>
      </c>
    </row>
    <row r="23" spans="1:16" ht="14.4" x14ac:dyDescent="0.3">
      <c r="A23" s="338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39"/>
      <c r="P23" s="340"/>
    </row>
    <row r="24" spans="1:16" x14ac:dyDescent="0.3">
      <c r="A24" s="329" t="s">
        <v>179</v>
      </c>
      <c r="B24" s="37" t="s">
        <v>153</v>
      </c>
      <c r="C24" s="5" t="s">
        <v>152</v>
      </c>
      <c r="D24" s="54">
        <f>D9-D22</f>
        <v>37713.899999999994</v>
      </c>
      <c r="E24" s="54">
        <f t="shared" ref="E24:P24" si="3">E9-E22</f>
        <v>37577</v>
      </c>
      <c r="F24" s="54">
        <f t="shared" si="3"/>
        <v>30213.5</v>
      </c>
      <c r="G24" s="54">
        <f t="shared" si="3"/>
        <v>38085.399999999994</v>
      </c>
      <c r="H24" s="54">
        <f t="shared" si="3"/>
        <v>38837.899999999994</v>
      </c>
      <c r="I24" s="54">
        <f t="shared" si="3"/>
        <v>33333</v>
      </c>
      <c r="J24" s="54">
        <f t="shared" si="3"/>
        <v>37407.100000000006</v>
      </c>
      <c r="K24" s="54">
        <f t="shared" si="3"/>
        <v>36053.5</v>
      </c>
      <c r="L24" s="54">
        <f t="shared" si="3"/>
        <v>37201</v>
      </c>
      <c r="M24" s="54">
        <f t="shared" si="3"/>
        <v>31282.300000000003</v>
      </c>
      <c r="N24" s="54">
        <f t="shared" si="3"/>
        <v>35045.399999999994</v>
      </c>
      <c r="O24" s="54">
        <f t="shared" si="3"/>
        <v>31098</v>
      </c>
      <c r="P24" s="99">
        <f t="shared" si="3"/>
        <v>423848</v>
      </c>
    </row>
    <row r="25" spans="1:16" x14ac:dyDescent="0.3">
      <c r="A25" s="331"/>
      <c r="B25" s="53" t="s">
        <v>151</v>
      </c>
      <c r="C25" s="52" t="s">
        <v>6</v>
      </c>
      <c r="D25" s="51">
        <f t="shared" ref="D25:P25" si="4">D24/D9</f>
        <v>0.31285380097554494</v>
      </c>
      <c r="E25" s="51">
        <f t="shared" si="4"/>
        <v>0.29955676727093</v>
      </c>
      <c r="F25" s="51">
        <f t="shared" si="4"/>
        <v>0.24847445639659199</v>
      </c>
      <c r="G25" s="51">
        <f t="shared" si="4"/>
        <v>0.33181216239763017</v>
      </c>
      <c r="H25" s="51">
        <f t="shared" si="4"/>
        <v>0.27302182043134715</v>
      </c>
      <c r="I25" s="51">
        <f t="shared" si="4"/>
        <v>0.28306357105249752</v>
      </c>
      <c r="J25" s="51">
        <f t="shared" si="4"/>
        <v>0.30723255718450992</v>
      </c>
      <c r="K25" s="51">
        <f t="shared" si="4"/>
        <v>0.29870587163108225</v>
      </c>
      <c r="L25" s="51">
        <f t="shared" si="4"/>
        <v>0.30096435448117403</v>
      </c>
      <c r="M25" s="51">
        <f t="shared" si="4"/>
        <v>0.28298505572441746</v>
      </c>
      <c r="N25" s="51">
        <f t="shared" si="4"/>
        <v>0.26759771843955921</v>
      </c>
      <c r="O25" s="51">
        <f t="shared" si="4"/>
        <v>0.2382568589444006</v>
      </c>
      <c r="P25" s="153">
        <f t="shared" si="4"/>
        <v>0.28629363997552121</v>
      </c>
    </row>
    <row r="26" spans="1:16" ht="14.4" x14ac:dyDescent="0.3">
      <c r="A26" s="281" t="s">
        <v>150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3"/>
    </row>
    <row r="27" spans="1:16" ht="14.4" x14ac:dyDescent="0.3">
      <c r="A27" s="326" t="s">
        <v>149</v>
      </c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8"/>
    </row>
    <row r="28" spans="1:1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6" x14ac:dyDescent="0.3">
      <c r="A29" s="249" t="s">
        <v>146</v>
      </c>
      <c r="B29" s="642">
        <v>5111.67</v>
      </c>
      <c r="C29" s="5" t="s">
        <v>140</v>
      </c>
      <c r="D29" s="34">
        <f>Mulanje!D29+Luchenza!D29+Thyolo!D29+Muloza!D29+MUST!D29+Phalombe!D29+Mikolongwe!D29+Migowi!D29</f>
        <v>280</v>
      </c>
      <c r="E29" s="34">
        <f>Mulanje!E29+Luchenza!E29+Thyolo!E29+Muloza!E29+MUST!E29+Phalombe!E29+Mikolongwe!E29+Migowi!E29</f>
        <v>297</v>
      </c>
      <c r="F29" s="34">
        <f>Mulanje!F29+Luchenza!F29+Thyolo!F29+Muloza!F29+MUST!F29+Phalombe!F29+Mikolongwe!F29+Migowi!F29</f>
        <v>283</v>
      </c>
      <c r="G29" s="34">
        <f>Mulanje!G29+Luchenza!G29+Thyolo!G29+Muloza!G29+MUST!G29+Phalombe!G29+Mikolongwe!G29+Migowi!G29</f>
        <v>314</v>
      </c>
      <c r="H29" s="34">
        <f>Mulanje!H29+Luchenza!H29+Thyolo!H29+Muloza!H29+MUST!H29+Phalombe!H29+Mikolongwe!H29+Migowi!H29</f>
        <v>274</v>
      </c>
      <c r="I29" s="34">
        <f>Mulanje!I29+Luchenza!I29+Thyolo!I29+Muloza!I29+MUST!I29+Phalombe!I29+Mikolongwe!I29+Migowi!I29</f>
        <v>279</v>
      </c>
      <c r="J29" s="34">
        <f>Mulanje!J29+Luchenza!J29+Thyolo!J29+Muloza!J29+MUST!J29+Phalombe!J29+Mikolongwe!J29+Migowi!J29</f>
        <v>261</v>
      </c>
      <c r="K29" s="34">
        <f>Mulanje!K29+Luchenza!K29+Thyolo!K29+Muloza!K29+MUST!K29+Phalombe!K29+Mikolongwe!K29+Migowi!K29</f>
        <v>263</v>
      </c>
      <c r="L29" s="34">
        <f>Mulanje!L29+Luchenza!L29+Thyolo!L29+Muloza!L29+MUST!L29+Phalombe!L29+Mikolongwe!L29+Migowi!L29</f>
        <v>258</v>
      </c>
      <c r="M29" s="34">
        <f>Mulanje!M29+Luchenza!M29+Thyolo!M29+Muloza!M29+MUST!M29+Phalombe!M29+Mikolongwe!M29+Migowi!M29+Nkando!M29</f>
        <v>249</v>
      </c>
      <c r="N29" s="34">
        <f>Mulanje!N29+Luchenza!N29+Thyolo!N29+Muloza!N29+MUST!N29+Phalombe!N29+Mikolongwe!N29+Migowi!N29+Nkando!N29</f>
        <v>263</v>
      </c>
      <c r="O29" s="34">
        <f>Mulanje!O29+Luchenza!O29+Thyolo!O29+Muloza!O29+MUST!O29+Phalombe!O29+Mikolongwe!O29+Migowi!O29+Nkando!O29</f>
        <v>256</v>
      </c>
      <c r="P29" s="45">
        <f>SUM(D29:O29)</f>
        <v>3277</v>
      </c>
    </row>
    <row r="30" spans="1:16" x14ac:dyDescent="0.3">
      <c r="A30" s="250"/>
      <c r="B30" s="642"/>
      <c r="C30" s="42" t="s">
        <v>139</v>
      </c>
      <c r="D30" s="15">
        <f t="shared" ref="D30:P30" si="5">D29/(D9/1000)</f>
        <v>2.3227262169426286</v>
      </c>
      <c r="E30" s="15">
        <f t="shared" si="5"/>
        <v>2.3676280671545418</v>
      </c>
      <c r="F30" s="15">
        <f t="shared" si="5"/>
        <v>2.3273791901049377</v>
      </c>
      <c r="G30" s="15">
        <f t="shared" si="5"/>
        <v>2.7356682348841259</v>
      </c>
      <c r="H30" s="15">
        <f t="shared" si="5"/>
        <v>1.9261592104153191</v>
      </c>
      <c r="I30" s="15">
        <f t="shared" si="5"/>
        <v>2.3692657823672278</v>
      </c>
      <c r="J30" s="15">
        <f t="shared" si="5"/>
        <v>2.143649131452507</v>
      </c>
      <c r="K30" s="15">
        <f t="shared" si="5"/>
        <v>2.1789741422878399</v>
      </c>
      <c r="L30" s="15">
        <f t="shared" si="5"/>
        <v>2.0872773166351148</v>
      </c>
      <c r="M30" s="15">
        <f t="shared" si="5"/>
        <v>2.2524967433782024</v>
      </c>
      <c r="N30" s="15">
        <f t="shared" si="5"/>
        <v>2.0082007895359757</v>
      </c>
      <c r="O30" s="15">
        <f t="shared" si="5"/>
        <v>1.9613401469472813</v>
      </c>
      <c r="P30" s="102">
        <f t="shared" si="5"/>
        <v>2.213492238254712</v>
      </c>
    </row>
    <row r="31" spans="1:16" x14ac:dyDescent="0.3">
      <c r="A31" s="247" t="s">
        <v>145</v>
      </c>
      <c r="B31" s="642">
        <v>1537</v>
      </c>
      <c r="C31" s="5" t="s">
        <v>140</v>
      </c>
      <c r="D31" s="34">
        <f>Mulanje!D31+Luchenza!D31+Thyolo!D31+Muloza!D31+MUST!D31+Phalombe!D31+Mikolongwe!D31+Migowi!D31</f>
        <v>0</v>
      </c>
      <c r="E31" s="34">
        <f>Mulanje!E31+Luchenza!E31+Thyolo!E31+Muloza!E31+MUST!E31+Phalombe!E31+Mikolongwe!E31+Migowi!E31</f>
        <v>0</v>
      </c>
      <c r="F31" s="34">
        <f>Mulanje!F31+Luchenza!F31+Thyolo!F31+Muloza!F31+MUST!F31+Phalombe!F31+Mikolongwe!F31+Migowi!F31</f>
        <v>0</v>
      </c>
      <c r="G31" s="34">
        <f>Mulanje!G31+Luchenza!G31+Thyolo!G31+Muloza!G31+MUST!G31+Phalombe!G31+Mikolongwe!G31+Migowi!G31</f>
        <v>0</v>
      </c>
      <c r="H31" s="34">
        <f>Mulanje!H31+Luchenza!H31+Thyolo!H31+Muloza!H31+MUST!H31+Phalombe!H31+Mikolongwe!H31+Migowi!H31</f>
        <v>0</v>
      </c>
      <c r="I31" s="34">
        <f>Mulanje!I31+Luchenza!I31+Thyolo!I31+Muloza!I31+MUST!I31+Phalombe!I31+Mikolongwe!I31+Migowi!I31</f>
        <v>0</v>
      </c>
      <c r="J31" s="34">
        <f>Mulanje!J31+Luchenza!J31+Thyolo!J31+Muloza!J31+MUST!J31+Phalombe!J31+Mikolongwe!J31+Migowi!J31</f>
        <v>0</v>
      </c>
      <c r="K31" s="34">
        <f>Mulanje!K31+Luchenza!K31+Thyolo!K31+Muloza!K31+MUST!K31+Phalombe!K31+Mikolongwe!K31+Migowi!K31</f>
        <v>0</v>
      </c>
      <c r="L31" s="34">
        <f>Mulanje!L31+Luchenza!L31+Thyolo!L31+Muloza!L31+MUST!L31+Phalombe!L31+Mikolongwe!L31+Migowi!L31</f>
        <v>0</v>
      </c>
      <c r="M31" s="34">
        <f>Mulanje!M31+Luchenza!M31+Thyolo!M31+Muloza!M31+MUST!M31+Phalombe!M31+Mikolongwe!M31+Migowi!M31+Nkando!M31</f>
        <v>0</v>
      </c>
      <c r="N31" s="34">
        <f>Mulanje!N31+Luchenza!N31+Thyolo!N31+Muloza!N31+MUST!N31+Phalombe!N31+Mikolongwe!N31+Migowi!N31+Nkando!N31</f>
        <v>0</v>
      </c>
      <c r="O31" s="34">
        <f>Mulanje!O31+Luchenza!O31+Thyolo!O31+Muloza!O31+MUST!O31+Phalombe!O31+Mikolongwe!O31+Migowi!O31+Nkando!O31</f>
        <v>0</v>
      </c>
      <c r="P31" s="45">
        <f>SUM(D31:O31)</f>
        <v>0</v>
      </c>
    </row>
    <row r="32" spans="1:16" x14ac:dyDescent="0.3">
      <c r="A32" s="248"/>
      <c r="B32" s="642"/>
      <c r="C32" s="42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102">
        <f t="shared" si="6"/>
        <v>0</v>
      </c>
    </row>
    <row r="33" spans="1:16" x14ac:dyDescent="0.3">
      <c r="A33" s="247" t="s">
        <v>144</v>
      </c>
      <c r="B33" s="642">
        <v>1781.02</v>
      </c>
      <c r="C33" s="5" t="s">
        <v>140</v>
      </c>
      <c r="D33" s="34">
        <f>Mulanje!D33+Luchenza!D33+Thyolo!D33+Muloza!D33+MUST!D33+Phalombe!D33+Mikolongwe!D33+Migowi!D33</f>
        <v>0</v>
      </c>
      <c r="E33" s="34">
        <f>Mulanje!E33+Luchenza!E33+Thyolo!E33+Muloza!E33+MUST!E33+Phalombe!E33+Mikolongwe!E33+Migowi!E33</f>
        <v>0</v>
      </c>
      <c r="F33" s="34">
        <f>Mulanje!F33+Luchenza!F33+Thyolo!F33+Muloza!F33+MUST!F33+Phalombe!F33+Mikolongwe!F33+Migowi!F33</f>
        <v>0</v>
      </c>
      <c r="G33" s="34">
        <f>Mulanje!G33+Luchenza!G33+Thyolo!G33+Muloza!G33+MUST!G33+Phalombe!G33+Mikolongwe!G33+Migowi!G33</f>
        <v>0</v>
      </c>
      <c r="H33" s="34">
        <f>Mulanje!H33+Luchenza!H33+Thyolo!H33+Muloza!H33+MUST!H33+Phalombe!H33+Mikolongwe!H33+Migowi!H33</f>
        <v>0</v>
      </c>
      <c r="I33" s="34">
        <f>Mulanje!I33+Luchenza!I33+Thyolo!I33+Muloza!I33+MUST!I33+Phalombe!I33+Mikolongwe!I33+Migowi!I33</f>
        <v>0</v>
      </c>
      <c r="J33" s="34">
        <f>Mulanje!J33+Luchenza!J33+Thyolo!J33+Muloza!J33+MUST!J33+Phalombe!J33+Mikolongwe!J33+Migowi!J33</f>
        <v>0</v>
      </c>
      <c r="K33" s="34">
        <f>Mulanje!K33+Luchenza!K33+Thyolo!K33+Muloza!K33+MUST!K33+Phalombe!K33+Mikolongwe!K33+Migowi!K33</f>
        <v>0</v>
      </c>
      <c r="L33" s="34">
        <f>Mulanje!L33+Luchenza!L33+Thyolo!L33+Muloza!L33+MUST!L33+Phalombe!L33+Mikolongwe!L33+Migowi!L33</f>
        <v>0</v>
      </c>
      <c r="M33" s="34">
        <f>Mulanje!M33+Luchenza!M33+Thyolo!M33+Muloza!M33+MUST!M33+Phalombe!M33+Mikolongwe!M33+Migowi!M33+Nkando!M33</f>
        <v>0</v>
      </c>
      <c r="N33" s="34">
        <f>Mulanje!N33+Luchenza!N33+Thyolo!N33+Muloza!N33+MUST!N33+Phalombe!N33+Mikolongwe!N33+Migowi!N33+Nkando!N33</f>
        <v>0</v>
      </c>
      <c r="O33" s="34">
        <f>Mulanje!O33+Luchenza!O33+Thyolo!O33+Muloza!O33+MUST!O33+Phalombe!O33+Mikolongwe!O33+Migowi!O33+Nkando!O33</f>
        <v>0</v>
      </c>
      <c r="P33" s="45">
        <f>SUM(D33:O33)</f>
        <v>0</v>
      </c>
    </row>
    <row r="34" spans="1:16" x14ac:dyDescent="0.3">
      <c r="A34" s="248"/>
      <c r="B34" s="642"/>
      <c r="C34" s="42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102">
        <f t="shared" si="7"/>
        <v>0</v>
      </c>
    </row>
    <row r="35" spans="1:16" x14ac:dyDescent="0.3">
      <c r="A35" s="247" t="s">
        <v>143</v>
      </c>
      <c r="B35" s="642">
        <v>5979.95</v>
      </c>
      <c r="C35" s="5" t="s">
        <v>126</v>
      </c>
      <c r="D35" s="34">
        <f>Mulanje!D35+Luchenza!D35+Thyolo!D35+Muloza!D35+MUST!D35+Phalombe!D35+Mikolongwe!D35+Migowi!D35</f>
        <v>72</v>
      </c>
      <c r="E35" s="34">
        <f>Mulanje!E35+Luchenza!E35+Thyolo!E35+Muloza!E35+MUST!E35+Phalombe!E35+Mikolongwe!E35+Migowi!E35</f>
        <v>84</v>
      </c>
      <c r="F35" s="34">
        <f>Mulanje!F35+Luchenza!F35+Thyolo!F35+Muloza!F35+MUST!F35+Phalombe!F35+Mikolongwe!F35+Migowi!F35</f>
        <v>72</v>
      </c>
      <c r="G35" s="34">
        <f>Mulanje!G35+Luchenza!G35+Thyolo!G35+Muloza!G35+MUST!G35+Phalombe!G35+Mikolongwe!G35+Migowi!G35</f>
        <v>78</v>
      </c>
      <c r="H35" s="34">
        <f>Mulanje!H35+Luchenza!H35+Thyolo!H35+Muloza!H35+MUST!H35+Phalombe!H35+Mikolongwe!H35+Migowi!H35</f>
        <v>78</v>
      </c>
      <c r="I35" s="34">
        <f>Mulanje!I35+Luchenza!I35+Thyolo!I35+Muloza!I35+MUST!I35+Phalombe!I35+Mikolongwe!I35+Migowi!I35</f>
        <v>79</v>
      </c>
      <c r="J35" s="34">
        <f>Mulanje!J35+Luchenza!J35+Thyolo!J35+Muloza!J35+MUST!J35+Phalombe!J35+Mikolongwe!J35+Migowi!J35</f>
        <v>79</v>
      </c>
      <c r="K35" s="34">
        <f>Mulanje!K35+Luchenza!K35+Thyolo!K35+Muloza!K35+MUST!K35+Phalombe!K35+Mikolongwe!K35+Migowi!K35</f>
        <v>86</v>
      </c>
      <c r="L35" s="34">
        <f>Mulanje!L35+Luchenza!L35+Thyolo!L35+Muloza!L35+MUST!L35+Phalombe!L35+Mikolongwe!L35+Migowi!L35</f>
        <v>118</v>
      </c>
      <c r="M35" s="34">
        <f>Mulanje!M35+Luchenza!M35+Thyolo!M35+Muloza!M35+MUST!M35+Phalombe!M35+Mikolongwe!M35+Migowi!M35+Nkando!M35</f>
        <v>65</v>
      </c>
      <c r="N35" s="34">
        <f>Mulanje!N35+Luchenza!N35+Thyolo!N35+Muloza!N35+MUST!N35+Phalombe!N35+Mikolongwe!N35+Migowi!N35+Nkando!N35</f>
        <v>0</v>
      </c>
      <c r="O35" s="34">
        <f>Mulanje!O35+Luchenza!O35+Thyolo!O35+Muloza!O35+MUST!O35+Phalombe!O35+Mikolongwe!O35+Migowi!O35+Nkando!O35</f>
        <v>117</v>
      </c>
      <c r="P35" s="102"/>
    </row>
    <row r="36" spans="1:16" x14ac:dyDescent="0.3">
      <c r="A36" s="248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2"/>
    </row>
    <row r="37" spans="1:16" x14ac:dyDescent="0.3">
      <c r="A37" s="247" t="s">
        <v>186</v>
      </c>
      <c r="B37" s="642">
        <v>5403.75</v>
      </c>
      <c r="C37" s="5" t="s">
        <v>126</v>
      </c>
      <c r="D37" s="34">
        <f>Mulanje!D37+Luchenza!D37+Thyolo!D37+Muloza!D37+MUST!D37+Phalombe!D37+Mikolongwe!D37+Migowi!D37</f>
        <v>0</v>
      </c>
      <c r="E37" s="34">
        <f>Mulanje!E37+Luchenza!E37+Thyolo!E37+Muloza!E37+MUST!E37+Phalombe!E37+Mikolongwe!E37+Migowi!E37</f>
        <v>0</v>
      </c>
      <c r="F37" s="34">
        <f>Mulanje!F37+Luchenza!F37+Thyolo!F37+Muloza!F37+MUST!F37+Phalombe!F37+Mikolongwe!F37+Migowi!F37</f>
        <v>0</v>
      </c>
      <c r="G37" s="34">
        <f>Mulanje!G37+Luchenza!G37+Thyolo!G37+Muloza!G37+MUST!G37+Phalombe!G37+Mikolongwe!G37+Migowi!G37</f>
        <v>0</v>
      </c>
      <c r="H37" s="34">
        <f>Mulanje!H37+Luchenza!H37+Thyolo!H37+Muloza!H37+MUST!H37+Phalombe!H37+Mikolongwe!H37+Migowi!H37</f>
        <v>0</v>
      </c>
      <c r="I37" s="34">
        <f>Mulanje!I37+Luchenza!I37+Thyolo!I37+Muloza!I37+MUST!I37+Phalombe!I37+Mikolongwe!I37+Migowi!I37</f>
        <v>0</v>
      </c>
      <c r="J37" s="34">
        <f>Mulanje!J37+Luchenza!J37+Thyolo!J37+Muloza!J37+MUST!J37+Phalombe!J37+Mikolongwe!J37+Migowi!J37</f>
        <v>0</v>
      </c>
      <c r="K37" s="34">
        <f>Mulanje!K37+Luchenza!K37+Thyolo!K37+Muloza!K37+MUST!K37+Phalombe!K37+Mikolongwe!K37+Migowi!K37</f>
        <v>0</v>
      </c>
      <c r="L37" s="34">
        <f>Mulanje!L37+Luchenza!L37+Thyolo!L37+Muloza!L37+MUST!L37+Phalombe!L37+Mikolongwe!L37+Migowi!L37</f>
        <v>0</v>
      </c>
      <c r="M37" s="34">
        <f>Mulanje!M37+Luchenza!M37+Thyolo!M37+Muloza!M37+MUST!M37+Phalombe!M37+Mikolongwe!M37+Migowi!M37+Nkando!M37</f>
        <v>0</v>
      </c>
      <c r="N37" s="34">
        <f>Mulanje!N37+Luchenza!N37+Thyolo!N37+Muloza!N37+MUST!N37+Phalombe!N37+Mikolongwe!N37+Migowi!N37+Nkando!N37</f>
        <v>0</v>
      </c>
      <c r="O37" s="34">
        <f>Mulanje!O37+Luchenza!O37+Thyolo!O37+Muloza!O37+MUST!O37+Phalombe!O37+Mikolongwe!O37+Migowi!O37+Nkando!O37</f>
        <v>0</v>
      </c>
      <c r="P37" s="45">
        <f>SUM(D37:O37)</f>
        <v>0</v>
      </c>
    </row>
    <row r="38" spans="1:16" x14ac:dyDescent="0.3">
      <c r="A38" s="248"/>
      <c r="B38" s="642"/>
      <c r="C38" s="5" t="s">
        <v>142</v>
      </c>
      <c r="D38" s="15">
        <f t="shared" ref="D38:P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5">
        <f t="shared" si="8"/>
        <v>0</v>
      </c>
      <c r="N38" s="15">
        <f t="shared" si="8"/>
        <v>0</v>
      </c>
      <c r="O38" s="15">
        <f t="shared" si="8"/>
        <v>0</v>
      </c>
      <c r="P38" s="102">
        <f t="shared" si="8"/>
        <v>0</v>
      </c>
    </row>
    <row r="39" spans="1:16" x14ac:dyDescent="0.3">
      <c r="A39" s="247" t="s">
        <v>141</v>
      </c>
      <c r="B39" s="642">
        <v>1950</v>
      </c>
      <c r="C39" s="5" t="s">
        <v>140</v>
      </c>
      <c r="D39" s="34">
        <f>Mulanje!D39+Luchenza!D39+Thyolo!D39+Muloza!D39+MUST!D39+Phalombe!D39+Mikolongwe!D39+Migowi!D39</f>
        <v>0</v>
      </c>
      <c r="E39" s="34">
        <f>Mulanje!E39+Luchenza!E39+Thyolo!E39+Muloza!E39+MUST!E39+Phalombe!E39+Mikolongwe!E39+Migowi!E39</f>
        <v>0</v>
      </c>
      <c r="F39" s="34">
        <f>Mulanje!F39+Luchenza!F39+Thyolo!F39+Muloza!F39+MUST!F39+Phalombe!F39+Mikolongwe!F39+Migowi!F39</f>
        <v>0</v>
      </c>
      <c r="G39" s="34">
        <f>Mulanje!G39+Luchenza!G39+Thyolo!G39+Muloza!G39+MUST!G39+Phalombe!G39+Mikolongwe!G39+Migowi!G39</f>
        <v>0</v>
      </c>
      <c r="H39" s="34">
        <f>Mulanje!H39+Luchenza!H39+Thyolo!H39+Muloza!H39+MUST!H39+Phalombe!H39+Mikolongwe!H39+Migowi!H39</f>
        <v>0</v>
      </c>
      <c r="I39" s="34">
        <f>Mulanje!I39+Luchenza!I39+Thyolo!I39+Muloza!I39+MUST!I39+Phalombe!I39+Mikolongwe!I39+Migowi!I39</f>
        <v>0</v>
      </c>
      <c r="J39" s="34">
        <f>Mulanje!J39+Luchenza!J39+Thyolo!J39+Muloza!J39+MUST!J39+Phalombe!J39+Mikolongwe!J39+Migowi!J39</f>
        <v>0</v>
      </c>
      <c r="K39" s="34">
        <f>Mulanje!K39+Luchenza!K39+Thyolo!K39+Muloza!K39+MUST!K39+Phalombe!K39+Mikolongwe!K39+Migowi!K39</f>
        <v>0</v>
      </c>
      <c r="L39" s="34">
        <f>Mulanje!L39+Luchenza!L39+Thyolo!L39+Muloza!L39+MUST!L39+Phalombe!L39+Mikolongwe!L39+Migowi!L39</f>
        <v>0</v>
      </c>
      <c r="M39" s="34">
        <f>Mulanje!M39+Luchenza!M39+Thyolo!M39+Muloza!M39+MUST!M39+Phalombe!M39+Mikolongwe!M39+Migowi!M39+Nkando!M39</f>
        <v>0</v>
      </c>
      <c r="N39" s="34">
        <f>Mulanje!N39+Luchenza!N39+Thyolo!N39+Muloza!N39+MUST!N39+Phalombe!N39+Mikolongwe!N39+Migowi!N39+Nkando!N39</f>
        <v>0</v>
      </c>
      <c r="O39" s="34">
        <f>Mulanje!O39+Luchenza!O39+Thyolo!O39+Muloza!O39+MUST!O39+Phalombe!O39+Mikolongwe!O39+Migowi!O39+Nkando!O39</f>
        <v>0</v>
      </c>
      <c r="P39" s="45">
        <f>SUM(D39:O39)</f>
        <v>0</v>
      </c>
    </row>
    <row r="40" spans="1:16" x14ac:dyDescent="0.3">
      <c r="A40" s="248"/>
      <c r="B40" s="642"/>
      <c r="C40" s="42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102">
        <f t="shared" si="9"/>
        <v>0</v>
      </c>
    </row>
    <row r="41" spans="1:16" x14ac:dyDescent="0.3">
      <c r="A41" s="237" t="s">
        <v>138</v>
      </c>
      <c r="B41" s="238"/>
      <c r="C41" s="11" t="s">
        <v>31</v>
      </c>
      <c r="D41" s="41">
        <f>(D29*$B29)+(D31*$B31)+(D33*$B33)+(D35*$B35)+(D37*$B37)+(D39*$B39)</f>
        <v>1861824</v>
      </c>
      <c r="E41" s="41">
        <f t="shared" ref="E41:O41" si="10">(E29*$B29)+(E31*$B31)+(E33*$B33)+(E35*$B35)+(E37*$B37)+(E39*$B39)</f>
        <v>2020481.79</v>
      </c>
      <c r="F41" s="41">
        <f t="shared" si="10"/>
        <v>1877159.01</v>
      </c>
      <c r="G41" s="41">
        <f t="shared" si="10"/>
        <v>2071500.48</v>
      </c>
      <c r="H41" s="41">
        <f t="shared" si="10"/>
        <v>1867033.6800000002</v>
      </c>
      <c r="I41" s="41">
        <f t="shared" si="10"/>
        <v>1898571.98</v>
      </c>
      <c r="J41" s="41">
        <f t="shared" si="10"/>
        <v>1806561.9200000002</v>
      </c>
      <c r="K41" s="41">
        <f t="shared" si="10"/>
        <v>1858644.91</v>
      </c>
      <c r="L41" s="41">
        <f t="shared" si="10"/>
        <v>2024444.96</v>
      </c>
      <c r="M41" s="41">
        <f>(M29*$B29)+(M31*$B31)+(M33*$B33)+(M35*$B35)+(M37*$B37)+(M39*$B39)</f>
        <v>1661502.58</v>
      </c>
      <c r="N41" s="41">
        <f t="shared" si="10"/>
        <v>1344369.21</v>
      </c>
      <c r="O41" s="41">
        <f t="shared" si="10"/>
        <v>2008241.67</v>
      </c>
      <c r="P41" s="39">
        <f>SUM(D41:O41)</f>
        <v>22300336.190000005</v>
      </c>
    </row>
    <row r="42" spans="1:16" x14ac:dyDescent="0.3">
      <c r="A42" s="256" t="s">
        <v>137</v>
      </c>
      <c r="B42" s="257"/>
      <c r="C42" s="42" t="s">
        <v>115</v>
      </c>
      <c r="D42" s="15">
        <f t="shared" ref="D42:P42" si="11">D41/D9</f>
        <v>15.444669343332116</v>
      </c>
      <c r="E42" s="15">
        <f t="shared" si="11"/>
        <v>16.106900320466831</v>
      </c>
      <c r="F42" s="15">
        <f t="shared" si="11"/>
        <v>15.437670729300306</v>
      </c>
      <c r="G42" s="15">
        <f t="shared" si="11"/>
        <v>18.047573444851018</v>
      </c>
      <c r="H42" s="15">
        <f t="shared" si="11"/>
        <v>13.124832550684701</v>
      </c>
      <c r="I42" s="15">
        <f t="shared" si="11"/>
        <v>16.122658163351957</v>
      </c>
      <c r="J42" s="15">
        <f t="shared" si="11"/>
        <v>14.837681573652008</v>
      </c>
      <c r="K42" s="15">
        <f t="shared" si="11"/>
        <v>15.399008359638438</v>
      </c>
      <c r="L42" s="15">
        <f t="shared" si="11"/>
        <v>16.378209472032101</v>
      </c>
      <c r="M42" s="15">
        <f t="shared" si="11"/>
        <v>15.030237552467796</v>
      </c>
      <c r="N42" s="15">
        <f t="shared" si="11"/>
        <v>10.265259729847362</v>
      </c>
      <c r="O42" s="15">
        <f t="shared" si="11"/>
        <v>15.386113328685365</v>
      </c>
      <c r="P42" s="44">
        <f t="shared" si="11"/>
        <v>15.063051897172921</v>
      </c>
    </row>
    <row r="43" spans="1:16" ht="14.4" x14ac:dyDescent="0.3">
      <c r="A43" s="251" t="s">
        <v>136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3"/>
    </row>
    <row r="44" spans="1:16" x14ac:dyDescent="0.3">
      <c r="A44" s="237" t="s">
        <v>135</v>
      </c>
      <c r="B44" s="238"/>
      <c r="C44" s="11" t="s">
        <v>134</v>
      </c>
      <c r="D44" s="34">
        <f>Mulanje!D44+Luchenza!D44+Thyolo!D44+Muloza!D44+MUST!D44+Phalombe!D44+Mikolongwe!D44+Migowi!D44</f>
        <v>23097.78</v>
      </c>
      <c r="E44" s="34">
        <f>Mulanje!E44+Luchenza!E44+Thyolo!E44+Muloza!E44+MUST!E44+Phalombe!E44+Mikolongwe!E44+Migowi!E44</f>
        <v>27400.36</v>
      </c>
      <c r="F44" s="34">
        <f>Mulanje!F44+Luchenza!F44+Thyolo!F44+Muloza!F44+MUST!F44+Phalombe!F44+Mikolongwe!F44+Migowi!F44</f>
        <v>27743.83</v>
      </c>
      <c r="G44" s="34">
        <f>Mulanje!G44+Luchenza!G44+Thyolo!G44+Muloza!G44+MUST!G44+Phalombe!G44+Mikolongwe!G44+Migowi!G44</f>
        <v>30909</v>
      </c>
      <c r="H44" s="34">
        <f>Mulanje!H44+Luchenza!H44+Thyolo!H44+Muloza!H44+MUST!H44+Phalombe!H44+Mikolongwe!H44+Migowi!H44</f>
        <v>28317</v>
      </c>
      <c r="I44" s="34">
        <f>Mulanje!I44+Luchenza!I44+Thyolo!I44+Muloza!I44+MUST!I44+Phalombe!I44+Mikolongwe!I44+Migowi!I44</f>
        <v>29144</v>
      </c>
      <c r="J44" s="34">
        <f>Mulanje!J44+Luchenza!J44+Thyolo!J44+Muloza!J44+MUST!J44+Phalombe!J44+Mikolongwe!J44+Migowi!J44</f>
        <v>33263</v>
      </c>
      <c r="K44" s="34">
        <f>Mulanje!K44+Luchenza!K44+Thyolo!K44+Muloza!K44+MUST!K44+Phalombe!K44+Mikolongwe!K44+Migowi!K44</f>
        <v>34078</v>
      </c>
      <c r="L44" s="34">
        <f>Mulanje!L44+Luchenza!L44+Thyolo!L44+Muloza!L44+MUST!L44+Phalombe!L44+Mikolongwe!L44+Migowi!L44</f>
        <v>35654</v>
      </c>
      <c r="M44" s="34">
        <f>Mulanje!M44+Luchenza!M44+Thyolo!M44+Muloza!M44+MUST!M44+Phalombe!M44+Mikolongwe!M44+Migowi!M44+Nkando!M44</f>
        <v>32473</v>
      </c>
      <c r="N44" s="34">
        <f>Mulanje!N44+Luchenza!N44+Thyolo!N44+Muloza!N44+MUST!N44+Phalombe!N44+Mikolongwe!N44+Migowi!N44+Nkando!N44</f>
        <v>32754</v>
      </c>
      <c r="O44" s="34">
        <f>Mulanje!O44+Luchenza!O44+Thyolo!O44+Muloza!O44+MUST!O44+Phalombe!O44+Mikolongwe!O44+Migowi!O44+Nkando!O44</f>
        <v>34569</v>
      </c>
      <c r="P44" s="39">
        <f>SUM(D44:O44)</f>
        <v>369402.97</v>
      </c>
    </row>
    <row r="45" spans="1:16" x14ac:dyDescent="0.3">
      <c r="A45" s="256" t="s">
        <v>133</v>
      </c>
      <c r="B45" s="257"/>
      <c r="C45" s="42" t="s">
        <v>132</v>
      </c>
      <c r="D45" s="15">
        <f t="shared" ref="D45:P45" si="12">D44/D9</f>
        <v>0.19160649699704682</v>
      </c>
      <c r="E45" s="15">
        <f t="shared" si="12"/>
        <v>0.21843050971763844</v>
      </c>
      <c r="F45" s="15">
        <f t="shared" si="12"/>
        <v>0.22816400210533241</v>
      </c>
      <c r="G45" s="15">
        <f t="shared" si="12"/>
        <v>0.26928907475169889</v>
      </c>
      <c r="H45" s="15">
        <f t="shared" si="12"/>
        <v>0.19906222759609707</v>
      </c>
      <c r="I45" s="15">
        <f t="shared" si="12"/>
        <v>0.24749061634878311</v>
      </c>
      <c r="J45" s="15">
        <f t="shared" si="12"/>
        <v>0.27319617264178064</v>
      </c>
      <c r="K45" s="15">
        <f t="shared" si="12"/>
        <v>0.2823387103455704</v>
      </c>
      <c r="L45" s="15">
        <f t="shared" si="12"/>
        <v>0.28844878080352088</v>
      </c>
      <c r="M45" s="15">
        <f t="shared" si="12"/>
        <v>0.29375633232016213</v>
      </c>
      <c r="N45" s="15">
        <f t="shared" si="12"/>
        <v>0.25010117361392148</v>
      </c>
      <c r="O45" s="15">
        <f t="shared" si="12"/>
        <v>0.26484987320242409</v>
      </c>
      <c r="P45" s="102">
        <f t="shared" si="12"/>
        <v>0.24951803688838511</v>
      </c>
    </row>
    <row r="46" spans="1:16" x14ac:dyDescent="0.3">
      <c r="A46" s="254" t="s">
        <v>131</v>
      </c>
      <c r="B46" s="255"/>
      <c r="C46" s="5" t="s">
        <v>31</v>
      </c>
      <c r="D46" s="34">
        <f>Mulanje!D46+Luchenza!D46+Thyolo!D46+Muloza!D46+MUST!D46+Phalombe!D46+Mikolongwe!D46+Migowi!D46</f>
        <v>3319504.66017</v>
      </c>
      <c r="E46" s="34">
        <f>Mulanje!E46+Luchenza!E46+Thyolo!E46+Muloza!E46+MUST!E46+Phalombe!E46+Mikolongwe!E46+Migowi!E46</f>
        <v>3916557.4150399994</v>
      </c>
      <c r="F46" s="34">
        <f>Mulanje!F46+Luchenza!F46+Thyolo!F46+Muloza!F46+MUST!F46+Phalombe!F46+Mikolongwe!F46+Migowi!F46</f>
        <v>3964024.4147450002</v>
      </c>
      <c r="G46" s="34">
        <f>Mulanje!G46+Luchenza!G46+Thyolo!G46+Muloza!G46+MUST!G46+Phalombe!G46+Mikolongwe!G46+Migowi!G46</f>
        <v>4339424.5804999992</v>
      </c>
      <c r="H46" s="34">
        <f>Mulanje!H46+Luchenza!H46+Thyolo!H46+Muloza!H46+MUST!H46+Phalombe!H46+Mikolongwe!H46+Migowi!H46</f>
        <v>3987601.4535000003</v>
      </c>
      <c r="I46" s="34">
        <f>Mulanje!I46+Luchenza!I46+Thyolo!I46+Muloza!I46+MUST!I46+Phalombe!I46+Mikolongwe!I46+Migowi!I46</f>
        <v>3984990.0345000001</v>
      </c>
      <c r="J46" s="34">
        <f>Mulanje!J46+Luchenza!J46+Thyolo!J46+Muloza!J46+MUST!J46+Phalombe!J46+Mikolongwe!J46+Migowi!J46</f>
        <v>4713716.8955000006</v>
      </c>
      <c r="K46" s="34">
        <f>Mulanje!K46+Luchenza!K46+Thyolo!K46+Muloza!K46+MUST!K46+Phalombe!K46+Mikolongwe!K46+Migowi!K46</f>
        <v>4824646.284</v>
      </c>
      <c r="L46" s="34">
        <f>Mulanje!L46+Luchenza!L46+Thyolo!L46+Muloza!L46+MUST!L46+Phalombe!L46+Mikolongwe!L46+Migowi!L46</f>
        <v>5046579.936999999</v>
      </c>
      <c r="M46" s="34">
        <f>Mulanje!M46+Luchenza!M46+Thyolo!M46+Muloza!M46+MUST!M46+Phalombe!M46+Mikolongwe!M46+Migowi!M46+Nkando!M46</f>
        <v>4618788.2454999993</v>
      </c>
      <c r="N46" s="34">
        <f>Mulanje!N46+Luchenza!N46+Thyolo!N46+Muloza!N46+MUST!N46+Phalombe!N46+Mikolongwe!N46+Migowi!N46+Nkando!N46</f>
        <v>4657872.4059999995</v>
      </c>
      <c r="O46" s="34">
        <f>Mulanje!O46+Luchenza!O46+Thyolo!O46+Muloza!O46+MUST!O46+Phalombe!O46+Mikolongwe!O46+Migowi!O46+Nkando!O46</f>
        <v>4912255.25</v>
      </c>
      <c r="P46" s="39">
        <f>SUM(D46:O46)</f>
        <v>52285961.576454997</v>
      </c>
    </row>
    <row r="47" spans="1:16" s="2" customFormat="1" x14ac:dyDescent="0.3">
      <c r="A47" s="237" t="s">
        <v>130</v>
      </c>
      <c r="B47" s="238"/>
      <c r="C47" s="11" t="s">
        <v>115</v>
      </c>
      <c r="D47" s="15">
        <f t="shared" ref="D47:P47" si="13">D46/D9</f>
        <v>27.536787505143181</v>
      </c>
      <c r="E47" s="15">
        <f t="shared" si="13"/>
        <v>31.222058122797783</v>
      </c>
      <c r="F47" s="15">
        <f t="shared" si="13"/>
        <v>32.599957356697587</v>
      </c>
      <c r="G47" s="15">
        <f t="shared" si="13"/>
        <v>37.806452173723642</v>
      </c>
      <c r="H47" s="15">
        <f t="shared" si="13"/>
        <v>28.031953529651606</v>
      </c>
      <c r="I47" s="15">
        <f t="shared" si="13"/>
        <v>33.840503698262538</v>
      </c>
      <c r="J47" s="15">
        <f t="shared" si="13"/>
        <v>38.714770609009904</v>
      </c>
      <c r="K47" s="15">
        <f t="shared" si="13"/>
        <v>39.972545621753284</v>
      </c>
      <c r="L47" s="15">
        <f t="shared" si="13"/>
        <v>40.827952825914593</v>
      </c>
      <c r="M47" s="15">
        <f t="shared" si="13"/>
        <v>41.782351330691846</v>
      </c>
      <c r="N47" s="15">
        <f t="shared" si="13"/>
        <v>35.566323358505834</v>
      </c>
      <c r="O47" s="15">
        <f t="shared" si="13"/>
        <v>37.635169663584193</v>
      </c>
      <c r="P47" s="102">
        <f t="shared" si="13"/>
        <v>35.317232260960395</v>
      </c>
    </row>
    <row r="48" spans="1:16" ht="14.4" x14ac:dyDescent="0.3">
      <c r="A48" s="251" t="s">
        <v>129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3"/>
    </row>
    <row r="49" spans="1:16" x14ac:dyDescent="0.3">
      <c r="A49" s="237" t="s">
        <v>128</v>
      </c>
      <c r="B49" s="238"/>
      <c r="C49" s="5" t="s">
        <v>127</v>
      </c>
      <c r="D49" s="34">
        <f>Mulanje!D49+Luchenza!D49+Thyolo!D49+Muloza!D49+MUST!D49+Phalombe!D49+Mikolongwe!D49+Migowi!D49</f>
        <v>6110</v>
      </c>
      <c r="E49" s="34">
        <f>Mulanje!E49+Luchenza!E49+Thyolo!E49+Muloza!E49+MUST!E49+Phalombe!E49+Mikolongwe!E49+Migowi!E49</f>
        <v>6697</v>
      </c>
      <c r="F49" s="34">
        <f>Mulanje!F49+Luchenza!F49+Thyolo!F49+Muloza!F49+MUST!F49+Phalombe!F49+Mikolongwe!F49+Migowi!F49</f>
        <v>8942</v>
      </c>
      <c r="G49" s="34">
        <f>Mulanje!G49+Luchenza!G49+Thyolo!G49+Muloza!G49+MUST!G49+Phalombe!G49+Mikolongwe!G49+Migowi!G49</f>
        <v>5652</v>
      </c>
      <c r="H49" s="34">
        <f>Mulanje!H49+Luchenza!H49+Thyolo!H49+Muloza!H49+MUST!H49+Phalombe!H49+Mikolongwe!H49+Migowi!H49</f>
        <v>7276</v>
      </c>
      <c r="I49" s="34">
        <f>Mulanje!I49+Luchenza!I49+Thyolo!I49+Muloza!I49+MUST!I49+Phalombe!I49+Mikolongwe!I49+Migowi!I49</f>
        <v>7542</v>
      </c>
      <c r="J49" s="34">
        <f>Mulanje!J49+Luchenza!J49+Thyolo!J49+Muloza!J49+MUST!J49+Phalombe!J49+Mikolongwe!J49+Migowi!J49</f>
        <v>8369</v>
      </c>
      <c r="K49" s="34">
        <f>Mulanje!K49+Luchenza!K49+Thyolo!K49+Muloza!K49+MUST!K49+Phalombe!K49+Mikolongwe!K49+Migowi!K49</f>
        <v>6183</v>
      </c>
      <c r="L49" s="34">
        <f>Mulanje!L49+Luchenza!L49+Thyolo!L49+Muloza!L49+MUST!L49+Phalombe!L49+Mikolongwe!L49+Migowi!L49</f>
        <v>6505</v>
      </c>
      <c r="M49" s="34">
        <f>Mulanje!M49+Luchenza!M49+Thyolo!M49+Muloza!M49+MUST!M49+Phalombe!M49+Mikolongwe!M49+Migowi!M49+Nkando!M49</f>
        <v>8723</v>
      </c>
      <c r="N49" s="34">
        <f>Mulanje!N49+Luchenza!N49+Thyolo!N49+Muloza!N49+MUST!N49+Phalombe!N49+Mikolongwe!N49+Migowi!N49+Nkando!N49</f>
        <v>6283</v>
      </c>
      <c r="O49" s="34">
        <f>Mulanje!O49+Luchenza!O49+Thyolo!O49+Muloza!O49+MUST!O49+Phalombe!O49+Mikolongwe!O49+Migowi!O49+Nkando!O49</f>
        <v>7437.8</v>
      </c>
      <c r="P49" s="39">
        <f>SUM(D49:O49)</f>
        <v>85719.8</v>
      </c>
    </row>
    <row r="50" spans="1:16" x14ac:dyDescent="0.3">
      <c r="A50" s="237" t="s">
        <v>187</v>
      </c>
      <c r="B50" s="238"/>
      <c r="C50" s="5" t="s">
        <v>126</v>
      </c>
      <c r="D50" s="34">
        <f>Mulanje!D50+Luchenza!D50+Thyolo!D50+Muloza!D50+MUST!D50+Phalombe!D50+Mikolongwe!D50+Migowi!D50</f>
        <v>479</v>
      </c>
      <c r="E50" s="34">
        <f>Mulanje!E50+Luchenza!E50+Thyolo!E50+Muloza!E50+MUST!E50+Phalombe!E50+Mikolongwe!E50+Migowi!E50</f>
        <v>509</v>
      </c>
      <c r="F50" s="34">
        <f>Mulanje!F50+Luchenza!F50+Thyolo!F50+Muloza!F50+MUST!F50+Phalombe!F50+Mikolongwe!F50+Migowi!F50</f>
        <v>715</v>
      </c>
      <c r="G50" s="34">
        <f>Mulanje!G50+Luchenza!G50+Thyolo!G50+Muloza!G50+MUST!G50+Phalombe!G50+Mikolongwe!G50+Migowi!G50</f>
        <v>504</v>
      </c>
      <c r="H50" s="34">
        <f>Mulanje!H50+Luchenza!H50+Thyolo!H50+Muloza!H50+MUST!H50+Phalombe!H50+Mikolongwe!H50+Migowi!H50</f>
        <v>610.06999999999994</v>
      </c>
      <c r="I50" s="34">
        <f>Mulanje!I50+Luchenza!I50+Thyolo!I50+Muloza!I50+MUST!I50+Phalombe!I50+Mikolongwe!I50+Migowi!I50</f>
        <v>616</v>
      </c>
      <c r="J50" s="34">
        <f>Mulanje!J50+Luchenza!J50+Thyolo!J50+Muloza!J50+MUST!J50+Phalombe!J50+Mikolongwe!J50+Migowi!J50</f>
        <v>641</v>
      </c>
      <c r="K50" s="34">
        <f>Mulanje!K50+Luchenza!K50+Thyolo!K50+Muloza!K50+MUST!K50+Phalombe!K50+Mikolongwe!K50+Migowi!K50</f>
        <v>587.04109589041093</v>
      </c>
      <c r="L50" s="34">
        <f>Mulanje!L50+Luchenza!L50+Thyolo!L50+Muloza!L50+MUST!L50+Phalombe!L50+Mikolongwe!L50+Migowi!L50</f>
        <v>727</v>
      </c>
      <c r="M50" s="34">
        <f>Mulanje!M50+Luchenza!M50+Thyolo!M50+Muloza!M50+MUST!M50+Phalombe!M50+Mikolongwe!M50+Migowi!M50+Nkando!M50</f>
        <v>672</v>
      </c>
      <c r="N50" s="34">
        <f>Mulanje!N50+Luchenza!N50+Thyolo!N50+Muloza!N50+MUST!N50+Phalombe!N50+Mikolongwe!N50+Migowi!N50+Nkando!N50</f>
        <v>524</v>
      </c>
      <c r="O50" s="34">
        <f>Mulanje!O50+Luchenza!O50+Thyolo!O50+Muloza!O50+MUST!O50+Phalombe!O50+Mikolongwe!O50+Migowi!O50+Nkando!O50</f>
        <v>607.40821917808216</v>
      </c>
      <c r="P50" s="39">
        <f>SUM(D50:O50)</f>
        <v>7191.5193150684936</v>
      </c>
    </row>
    <row r="51" spans="1:16" x14ac:dyDescent="0.3">
      <c r="A51" s="254" t="s">
        <v>125</v>
      </c>
      <c r="B51" s="255"/>
      <c r="C51" s="5" t="s">
        <v>31</v>
      </c>
      <c r="D51" s="34">
        <f>Mulanje!D51+Luchenza!D51+Thyolo!D51+Muloza!D51+MUST!D51+Phalombe!D51+Mikolongwe!D51+Migowi!D51</f>
        <v>920865</v>
      </c>
      <c r="E51" s="34">
        <f>Mulanje!E51+Luchenza!E51+Thyolo!E51+Muloza!E51+MUST!E51+Phalombe!E51+Mikolongwe!E51+Migowi!E51</f>
        <v>974892.8</v>
      </c>
      <c r="F51" s="34">
        <f>Mulanje!F51+Luchenza!F51+Thyolo!F51+Muloza!F51+MUST!F51+Phalombe!F51+Mikolongwe!F51+Migowi!F51</f>
        <v>1398422.4</v>
      </c>
      <c r="G51" s="34">
        <f>Mulanje!G51+Luchenza!G51+Thyolo!G51+Muloza!G51+MUST!G51+Phalombe!G51+Mikolongwe!G51+Migowi!G51</f>
        <v>961849.6</v>
      </c>
      <c r="H51" s="34">
        <f>Mulanje!H51+Luchenza!H51+Thyolo!H51+Muloza!H51+MUST!H51+Phalombe!H51+Mikolongwe!H51+Migowi!H51</f>
        <v>1164401.6000000001</v>
      </c>
      <c r="I51" s="34">
        <f>Mulanje!I51+Luchenza!I51+Thyolo!I51+Muloza!I51+MUST!I51+Phalombe!I51+Mikolongwe!I51+Migowi!I51</f>
        <v>1202121.6000000001</v>
      </c>
      <c r="J51" s="34">
        <f>Mulanje!J51+Luchenza!J51+Thyolo!J51+Muloza!J51+MUST!J51+Phalombe!J51+Mikolongwe!J51+Migowi!J51</f>
        <v>1230357.6000000001</v>
      </c>
      <c r="K51" s="34">
        <f>Mulanje!K51+Luchenza!K51+Thyolo!K51+Muloza!K51+MUST!K51+Phalombe!K51+Mikolongwe!K51+Migowi!K51</f>
        <v>1612968.24</v>
      </c>
      <c r="L51" s="34">
        <f>Mulanje!L51+Luchenza!L51+Thyolo!L51+Muloza!L51+MUST!L51+Phalombe!L51+Mikolongwe!L51+Migowi!L51</f>
        <v>1958779.52</v>
      </c>
      <c r="M51" s="34">
        <f>Mulanje!M51+Luchenza!M51+Thyolo!M51+Muloza!M51+MUST!M51+Phalombe!M51+Mikolongwe!M51+Migowi!M51+Nkando!M51</f>
        <v>1809945.6600000001</v>
      </c>
      <c r="N51" s="34">
        <f>Mulanje!N51+Luchenza!N51+Thyolo!N51+Muloza!N51+MUST!N51+Phalombe!N51+Mikolongwe!N51+Migowi!N51+Nkando!N51</f>
        <v>1433256.8599999999</v>
      </c>
      <c r="O51" s="34">
        <f>Mulanje!O51+Luchenza!O51+Thyolo!O51+Muloza!O51+MUST!O51+Phalombe!O51+Mikolongwe!O51+Migowi!O51+Nkando!O51</f>
        <v>1659655.0912328768</v>
      </c>
      <c r="P51" s="40">
        <f>SUM(D51:O51)</f>
        <v>16327515.971232876</v>
      </c>
    </row>
    <row r="52" spans="1:16" x14ac:dyDescent="0.3">
      <c r="A52" s="237" t="s">
        <v>124</v>
      </c>
      <c r="B52" s="238"/>
      <c r="C52" s="5" t="s">
        <v>31</v>
      </c>
      <c r="D52" s="34">
        <f>Mulanje!D52+Luchenza!D52+Thyolo!D52+Muloza!D52+MUST!D52+Phalombe!D52+Mikolongwe!D52+Migowi!D52</f>
        <v>20000</v>
      </c>
      <c r="E52" s="34">
        <f>Mulanje!E52+Luchenza!E52+Thyolo!E52+Muloza!E52+MUST!E52+Phalombe!E52+Mikolongwe!E52+Migowi!E52</f>
        <v>38920</v>
      </c>
      <c r="F52" s="34">
        <f>Mulanje!F52+Luchenza!F52+Thyolo!F52+Muloza!F52+MUST!F52+Phalombe!F52+Mikolongwe!F52+Migowi!F52</f>
        <v>272332</v>
      </c>
      <c r="G52" s="34">
        <f>Mulanje!G52+Luchenza!G52+Thyolo!G52+Muloza!G52+MUST!G52+Phalombe!G52+Mikolongwe!G52+Migowi!G52</f>
        <v>185000</v>
      </c>
      <c r="H52" s="34">
        <f>Mulanje!H52+Luchenza!H52+Thyolo!H52+Muloza!H52+MUST!H52+Phalombe!H52+Mikolongwe!H52+Migowi!H52</f>
        <v>79830</v>
      </c>
      <c r="I52" s="34">
        <f>Mulanje!I52+Luchenza!I52+Thyolo!I52+Muloza!I52+MUST!I52+Phalombe!I52+Mikolongwe!I52+Migowi!I52</f>
        <v>261245</v>
      </c>
      <c r="J52" s="34">
        <f>Mulanje!J52+Luchenza!J52+Thyolo!J52+Muloza!J52+MUST!J52+Phalombe!J52+Mikolongwe!J52+Migowi!J52</f>
        <v>0</v>
      </c>
      <c r="K52" s="34">
        <f>Mulanje!K52+Luchenza!K52+Thyolo!K52+Muloza!K52+MUST!K52+Phalombe!K52+Mikolongwe!K52+Migowi!K52</f>
        <v>626800</v>
      </c>
      <c r="L52" s="34">
        <f>Mulanje!L52+Luchenza!L52+Thyolo!L52+Muloza!L52+MUST!L52+Phalombe!L52+Mikolongwe!L52+Migowi!L52</f>
        <v>0</v>
      </c>
      <c r="M52" s="34">
        <f>Mulanje!M52+Luchenza!M52+Thyolo!M52+Muloza!M52+MUST!M52+Phalombe!M52+Mikolongwe!M52+Migowi!M52+Nkando!M52</f>
        <v>1200</v>
      </c>
      <c r="N52" s="34">
        <f>Mulanje!N52+Luchenza!N52+Thyolo!N52+Muloza!N52+MUST!N52+Phalombe!N52+Mikolongwe!N52+Migowi!N52+Nkando!N52</f>
        <v>0</v>
      </c>
      <c r="O52" s="34">
        <f>Mulanje!O52+Luchenza!O52+Thyolo!O52+Muloza!O52+MUST!O52+Phalombe!O52+Mikolongwe!O52+Migowi!O52+Nkando!O52</f>
        <v>0</v>
      </c>
      <c r="P52" s="40">
        <f>SUM(D52:O52)</f>
        <v>1485327</v>
      </c>
    </row>
    <row r="53" spans="1:16" ht="14.4" x14ac:dyDescent="0.3">
      <c r="A53" s="251" t="s">
        <v>123</v>
      </c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3"/>
    </row>
    <row r="54" spans="1:16" x14ac:dyDescent="0.3">
      <c r="A54" s="237" t="s">
        <v>122</v>
      </c>
      <c r="B54" s="238"/>
      <c r="C54" s="11" t="s">
        <v>18</v>
      </c>
      <c r="D54" s="34">
        <f>Mulanje!D54+Luchenza!D54+Thyolo!D54+Muloza!D54+MUST!D54+Phalombe!D54+Mikolongwe!D54+Migowi!D54</f>
        <v>17677737.329999998</v>
      </c>
      <c r="E54" s="34">
        <f>Mulanje!E54+Luchenza!E54+Thyolo!E54+Muloza!E54+MUST!E54+Phalombe!E54+Mikolongwe!E54+Migowi!E54</f>
        <v>19439515.040000003</v>
      </c>
      <c r="F54" s="34">
        <f>Mulanje!F54+Luchenza!F54+Thyolo!F54+Muloza!F54+MUST!F54+Phalombe!F54+Mikolongwe!F54+Migowi!F54</f>
        <v>16961503.989999998</v>
      </c>
      <c r="G54" s="34">
        <f>Mulanje!G54+Luchenza!G54+Thyolo!G54+Muloza!G54+MUST!G54+Phalombe!G54+Mikolongwe!G54+Migowi!G54</f>
        <v>18205186.483333331</v>
      </c>
      <c r="H54" s="34">
        <f>Mulanje!H54+Luchenza!H54+Thyolo!H54+Muloza!H54+MUST!H54+Phalombe!H54+Mikolongwe!H54+Migowi!H54</f>
        <v>17835121.385000002</v>
      </c>
      <c r="I54" s="34">
        <f>Mulanje!I54+Luchenza!I54+Thyolo!I54+Muloza!I54+MUST!I54+Phalombe!I54+Mikolongwe!I54+Migowi!I54</f>
        <v>18810966.561666667</v>
      </c>
      <c r="J54" s="34">
        <f>Mulanje!J54+Luchenza!J54+Thyolo!J54+Muloza!J54+MUST!J54+Phalombe!J54+Mikolongwe!J54+Migowi!J54</f>
        <v>18425900.953000002</v>
      </c>
      <c r="K54" s="34">
        <f>Mulanje!K54+Luchenza!K54+Thyolo!K54+Muloza!K54+MUST!K54+Phalombe!K54+Mikolongwe!K54+Migowi!K54</f>
        <v>18991367.170000002</v>
      </c>
      <c r="L54" s="34">
        <f>Mulanje!L54+Luchenza!L54+Thyolo!L54+Muloza!L54+MUST!L54+Phalombe!L54+Mikolongwe!L54+Migowi!L54</f>
        <v>20304292.400000006</v>
      </c>
      <c r="M54" s="34">
        <f>Mulanje!M54+Luchenza!M54+Thyolo!M54+Muloza!M54+MUST!M54+Phalombe!M54+Mikolongwe!M54+Migowi!M54+Nkando!M54</f>
        <v>35463038.960000001</v>
      </c>
      <c r="N54" s="34">
        <f>Mulanje!N54+Luchenza!N54+Thyolo!N54+Muloza!N54+MUST!N54+Phalombe!N54+Mikolongwe!N54+Migowi!N54+Nkando!N54</f>
        <v>10924028.013999999</v>
      </c>
      <c r="O54" s="34">
        <f>Mulanje!O54+Luchenza!O54+Thyolo!O54+Muloza!O54+MUST!O54+Phalombe!O54+Mikolongwe!O54+Migowi!O54+Nkando!O54</f>
        <v>33245502.099999998</v>
      </c>
      <c r="P54" s="39">
        <f>SUM(D54:O54)</f>
        <v>246284160.38699999</v>
      </c>
    </row>
    <row r="55" spans="1:16" x14ac:dyDescent="0.3">
      <c r="A55" s="322" t="s">
        <v>121</v>
      </c>
      <c r="B55" s="323"/>
      <c r="C55" s="11" t="s">
        <v>18</v>
      </c>
      <c r="D55" s="34">
        <f>Mulanje!D55+Luchenza!D55+Thyolo!D55+Muloza!D55+MUST!D55+Phalombe!D55+Mikolongwe!D55+Migowi!D55</f>
        <v>5327396.5299999993</v>
      </c>
      <c r="E55" s="34">
        <f>Mulanje!E55+Luchenza!E55+Thyolo!E55+Muloza!E55+MUST!E55+Phalombe!E55+Mikolongwe!E55+Migowi!E55</f>
        <v>5500995.5099999998</v>
      </c>
      <c r="F55" s="34">
        <f>Mulanje!F55+Luchenza!F55+Thyolo!F55+Muloza!F55+MUST!F55+Phalombe!F55+Mikolongwe!F55+Migowi!F55</f>
        <v>5010102.07</v>
      </c>
      <c r="G55" s="34">
        <f>Mulanje!G55+Luchenza!G55+Thyolo!G55+Muloza!G55+MUST!G55+Phalombe!G55+Mikolongwe!G55+Migowi!G55</f>
        <v>5124250.83</v>
      </c>
      <c r="H55" s="34">
        <f>Mulanje!H55+Luchenza!H55+Thyolo!H55+Muloza!H55+MUST!H55+Phalombe!H55+Mikolongwe!H55+Migowi!H55</f>
        <v>5924621.1600000001</v>
      </c>
      <c r="I55" s="34">
        <f>Mulanje!I55+Luchenza!I55+Thyolo!I55+Muloza!I55+MUST!I55+Phalombe!I55+Mikolongwe!I55+Migowi!I55</f>
        <v>5020434.7886666665</v>
      </c>
      <c r="J55" s="34">
        <f>Mulanje!J55+Luchenza!J55+Thyolo!J55+Muloza!J55+MUST!J55+Phalombe!J55+Mikolongwe!J55+Migowi!J55</f>
        <v>4969018.7827777769</v>
      </c>
      <c r="K55" s="34">
        <f>Mulanje!K55+Luchenza!K55+Thyolo!K55+Muloza!K55+MUST!K55+Phalombe!K55+Mikolongwe!K55+Migowi!K55</f>
        <v>5169984.58</v>
      </c>
      <c r="L55" s="34">
        <f>Mulanje!L55+Luchenza!L55+Thyolo!L55+Muloza!L55+MUST!L55+Phalombe!L55+Mikolongwe!L55+Migowi!L55</f>
        <v>5572246.2299999995</v>
      </c>
      <c r="M55" s="34">
        <f>Mulanje!M55+Luchenza!M55+Thyolo!M55+Muloza!M55+MUST!M55+Phalombe!M55+Mikolongwe!M55+Migowi!M55+Nkando!M55</f>
        <v>5996414.3075000001</v>
      </c>
      <c r="N55" s="34">
        <f>Mulanje!N55+Luchenza!N55+Thyolo!N55+Muloza!N55+MUST!N55+Phalombe!N55+Mikolongwe!N55+Migowi!N55+Nkando!N55</f>
        <v>3522580.8600000003</v>
      </c>
      <c r="O55" s="34">
        <f>Mulanje!O55+Luchenza!O55+Thyolo!O55+Muloza!O55+MUST!O55+Phalombe!O55+Mikolongwe!O55+Migowi!O55+Nkando!O55</f>
        <v>7246787.3600000003</v>
      </c>
      <c r="P55" s="39">
        <f>SUM(D55:O55)</f>
        <v>64384833.008944429</v>
      </c>
    </row>
    <row r="56" spans="1:16" x14ac:dyDescent="0.3">
      <c r="A56" s="237" t="s">
        <v>120</v>
      </c>
      <c r="B56" s="238"/>
      <c r="C56" s="5" t="s">
        <v>18</v>
      </c>
      <c r="D56" s="34">
        <f>Mulanje!D56+Luchenza!D56+Thyolo!D56+Muloza!D56+MUST!D56+Phalombe!D56+Mikolongwe!D56+Migowi!D56</f>
        <v>3185173.31</v>
      </c>
      <c r="E56" s="34">
        <f>Mulanje!E56+Luchenza!E56+Thyolo!E56+Muloza!E56+MUST!E56+Phalombe!E56+Mikolongwe!E56+Migowi!E56</f>
        <v>2059393.33</v>
      </c>
      <c r="F56" s="34">
        <f>Mulanje!F56+Luchenza!F56+Thyolo!F56+Muloza!F56+MUST!F56+Phalombe!F56+Mikolongwe!F56+Migowi!F56</f>
        <v>1812322</v>
      </c>
      <c r="G56" s="34">
        <f>Mulanje!G56+Luchenza!G56+Thyolo!G56+Muloza!G56+MUST!G56+Phalombe!G56+Mikolongwe!G56+Migowi!G56</f>
        <v>2092242.7366666668</v>
      </c>
      <c r="H56" s="34">
        <f>Mulanje!H56+Luchenza!H56+Thyolo!H56+Muloza!H56+MUST!H56+Phalombe!H56+Mikolongwe!H56+Migowi!H56</f>
        <v>2307364.9750000001</v>
      </c>
      <c r="I56" s="34">
        <f>Mulanje!I56+Luchenza!I56+Thyolo!I56+Muloza!I56+MUST!I56+Phalombe!I56+Mikolongwe!I56+Migowi!I56</f>
        <v>2133934.4819999998</v>
      </c>
      <c r="J56" s="34">
        <f>Mulanje!J56+Luchenza!J56+Thyolo!J56+Muloza!J56+MUST!J56+Phalombe!J56+Mikolongwe!J56+Migowi!J56</f>
        <v>1972453.0262222223</v>
      </c>
      <c r="K56" s="34">
        <f>Mulanje!K56+Luchenza!K56+Thyolo!K56+Muloza!K56+MUST!K56+Phalombe!K56+Mikolongwe!K56+Migowi!K56</f>
        <v>1979125.1813333333</v>
      </c>
      <c r="L56" s="34">
        <f>Mulanje!L56+Luchenza!L56+Thyolo!L56+Muloza!L56+MUST!L56+Phalombe!L56+Mikolongwe!L56+Migowi!L56</f>
        <v>2609826.71</v>
      </c>
      <c r="M56" s="34">
        <f>Mulanje!M56+Luchenza!M56+Thyolo!M56+Muloza!M56+MUST!M56+Phalombe!M56+Mikolongwe!M56+Migowi!M56+Nkando!M56</f>
        <v>2106382.5302777779</v>
      </c>
      <c r="N56" s="34">
        <f>Mulanje!N56+Luchenza!N56+Thyolo!N56+Muloza!N56+MUST!N56+Phalombe!N56+Mikolongwe!N56+Migowi!N56+Nkando!N56</f>
        <v>1847170.2651666668</v>
      </c>
      <c r="O56" s="34">
        <f>Mulanje!O56+Luchenza!O56+Thyolo!O56+Muloza!O56+MUST!O56+Phalombe!O56+Mikolongwe!O56+Migowi!O56+Nkando!O56</f>
        <v>1823733.7275</v>
      </c>
      <c r="P56" s="39">
        <f>SUM(D56:O56)</f>
        <v>25929122.274166666</v>
      </c>
    </row>
    <row r="57" spans="1:16" ht="14.4" x14ac:dyDescent="0.3">
      <c r="A57" s="251" t="s">
        <v>119</v>
      </c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3"/>
    </row>
    <row r="58" spans="1:16" x14ac:dyDescent="0.3">
      <c r="A58" s="254" t="s">
        <v>118</v>
      </c>
      <c r="B58" s="255"/>
      <c r="C58" s="5" t="s">
        <v>18</v>
      </c>
      <c r="D58" s="13">
        <f>D41+D46+D51+D52+D54+D55+D56</f>
        <v>32312500.830169994</v>
      </c>
      <c r="E58" s="13">
        <f t="shared" ref="E58:O58" si="14">E41+E46+E51+E52+E54+E55+E56</f>
        <v>33950755.88504</v>
      </c>
      <c r="F58" s="13">
        <f t="shared" si="14"/>
        <v>31295865.884744998</v>
      </c>
      <c r="G58" s="13">
        <f t="shared" si="14"/>
        <v>32979454.710499998</v>
      </c>
      <c r="H58" s="13">
        <f t="shared" si="14"/>
        <v>33165974.253500003</v>
      </c>
      <c r="I58" s="13">
        <f t="shared" si="14"/>
        <v>33312264.446833335</v>
      </c>
      <c r="J58" s="13">
        <f t="shared" si="14"/>
        <v>33118009.177500002</v>
      </c>
      <c r="K58" s="13">
        <f t="shared" si="14"/>
        <v>35063536.365333334</v>
      </c>
      <c r="L58" s="13">
        <f t="shared" si="14"/>
        <v>37516169.757000007</v>
      </c>
      <c r="M58" s="13">
        <f t="shared" si="14"/>
        <v>51657272.28327778</v>
      </c>
      <c r="N58" s="13">
        <f t="shared" si="14"/>
        <v>23729277.615166664</v>
      </c>
      <c r="O58" s="13">
        <f t="shared" si="14"/>
        <v>50896175.198732875</v>
      </c>
      <c r="P58" s="64">
        <f>SUM(D58:O58)</f>
        <v>428997256.40779901</v>
      </c>
    </row>
    <row r="59" spans="1:16" x14ac:dyDescent="0.3">
      <c r="A59" s="254" t="s">
        <v>117</v>
      </c>
      <c r="B59" s="255"/>
      <c r="C59" s="5" t="s">
        <v>115</v>
      </c>
      <c r="D59" s="15">
        <f t="shared" ref="D59:P59" si="15">D58/D9</f>
        <v>268.04676004720108</v>
      </c>
      <c r="E59" s="15">
        <f t="shared" si="15"/>
        <v>270.64903210280448</v>
      </c>
      <c r="F59" s="15">
        <f t="shared" si="15"/>
        <v>257.37578443982528</v>
      </c>
      <c r="G59" s="15">
        <f t="shared" si="15"/>
        <v>287.32753711883601</v>
      </c>
      <c r="H59" s="15">
        <f t="shared" si="15"/>
        <v>233.14944080575319</v>
      </c>
      <c r="I59" s="15">
        <f t="shared" si="15"/>
        <v>282.88748489982282</v>
      </c>
      <c r="J59" s="15">
        <f t="shared" si="15"/>
        <v>272.00533183442161</v>
      </c>
      <c r="K59" s="15">
        <f t="shared" si="15"/>
        <v>290.50395086399499</v>
      </c>
      <c r="L59" s="15">
        <f t="shared" si="15"/>
        <v>303.51414783262953</v>
      </c>
      <c r="M59" s="15">
        <f t="shared" si="15"/>
        <v>467.30055256981638</v>
      </c>
      <c r="N59" s="15">
        <f t="shared" si="15"/>
        <v>181.19069977907245</v>
      </c>
      <c r="O59" s="15">
        <f t="shared" si="15"/>
        <v>389.94028024741135</v>
      </c>
      <c r="P59" s="102">
        <f t="shared" si="15"/>
        <v>289.77177213647525</v>
      </c>
    </row>
    <row r="60" spans="1:16" x14ac:dyDescent="0.3">
      <c r="A60" s="254" t="s">
        <v>116</v>
      </c>
      <c r="B60" s="255"/>
      <c r="C60" s="5" t="s">
        <v>115</v>
      </c>
      <c r="D60" s="15">
        <f>D58/D22</f>
        <v>390.08694281908043</v>
      </c>
      <c r="E60" s="15">
        <f t="shared" ref="E60:O60" si="16">E58/E22</f>
        <v>386.39681198474932</v>
      </c>
      <c r="F60" s="15">
        <f t="shared" si="16"/>
        <v>342.47110644538066</v>
      </c>
      <c r="G60" s="15">
        <f t="shared" si="16"/>
        <v>430.01012731665588</v>
      </c>
      <c r="H60" s="15">
        <f t="shared" si="16"/>
        <v>320.71036979966948</v>
      </c>
      <c r="I60" s="15">
        <f t="shared" si="16"/>
        <v>394.57819895568059</v>
      </c>
      <c r="J60" s="15">
        <f t="shared" si="16"/>
        <v>392.63584721729887</v>
      </c>
      <c r="K60" s="15">
        <f t="shared" si="16"/>
        <v>414.23981623752394</v>
      </c>
      <c r="L60" s="15">
        <f t="shared" si="16"/>
        <v>434.18980101845966</v>
      </c>
      <c r="M60" s="15">
        <f t="shared" si="16"/>
        <v>651.73056196470407</v>
      </c>
      <c r="N60" s="15">
        <f t="shared" si="16"/>
        <v>247.3923202328526</v>
      </c>
      <c r="O60" s="15">
        <f t="shared" si="16"/>
        <v>511.9052069271599</v>
      </c>
      <c r="P60" s="103">
        <f>P58/P22</f>
        <v>406.00979389694197</v>
      </c>
    </row>
    <row r="61" spans="1:16" x14ac:dyDescent="0.3">
      <c r="A61" s="237" t="s">
        <v>114</v>
      </c>
      <c r="B61" s="238"/>
      <c r="C61" s="5" t="s">
        <v>3</v>
      </c>
      <c r="D61" s="34">
        <f>Mulanje!D61+Luchenza!D61+Thyolo!D61+Muloza!D61+MUST!D61+Phalombe!D61+Mikolongwe!D61+Migowi!D61</f>
        <v>46</v>
      </c>
      <c r="E61" s="34">
        <f>Mulanje!E61+Luchenza!E61+Thyolo!E61+Muloza!E61+MUST!E61+Phalombe!E61+Mikolongwe!E61+Migowi!E61</f>
        <v>46</v>
      </c>
      <c r="F61" s="34">
        <f>Mulanje!F61+Luchenza!F61+Thyolo!F61+Muloza!F61+MUST!F61+Phalombe!F61+Mikolongwe!F61+Migowi!F61</f>
        <v>45</v>
      </c>
      <c r="G61" s="34">
        <f>Mulanje!G61+Luchenza!G61+Thyolo!G61+Muloza!G61+MUST!G61+Phalombe!G61+Mikolongwe!G61+Migowi!G61</f>
        <v>45</v>
      </c>
      <c r="H61" s="34">
        <f>Mulanje!H61+Luchenza!H61+Thyolo!H61+Muloza!H61+MUST!H61+Phalombe!H61+Mikolongwe!H61+Migowi!H61</f>
        <v>45</v>
      </c>
      <c r="I61" s="34">
        <f>Mulanje!I61+Luchenza!I61+Thyolo!I61+Muloza!I61+MUST!I61+Phalombe!I61+Mikolongwe!I61+Migowi!I61</f>
        <v>45</v>
      </c>
      <c r="J61" s="34">
        <f>Mulanje!J61+Luchenza!J61+Thyolo!J61+Muloza!J61+MUST!J61+Phalombe!J61+Mikolongwe!J61+Migowi!J61</f>
        <v>45</v>
      </c>
      <c r="K61" s="34">
        <f>Mulanje!K61+Luchenza!K61+Thyolo!K61+Muloza!K61+MUST!K61+Phalombe!K61+Mikolongwe!K61+Migowi!K61</f>
        <v>45</v>
      </c>
      <c r="L61" s="34">
        <f>Mulanje!L61+Luchenza!L61+Thyolo!L61+Muloza!L61+MUST!L61+Phalombe!L61+Mikolongwe!L61+Migowi!L61</f>
        <v>44</v>
      </c>
      <c r="M61" s="34">
        <f>Mulanje!M61+Luchenza!M61+Thyolo!M61+Muloza!M61+MUST!M61+Phalombe!M61+Mikolongwe!M61+Migowi!M61+Nkando!M61</f>
        <v>48</v>
      </c>
      <c r="N61" s="34">
        <f>Mulanje!N61+Luchenza!N61+Thyolo!N61+Muloza!N61+MUST!N61+Phalombe!N61+Mikolongwe!N61+Migowi!N61+Nkando!N61</f>
        <v>48</v>
      </c>
      <c r="O61" s="34">
        <f>Mulanje!O61+Luchenza!O61+Thyolo!O61+Muloza!O61+MUST!O61+Phalombe!O61+Mikolongwe!O61+Migowi!O61+Nkando!O61</f>
        <v>57</v>
      </c>
      <c r="P61" s="39">
        <f>O61</f>
        <v>57</v>
      </c>
    </row>
    <row r="62" spans="1:16" ht="15.6" customHeight="1" x14ac:dyDescent="0.3">
      <c r="A62" s="254" t="s">
        <v>113</v>
      </c>
      <c r="B62" s="255"/>
      <c r="C62" s="5" t="s">
        <v>112</v>
      </c>
      <c r="D62" s="15">
        <f t="shared" ref="D62:P62" si="17">(D61*1000*31)/D9</f>
        <v>11.829312804857816</v>
      </c>
      <c r="E62" s="15">
        <f t="shared" si="17"/>
        <v>11.367803447011369</v>
      </c>
      <c r="F62" s="15">
        <f t="shared" si="17"/>
        <v>11.472416855817626</v>
      </c>
      <c r="G62" s="15">
        <f t="shared" si="17"/>
        <v>12.153685311029797</v>
      </c>
      <c r="H62" s="15">
        <f t="shared" si="17"/>
        <v>9.8065405055816441</v>
      </c>
      <c r="I62" s="15">
        <f t="shared" si="17"/>
        <v>11.846328911836139</v>
      </c>
      <c r="J62" s="15">
        <f t="shared" si="17"/>
        <v>11.457435012935814</v>
      </c>
      <c r="K62" s="15">
        <f t="shared" si="17"/>
        <v>11.557676534188353</v>
      </c>
      <c r="L62" s="15">
        <f t="shared" si="17"/>
        <v>11.035063022830608</v>
      </c>
      <c r="M62" s="15">
        <f t="shared" si="17"/>
        <v>13.460703430308294</v>
      </c>
      <c r="N62" s="15">
        <f t="shared" si="17"/>
        <v>11.361987736994418</v>
      </c>
      <c r="O62" s="15">
        <f t="shared" si="17"/>
        <v>13.53784390490565</v>
      </c>
      <c r="P62" s="102">
        <f t="shared" si="17"/>
        <v>1.1935431141275787</v>
      </c>
    </row>
    <row r="63" spans="1:16" x14ac:dyDescent="0.3">
      <c r="A63" s="258" t="s">
        <v>111</v>
      </c>
      <c r="B63" s="259"/>
      <c r="C63" s="38" t="s">
        <v>3</v>
      </c>
      <c r="D63" s="34">
        <f>Mulanje!D63+Luchenza!D63+Thyolo!D63+Muloza!D63+MUST!D63+Phalombe!D63+Mikolongwe!D63+Migowi!D63</f>
        <v>93</v>
      </c>
      <c r="E63" s="34">
        <f>Mulanje!E63+Luchenza!E63+Thyolo!E63+Muloza!E63+MUST!E63+Phalombe!E63+Mikolongwe!E63+Migowi!E63</f>
        <v>81</v>
      </c>
      <c r="F63" s="34">
        <f>Mulanje!F63+Luchenza!F63+Thyolo!F63+Muloza!F63+MUST!F63+Phalombe!F63+Mikolongwe!F63+Migowi!F63</f>
        <v>84</v>
      </c>
      <c r="G63" s="34">
        <f>Mulanje!G63+Luchenza!G63+Thyolo!G63+Muloza!G63+MUST!G63+Phalombe!G63+Mikolongwe!G63+Migowi!G63</f>
        <v>89</v>
      </c>
      <c r="H63" s="34">
        <f>Mulanje!H63+Luchenza!H63+Thyolo!H63+Muloza!H63+MUST!H63+Phalombe!H63+Mikolongwe!H63+Migowi!H63</f>
        <v>84</v>
      </c>
      <c r="I63" s="34">
        <f>Mulanje!I63+Luchenza!I63+Thyolo!I63+Muloza!I63+MUST!I63+Phalombe!I63+Mikolongwe!I63+Migowi!I63</f>
        <v>82</v>
      </c>
      <c r="J63" s="34">
        <f>Mulanje!J63+Luchenza!J63+Thyolo!J63+Muloza!J63+MUST!J63+Phalombe!J63+Mikolongwe!J63+Migowi!J63</f>
        <v>80</v>
      </c>
      <c r="K63" s="34">
        <f>Mulanje!K63+Luchenza!K63+Thyolo!K63+Muloza!K63+MUST!K63+Phalombe!K63+Mikolongwe!K63+Migowi!K63</f>
        <v>81</v>
      </c>
      <c r="L63" s="34">
        <f>Mulanje!L63+Luchenza!L63+Thyolo!L63+Muloza!L63+MUST!L63+Phalombe!L63+Mikolongwe!L63+Migowi!L63</f>
        <v>96</v>
      </c>
      <c r="M63" s="34">
        <f>Mulanje!M63+Luchenza!M63+Thyolo!M63+Muloza!M63+MUST!M63+Phalombe!M63+Mikolongwe!M63+Migowi!M63+Nkando!M63</f>
        <v>90</v>
      </c>
      <c r="N63" s="34">
        <f>Mulanje!N63+Luchenza!N63+Thyolo!N63+Muloza!N63+MUST!N63+Phalombe!N63+Mikolongwe!N63+Migowi!N63+Nkando!N63</f>
        <v>92</v>
      </c>
      <c r="O63" s="34">
        <f>Mulanje!O63+Luchenza!O63+Thyolo!O63+Muloza!O63+MUST!O63+Phalombe!O63+Mikolongwe!O63+Migowi!O63+Nkando!O63</f>
        <v>98</v>
      </c>
      <c r="P63" s="39">
        <f>SUM(D63:O63)</f>
        <v>1050</v>
      </c>
    </row>
    <row r="64" spans="1:16" ht="14.4" x14ac:dyDescent="0.3">
      <c r="A64" s="260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2"/>
    </row>
    <row r="65" spans="1:16" ht="14.4" customHeight="1" x14ac:dyDescent="0.3">
      <c r="A65" s="251" t="s">
        <v>110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3"/>
    </row>
    <row r="66" spans="1:16" x14ac:dyDescent="0.3">
      <c r="A66" s="329" t="s">
        <v>109</v>
      </c>
      <c r="B66" s="37" t="s">
        <v>85</v>
      </c>
      <c r="C66" s="5" t="s">
        <v>3</v>
      </c>
      <c r="D66" s="26">
        <f>Mulanje!D66+Luchenza!D66+Thyolo!D66+Muloza!D66+MUST!D66+Phalombe!D66+Mikolongwe!D66+Migowi!D66</f>
        <v>791</v>
      </c>
      <c r="E66" s="26">
        <f>Mulanje!E66+Luchenza!E66+Thyolo!E66+Muloza!E66+MUST!E66+Phalombe!E66+Mikolongwe!E66+Migowi!E66</f>
        <v>821</v>
      </c>
      <c r="F66" s="26">
        <f>Mulanje!F66+Luchenza!F66+Thyolo!F66+Muloza!F66+MUST!F66+Phalombe!F66+Mikolongwe!F66+Migowi!F66</f>
        <v>841</v>
      </c>
      <c r="G66" s="26">
        <f>Mulanje!G66+Luchenza!G66+Thyolo!G66+Muloza!G66+MUST!G66+Phalombe!G66+Mikolongwe!G66+Migowi!G66</f>
        <v>799</v>
      </c>
      <c r="H66" s="26">
        <f>Mulanje!H66+Luchenza!H66+Thyolo!H66+Muloza!H66+MUST!H66+Phalombe!H66+Mikolongwe!H66+Migowi!H66</f>
        <v>767</v>
      </c>
      <c r="I66" s="26">
        <f>Mulanje!I66+Luchenza!I66+Thyolo!I66+Muloza!I66+MUST!I66+Phalombe!I66+Mikolongwe!I66+Migowi!I66</f>
        <v>757</v>
      </c>
      <c r="J66" s="26">
        <f>Mulanje!J66+Luchenza!J66+Thyolo!J66+Muloza!J66+MUST!J66+Phalombe!J66+Mikolongwe!J66+Migowi!J66</f>
        <v>703</v>
      </c>
      <c r="K66" s="26">
        <f>Mulanje!K66+Luchenza!K66+Thyolo!K66+Muloza!K66+MUST!K66+Phalombe!K66+Mikolongwe!K66+Migowi!K66</f>
        <v>730</v>
      </c>
      <c r="L66" s="26">
        <f>Mulanje!L66+Luchenza!L66+Thyolo!L66+Muloza!L66+MUST!L66+Phalombe!L66+Mikolongwe!L66+Migowi!L66</f>
        <v>697</v>
      </c>
      <c r="M66" s="26">
        <f>Mulanje!M66+Luchenza!M66+Thyolo!M66+Muloza!M66+MUST!M66+Phalombe!M66+Mikolongwe!M66+Migowi!M66+Nkando!M66</f>
        <v>698</v>
      </c>
      <c r="N66" s="26">
        <f>Mulanje!N66+Luchenza!N66+Thyolo!N66+Muloza!N66+MUST!N66+Phalombe!N66+Mikolongwe!N66+Migowi!N66+Nkando!N66</f>
        <v>718</v>
      </c>
      <c r="O66" s="26">
        <f>Mulanje!O66+Luchenza!O66+Thyolo!O66+Muloza!O66+MUST!O66+Phalombe!O66+Mikolongwe!O66+Migowi!O66+Nkando!O66</f>
        <v>710</v>
      </c>
      <c r="P66" s="35">
        <f>D66</f>
        <v>791</v>
      </c>
    </row>
    <row r="67" spans="1:16" x14ac:dyDescent="0.3">
      <c r="A67" s="330"/>
      <c r="B67" s="24" t="s">
        <v>104</v>
      </c>
      <c r="C67" s="5" t="s">
        <v>3</v>
      </c>
      <c r="D67" s="26">
        <f>Mulanje!D67+Luchenza!D67+Thyolo!D67+Muloza!D67+MUST!D67+Phalombe!D67+Mikolongwe!D67+Migowi!D67</f>
        <v>51</v>
      </c>
      <c r="E67" s="26">
        <f>Mulanje!E67+Luchenza!E67+Thyolo!E67+Muloza!E67+MUST!E67+Phalombe!E67+Mikolongwe!E67+Migowi!E67</f>
        <v>78</v>
      </c>
      <c r="F67" s="26">
        <f>Mulanje!F67+Luchenza!F67+Thyolo!F67+Muloza!F67+MUST!F67+Phalombe!F67+Mikolongwe!F67+Migowi!F67</f>
        <v>52</v>
      </c>
      <c r="G67" s="26">
        <f>Mulanje!G67+Luchenza!G67+Thyolo!G67+Muloza!G67+MUST!G67+Phalombe!G67+Mikolongwe!G67+Migowi!G67</f>
        <v>44</v>
      </c>
      <c r="H67" s="26">
        <f>Mulanje!H67+Luchenza!H67+Thyolo!H67+Muloza!H67+MUST!H67+Phalombe!H67+Mikolongwe!H67+Migowi!H67</f>
        <v>74</v>
      </c>
      <c r="I67" s="26">
        <f>Mulanje!I67+Luchenza!I67+Thyolo!I67+Muloza!I67+MUST!I67+Phalombe!I67+Mikolongwe!I67+Migowi!I67</f>
        <v>50</v>
      </c>
      <c r="J67" s="26">
        <f>Mulanje!J67+Luchenza!J67+Thyolo!J67+Muloza!J67+MUST!J67+Phalombe!J67+Mikolongwe!J67+Migowi!J67</f>
        <v>97</v>
      </c>
      <c r="K67" s="26">
        <f>Mulanje!K67+Luchenza!K67+Thyolo!K67+Muloza!K67+MUST!K67+Phalombe!K67+Mikolongwe!K67+Migowi!K67</f>
        <v>39</v>
      </c>
      <c r="L67" s="26">
        <f>Mulanje!L67+Luchenza!L67+Thyolo!L67+Muloza!L67+MUST!L67+Phalombe!L67+Mikolongwe!L67+Migowi!L67</f>
        <v>55</v>
      </c>
      <c r="M67" s="26">
        <f>Mulanje!M67+Luchenza!M67+Thyolo!M67+Muloza!M67+MUST!M67+Phalombe!M67+Mikolongwe!M67+Migowi!M67+Nkando!M67</f>
        <v>56</v>
      </c>
      <c r="N67" s="26">
        <f>Mulanje!N67+Luchenza!N67+Thyolo!N67+Muloza!N67+MUST!N67+Phalombe!N67+Mikolongwe!N67+Migowi!N67+Nkando!N67</f>
        <v>49</v>
      </c>
      <c r="O67" s="26">
        <f>Mulanje!O67+Luchenza!O67+Thyolo!O67+Muloza!O67+MUST!O67+Phalombe!O67+Mikolongwe!O67+Migowi!O67+Nkando!O67</f>
        <v>46</v>
      </c>
      <c r="P67" s="35">
        <f>SUM(D67:O67)</f>
        <v>691</v>
      </c>
    </row>
    <row r="68" spans="1:16" ht="27" x14ac:dyDescent="0.3">
      <c r="A68" s="330"/>
      <c r="B68" s="24" t="s">
        <v>103</v>
      </c>
      <c r="C68" s="5" t="s">
        <v>3</v>
      </c>
      <c r="D68" s="26">
        <f>Mulanje!D68+Luchenza!D68+Thyolo!D68+Muloza!D68+MUST!D68+Phalombe!D68+Mikolongwe!D68+Migowi!D68</f>
        <v>21</v>
      </c>
      <c r="E68" s="26">
        <f>Mulanje!E68+Luchenza!E68+Thyolo!E68+Muloza!E68+MUST!E68+Phalombe!E68+Mikolongwe!E68+Migowi!E68</f>
        <v>50</v>
      </c>
      <c r="F68" s="26">
        <f>Mulanje!F68+Luchenza!F68+Thyolo!F68+Muloza!F68+MUST!F68+Phalombe!F68+Mikolongwe!F68+Migowi!F68</f>
        <v>69</v>
      </c>
      <c r="G68" s="26">
        <f>Mulanje!G68+Luchenza!G68+Thyolo!G68+Muloza!G68+MUST!G68+Phalombe!G68+Mikolongwe!G68+Migowi!G68</f>
        <v>70</v>
      </c>
      <c r="H68" s="26">
        <f>Mulanje!H68+Luchenza!H68+Thyolo!H68+Muloza!H68+MUST!H68+Phalombe!H68+Mikolongwe!H68+Migowi!H68</f>
        <v>84</v>
      </c>
      <c r="I68" s="26">
        <f>Mulanje!I68+Luchenza!I68+Thyolo!I68+Muloza!I68+MUST!I68+Phalombe!I68+Mikolongwe!I68+Migowi!I68</f>
        <v>103</v>
      </c>
      <c r="J68" s="26">
        <f>Mulanje!J68+Luchenza!J68+Thyolo!J68+Muloza!J68+MUST!J68+Phalombe!J68+Mikolongwe!J68+Migowi!J68</f>
        <v>68</v>
      </c>
      <c r="K68" s="26">
        <f>Mulanje!K68+Luchenza!K68+Thyolo!K68+Muloza!K68+MUST!K68+Phalombe!K68+Mikolongwe!K68+Migowi!K68</f>
        <v>72</v>
      </c>
      <c r="L68" s="26">
        <f>Mulanje!L68+Luchenza!L68+Thyolo!L68+Muloza!L68+MUST!L68+Phalombe!L68+Mikolongwe!L68+Migowi!L68</f>
        <v>53</v>
      </c>
      <c r="M68" s="26">
        <f>Mulanje!M68+Luchenza!M68+Thyolo!M68+Muloza!M68+MUST!M68+Phalombe!M68+Mikolongwe!M68+Migowi!M68+Nkando!M68</f>
        <v>35</v>
      </c>
      <c r="N68" s="26">
        <f>Mulanje!N68+Luchenza!N68+Thyolo!N68+Muloza!N68+MUST!N68+Phalombe!N68+Mikolongwe!N68+Migowi!N68+Nkando!N68</f>
        <v>57</v>
      </c>
      <c r="O68" s="26">
        <f>Mulanje!O68+Luchenza!O68+Thyolo!O68+Muloza!O68+MUST!O68+Phalombe!O68+Mikolongwe!O68+Migowi!O68+Nkando!O68</f>
        <v>71</v>
      </c>
      <c r="P68" s="35">
        <f t="shared" ref="P68:P69" si="18">SUM(D68:O68)</f>
        <v>753</v>
      </c>
    </row>
    <row r="69" spans="1:16" s="2" customFormat="1" ht="27" x14ac:dyDescent="0.3">
      <c r="A69" s="330"/>
      <c r="B69" s="24" t="s">
        <v>102</v>
      </c>
      <c r="C69" s="11" t="s">
        <v>3</v>
      </c>
      <c r="D69" s="26">
        <f>Mulanje!D69+Luchenza!D69+Thyolo!D69+Muloza!D69+MUST!D69+Phalombe!D69+Mikolongwe!D69+Migowi!D69</f>
        <v>0</v>
      </c>
      <c r="E69" s="26">
        <f>Mulanje!E69+Luchenza!E69+Thyolo!E69+Muloza!E69+MUST!E69+Phalombe!E69+Mikolongwe!E69+Migowi!E69</f>
        <v>8</v>
      </c>
      <c r="F69" s="26">
        <f>Mulanje!F69+Luchenza!F69+Thyolo!F69+Muloza!F69+MUST!F69+Phalombe!F69+Mikolongwe!F69+Migowi!F69</f>
        <v>25</v>
      </c>
      <c r="G69" s="26">
        <f>Mulanje!G69+Luchenza!G69+Thyolo!G69+Muloza!G69+MUST!G69+Phalombe!G69+Mikolongwe!G69+Migowi!G69</f>
        <v>6</v>
      </c>
      <c r="H69" s="26">
        <f>Mulanje!H69+Luchenza!H69+Thyolo!H69+Muloza!H69+MUST!H69+Phalombe!H69+Mikolongwe!H69+Migowi!H69</f>
        <v>0</v>
      </c>
      <c r="I69" s="26">
        <f>Mulanje!I69+Luchenza!I69+Thyolo!I69+Muloza!I69+MUST!I69+Phalombe!I69+Mikolongwe!I69+Migowi!I69</f>
        <v>1</v>
      </c>
      <c r="J69" s="26">
        <f>Mulanje!J69+Luchenza!J69+Thyolo!J69+Muloza!J69+MUST!J69+Phalombe!J69+Mikolongwe!J69+Migowi!J69</f>
        <v>0</v>
      </c>
      <c r="K69" s="26">
        <f>Mulanje!K69+Luchenza!K69+Thyolo!K69+Muloza!K69+MUST!K69+Phalombe!K69+Mikolongwe!K69+Migowi!K69</f>
        <v>0</v>
      </c>
      <c r="L69" s="26">
        <f>Mulanje!L69+Luchenza!L69+Thyolo!L69+Muloza!L69+MUST!L69+Phalombe!L69+Mikolongwe!L69+Migowi!L69</f>
        <v>2</v>
      </c>
      <c r="M69" s="26">
        <f>Mulanje!M69+Luchenza!M69+Thyolo!M69+Muloza!M69+MUST!M69+Phalombe!M69+Mikolongwe!M69+Migowi!M69+Nkando!M69</f>
        <v>1</v>
      </c>
      <c r="N69" s="26">
        <f>Mulanje!N69+Luchenza!N69+Thyolo!N69+Muloza!N69+MUST!N69+Phalombe!N69+Mikolongwe!N69+Migowi!N69+Nkando!N69</f>
        <v>0</v>
      </c>
      <c r="O69" s="26">
        <f>Mulanje!O69+Luchenza!O69+Thyolo!O69+Muloza!O69+MUST!O69+Phalombe!O69+Mikolongwe!O69+Migowi!O69+Nkando!O69</f>
        <v>1</v>
      </c>
      <c r="P69" s="74">
        <f t="shared" si="18"/>
        <v>44</v>
      </c>
    </row>
    <row r="70" spans="1:16" s="2" customFormat="1" x14ac:dyDescent="0.3">
      <c r="A70" s="330"/>
      <c r="B70" s="24" t="s">
        <v>188</v>
      </c>
      <c r="C70" s="11" t="s">
        <v>3</v>
      </c>
      <c r="D70" s="4">
        <f>D68+D69</f>
        <v>21</v>
      </c>
      <c r="E70" s="4">
        <f t="shared" ref="E70:P70" si="19">E68+E69</f>
        <v>58</v>
      </c>
      <c r="F70" s="4">
        <f t="shared" ref="F70:G70" si="20">F68+F69</f>
        <v>94</v>
      </c>
      <c r="G70" s="4">
        <f t="shared" si="20"/>
        <v>76</v>
      </c>
      <c r="H70" s="4">
        <f t="shared" ref="H70:O70" si="21">H68+H69</f>
        <v>84</v>
      </c>
      <c r="I70" s="4">
        <f t="shared" si="21"/>
        <v>104</v>
      </c>
      <c r="J70" s="4">
        <f t="shared" si="21"/>
        <v>68</v>
      </c>
      <c r="K70" s="4">
        <f t="shared" si="21"/>
        <v>72</v>
      </c>
      <c r="L70" s="4">
        <f t="shared" si="21"/>
        <v>55</v>
      </c>
      <c r="M70" s="4">
        <f t="shared" si="21"/>
        <v>36</v>
      </c>
      <c r="N70" s="4">
        <f t="shared" si="21"/>
        <v>57</v>
      </c>
      <c r="O70" s="4">
        <f t="shared" si="21"/>
        <v>72</v>
      </c>
      <c r="P70" s="104">
        <f t="shared" si="19"/>
        <v>797</v>
      </c>
    </row>
    <row r="71" spans="1:16" x14ac:dyDescent="0.3">
      <c r="A71" s="331"/>
      <c r="B71" s="37" t="s">
        <v>81</v>
      </c>
      <c r="C71" s="5" t="s">
        <v>3</v>
      </c>
      <c r="D71" s="26">
        <f>D66+D67-D70</f>
        <v>821</v>
      </c>
      <c r="E71" s="26">
        <f t="shared" ref="E71" si="22">E66+E67-E70</f>
        <v>841</v>
      </c>
      <c r="F71" s="26">
        <f t="shared" ref="F71:G71" si="23">F66+F67-F70</f>
        <v>799</v>
      </c>
      <c r="G71" s="26">
        <f t="shared" si="23"/>
        <v>767</v>
      </c>
      <c r="H71" s="26">
        <f t="shared" ref="H71:O71" si="24">H66+H67-H70</f>
        <v>757</v>
      </c>
      <c r="I71" s="26">
        <f t="shared" si="24"/>
        <v>703</v>
      </c>
      <c r="J71" s="26">
        <f t="shared" si="24"/>
        <v>732</v>
      </c>
      <c r="K71" s="26">
        <f t="shared" si="24"/>
        <v>697</v>
      </c>
      <c r="L71" s="26">
        <f t="shared" si="24"/>
        <v>697</v>
      </c>
      <c r="M71" s="26">
        <f t="shared" si="24"/>
        <v>718</v>
      </c>
      <c r="N71" s="26">
        <f t="shared" si="24"/>
        <v>710</v>
      </c>
      <c r="O71" s="26">
        <f t="shared" si="24"/>
        <v>684</v>
      </c>
      <c r="P71" s="105">
        <f>P66+P67-P70</f>
        <v>685</v>
      </c>
    </row>
    <row r="72" spans="1:16" x14ac:dyDescent="0.3">
      <c r="A72" s="329" t="s">
        <v>108</v>
      </c>
      <c r="B72" s="37" t="s">
        <v>85</v>
      </c>
      <c r="C72" s="5" t="s">
        <v>3</v>
      </c>
      <c r="D72" s="26">
        <f>Mulanje!D72+Luchenza!D72+Thyolo!D72+Muloza!D72+MUST!D72+Phalombe!D72+Mikolongwe!D72+Migowi!D72</f>
        <v>1</v>
      </c>
      <c r="E72" s="26">
        <f>Mulanje!E72+Luchenza!E72+Thyolo!E72+Muloza!E72+MUST!E72+Phalombe!E72+Mikolongwe!E72+Migowi!E72</f>
        <v>2</v>
      </c>
      <c r="F72" s="26">
        <f>Mulanje!F72+Luchenza!F72+Thyolo!F72+Muloza!F72+MUST!F72+Phalombe!F72+Mikolongwe!F72+Migowi!F72</f>
        <v>2</v>
      </c>
      <c r="G72" s="26">
        <f>Mulanje!G72+Luchenza!G72+Thyolo!G72+Muloza!G72+MUST!G72+Phalombe!G72+Mikolongwe!G72+Migowi!G72</f>
        <v>2</v>
      </c>
      <c r="H72" s="26">
        <f>Mulanje!H72+Luchenza!H72+Thyolo!H72+Muloza!H72+MUST!H72+Phalombe!H72+Mikolongwe!H72+Migowi!H72</f>
        <v>2</v>
      </c>
      <c r="I72" s="26">
        <f>Mulanje!I72+Luchenza!I72+Thyolo!I72+Muloza!I72+MUST!I72+Phalombe!I72+Mikolongwe!I72+Migowi!I72</f>
        <v>2</v>
      </c>
      <c r="J72" s="26">
        <f>Mulanje!J72+Luchenza!J72+Thyolo!J72+Muloza!J72+MUST!J72+Phalombe!J72+Mikolongwe!J72+Migowi!J72</f>
        <v>2</v>
      </c>
      <c r="K72" s="26">
        <f>Mulanje!K72+Luchenza!K72+Thyolo!K72+Muloza!K72+MUST!K72+Phalombe!K72+Mikolongwe!K72+Migowi!K72</f>
        <v>2</v>
      </c>
      <c r="L72" s="26">
        <f>Mulanje!L72+Luchenza!L72+Thyolo!L72+Muloza!L72+MUST!L72+Phalombe!L72+Mikolongwe!L72+Migowi!L72</f>
        <v>3</v>
      </c>
      <c r="M72" s="26">
        <f>Mulanje!M72+Luchenza!M72+Thyolo!M72+Muloza!M72+MUST!M72+Phalombe!M72+Mikolongwe!M72+Migowi!M72+Nkando!M72</f>
        <v>1</v>
      </c>
      <c r="N72" s="26">
        <f>Mulanje!N72+Luchenza!N72+Thyolo!N72+Muloza!N72+MUST!N72+Phalombe!N72+Mikolongwe!N72+Migowi!N72+Nkando!N72</f>
        <v>1</v>
      </c>
      <c r="O72" s="26">
        <f>Mulanje!O72+Luchenza!O72+Thyolo!O72+Muloza!O72+MUST!O72+Phalombe!O72+Mikolongwe!O72+Migowi!O72+Nkando!O72</f>
        <v>5</v>
      </c>
      <c r="P72" s="35">
        <f>D72</f>
        <v>1</v>
      </c>
    </row>
    <row r="73" spans="1:16" x14ac:dyDescent="0.3">
      <c r="A73" s="330"/>
      <c r="B73" s="24" t="s">
        <v>104</v>
      </c>
      <c r="C73" s="5" t="s">
        <v>3</v>
      </c>
      <c r="D73" s="26">
        <f>Mulanje!D73+Luchenza!D73+Thyolo!D73+Muloza!D73+MUST!D73+Phalombe!D73+Mikolongwe!D73+Migowi!D73</f>
        <v>1</v>
      </c>
      <c r="E73" s="26">
        <f>Mulanje!E73+Luchenza!E73+Thyolo!E73+Muloza!E73+MUST!E73+Phalombe!E73+Mikolongwe!E73+Migowi!E73</f>
        <v>1</v>
      </c>
      <c r="F73" s="26">
        <f>Mulanje!F73+Luchenza!F73+Thyolo!F73+Muloza!F73+MUST!F73+Phalombe!F73+Mikolongwe!F73+Migowi!F73</f>
        <v>1</v>
      </c>
      <c r="G73" s="26">
        <f>Mulanje!G73+Luchenza!G73+Thyolo!G73+Muloza!G73+MUST!G73+Phalombe!G73+Mikolongwe!G73+Migowi!G73</f>
        <v>1</v>
      </c>
      <c r="H73" s="26">
        <f>Mulanje!H73+Luchenza!H73+Thyolo!H73+Muloza!H73+MUST!H73+Phalombe!H73+Mikolongwe!H73+Migowi!H73</f>
        <v>0</v>
      </c>
      <c r="I73" s="26">
        <f>Mulanje!I73+Luchenza!I73+Thyolo!I73+Muloza!I73+MUST!I73+Phalombe!I73+Mikolongwe!I73+Migowi!I73</f>
        <v>0</v>
      </c>
      <c r="J73" s="26">
        <f>Mulanje!J73+Luchenza!J73+Thyolo!J73+Muloza!J73+MUST!J73+Phalombe!J73+Mikolongwe!J73+Migowi!J73</f>
        <v>0</v>
      </c>
      <c r="K73" s="26">
        <f>Mulanje!K73+Luchenza!K73+Thyolo!K73+Muloza!K73+MUST!K73+Phalombe!K73+Mikolongwe!K73+Migowi!K73</f>
        <v>1</v>
      </c>
      <c r="L73" s="26">
        <f>Mulanje!L73+Luchenza!L73+Thyolo!L73+Muloza!L73+MUST!L73+Phalombe!L73+Mikolongwe!L73+Migowi!L73</f>
        <v>0</v>
      </c>
      <c r="M73" s="26">
        <f>Mulanje!M73+Luchenza!M73+Thyolo!M73+Muloza!M73+MUST!M73+Phalombe!M73+Mikolongwe!M73+Migowi!M73+Nkando!M73</f>
        <v>0</v>
      </c>
      <c r="N73" s="26">
        <f>Mulanje!N73+Luchenza!N73+Thyolo!N73+Muloza!N73+MUST!N73+Phalombe!N73+Mikolongwe!N73+Migowi!N73+Nkando!N73</f>
        <v>0</v>
      </c>
      <c r="O73" s="26">
        <f>Mulanje!O73+Luchenza!O73+Thyolo!O73+Muloza!O73+MUST!O73+Phalombe!O73+Mikolongwe!O73+Migowi!O73+Nkando!O73</f>
        <v>1</v>
      </c>
      <c r="P73" s="35">
        <f>SUM(D73:O73)</f>
        <v>6</v>
      </c>
    </row>
    <row r="74" spans="1:16" ht="27" x14ac:dyDescent="0.3">
      <c r="A74" s="330"/>
      <c r="B74" s="24" t="s">
        <v>103</v>
      </c>
      <c r="C74" s="5" t="s">
        <v>3</v>
      </c>
      <c r="D74" s="26">
        <f>Mulanje!D74+Luchenza!D74+Thyolo!D74+Muloza!D74+MUST!D74+Phalombe!D74+Mikolongwe!D74+Migowi!D74</f>
        <v>0</v>
      </c>
      <c r="E74" s="26">
        <f>Mulanje!E74+Luchenza!E74+Thyolo!E74+Muloza!E74+MUST!E74+Phalombe!E74+Mikolongwe!E74+Migowi!E74</f>
        <v>0</v>
      </c>
      <c r="F74" s="26">
        <f>Mulanje!F74+Luchenza!F74+Thyolo!F74+Muloza!F74+MUST!F74+Phalombe!F74+Mikolongwe!F74+Migowi!F74</f>
        <v>1</v>
      </c>
      <c r="G74" s="26">
        <f>Mulanje!G74+Luchenza!G74+Thyolo!G74+Muloza!G74+MUST!G74+Phalombe!G74+Mikolongwe!G74+Migowi!G74</f>
        <v>0</v>
      </c>
      <c r="H74" s="26">
        <f>Mulanje!H74+Luchenza!H74+Thyolo!H74+Muloza!H74+MUST!H74+Phalombe!H74+Mikolongwe!H74+Migowi!H74</f>
        <v>0</v>
      </c>
      <c r="I74" s="26">
        <f>Mulanje!I74+Luchenza!I74+Thyolo!I74+Muloza!I74+MUST!I74+Phalombe!I74+Mikolongwe!I74+Migowi!I74</f>
        <v>0</v>
      </c>
      <c r="J74" s="26">
        <f>Mulanje!J74+Luchenza!J74+Thyolo!J74+Muloza!J74+MUST!J74+Phalombe!J74+Mikolongwe!J74+Migowi!J74</f>
        <v>0</v>
      </c>
      <c r="K74" s="26">
        <f>Mulanje!K74+Luchenza!K74+Thyolo!K74+Muloza!K74+MUST!K74+Phalombe!K74+Mikolongwe!K74+Migowi!K74</f>
        <v>0</v>
      </c>
      <c r="L74" s="26">
        <f>Mulanje!L74+Luchenza!L74+Thyolo!L74+Muloza!L74+MUST!L74+Phalombe!L74+Mikolongwe!L74+Migowi!L74</f>
        <v>1</v>
      </c>
      <c r="M74" s="26">
        <f>Mulanje!M74+Luchenza!M74+Thyolo!M74+Muloza!M74+MUST!M74+Phalombe!M74+Mikolongwe!M74+Migowi!M74+Nkando!M74</f>
        <v>0</v>
      </c>
      <c r="N74" s="26">
        <f>Mulanje!N74+Luchenza!N74+Thyolo!N74+Muloza!N74+MUST!N74+Phalombe!N74+Mikolongwe!N74+Migowi!N74+Nkando!N74</f>
        <v>0</v>
      </c>
      <c r="O74" s="26">
        <f>Mulanje!O74+Luchenza!O74+Thyolo!O74+Muloza!O74+MUST!O74+Phalombe!O74+Mikolongwe!O74+Migowi!O74+Nkando!O74</f>
        <v>2</v>
      </c>
      <c r="P74" s="35">
        <f>SUM(D74:O74)</f>
        <v>4</v>
      </c>
    </row>
    <row r="75" spans="1:16" s="2" customFormat="1" ht="27" x14ac:dyDescent="0.3">
      <c r="A75" s="330"/>
      <c r="B75" s="24" t="s">
        <v>102</v>
      </c>
      <c r="C75" s="11" t="s">
        <v>3</v>
      </c>
      <c r="D75" s="26">
        <f>Mulanje!D75+Luchenza!D75+Thyolo!D75+Muloza!D75+MUST!D75+Phalombe!D75+Mikolongwe!D75+Migowi!D75</f>
        <v>0</v>
      </c>
      <c r="E75" s="26">
        <f>Mulanje!E75+Luchenza!E75+Thyolo!E75+Muloza!E75+MUST!E75+Phalombe!E75+Mikolongwe!E75+Migowi!E75</f>
        <v>0</v>
      </c>
      <c r="F75" s="26">
        <f>Mulanje!F75+Luchenza!F75+Thyolo!F75+Muloza!F75+MUST!F75+Phalombe!F75+Mikolongwe!F75+Migowi!F75</f>
        <v>0</v>
      </c>
      <c r="G75" s="26">
        <f>Mulanje!G75+Luchenza!G75+Thyolo!G75+Muloza!G75+MUST!G75+Phalombe!G75+Mikolongwe!G75+Migowi!G75</f>
        <v>0</v>
      </c>
      <c r="H75" s="26">
        <f>Mulanje!H75+Luchenza!H75+Thyolo!H75+Muloza!H75+MUST!H75+Phalombe!H75+Mikolongwe!H75+Migowi!H75</f>
        <v>1</v>
      </c>
      <c r="I75" s="26">
        <f>Mulanje!I75+Luchenza!I75+Thyolo!I75+Muloza!I75+MUST!I75+Phalombe!I75+Mikolongwe!I75+Migowi!I75</f>
        <v>0</v>
      </c>
      <c r="J75" s="26">
        <f>Mulanje!J75+Luchenza!J75+Thyolo!J75+Muloza!J75+MUST!J75+Phalombe!J75+Mikolongwe!J75+Migowi!J75</f>
        <v>0</v>
      </c>
      <c r="K75" s="26">
        <f>Mulanje!K75+Luchenza!K75+Thyolo!K75+Muloza!K75+MUST!K75+Phalombe!K75+Mikolongwe!K75+Migowi!K75</f>
        <v>0</v>
      </c>
      <c r="L75" s="26">
        <f>Mulanje!L75+Luchenza!L75+Thyolo!L75+Muloza!L75+MUST!L75+Phalombe!L75+Mikolongwe!L75+Migowi!L75</f>
        <v>0</v>
      </c>
      <c r="M75" s="26">
        <f>Mulanje!M75+Luchenza!M75+Thyolo!M75+Muloza!M75+MUST!M75+Phalombe!M75+Mikolongwe!M75+Migowi!M75+Nkando!M75</f>
        <v>0</v>
      </c>
      <c r="N75" s="26">
        <f>Mulanje!N75+Luchenza!N75+Thyolo!N75+Muloza!N75+MUST!N75+Phalombe!N75+Mikolongwe!N75+Migowi!N75+Nkando!N75</f>
        <v>0</v>
      </c>
      <c r="O75" s="26">
        <f>Mulanje!O75+Luchenza!O75+Thyolo!O75+Muloza!O75+MUST!O75+Phalombe!O75+Mikolongwe!O75+Migowi!O75+Nkando!O75</f>
        <v>0</v>
      </c>
      <c r="P75" s="74"/>
    </row>
    <row r="76" spans="1:16" s="2" customFormat="1" x14ac:dyDescent="0.3">
      <c r="A76" s="330"/>
      <c r="B76" s="24" t="s">
        <v>188</v>
      </c>
      <c r="C76" s="11" t="s">
        <v>3</v>
      </c>
      <c r="D76" s="4">
        <f>D74+D75</f>
        <v>0</v>
      </c>
      <c r="E76" s="4">
        <f t="shared" ref="E76:H76" si="25">E74+E75</f>
        <v>0</v>
      </c>
      <c r="F76" s="4">
        <f t="shared" si="25"/>
        <v>1</v>
      </c>
      <c r="G76" s="4">
        <f t="shared" si="25"/>
        <v>0</v>
      </c>
      <c r="H76" s="4">
        <f t="shared" si="25"/>
        <v>1</v>
      </c>
      <c r="I76" s="4">
        <f t="shared" ref="I76:O76" si="26">I74+I75</f>
        <v>0</v>
      </c>
      <c r="J76" s="4">
        <f t="shared" si="26"/>
        <v>0</v>
      </c>
      <c r="K76" s="4">
        <f t="shared" si="26"/>
        <v>0</v>
      </c>
      <c r="L76" s="4">
        <f t="shared" si="26"/>
        <v>1</v>
      </c>
      <c r="M76" s="4">
        <f t="shared" si="26"/>
        <v>0</v>
      </c>
      <c r="N76" s="4">
        <f t="shared" si="26"/>
        <v>0</v>
      </c>
      <c r="O76" s="4">
        <f t="shared" si="26"/>
        <v>2</v>
      </c>
      <c r="P76" s="104">
        <f t="shared" ref="P76" si="27">P74+P75</f>
        <v>4</v>
      </c>
    </row>
    <row r="77" spans="1:16" x14ac:dyDescent="0.3">
      <c r="A77" s="331"/>
      <c r="B77" s="37" t="s">
        <v>81</v>
      </c>
      <c r="C77" s="5" t="s">
        <v>3</v>
      </c>
      <c r="D77" s="26">
        <f>D72+D73-D76</f>
        <v>2</v>
      </c>
      <c r="E77" s="26">
        <f t="shared" ref="E77:H77" si="28">E72+E73-E76</f>
        <v>3</v>
      </c>
      <c r="F77" s="26">
        <f t="shared" si="28"/>
        <v>2</v>
      </c>
      <c r="G77" s="26">
        <f t="shared" si="28"/>
        <v>3</v>
      </c>
      <c r="H77" s="26">
        <f t="shared" si="28"/>
        <v>1</v>
      </c>
      <c r="I77" s="26">
        <f t="shared" ref="I77:O77" si="29">I72+I73-I76</f>
        <v>2</v>
      </c>
      <c r="J77" s="26">
        <f t="shared" si="29"/>
        <v>2</v>
      </c>
      <c r="K77" s="26">
        <f t="shared" si="29"/>
        <v>3</v>
      </c>
      <c r="L77" s="26">
        <f t="shared" si="29"/>
        <v>2</v>
      </c>
      <c r="M77" s="26">
        <f t="shared" si="29"/>
        <v>1</v>
      </c>
      <c r="N77" s="26">
        <f t="shared" si="29"/>
        <v>1</v>
      </c>
      <c r="O77" s="26">
        <f t="shared" si="29"/>
        <v>4</v>
      </c>
      <c r="P77" s="105">
        <f t="shared" ref="P77" si="30">P73+P74-P76</f>
        <v>6</v>
      </c>
    </row>
    <row r="78" spans="1:16" ht="15.6" customHeight="1" x14ac:dyDescent="0.3">
      <c r="A78" s="329" t="s">
        <v>107</v>
      </c>
      <c r="B78" s="37" t="s">
        <v>85</v>
      </c>
      <c r="C78" s="5" t="s">
        <v>3</v>
      </c>
      <c r="D78" s="26">
        <f>Mulanje!D78+Luchenza!D78+Thyolo!D78+Muloza!D78+MUST!D78+Phalombe!D78+Mikolongwe!D78+Migowi!D78</f>
        <v>5</v>
      </c>
      <c r="E78" s="26">
        <f>Mulanje!E78+Luchenza!E78+Thyolo!E78+Muloza!E78+MUST!E78+Phalombe!E78+Mikolongwe!E78+Migowi!E78</f>
        <v>5</v>
      </c>
      <c r="F78" s="26">
        <f>Mulanje!F78+Luchenza!F78+Thyolo!F78+Muloza!F78+MUST!F78+Phalombe!F78+Mikolongwe!F78+Migowi!F78</f>
        <v>7</v>
      </c>
      <c r="G78" s="26">
        <f>Mulanje!G78+Luchenza!G78+Thyolo!G78+Muloza!G78+MUST!G78+Phalombe!G78+Mikolongwe!G78+Migowi!G78</f>
        <v>5</v>
      </c>
      <c r="H78" s="26">
        <f>Mulanje!H78+Luchenza!H78+Thyolo!H78+Muloza!H78+MUST!H78+Phalombe!H78+Mikolongwe!H78+Migowi!H78</f>
        <v>5</v>
      </c>
      <c r="I78" s="26">
        <f>Mulanje!I78+Luchenza!I78+Thyolo!I78+Muloza!I78+MUST!I78+Phalombe!I78+Mikolongwe!I78+Migowi!I78</f>
        <v>5</v>
      </c>
      <c r="J78" s="26">
        <f>Mulanje!J78+Luchenza!J78+Thyolo!J78+Muloza!J78+MUST!J78+Phalombe!J78+Mikolongwe!J78+Migowi!J78</f>
        <v>5</v>
      </c>
      <c r="K78" s="26">
        <f>Mulanje!K78+Luchenza!K78+Thyolo!K78+Muloza!K78+MUST!K78+Phalombe!K78+Mikolongwe!K78+Migowi!K78</f>
        <v>7</v>
      </c>
      <c r="L78" s="26">
        <f>Mulanje!L78+Luchenza!L78+Thyolo!L78+Muloza!L78+MUST!L78+Phalombe!L78+Mikolongwe!L78+Migowi!L78</f>
        <v>5</v>
      </c>
      <c r="M78" s="26">
        <f>Mulanje!M78+Luchenza!M78+Thyolo!M78+Muloza!M78+MUST!M78+Phalombe!M78+Mikolongwe!M78+Migowi!M78+Nkando!M78</f>
        <v>5</v>
      </c>
      <c r="N78" s="26">
        <f>Mulanje!N78+Luchenza!N78+Thyolo!N78+Muloza!N78+MUST!N78+Phalombe!N78+Mikolongwe!N78+Migowi!N78+Nkando!N78</f>
        <v>5</v>
      </c>
      <c r="O78" s="26">
        <f>Mulanje!O78+Luchenza!O78+Thyolo!O78+Muloza!O78+MUST!O78+Phalombe!O78+Mikolongwe!O78+Migowi!O78+Nkando!O78</f>
        <v>0</v>
      </c>
      <c r="P78" s="35">
        <f>D78</f>
        <v>5</v>
      </c>
    </row>
    <row r="79" spans="1:16" x14ac:dyDescent="0.3">
      <c r="A79" s="330"/>
      <c r="B79" s="24" t="s">
        <v>104</v>
      </c>
      <c r="C79" s="5" t="s">
        <v>3</v>
      </c>
      <c r="D79" s="26">
        <f>Mulanje!D79+Luchenza!D79+Thyolo!D79+Muloza!D79+MUST!D79+Phalombe!D79+Mikolongwe!D79+Migowi!D79</f>
        <v>0</v>
      </c>
      <c r="E79" s="26">
        <f>Mulanje!E79+Luchenza!E79+Thyolo!E79+Muloza!E79+MUST!E79+Phalombe!E79+Mikolongwe!E79+Migowi!E79</f>
        <v>6</v>
      </c>
      <c r="F79" s="26">
        <f>Mulanje!F79+Luchenza!F79+Thyolo!F79+Muloza!F79+MUST!F79+Phalombe!F79+Mikolongwe!F79+Migowi!F79</f>
        <v>0</v>
      </c>
      <c r="G79" s="26">
        <f>Mulanje!G79+Luchenza!G79+Thyolo!G79+Muloza!G79+MUST!G79+Phalombe!G79+Mikolongwe!G79+Migowi!G79</f>
        <v>2</v>
      </c>
      <c r="H79" s="26">
        <f>Mulanje!H79+Luchenza!H79+Thyolo!H79+Muloza!H79+MUST!H79+Phalombe!H79+Mikolongwe!H79+Migowi!H79</f>
        <v>6</v>
      </c>
      <c r="I79" s="26">
        <f>Mulanje!I79+Luchenza!I79+Thyolo!I79+Muloza!I79+MUST!I79+Phalombe!I79+Mikolongwe!I79+Migowi!I79</f>
        <v>0</v>
      </c>
      <c r="J79" s="26">
        <f>Mulanje!J79+Luchenza!J79+Thyolo!J79+Muloza!J79+MUST!J79+Phalombe!J79+Mikolongwe!J79+Migowi!J79</f>
        <v>2</v>
      </c>
      <c r="K79" s="26">
        <f>Mulanje!K79+Luchenza!K79+Thyolo!K79+Muloza!K79+MUST!K79+Phalombe!K79+Mikolongwe!K79+Migowi!K79</f>
        <v>1</v>
      </c>
      <c r="L79" s="26">
        <f>Mulanje!L79+Luchenza!L79+Thyolo!L79+Muloza!L79+MUST!L79+Phalombe!L79+Mikolongwe!L79+Migowi!L79</f>
        <v>0</v>
      </c>
      <c r="M79" s="26">
        <f>Mulanje!M79+Luchenza!M79+Thyolo!M79+Muloza!M79+MUST!M79+Phalombe!M79+Mikolongwe!M79+Migowi!M79+Nkando!M79</f>
        <v>0</v>
      </c>
      <c r="N79" s="26">
        <f>Mulanje!N79+Luchenza!N79+Thyolo!N79+Muloza!N79+MUST!N79+Phalombe!N79+Mikolongwe!N79+Migowi!N79+Nkando!N79</f>
        <v>0</v>
      </c>
      <c r="O79" s="26">
        <f>Mulanje!O79+Luchenza!O79+Thyolo!O79+Muloza!O79+MUST!O79+Phalombe!O79+Mikolongwe!O79+Migowi!O79+Nkando!O79</f>
        <v>0</v>
      </c>
      <c r="P79" s="35">
        <f>SUM(D79:O79)</f>
        <v>17</v>
      </c>
    </row>
    <row r="80" spans="1:16" ht="27" x14ac:dyDescent="0.3">
      <c r="A80" s="330"/>
      <c r="B80" s="24" t="s">
        <v>103</v>
      </c>
      <c r="C80" s="5" t="s">
        <v>3</v>
      </c>
      <c r="D80" s="26">
        <f>Mulanje!D80+Luchenza!D80+Thyolo!D80+Muloza!D80+MUST!D80+Phalombe!D80+Mikolongwe!D80+Migowi!D80</f>
        <v>0</v>
      </c>
      <c r="E80" s="26">
        <f>Mulanje!E80+Luchenza!E80+Thyolo!E80+Muloza!E80+MUST!E80+Phalombe!E80+Mikolongwe!E80+Migowi!E80</f>
        <v>0</v>
      </c>
      <c r="F80" s="26">
        <f>Mulanje!F80+Luchenza!F80+Thyolo!F80+Muloza!F80+MUST!F80+Phalombe!F80+Mikolongwe!F80+Migowi!F80</f>
        <v>1</v>
      </c>
      <c r="G80" s="26">
        <f>Mulanje!G80+Luchenza!G80+Thyolo!G80+Muloza!G80+MUST!G80+Phalombe!G80+Mikolongwe!G80+Migowi!G80</f>
        <v>2</v>
      </c>
      <c r="H80" s="26">
        <f>Mulanje!H80+Luchenza!H80+Thyolo!H80+Muloza!H80+MUST!H80+Phalombe!H80+Mikolongwe!H80+Migowi!H80</f>
        <v>6</v>
      </c>
      <c r="I80" s="26">
        <f>Mulanje!I80+Luchenza!I80+Thyolo!I80+Muloza!I80+MUST!I80+Phalombe!I80+Mikolongwe!I80+Migowi!I80</f>
        <v>0</v>
      </c>
      <c r="J80" s="26">
        <f>Mulanje!J80+Luchenza!J80+Thyolo!J80+Muloza!J80+MUST!J80+Phalombe!J80+Mikolongwe!J80+Migowi!J80</f>
        <v>0</v>
      </c>
      <c r="K80" s="26">
        <f>Mulanje!K80+Luchenza!K80+Thyolo!K80+Muloza!K80+MUST!K80+Phalombe!K80+Mikolongwe!K80+Migowi!K80</f>
        <v>3</v>
      </c>
      <c r="L80" s="26">
        <f>Mulanje!L80+Luchenza!L80+Thyolo!L80+Muloza!L80+MUST!L80+Phalombe!L80+Mikolongwe!L80+Migowi!L80</f>
        <v>0</v>
      </c>
      <c r="M80" s="26">
        <f>Mulanje!M80+Luchenza!M80+Thyolo!M80+Muloza!M80+MUST!M80+Phalombe!M80+Mikolongwe!M80+Migowi!M80+Nkando!M80</f>
        <v>0</v>
      </c>
      <c r="N80" s="26">
        <f>Mulanje!N80+Luchenza!N80+Thyolo!N80+Muloza!N80+MUST!N80+Phalombe!N80+Mikolongwe!N80+Migowi!N80+Nkando!N80</f>
        <v>1</v>
      </c>
      <c r="O80" s="26">
        <f>Mulanje!O80+Luchenza!O80+Thyolo!O80+Muloza!O80+MUST!O80+Phalombe!O80+Mikolongwe!O80+Migowi!O80+Nkando!O80</f>
        <v>0</v>
      </c>
      <c r="P80" s="35"/>
    </row>
    <row r="81" spans="1:16" s="2" customFormat="1" ht="27" x14ac:dyDescent="0.3">
      <c r="A81" s="330"/>
      <c r="B81" s="24" t="s">
        <v>102</v>
      </c>
      <c r="C81" s="11" t="s">
        <v>3</v>
      </c>
      <c r="D81" s="26">
        <f>Mulanje!D81+Luchenza!D81+Thyolo!D81+Muloza!D81+MUST!D81+Phalombe!D81+Mikolongwe!D81+Migowi!D81</f>
        <v>0</v>
      </c>
      <c r="E81" s="26">
        <f>Mulanje!E81+Luchenza!E81+Thyolo!E81+Muloza!E81+MUST!E81+Phalombe!E81+Mikolongwe!E81+Migowi!E81</f>
        <v>4</v>
      </c>
      <c r="F81" s="26">
        <f>Mulanje!F81+Luchenza!F81+Thyolo!F81+Muloza!F81+MUST!F81+Phalombe!F81+Mikolongwe!F81+Migowi!F81</f>
        <v>1</v>
      </c>
      <c r="G81" s="26">
        <f>Mulanje!G81+Luchenza!G81+Thyolo!G81+Muloza!G81+MUST!G81+Phalombe!G81+Mikolongwe!G81+Migowi!G81</f>
        <v>0</v>
      </c>
      <c r="H81" s="26">
        <f>Mulanje!H81+Luchenza!H81+Thyolo!H81+Muloza!H81+MUST!H81+Phalombe!H81+Mikolongwe!H81+Migowi!H81</f>
        <v>0</v>
      </c>
      <c r="I81" s="26">
        <f>Mulanje!I81+Luchenza!I81+Thyolo!I81+Muloza!I81+MUST!I81+Phalombe!I81+Mikolongwe!I81+Migowi!I81</f>
        <v>0</v>
      </c>
      <c r="J81" s="26">
        <f>Mulanje!J81+Luchenza!J81+Thyolo!J81+Muloza!J81+MUST!J81+Phalombe!J81+Mikolongwe!J81+Migowi!J81</f>
        <v>0</v>
      </c>
      <c r="K81" s="26">
        <f>Mulanje!K81+Luchenza!K81+Thyolo!K81+Muloza!K81+MUST!K81+Phalombe!K81+Mikolongwe!K81+Migowi!K81</f>
        <v>0</v>
      </c>
      <c r="L81" s="26">
        <f>Mulanje!L81+Luchenza!L81+Thyolo!L81+Muloza!L81+MUST!L81+Phalombe!L81+Mikolongwe!L81+Migowi!L81</f>
        <v>0</v>
      </c>
      <c r="M81" s="26">
        <f>Mulanje!M81+Luchenza!M81+Thyolo!M81+Muloza!M81+MUST!M81+Phalombe!M81+Mikolongwe!M81+Migowi!M81+Nkando!M81</f>
        <v>0</v>
      </c>
      <c r="N81" s="26">
        <f>Mulanje!N81+Luchenza!N81+Thyolo!N81+Muloza!N81+MUST!N81+Phalombe!N81+Mikolongwe!N81+Migowi!N81+Nkando!N81</f>
        <v>0</v>
      </c>
      <c r="O81" s="26">
        <f>Mulanje!O81+Luchenza!O81+Thyolo!O81+Muloza!O81+MUST!O81+Phalombe!O81+Mikolongwe!O81+Migowi!O81+Nkando!O81</f>
        <v>0</v>
      </c>
      <c r="P81" s="74">
        <f>SUM(D81:O81)</f>
        <v>5</v>
      </c>
    </row>
    <row r="82" spans="1:16" s="2" customFormat="1" x14ac:dyDescent="0.3">
      <c r="A82" s="330"/>
      <c r="B82" s="24" t="s">
        <v>188</v>
      </c>
      <c r="C82" s="11" t="s">
        <v>3</v>
      </c>
      <c r="D82" s="4">
        <f>D81+D80</f>
        <v>0</v>
      </c>
      <c r="E82" s="4">
        <f t="shared" ref="E82:P82" si="31">E81+E80</f>
        <v>4</v>
      </c>
      <c r="F82" s="4">
        <f t="shared" ref="F82:G82" si="32">F81+F80</f>
        <v>2</v>
      </c>
      <c r="G82" s="4">
        <f t="shared" si="32"/>
        <v>2</v>
      </c>
      <c r="H82" s="4">
        <f t="shared" ref="H82:O82" si="33">H81+H80</f>
        <v>6</v>
      </c>
      <c r="I82" s="4">
        <f t="shared" si="33"/>
        <v>0</v>
      </c>
      <c r="J82" s="4">
        <f t="shared" si="33"/>
        <v>0</v>
      </c>
      <c r="K82" s="4">
        <f t="shared" si="33"/>
        <v>3</v>
      </c>
      <c r="L82" s="4">
        <f t="shared" si="33"/>
        <v>0</v>
      </c>
      <c r="M82" s="4">
        <f t="shared" si="33"/>
        <v>0</v>
      </c>
      <c r="N82" s="4">
        <f t="shared" si="33"/>
        <v>1</v>
      </c>
      <c r="O82" s="4">
        <f t="shared" si="33"/>
        <v>0</v>
      </c>
      <c r="P82" s="104">
        <f t="shared" si="31"/>
        <v>5</v>
      </c>
    </row>
    <row r="83" spans="1:16" x14ac:dyDescent="0.3">
      <c r="A83" s="331"/>
      <c r="B83" s="37" t="s">
        <v>81</v>
      </c>
      <c r="C83" s="5" t="s">
        <v>3</v>
      </c>
      <c r="D83" s="26">
        <f>D78+D79-D82</f>
        <v>5</v>
      </c>
      <c r="E83" s="26">
        <f t="shared" ref="E83:P83" si="34">E78+E79-E82</f>
        <v>7</v>
      </c>
      <c r="F83" s="26">
        <f t="shared" ref="F83:G83" si="35">F78+F79-F82</f>
        <v>5</v>
      </c>
      <c r="G83" s="26">
        <f t="shared" si="35"/>
        <v>5</v>
      </c>
      <c r="H83" s="26">
        <f t="shared" ref="H83:O83" si="36">H78+H79-H82</f>
        <v>5</v>
      </c>
      <c r="I83" s="26">
        <f t="shared" si="36"/>
        <v>5</v>
      </c>
      <c r="J83" s="26">
        <f t="shared" si="36"/>
        <v>7</v>
      </c>
      <c r="K83" s="26">
        <f t="shared" si="36"/>
        <v>5</v>
      </c>
      <c r="L83" s="26">
        <f t="shared" si="36"/>
        <v>5</v>
      </c>
      <c r="M83" s="26">
        <f t="shared" si="36"/>
        <v>5</v>
      </c>
      <c r="N83" s="26">
        <f t="shared" si="36"/>
        <v>4</v>
      </c>
      <c r="O83" s="26">
        <f t="shared" si="36"/>
        <v>0</v>
      </c>
      <c r="P83" s="105">
        <f t="shared" si="34"/>
        <v>17</v>
      </c>
    </row>
    <row r="84" spans="1:16" x14ac:dyDescent="0.3">
      <c r="A84" s="265" t="s">
        <v>106</v>
      </c>
      <c r="B84" s="37" t="s">
        <v>85</v>
      </c>
      <c r="C84" s="5" t="s">
        <v>3</v>
      </c>
      <c r="D84" s="26">
        <f>Mulanje!D84+Luchenza!D84+Thyolo!D84+Muloza!D84+MUST!D84+Phalombe!D84+Mikolongwe!D84+Migowi!D84</f>
        <v>0</v>
      </c>
      <c r="E84" s="26">
        <f>Mulanje!E84+Luchenza!E84+Thyolo!E84+Muloza!E84+MUST!E84+Phalombe!E84+Mikolongwe!E84+Migowi!E84</f>
        <v>0</v>
      </c>
      <c r="F84" s="26">
        <f>Mulanje!F84+Luchenza!F84+Thyolo!F84+Muloza!F84+MUST!F84+Phalombe!F84+Mikolongwe!F84+Migowi!F84</f>
        <v>0</v>
      </c>
      <c r="G84" s="26">
        <f>Mulanje!G84+Luchenza!G84+Thyolo!G84+Muloza!G84+MUST!G84+Phalombe!G84+Mikolongwe!G84+Migowi!G84</f>
        <v>0</v>
      </c>
      <c r="H84" s="26">
        <f>Mulanje!H84+Luchenza!H84+Thyolo!H84+Muloza!H84+MUST!H84+Phalombe!H84+Mikolongwe!H84+Migowi!H84</f>
        <v>0</v>
      </c>
      <c r="I84" s="26">
        <f>Mulanje!I84+Luchenza!I84+Thyolo!I84+Muloza!I84+MUST!I84+Phalombe!I84+Mikolongwe!I84+Migowi!I84</f>
        <v>0</v>
      </c>
      <c r="J84" s="26">
        <f>Mulanje!J84+Luchenza!J84+Thyolo!J84+Muloza!J84+MUST!J84+Phalombe!J84+Mikolongwe!J84+Migowi!J84</f>
        <v>0</v>
      </c>
      <c r="K84" s="26">
        <f>Mulanje!K84+Luchenza!K84+Thyolo!K84+Muloza!K84+MUST!K84+Phalombe!K84+Mikolongwe!K84+Migowi!K84</f>
        <v>0</v>
      </c>
      <c r="L84" s="26">
        <f>Mulanje!L84+Luchenza!L84+Thyolo!L84+Muloza!L84+MUST!L84+Phalombe!L84+Mikolongwe!L84+Migowi!L84</f>
        <v>0</v>
      </c>
      <c r="M84" s="26">
        <f>Mulanje!M84+Luchenza!M84+Thyolo!M84+Muloza!M84+MUST!M84+Phalombe!M84+Mikolongwe!M84+Migowi!M84+Nkando!M84</f>
        <v>0</v>
      </c>
      <c r="N84" s="26">
        <f>Mulanje!N84+Luchenza!N84+Thyolo!N84+Muloza!N84+MUST!N84+Phalombe!N84+Mikolongwe!N84+Migowi!N84+Nkando!N84</f>
        <v>0</v>
      </c>
      <c r="O84" s="26">
        <f>Mulanje!O84+Luchenza!O84+Thyolo!O84+Muloza!O84+MUST!O84+Phalombe!O84+Mikolongwe!O84+Migowi!O84+Nkando!O84</f>
        <v>0</v>
      </c>
      <c r="P84" s="35">
        <f>D84</f>
        <v>0</v>
      </c>
    </row>
    <row r="85" spans="1:16" x14ac:dyDescent="0.3">
      <c r="A85" s="266"/>
      <c r="B85" s="37" t="s">
        <v>104</v>
      </c>
      <c r="C85" s="5" t="s">
        <v>3</v>
      </c>
      <c r="D85" s="26">
        <f>Mulanje!D85+Luchenza!D85+Thyolo!D85+Muloza!D85+MUST!D85+Phalombe!D85+Mikolongwe!D85+Migowi!D85</f>
        <v>0</v>
      </c>
      <c r="E85" s="26">
        <f>Mulanje!E85+Luchenza!E85+Thyolo!E85+Muloza!E85+MUST!E85+Phalombe!E85+Mikolongwe!E85+Migowi!E85</f>
        <v>0</v>
      </c>
      <c r="F85" s="26">
        <f>Mulanje!F85+Luchenza!F85+Thyolo!F85+Muloza!F85+MUST!F85+Phalombe!F85+Mikolongwe!F85+Migowi!F85</f>
        <v>0</v>
      </c>
      <c r="G85" s="26">
        <f>Mulanje!G85+Luchenza!G85+Thyolo!G85+Muloza!G85+MUST!G85+Phalombe!G85+Mikolongwe!G85+Migowi!G85</f>
        <v>0</v>
      </c>
      <c r="H85" s="26">
        <f>Mulanje!H85+Luchenza!H85+Thyolo!H85+Muloza!H85+MUST!H85+Phalombe!H85+Mikolongwe!H85+Migowi!H85</f>
        <v>0</v>
      </c>
      <c r="I85" s="26">
        <f>Mulanje!I85+Luchenza!I85+Thyolo!I85+Muloza!I85+MUST!I85+Phalombe!I85+Mikolongwe!I85+Migowi!I85</f>
        <v>0</v>
      </c>
      <c r="J85" s="26">
        <f>Mulanje!J85+Luchenza!J85+Thyolo!J85+Muloza!J85+MUST!J85+Phalombe!J85+Mikolongwe!J85+Migowi!J85</f>
        <v>0</v>
      </c>
      <c r="K85" s="26">
        <f>Mulanje!K85+Luchenza!K85+Thyolo!K85+Muloza!K85+MUST!K85+Phalombe!K85+Mikolongwe!K85+Migowi!K85</f>
        <v>2</v>
      </c>
      <c r="L85" s="26">
        <f>Mulanje!L85+Luchenza!L85+Thyolo!L85+Muloza!L85+MUST!L85+Phalombe!L85+Mikolongwe!L85+Migowi!L85</f>
        <v>0</v>
      </c>
      <c r="M85" s="26">
        <f>Mulanje!M85+Luchenza!M85+Thyolo!M85+Muloza!M85+MUST!M85+Phalombe!M85+Mikolongwe!M85+Migowi!M85+Nkando!M85</f>
        <v>0</v>
      </c>
      <c r="N85" s="26">
        <f>Mulanje!N85+Luchenza!N85+Thyolo!N85+Muloza!N85+MUST!N85+Phalombe!N85+Mikolongwe!N85+Migowi!N85+Nkando!N85</f>
        <v>0</v>
      </c>
      <c r="O85" s="26">
        <f>Mulanje!O85+Luchenza!O85+Thyolo!O85+Muloza!O85+MUST!O85+Phalombe!O85+Mikolongwe!O85+Migowi!O85+Nkando!O85</f>
        <v>0</v>
      </c>
      <c r="P85" s="35">
        <f>SUM(D85:O85)</f>
        <v>2</v>
      </c>
    </row>
    <row r="86" spans="1:16" ht="27" x14ac:dyDescent="0.3">
      <c r="A86" s="266"/>
      <c r="B86" s="37" t="s">
        <v>103</v>
      </c>
      <c r="C86" s="5" t="s">
        <v>3</v>
      </c>
      <c r="D86" s="26">
        <f>Mulanje!D86+Luchenza!D86+Thyolo!D86+Muloza!D86+MUST!D86+Phalombe!D86+Mikolongwe!D86+Migowi!D86</f>
        <v>0</v>
      </c>
      <c r="E86" s="26">
        <f>Mulanje!E86+Luchenza!E86+Thyolo!E86+Muloza!E86+MUST!E86+Phalombe!E86+Mikolongwe!E86+Migowi!E86</f>
        <v>0</v>
      </c>
      <c r="F86" s="26">
        <f>Mulanje!F86+Luchenza!F86+Thyolo!F86+Muloza!F86+MUST!F86+Phalombe!F86+Mikolongwe!F86+Migowi!F86</f>
        <v>0</v>
      </c>
      <c r="G86" s="26">
        <f>Mulanje!G86+Luchenza!G86+Thyolo!G86+Muloza!G86+MUST!G86+Phalombe!G86+Mikolongwe!G86+Migowi!G86</f>
        <v>0</v>
      </c>
      <c r="H86" s="26">
        <f>Mulanje!H86+Luchenza!H86+Thyolo!H86+Muloza!H86+MUST!H86+Phalombe!H86+Mikolongwe!H86+Migowi!H86</f>
        <v>0</v>
      </c>
      <c r="I86" s="26">
        <f>Mulanje!I86+Luchenza!I86+Thyolo!I86+Muloza!I86+MUST!I86+Phalombe!I86+Mikolongwe!I86+Migowi!I86</f>
        <v>0</v>
      </c>
      <c r="J86" s="26">
        <f>Mulanje!J86+Luchenza!J86+Thyolo!J86+Muloza!J86+MUST!J86+Phalombe!J86+Mikolongwe!J86+Migowi!J86</f>
        <v>0</v>
      </c>
      <c r="K86" s="26">
        <f>Mulanje!K86+Luchenza!K86+Thyolo!K86+Muloza!K86+MUST!K86+Phalombe!K86+Mikolongwe!K86+Migowi!K86</f>
        <v>0</v>
      </c>
      <c r="L86" s="26">
        <f>Mulanje!L86+Luchenza!L86+Thyolo!L86+Muloza!L86+MUST!L86+Phalombe!L86+Mikolongwe!L86+Migowi!L86</f>
        <v>0</v>
      </c>
      <c r="M86" s="26">
        <f>Mulanje!M86+Luchenza!M86+Thyolo!M86+Muloza!M86+MUST!M86+Phalombe!M86+Mikolongwe!M86+Migowi!M86+Nkando!M86</f>
        <v>0</v>
      </c>
      <c r="N86" s="26">
        <f>Mulanje!N86+Luchenza!N86+Thyolo!N86+Muloza!N86+MUST!N86+Phalombe!N86+Mikolongwe!N86+Migowi!N86+Nkando!N86</f>
        <v>0</v>
      </c>
      <c r="O86" s="26">
        <f>Mulanje!O86+Luchenza!O86+Thyolo!O86+Muloza!O86+MUST!O86+Phalombe!O86+Mikolongwe!O86+Migowi!O86+Nkando!O86</f>
        <v>0</v>
      </c>
      <c r="P86" s="35"/>
    </row>
    <row r="87" spans="1:16" s="2" customFormat="1" ht="27" x14ac:dyDescent="0.3">
      <c r="A87" s="266"/>
      <c r="B87" s="24" t="s">
        <v>102</v>
      </c>
      <c r="C87" s="11" t="s">
        <v>3</v>
      </c>
      <c r="D87" s="26">
        <f>Mulanje!D87+Luchenza!D87+Thyolo!D87+Muloza!D87+MUST!D87+Phalombe!D87+Mikolongwe!D87+Migowi!D87</f>
        <v>0</v>
      </c>
      <c r="E87" s="26">
        <f>Mulanje!E87+Luchenza!E87+Thyolo!E87+Muloza!E87+MUST!E87+Phalombe!E87+Mikolongwe!E87+Migowi!E87</f>
        <v>0</v>
      </c>
      <c r="F87" s="26">
        <f>Mulanje!F87+Luchenza!F87+Thyolo!F87+Muloza!F87+MUST!F87+Phalombe!F87+Mikolongwe!F87+Migowi!F87</f>
        <v>0</v>
      </c>
      <c r="G87" s="26">
        <f>Mulanje!G87+Luchenza!G87+Thyolo!G87+Muloza!G87+MUST!G87+Phalombe!G87+Mikolongwe!G87+Migowi!G87</f>
        <v>0</v>
      </c>
      <c r="H87" s="26">
        <f>Mulanje!H87+Luchenza!H87+Thyolo!H87+Muloza!H87+MUST!H87+Phalombe!H87+Mikolongwe!H87+Migowi!H87</f>
        <v>0</v>
      </c>
      <c r="I87" s="26">
        <f>Mulanje!I87+Luchenza!I87+Thyolo!I87+Muloza!I87+MUST!I87+Phalombe!I87+Mikolongwe!I87+Migowi!I87</f>
        <v>0</v>
      </c>
      <c r="J87" s="26">
        <f>Mulanje!J87+Luchenza!J87+Thyolo!J87+Muloza!J87+MUST!J87+Phalombe!J87+Mikolongwe!J87+Migowi!J87</f>
        <v>0</v>
      </c>
      <c r="K87" s="26">
        <f>Mulanje!K87+Luchenza!K87+Thyolo!K87+Muloza!K87+MUST!K87+Phalombe!K87+Mikolongwe!K87+Migowi!K87</f>
        <v>2</v>
      </c>
      <c r="L87" s="26">
        <f>Mulanje!L87+Luchenza!L87+Thyolo!L87+Muloza!L87+MUST!L87+Phalombe!L87+Mikolongwe!L87+Migowi!L87</f>
        <v>0</v>
      </c>
      <c r="M87" s="26">
        <f>Mulanje!M87+Luchenza!M87+Thyolo!M87+Muloza!M87+MUST!M87+Phalombe!M87+Mikolongwe!M87+Migowi!M87+Nkando!M87</f>
        <v>0</v>
      </c>
      <c r="N87" s="26">
        <f>Mulanje!N87+Luchenza!N87+Thyolo!N87+Muloza!N87+MUST!N87+Phalombe!N87+Mikolongwe!N87+Migowi!N87+Nkando!N87</f>
        <v>0</v>
      </c>
      <c r="O87" s="26">
        <f>Mulanje!O87+Luchenza!O87+Thyolo!O87+Muloza!O87+MUST!O87+Phalombe!O87+Mikolongwe!O87+Migowi!O87+Nkando!O87</f>
        <v>0</v>
      </c>
      <c r="P87" s="74">
        <f>SUM(D87:O87)</f>
        <v>2</v>
      </c>
    </row>
    <row r="88" spans="1:16" s="2" customFormat="1" x14ac:dyDescent="0.3">
      <c r="A88" s="266"/>
      <c r="B88" s="24" t="s">
        <v>188</v>
      </c>
      <c r="C88" s="11" t="s">
        <v>3</v>
      </c>
      <c r="D88" s="4">
        <f>D87+D86</f>
        <v>0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37">I87+I86</f>
        <v>0</v>
      </c>
      <c r="J88" s="4">
        <f t="shared" si="37"/>
        <v>0</v>
      </c>
      <c r="K88" s="4">
        <f t="shared" si="37"/>
        <v>2</v>
      </c>
      <c r="L88" s="4">
        <f t="shared" si="37"/>
        <v>0</v>
      </c>
      <c r="M88" s="4">
        <f t="shared" si="37"/>
        <v>0</v>
      </c>
      <c r="N88" s="4">
        <f t="shared" si="37"/>
        <v>0</v>
      </c>
      <c r="O88" s="4">
        <f t="shared" si="37"/>
        <v>0</v>
      </c>
      <c r="P88" s="74"/>
    </row>
    <row r="89" spans="1:16" x14ac:dyDescent="0.3">
      <c r="A89" s="267"/>
      <c r="B89" s="36" t="s">
        <v>81</v>
      </c>
      <c r="C89" s="5" t="s">
        <v>3</v>
      </c>
      <c r="D89" s="26">
        <f>D84+D85-D88</f>
        <v>0</v>
      </c>
      <c r="E89" s="26">
        <f>E84+E85-E88</f>
        <v>0</v>
      </c>
      <c r="F89" s="26">
        <f>F84+F85-F88</f>
        <v>0</v>
      </c>
      <c r="G89" s="26">
        <f>G84+G85-G88</f>
        <v>0</v>
      </c>
      <c r="H89" s="26">
        <f>H84+H85-H88</f>
        <v>0</v>
      </c>
      <c r="I89" s="26">
        <f t="shared" ref="I89:O89" si="38">I84+I85-I88</f>
        <v>0</v>
      </c>
      <c r="J89" s="26">
        <f t="shared" si="38"/>
        <v>0</v>
      </c>
      <c r="K89" s="26">
        <f t="shared" si="38"/>
        <v>0</v>
      </c>
      <c r="L89" s="26">
        <f t="shared" si="38"/>
        <v>0</v>
      </c>
      <c r="M89" s="26">
        <f t="shared" si="38"/>
        <v>0</v>
      </c>
      <c r="N89" s="26">
        <f t="shared" si="38"/>
        <v>0</v>
      </c>
      <c r="O89" s="26">
        <f t="shared" si="38"/>
        <v>0</v>
      </c>
      <c r="P89" s="105">
        <f t="shared" ref="P89" si="39">P84+P85-P86-P87</f>
        <v>0</v>
      </c>
    </row>
    <row r="90" spans="1:16" x14ac:dyDescent="0.3">
      <c r="A90" s="268" t="s">
        <v>105</v>
      </c>
      <c r="B90" s="24" t="s">
        <v>85</v>
      </c>
      <c r="C90" s="11" t="s">
        <v>3</v>
      </c>
      <c r="D90" s="135">
        <f>D66+D72+D78+D84</f>
        <v>797</v>
      </c>
      <c r="E90" s="135">
        <f>E66+E72+E78+E84</f>
        <v>828</v>
      </c>
      <c r="F90" s="135">
        <f>F66+F72+F78+F84</f>
        <v>850</v>
      </c>
      <c r="G90" s="135">
        <f>G66+G72+G78+G84</f>
        <v>806</v>
      </c>
      <c r="H90" s="135">
        <f>H66+H72+H78+H84</f>
        <v>774</v>
      </c>
      <c r="I90" s="135">
        <f t="shared" ref="I90:O90" si="40">I66+I72+I78+I84</f>
        <v>764</v>
      </c>
      <c r="J90" s="135">
        <f t="shared" si="40"/>
        <v>710</v>
      </c>
      <c r="K90" s="135">
        <f t="shared" si="40"/>
        <v>739</v>
      </c>
      <c r="L90" s="135">
        <f t="shared" si="40"/>
        <v>705</v>
      </c>
      <c r="M90" s="135">
        <f>M66+M72+M78+M84</f>
        <v>704</v>
      </c>
      <c r="N90" s="135">
        <f t="shared" si="40"/>
        <v>724</v>
      </c>
      <c r="O90" s="135">
        <f t="shared" si="40"/>
        <v>715</v>
      </c>
      <c r="P90" s="35">
        <f>D90</f>
        <v>797</v>
      </c>
    </row>
    <row r="91" spans="1:16" x14ac:dyDescent="0.3">
      <c r="A91" s="269"/>
      <c r="B91" s="24" t="s">
        <v>104</v>
      </c>
      <c r="C91" s="11" t="s">
        <v>3</v>
      </c>
      <c r="D91" s="135">
        <f t="shared" ref="D91:E93" si="41">D67+D73+D79+D85</f>
        <v>52</v>
      </c>
      <c r="E91" s="135">
        <f t="shared" si="41"/>
        <v>85</v>
      </c>
      <c r="F91" s="135">
        <f t="shared" ref="F91:G91" si="42">F67+F73+F79+F85</f>
        <v>53</v>
      </c>
      <c r="G91" s="135">
        <f t="shared" si="42"/>
        <v>47</v>
      </c>
      <c r="H91" s="135">
        <f t="shared" ref="H91:O91" si="43">H67+H73+H79+H85</f>
        <v>80</v>
      </c>
      <c r="I91" s="135">
        <f t="shared" si="43"/>
        <v>50</v>
      </c>
      <c r="J91" s="135">
        <f t="shared" si="43"/>
        <v>99</v>
      </c>
      <c r="K91" s="135">
        <f t="shared" si="43"/>
        <v>43</v>
      </c>
      <c r="L91" s="135">
        <f t="shared" si="43"/>
        <v>55</v>
      </c>
      <c r="M91" s="135">
        <f t="shared" si="43"/>
        <v>56</v>
      </c>
      <c r="N91" s="135">
        <f t="shared" si="43"/>
        <v>49</v>
      </c>
      <c r="O91" s="135">
        <f t="shared" si="43"/>
        <v>47</v>
      </c>
      <c r="P91" s="35">
        <f>SUM(D91:O91)</f>
        <v>716</v>
      </c>
    </row>
    <row r="92" spans="1:16" ht="27" x14ac:dyDescent="0.3">
      <c r="A92" s="269"/>
      <c r="B92" s="24" t="s">
        <v>103</v>
      </c>
      <c r="C92" s="11" t="s">
        <v>3</v>
      </c>
      <c r="D92" s="135">
        <f t="shared" si="41"/>
        <v>21</v>
      </c>
      <c r="E92" s="135">
        <f t="shared" si="41"/>
        <v>50</v>
      </c>
      <c r="F92" s="135">
        <f t="shared" ref="F92:G92" si="44">F68+F74+F80+F86</f>
        <v>71</v>
      </c>
      <c r="G92" s="135">
        <f t="shared" si="44"/>
        <v>72</v>
      </c>
      <c r="H92" s="135">
        <f t="shared" ref="H92:O92" si="45">H68+H74+H80+H86</f>
        <v>90</v>
      </c>
      <c r="I92" s="135">
        <f t="shared" si="45"/>
        <v>103</v>
      </c>
      <c r="J92" s="135">
        <f t="shared" si="45"/>
        <v>68</v>
      </c>
      <c r="K92" s="135">
        <f t="shared" si="45"/>
        <v>75</v>
      </c>
      <c r="L92" s="135">
        <f t="shared" si="45"/>
        <v>54</v>
      </c>
      <c r="M92" s="135">
        <f t="shared" si="45"/>
        <v>35</v>
      </c>
      <c r="N92" s="135">
        <f t="shared" si="45"/>
        <v>58</v>
      </c>
      <c r="O92" s="135">
        <f t="shared" si="45"/>
        <v>73</v>
      </c>
      <c r="P92" s="35">
        <f>SUM(D92:O92)</f>
        <v>770</v>
      </c>
    </row>
    <row r="93" spans="1:16" s="2" customFormat="1" ht="27" x14ac:dyDescent="0.3">
      <c r="A93" s="269"/>
      <c r="B93" s="24" t="s">
        <v>102</v>
      </c>
      <c r="C93" s="11"/>
      <c r="D93" s="135">
        <f t="shared" si="41"/>
        <v>0</v>
      </c>
      <c r="E93" s="135">
        <f t="shared" si="41"/>
        <v>12</v>
      </c>
      <c r="F93" s="135">
        <f t="shared" ref="F93:G93" si="46">F69+F75+F81+F87</f>
        <v>26</v>
      </c>
      <c r="G93" s="135">
        <f t="shared" si="46"/>
        <v>6</v>
      </c>
      <c r="H93" s="135">
        <f t="shared" ref="H93:O93" si="47">H69+H75+H81+H87</f>
        <v>1</v>
      </c>
      <c r="I93" s="135">
        <f t="shared" si="47"/>
        <v>1</v>
      </c>
      <c r="J93" s="135">
        <f t="shared" si="47"/>
        <v>0</v>
      </c>
      <c r="K93" s="135">
        <f t="shared" si="47"/>
        <v>2</v>
      </c>
      <c r="L93" s="135">
        <f t="shared" si="47"/>
        <v>2</v>
      </c>
      <c r="M93" s="135">
        <f t="shared" si="47"/>
        <v>1</v>
      </c>
      <c r="N93" s="135">
        <f t="shared" si="47"/>
        <v>0</v>
      </c>
      <c r="O93" s="135">
        <f t="shared" si="47"/>
        <v>1</v>
      </c>
      <c r="P93" s="35">
        <f>SUM(D93:O93)</f>
        <v>52</v>
      </c>
    </row>
    <row r="94" spans="1:16" s="2" customFormat="1" x14ac:dyDescent="0.3">
      <c r="A94" s="269"/>
      <c r="B94" s="24" t="s">
        <v>188</v>
      </c>
      <c r="C94" s="11" t="s">
        <v>3</v>
      </c>
      <c r="D94" s="136">
        <f>D93+D92</f>
        <v>21</v>
      </c>
      <c r="E94" s="136">
        <f t="shared" ref="E94:P94" si="48">E93+E92</f>
        <v>62</v>
      </c>
      <c r="F94" s="136">
        <f t="shared" si="48"/>
        <v>97</v>
      </c>
      <c r="G94" s="136">
        <f t="shared" ref="G94:H94" si="49">G93+G92</f>
        <v>78</v>
      </c>
      <c r="H94" s="136">
        <f t="shared" si="49"/>
        <v>91</v>
      </c>
      <c r="I94" s="136">
        <f t="shared" ref="I94:O94" si="50">I93+I92</f>
        <v>104</v>
      </c>
      <c r="J94" s="136">
        <f t="shared" si="50"/>
        <v>68</v>
      </c>
      <c r="K94" s="136">
        <f t="shared" si="50"/>
        <v>77</v>
      </c>
      <c r="L94" s="136">
        <f t="shared" si="50"/>
        <v>56</v>
      </c>
      <c r="M94" s="136">
        <f t="shared" si="50"/>
        <v>36</v>
      </c>
      <c r="N94" s="136">
        <f t="shared" si="50"/>
        <v>58</v>
      </c>
      <c r="O94" s="136">
        <f t="shared" si="50"/>
        <v>74</v>
      </c>
      <c r="P94" s="143">
        <f t="shared" si="48"/>
        <v>822</v>
      </c>
    </row>
    <row r="95" spans="1:16" ht="16.2" thickBot="1" x14ac:dyDescent="0.35">
      <c r="A95" s="270"/>
      <c r="B95" s="24" t="s">
        <v>81</v>
      </c>
      <c r="C95" s="11" t="s">
        <v>3</v>
      </c>
      <c r="D95" s="137">
        <f>D90+D91-D94</f>
        <v>828</v>
      </c>
      <c r="E95" s="137">
        <f t="shared" ref="E95:H95" si="51">E90+E91-E94</f>
        <v>851</v>
      </c>
      <c r="F95" s="137">
        <f t="shared" si="51"/>
        <v>806</v>
      </c>
      <c r="G95" s="137">
        <f t="shared" si="51"/>
        <v>775</v>
      </c>
      <c r="H95" s="137">
        <f t="shared" si="51"/>
        <v>763</v>
      </c>
      <c r="I95" s="137">
        <f t="shared" ref="I95:O95" si="52">I90+I91-I94</f>
        <v>710</v>
      </c>
      <c r="J95" s="137">
        <f t="shared" si="52"/>
        <v>741</v>
      </c>
      <c r="K95" s="137">
        <f t="shared" si="52"/>
        <v>705</v>
      </c>
      <c r="L95" s="137">
        <f t="shared" si="52"/>
        <v>704</v>
      </c>
      <c r="M95" s="137">
        <f t="shared" si="52"/>
        <v>724</v>
      </c>
      <c r="N95" s="137">
        <f t="shared" si="52"/>
        <v>715</v>
      </c>
      <c r="O95" s="137">
        <f t="shared" si="52"/>
        <v>688</v>
      </c>
      <c r="P95" s="144">
        <f t="shared" ref="P95" si="53">P90+P91-P94</f>
        <v>691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6"/>
    </row>
    <row r="97" spans="1:16" s="2" customFormat="1" ht="15.75" customHeight="1" thickBot="1" x14ac:dyDescent="0.35">
      <c r="A97" s="271" t="s">
        <v>189</v>
      </c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3"/>
    </row>
    <row r="98" spans="1:16" x14ac:dyDescent="0.3">
      <c r="A98" s="88" t="s">
        <v>190</v>
      </c>
      <c r="B98" s="69"/>
      <c r="C98" s="11" t="s">
        <v>3</v>
      </c>
      <c r="D98" s="26">
        <f>Mulanje!D98+Luchenza!D98+Thyolo!D98+Muloza!D98+MUST!D98+Phalombe!D98+Mikolongwe!D98+Migowi!D98</f>
        <v>1</v>
      </c>
      <c r="E98" s="26">
        <f>Mulanje!E98+Luchenza!E98+Thyolo!E98+Muloza!E98+MUST!E98+Phalombe!E98+Mikolongwe!E98+Migowi!E98</f>
        <v>16</v>
      </c>
      <c r="F98" s="26">
        <f>Mulanje!F98+Luchenza!F98+Thyolo!F98+Muloza!F98+MUST!F98+Phalombe!F98+Mikolongwe!F98+Migowi!F98</f>
        <v>31</v>
      </c>
      <c r="G98" s="26">
        <f>Mulanje!G98+Luchenza!G98+Thyolo!G98+Muloza!G98+MUST!G98+Phalombe!G98+Mikolongwe!G98+Migowi!G98</f>
        <v>8</v>
      </c>
      <c r="H98" s="26">
        <f>Mulanje!H98+Luchenza!H98+Thyolo!H98+Muloza!H98+MUST!H98+Phalombe!H98+Mikolongwe!H98+Migowi!H98</f>
        <v>48</v>
      </c>
      <c r="I98" s="26">
        <f>Mulanje!I98+Luchenza!I98+Thyolo!I98+Muloza!I98+MUST!I98+Phalombe!I98+Mikolongwe!I98+Migowi!I98</f>
        <v>20</v>
      </c>
      <c r="J98" s="26">
        <f>Mulanje!J98+Luchenza!J98+Thyolo!J98+Muloza!J98+MUST!J98+Phalombe!J98+Mikolongwe!J98+Migowi!J98</f>
        <v>7</v>
      </c>
      <c r="K98" s="26">
        <f>Mulanje!K98+Luchenza!K98+Thyolo!K98+Muloza!K98+MUST!K98+Phalombe!K98+Mikolongwe!K98+Migowi!K98</f>
        <v>2</v>
      </c>
      <c r="L98" s="26">
        <f>Mulanje!L98+Luchenza!L98+Thyolo!L98+Muloza!L98+MUST!L98+Phalombe!L98+Mikolongwe!L98+Migowi!L98</f>
        <v>10</v>
      </c>
      <c r="M98" s="26">
        <f>Mulanje!M98+Luchenza!M98+Thyolo!M98+Muloza!M98+MUST!M98+Phalombe!M98+Mikolongwe!M98+Migowi!M98+Nkando!M98</f>
        <v>5</v>
      </c>
      <c r="N98" s="26">
        <f>Mulanje!N98+Luchenza!N98+Thyolo!N98+Muloza!N98+MUST!N98+Phalombe!N98+Mikolongwe!N98+Migowi!N98+Nkando!N98</f>
        <v>0</v>
      </c>
      <c r="O98" s="26">
        <f>Mulanje!O98+Luchenza!O98+Thyolo!O98+Muloza!O98+MUST!O98+Phalombe!O98+Mikolongwe!O98+Migowi!O98+Nkando!O98</f>
        <v>2</v>
      </c>
      <c r="P98" s="107">
        <f>SUM(D98:O98)</f>
        <v>150</v>
      </c>
    </row>
    <row r="99" spans="1:1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6"/>
    </row>
    <row r="100" spans="1:16" s="2" customFormat="1" ht="14.4" x14ac:dyDescent="0.3">
      <c r="A100" s="277" t="s">
        <v>101</v>
      </c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278"/>
      <c r="O100" s="278"/>
      <c r="P100" s="279"/>
    </row>
    <row r="101" spans="1:16" x14ac:dyDescent="0.3">
      <c r="A101" s="237" t="s">
        <v>100</v>
      </c>
      <c r="B101" s="238"/>
      <c r="C101" s="11" t="s">
        <v>3</v>
      </c>
      <c r="D101" s="26">
        <f>Mulanje!D101+Luchenza!D101+Thyolo!D101+Muloza!D101+MUST!D101+Phalombe!D101+Mikolongwe!D101+Migowi!D101</f>
        <v>2859</v>
      </c>
      <c r="E101" s="26">
        <f>Mulanje!E101+Luchenza!E101+Thyolo!E101+Muloza!E101+MUST!E101+Phalombe!E101+Mikolongwe!E101+Migowi!E101</f>
        <v>2862</v>
      </c>
      <c r="F101" s="26">
        <f>Mulanje!F101+Luchenza!F101+Thyolo!F101+Muloza!F101+MUST!F101+Phalombe!F101+Mikolongwe!F101+Migowi!F101</f>
        <v>2792</v>
      </c>
      <c r="G101" s="26">
        <f>Mulanje!G101+Luchenza!G101+Thyolo!G101+Muloza!G101+MUST!G101+Phalombe!G101+Mikolongwe!G101+Migowi!G101</f>
        <v>2794</v>
      </c>
      <c r="H101" s="26">
        <f>Mulanje!H101+Luchenza!H101+Thyolo!H101+Muloza!H101+MUST!H101+Phalombe!H101+Mikolongwe!H101+Migowi!H101</f>
        <v>2799</v>
      </c>
      <c r="I101" s="26">
        <f>Mulanje!I101+Luchenza!I101+Thyolo!I101+Muloza!I101+MUST!I101+Phalombe!I101+Mikolongwe!I101+Migowi!I101</f>
        <v>2797</v>
      </c>
      <c r="J101" s="26">
        <f>Mulanje!J101+Luchenza!J101+Thyolo!J101+Muloza!J101+MUST!J101+Phalombe!J101+Mikolongwe!J101+Migowi!J101</f>
        <v>2846</v>
      </c>
      <c r="K101" s="26">
        <f>Mulanje!K101+Luchenza!K101+Thyolo!K101+Muloza!K101+MUST!K101+Phalombe!K101+Mikolongwe!K101+Migowi!K101</f>
        <v>2832</v>
      </c>
      <c r="L101" s="26">
        <f>Mulanje!L101+Luchenza!L101+Thyolo!L101+Muloza!L101+MUST!L101+Phalombe!L101+Mikolongwe!L101+Migowi!L101</f>
        <v>2851</v>
      </c>
      <c r="M101" s="26">
        <f>Mulanje!M101+Luchenza!M101+Thyolo!M101+Muloza!M101+MUST!M101+Phalombe!M101+Mikolongwe!M101+Migowi!M101+Nkando!M101</f>
        <v>3166</v>
      </c>
      <c r="N101" s="26">
        <f>Mulanje!N101+Luchenza!N101+Thyolo!N101+Muloza!N101+MUST!N101+Phalombe!N101+Mikolongwe!N101+Migowi!N101+Nkando!N101</f>
        <v>3106</v>
      </c>
      <c r="O101" s="26">
        <f>Mulanje!O101+Luchenza!O101+Thyolo!O101+Muloza!O101+MUST!O101+Phalombe!O101+Mikolongwe!O101+Migowi!O101+Nkando!O101</f>
        <v>3051</v>
      </c>
      <c r="P101" s="32">
        <f t="shared" ref="P101:P111" si="54">O101</f>
        <v>3051</v>
      </c>
    </row>
    <row r="102" spans="1:16" x14ac:dyDescent="0.3">
      <c r="A102" s="237" t="s">
        <v>99</v>
      </c>
      <c r="B102" s="238"/>
      <c r="C102" s="11" t="s">
        <v>3</v>
      </c>
      <c r="D102" s="26">
        <f>Mulanje!D102+Luchenza!D102+Thyolo!D102+Muloza!D102+MUST!D102+Phalombe!D102+Mikolongwe!D102+Migowi!D102</f>
        <v>103</v>
      </c>
      <c r="E102" s="26">
        <f>Mulanje!E102+Luchenza!E102+Thyolo!E102+Muloza!E102+MUST!E102+Phalombe!E102+Mikolongwe!E102+Migowi!E102</f>
        <v>104</v>
      </c>
      <c r="F102" s="26">
        <f>Mulanje!F102+Luchenza!F102+Thyolo!F102+Muloza!F102+MUST!F102+Phalombe!F102+Mikolongwe!F102+Migowi!F102</f>
        <v>87</v>
      </c>
      <c r="G102" s="26">
        <f>Mulanje!G102+Luchenza!G102+Thyolo!G102+Muloza!G102+MUST!G102+Phalombe!G102+Mikolongwe!G102+Migowi!G102</f>
        <v>109</v>
      </c>
      <c r="H102" s="26">
        <f>Mulanje!H102+Luchenza!H102+Thyolo!H102+Muloza!H102+MUST!H102+Phalombe!H102+Mikolongwe!H102+Migowi!H102</f>
        <v>110</v>
      </c>
      <c r="I102" s="26">
        <f>Mulanje!I102+Luchenza!I102+Thyolo!I102+Muloza!I102+MUST!I102+Phalombe!I102+Mikolongwe!I102+Migowi!I102</f>
        <v>110</v>
      </c>
      <c r="J102" s="26">
        <f>Mulanje!J102+Luchenza!J102+Thyolo!J102+Muloza!J102+MUST!J102+Phalombe!J102+Mikolongwe!J102+Migowi!J102</f>
        <v>112</v>
      </c>
      <c r="K102" s="26">
        <f>Mulanje!K102+Luchenza!K102+Thyolo!K102+Muloza!K102+MUST!K102+Phalombe!K102+Mikolongwe!K102+Migowi!K102</f>
        <v>109</v>
      </c>
      <c r="L102" s="26">
        <f>Mulanje!L102+Luchenza!L102+Thyolo!L102+Muloza!L102+MUST!L102+Phalombe!L102+Mikolongwe!L102+Migowi!L102</f>
        <v>109</v>
      </c>
      <c r="M102" s="26">
        <f>Mulanje!M102+Luchenza!M102+Thyolo!M102+Muloza!M102+MUST!M102+Phalombe!M102+Mikolongwe!M102+Migowi!M102+Nkando!M102</f>
        <v>116</v>
      </c>
      <c r="N102" s="26">
        <f>Mulanje!N102+Luchenza!N102+Thyolo!N102+Muloza!N102+MUST!N102+Phalombe!N102+Mikolongwe!N102+Migowi!N102+Nkando!N102</f>
        <v>116</v>
      </c>
      <c r="O102" s="26">
        <f>Mulanje!O102+Luchenza!O102+Thyolo!O102+Muloza!O102+MUST!O102+Phalombe!O102+Mikolongwe!O102+Migowi!O102+Nkando!O102</f>
        <v>117</v>
      </c>
      <c r="P102" s="32">
        <f t="shared" si="54"/>
        <v>117</v>
      </c>
    </row>
    <row r="103" spans="1:16" ht="15.6" customHeight="1" x14ac:dyDescent="0.3">
      <c r="A103" s="243" t="s">
        <v>98</v>
      </c>
      <c r="B103" s="244"/>
      <c r="C103" s="11" t="s">
        <v>3</v>
      </c>
      <c r="D103" s="26">
        <f>Mulanje!D103+Luchenza!D103+Thyolo!D103+Muloza!D103+MUST!D103+Phalombe!D103+Mikolongwe!D103+Migowi!D103</f>
        <v>283</v>
      </c>
      <c r="E103" s="26">
        <f>Mulanje!E103+Luchenza!E103+Thyolo!E103+Muloza!E103+MUST!E103+Phalombe!E103+Mikolongwe!E103+Migowi!E103</f>
        <v>283</v>
      </c>
      <c r="F103" s="26">
        <f>Mulanje!F103+Luchenza!F103+Thyolo!F103+Muloza!F103+MUST!F103+Phalombe!F103+Mikolongwe!F103+Migowi!F103</f>
        <v>207</v>
      </c>
      <c r="G103" s="26">
        <f>Mulanje!G103+Luchenza!G103+Thyolo!G103+Muloza!G103+MUST!G103+Phalombe!G103+Mikolongwe!G103+Migowi!G103</f>
        <v>286</v>
      </c>
      <c r="H103" s="26">
        <f>Mulanje!H103+Luchenza!H103+Thyolo!H103+Muloza!H103+MUST!H103+Phalombe!H103+Mikolongwe!H103+Migowi!H103</f>
        <v>286</v>
      </c>
      <c r="I103" s="26">
        <f>Mulanje!I103+Luchenza!I103+Thyolo!I103+Muloza!I103+MUST!I103+Phalombe!I103+Mikolongwe!I103+Migowi!I103</f>
        <v>287</v>
      </c>
      <c r="J103" s="26">
        <f>Mulanje!J103+Luchenza!J103+Thyolo!J103+Muloza!J103+MUST!J103+Phalombe!J103+Mikolongwe!J103+Migowi!J103</f>
        <v>309</v>
      </c>
      <c r="K103" s="26">
        <f>Mulanje!K103+Luchenza!K103+Thyolo!K103+Muloza!K103+MUST!K103+Phalombe!K103+Mikolongwe!K103+Migowi!K103</f>
        <v>309</v>
      </c>
      <c r="L103" s="26">
        <f>Mulanje!L103+Luchenza!L103+Thyolo!L103+Muloza!L103+MUST!L103+Phalombe!L103+Mikolongwe!L103+Migowi!L103</f>
        <v>308</v>
      </c>
      <c r="M103" s="26">
        <f>Mulanje!M103+Luchenza!M103+Thyolo!M103+Muloza!M103+MUST!M103+Phalombe!M103+Mikolongwe!M103+Migowi!M103+Nkando!M103</f>
        <v>314</v>
      </c>
      <c r="N103" s="26">
        <f>Mulanje!N103+Luchenza!N103+Thyolo!N103+Muloza!N103+MUST!N103+Phalombe!N103+Mikolongwe!N103+Migowi!N103+Nkando!N103</f>
        <v>314</v>
      </c>
      <c r="O103" s="26">
        <f>Mulanje!O103+Luchenza!O103+Thyolo!O103+Muloza!O103+MUST!O103+Phalombe!O103+Mikolongwe!O103+Migowi!O103+Nkando!O103</f>
        <v>312</v>
      </c>
      <c r="P103" s="32">
        <f t="shared" si="54"/>
        <v>312</v>
      </c>
    </row>
    <row r="104" spans="1:16" x14ac:dyDescent="0.3">
      <c r="A104" s="243" t="s">
        <v>97</v>
      </c>
      <c r="B104" s="244"/>
      <c r="C104" s="11" t="s">
        <v>3</v>
      </c>
      <c r="D104" s="26">
        <f>Mulanje!D104+Luchenza!D104+Thyolo!D104+Muloza!D104+MUST!D104+Phalombe!D104+Mikolongwe!D104+Migowi!D104</f>
        <v>40</v>
      </c>
      <c r="E104" s="26">
        <f>Mulanje!E104+Luchenza!E104+Thyolo!E104+Muloza!E104+MUST!E104+Phalombe!E104+Mikolongwe!E104+Migowi!E104</f>
        <v>47</v>
      </c>
      <c r="F104" s="26">
        <f>Mulanje!F104+Luchenza!F104+Thyolo!F104+Muloza!F104+MUST!F104+Phalombe!F104+Mikolongwe!F104+Migowi!F104</f>
        <v>47</v>
      </c>
      <c r="G104" s="26">
        <f>Mulanje!G104+Luchenza!G104+Thyolo!G104+Muloza!G104+MUST!G104+Phalombe!G104+Mikolongwe!G104+Migowi!G104</f>
        <v>47</v>
      </c>
      <c r="H104" s="26">
        <f>Mulanje!H104+Luchenza!H104+Thyolo!H104+Muloza!H104+MUST!H104+Phalombe!H104+Mikolongwe!H104+Migowi!H104</f>
        <v>47</v>
      </c>
      <c r="I104" s="26">
        <f>Mulanje!I104+Luchenza!I104+Thyolo!I104+Muloza!I104+MUST!I104+Phalombe!I104+Mikolongwe!I104+Migowi!I104</f>
        <v>52</v>
      </c>
      <c r="J104" s="26">
        <f>Mulanje!J104+Luchenza!J104+Thyolo!J104+Muloza!J104+MUST!J104+Phalombe!J104+Mikolongwe!J104+Migowi!J104</f>
        <v>52</v>
      </c>
      <c r="K104" s="26">
        <f>Mulanje!K104+Luchenza!K104+Thyolo!K104+Muloza!K104+MUST!K104+Phalombe!K104+Mikolongwe!K104+Migowi!K104</f>
        <v>52</v>
      </c>
      <c r="L104" s="26">
        <f>Mulanje!L104+Luchenza!L104+Thyolo!L104+Muloza!L104+MUST!L104+Phalombe!L104+Mikolongwe!L104+Migowi!L104</f>
        <v>53</v>
      </c>
      <c r="M104" s="26">
        <f>Mulanje!M104+Luchenza!M104+Thyolo!M104+Muloza!M104+MUST!M104+Phalombe!M104+Mikolongwe!M104+Migowi!M104+Nkando!M104</f>
        <v>64</v>
      </c>
      <c r="N104" s="26">
        <f>Mulanje!N104+Luchenza!N104+Thyolo!N104+Muloza!N104+MUST!N104+Phalombe!N104+Mikolongwe!N104+Migowi!N104+Nkando!N104</f>
        <v>64</v>
      </c>
      <c r="O104" s="26">
        <f>Mulanje!O104+Luchenza!O104+Thyolo!O104+Muloza!O104+MUST!O104+Phalombe!O104+Mikolongwe!O104+Migowi!O104+Nkando!O104</f>
        <v>62</v>
      </c>
      <c r="P104" s="32">
        <f t="shared" si="54"/>
        <v>62</v>
      </c>
    </row>
    <row r="105" spans="1:16" x14ac:dyDescent="0.3">
      <c r="A105" s="263" t="s">
        <v>96</v>
      </c>
      <c r="B105" s="264"/>
      <c r="C105" s="11" t="s">
        <v>3</v>
      </c>
      <c r="D105" s="33">
        <f>SUM(D101:D104)</f>
        <v>3285</v>
      </c>
      <c r="E105" s="33">
        <f t="shared" ref="E105:O105" si="55">SUM(E101:E104)</f>
        <v>3296</v>
      </c>
      <c r="F105" s="33">
        <f t="shared" si="55"/>
        <v>3133</v>
      </c>
      <c r="G105" s="33">
        <f t="shared" ref="G105" si="56">SUM(G101:G104)</f>
        <v>3236</v>
      </c>
      <c r="H105" s="33">
        <f t="shared" si="55"/>
        <v>3242</v>
      </c>
      <c r="I105" s="33">
        <f t="shared" si="55"/>
        <v>3246</v>
      </c>
      <c r="J105" s="33">
        <f t="shared" si="55"/>
        <v>3319</v>
      </c>
      <c r="K105" s="33">
        <f t="shared" si="55"/>
        <v>3302</v>
      </c>
      <c r="L105" s="33">
        <f t="shared" si="55"/>
        <v>3321</v>
      </c>
      <c r="M105" s="33">
        <f t="shared" si="55"/>
        <v>3660</v>
      </c>
      <c r="N105" s="33">
        <f t="shared" si="55"/>
        <v>3600</v>
      </c>
      <c r="O105" s="33">
        <f t="shared" si="55"/>
        <v>3542</v>
      </c>
      <c r="P105" s="32">
        <f t="shared" si="54"/>
        <v>3542</v>
      </c>
    </row>
    <row r="106" spans="1:16" s="2" customFormat="1" ht="15.6" customHeight="1" x14ac:dyDescent="0.3">
      <c r="A106" s="296" t="s">
        <v>210</v>
      </c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8"/>
    </row>
    <row r="107" spans="1:16" x14ac:dyDescent="0.3">
      <c r="A107" s="237" t="s">
        <v>193</v>
      </c>
      <c r="B107" s="238"/>
      <c r="C107" s="11" t="s">
        <v>3</v>
      </c>
      <c r="D107" s="26">
        <f>Mulanje!D107+Luchenza!D107+Thyolo!D107+Muloza!D107+MUST!D107+Phalombe!D107+Mikolongwe!D107+Migowi!D107</f>
        <v>5043</v>
      </c>
      <c r="E107" s="26">
        <f>Mulanje!E107+Luchenza!E107+Thyolo!E107+Muloza!E107+MUST!E107+Phalombe!E107+Mikolongwe!E107+Migowi!E107</f>
        <v>5032</v>
      </c>
      <c r="F107" s="26">
        <f>Mulanje!F107+Luchenza!F107+Thyolo!F107+Muloza!F107+MUST!F107+Phalombe!F107+Mikolongwe!F107+Migowi!F107</f>
        <v>5177</v>
      </c>
      <c r="G107" s="26">
        <f>Mulanje!G107+Luchenza!G107+Thyolo!G107+Muloza!G107+MUST!G107+Phalombe!G107+Mikolongwe!G107+Migowi!G107</f>
        <v>5223</v>
      </c>
      <c r="H107" s="26">
        <f>Mulanje!H107+Luchenza!H107+Thyolo!H107+Muloza!H107+MUST!H107+Phalombe!H107+Mikolongwe!H107+Migowi!H107</f>
        <v>5306</v>
      </c>
      <c r="I107" s="26">
        <f>Mulanje!I107+Luchenza!I107+Thyolo!I107+Muloza!I107+MUST!I107+Phalombe!I107+Mikolongwe!I107+Migowi!I107</f>
        <v>5323</v>
      </c>
      <c r="J107" s="26">
        <f>Mulanje!J107+Luchenza!J107+Thyolo!J107+Muloza!J107+MUST!J107+Phalombe!J107+Mikolongwe!J107+Migowi!J107</f>
        <v>5310</v>
      </c>
      <c r="K107" s="26">
        <f>Mulanje!K107+Luchenza!K107+Thyolo!K107+Muloza!K107+MUST!K107+Phalombe!K107+Mikolongwe!K107+Migowi!K107</f>
        <v>5391</v>
      </c>
      <c r="L107" s="26">
        <f>Mulanje!L107+Luchenza!L107+Thyolo!L107+Muloza!L107+MUST!L107+Phalombe!L107+Mikolongwe!L107+Migowi!L107</f>
        <v>5446</v>
      </c>
      <c r="M107" s="26">
        <f>Mulanje!M107+Luchenza!M107+Thyolo!M107+Muloza!M107+MUST!M107+Phalombe!M107+Mikolongwe!M107+Migowi!M107+Nkando!M107</f>
        <v>5279</v>
      </c>
      <c r="N107" s="26">
        <f>Mulanje!N107+Luchenza!N107+Thyolo!N107+Muloza!N107+MUST!N107+Phalombe!N107+Mikolongwe!N107+Migowi!N107+Nkando!N107</f>
        <v>5380</v>
      </c>
      <c r="O107" s="26">
        <f>Mulanje!O107+Luchenza!O107+Thyolo!O107+Muloza!O107+MUST!O107+Phalombe!O107+Mikolongwe!O107+Migowi!O107+Nkando!O107</f>
        <v>5510</v>
      </c>
      <c r="P107" s="32">
        <f t="shared" si="54"/>
        <v>5510</v>
      </c>
    </row>
    <row r="108" spans="1:16" x14ac:dyDescent="0.3">
      <c r="A108" s="237" t="s">
        <v>194</v>
      </c>
      <c r="B108" s="238"/>
      <c r="C108" s="11" t="s">
        <v>3</v>
      </c>
      <c r="D108" s="26">
        <f>Mulanje!D108+Luchenza!D108+Thyolo!D108+Muloza!D108+MUST!D108+Phalombe!D108+Mikolongwe!D108+Migowi!D108</f>
        <v>79</v>
      </c>
      <c r="E108" s="26">
        <f>Mulanje!E108+Luchenza!E108+Thyolo!E108+Muloza!E108+MUST!E108+Phalombe!E108+Mikolongwe!E108+Migowi!E108</f>
        <v>77</v>
      </c>
      <c r="F108" s="26">
        <f>Mulanje!F108+Luchenza!F108+Thyolo!F108+Muloza!F108+MUST!F108+Phalombe!F108+Mikolongwe!F108+Migowi!F108</f>
        <v>74</v>
      </c>
      <c r="G108" s="26">
        <f>Mulanje!G108+Luchenza!G108+Thyolo!G108+Muloza!G108+MUST!G108+Phalombe!G108+Mikolongwe!G108+Migowi!G108</f>
        <v>69</v>
      </c>
      <c r="H108" s="26">
        <f>Mulanje!H108+Luchenza!H108+Thyolo!H108+Muloza!H108+MUST!H108+Phalombe!H108+Mikolongwe!H108+Migowi!H108</f>
        <v>62</v>
      </c>
      <c r="I108" s="26">
        <f>Mulanje!I108+Luchenza!I108+Thyolo!I108+Muloza!I108+MUST!I108+Phalombe!I108+Mikolongwe!I108+Migowi!I108</f>
        <v>61</v>
      </c>
      <c r="J108" s="26">
        <f>Mulanje!J108+Luchenza!J108+Thyolo!J108+Muloza!J108+MUST!J108+Phalombe!J108+Mikolongwe!J108+Migowi!J108</f>
        <v>58</v>
      </c>
      <c r="K108" s="26">
        <f>Mulanje!K108+Luchenza!K108+Thyolo!K108+Muloza!K108+MUST!K108+Phalombe!K108+Mikolongwe!K108+Migowi!K108</f>
        <v>58</v>
      </c>
      <c r="L108" s="26">
        <f>Mulanje!L108+Luchenza!L108+Thyolo!L108+Muloza!L108+MUST!L108+Phalombe!L108+Mikolongwe!L108+Migowi!L108</f>
        <v>56</v>
      </c>
      <c r="M108" s="26">
        <f>Mulanje!M108+Luchenza!M108+Thyolo!M108+Muloza!M108+MUST!M108+Phalombe!M108+Mikolongwe!M108+Migowi!M108+Nkando!M108</f>
        <v>54</v>
      </c>
      <c r="N108" s="26">
        <f>Mulanje!N108+Luchenza!N108+Thyolo!N108+Muloza!N108+MUST!N108+Phalombe!N108+Mikolongwe!N108+Migowi!N108+Nkando!N108</f>
        <v>57</v>
      </c>
      <c r="O108" s="26">
        <f>Mulanje!O108+Luchenza!O108+Thyolo!O108+Muloza!O108+MUST!O108+Phalombe!O108+Mikolongwe!O108+Migowi!O108+Nkando!O108</f>
        <v>57</v>
      </c>
      <c r="P108" s="32">
        <f t="shared" si="54"/>
        <v>57</v>
      </c>
    </row>
    <row r="109" spans="1:16" x14ac:dyDescent="0.3">
      <c r="A109" s="237" t="s">
        <v>195</v>
      </c>
      <c r="B109" s="238"/>
      <c r="C109" s="11" t="s">
        <v>3</v>
      </c>
      <c r="D109" s="26">
        <f>Mulanje!D109+Luchenza!D109+Thyolo!D109+Muloza!D109+MUST!D109+Phalombe!D109+Mikolongwe!D109+Migowi!D109</f>
        <v>116</v>
      </c>
      <c r="E109" s="26">
        <f>Mulanje!E109+Luchenza!E109+Thyolo!E109+Muloza!E109+MUST!E109+Phalombe!E109+Mikolongwe!E109+Migowi!E109</f>
        <v>116</v>
      </c>
      <c r="F109" s="26">
        <f>Mulanje!F109+Luchenza!F109+Thyolo!F109+Muloza!F109+MUST!F109+Phalombe!F109+Mikolongwe!F109+Migowi!F109</f>
        <v>204</v>
      </c>
      <c r="G109" s="26">
        <f>Mulanje!G109+Luchenza!G109+Thyolo!G109+Muloza!G109+MUST!G109+Phalombe!G109+Mikolongwe!G109+Migowi!G109</f>
        <v>121</v>
      </c>
      <c r="H109" s="26">
        <f>Mulanje!H109+Luchenza!H109+Thyolo!H109+Muloza!H109+MUST!H109+Phalombe!H109+Mikolongwe!H109+Migowi!H109</f>
        <v>127</v>
      </c>
      <c r="I109" s="26">
        <f>Mulanje!I109+Luchenza!I109+Thyolo!I109+Muloza!I109+MUST!I109+Phalombe!I109+Mikolongwe!I109+Migowi!I109</f>
        <v>126</v>
      </c>
      <c r="J109" s="26">
        <f>Mulanje!J109+Luchenza!J109+Thyolo!J109+Muloza!J109+MUST!J109+Phalombe!J109+Mikolongwe!J109+Migowi!J109</f>
        <v>124</v>
      </c>
      <c r="K109" s="26">
        <f>Mulanje!K109+Luchenza!K109+Thyolo!K109+Muloza!K109+MUST!K109+Phalombe!K109+Mikolongwe!K109+Migowi!K109</f>
        <v>125</v>
      </c>
      <c r="L109" s="26">
        <f>Mulanje!L109+Luchenza!L109+Thyolo!L109+Muloza!L109+MUST!L109+Phalombe!L109+Mikolongwe!L109+Migowi!L109</f>
        <v>125</v>
      </c>
      <c r="M109" s="26">
        <f>Mulanje!M109+Luchenza!M109+Thyolo!M109+Muloza!M109+MUST!M109+Phalombe!M109+Mikolongwe!M109+Migowi!M109+Nkando!M109</f>
        <v>123</v>
      </c>
      <c r="N109" s="26">
        <f>Mulanje!N109+Luchenza!N109+Thyolo!N109+Muloza!N109+MUST!N109+Phalombe!N109+Mikolongwe!N109+Migowi!N109+Nkando!N109</f>
        <v>105</v>
      </c>
      <c r="O109" s="26">
        <f>Mulanje!O109+Luchenza!O109+Thyolo!O109+Muloza!O109+MUST!O109+Phalombe!O109+Mikolongwe!O109+Migowi!O109+Nkando!O109</f>
        <v>109</v>
      </c>
      <c r="P109" s="32">
        <f t="shared" si="54"/>
        <v>109</v>
      </c>
    </row>
    <row r="110" spans="1:16" x14ac:dyDescent="0.3">
      <c r="A110" s="237" t="s">
        <v>196</v>
      </c>
      <c r="B110" s="238"/>
      <c r="C110" s="11" t="s">
        <v>3</v>
      </c>
      <c r="D110" s="26">
        <f>Mulanje!D110+Luchenza!D110+Thyolo!D110+Muloza!D110+MUST!D110+Phalombe!D110+Mikolongwe!D110+Migowi!D110</f>
        <v>32</v>
      </c>
      <c r="E110" s="26">
        <f>Mulanje!E110+Luchenza!E110+Thyolo!E110+Muloza!E110+MUST!E110+Phalombe!E110+Mikolongwe!E110+Migowi!E110</f>
        <v>32</v>
      </c>
      <c r="F110" s="26">
        <f>Mulanje!F110+Luchenza!F110+Thyolo!F110+Muloza!F110+MUST!F110+Phalombe!F110+Mikolongwe!F110+Migowi!F110</f>
        <v>5</v>
      </c>
      <c r="G110" s="26">
        <f>Mulanje!G110+Luchenza!G110+Thyolo!G110+Muloza!G110+MUST!G110+Phalombe!G110+Mikolongwe!G110+Migowi!G110</f>
        <v>20</v>
      </c>
      <c r="H110" s="26">
        <f>Mulanje!H110+Luchenza!H110+Thyolo!H110+Muloza!H110+MUST!H110+Phalombe!H110+Mikolongwe!H110+Migowi!H110</f>
        <v>20</v>
      </c>
      <c r="I110" s="26">
        <f>Mulanje!I110+Luchenza!I110+Thyolo!I110+Muloza!I110+MUST!I110+Phalombe!I110+Mikolongwe!I110+Migowi!I110</f>
        <v>20</v>
      </c>
      <c r="J110" s="26">
        <f>Mulanje!J110+Luchenza!J110+Thyolo!J110+Muloza!J110+MUST!J110+Phalombe!J110+Mikolongwe!J110+Migowi!J110</f>
        <v>19</v>
      </c>
      <c r="K110" s="26">
        <f>Mulanje!K110+Luchenza!K110+Thyolo!K110+Muloza!K110+MUST!K110+Phalombe!K110+Mikolongwe!K110+Migowi!K110</f>
        <v>20</v>
      </c>
      <c r="L110" s="26">
        <f>Mulanje!L110+Luchenza!L110+Thyolo!L110+Muloza!L110+MUST!L110+Phalombe!L110+Mikolongwe!L110+Migowi!L110</f>
        <v>18</v>
      </c>
      <c r="M110" s="26">
        <f>Mulanje!M110+Luchenza!M110+Thyolo!M110+Muloza!M110+MUST!M110+Phalombe!M110+Mikolongwe!M110+Migowi!M110+Nkando!M110</f>
        <v>18</v>
      </c>
      <c r="N110" s="26">
        <f>Mulanje!N110+Luchenza!N110+Thyolo!N110+Muloza!N110+MUST!N110+Phalombe!N110+Mikolongwe!N110+Migowi!N110+Nkando!N110</f>
        <v>18</v>
      </c>
      <c r="O110" s="26">
        <f>Mulanje!O110+Luchenza!O110+Thyolo!O110+Muloza!O110+MUST!O110+Phalombe!O110+Mikolongwe!O110+Migowi!O110+Nkando!O110</f>
        <v>18</v>
      </c>
      <c r="P110" s="32">
        <f t="shared" si="54"/>
        <v>18</v>
      </c>
    </row>
    <row r="111" spans="1:16" x14ac:dyDescent="0.3">
      <c r="A111" s="239" t="s">
        <v>95</v>
      </c>
      <c r="B111" s="240"/>
      <c r="C111" s="11" t="s">
        <v>3</v>
      </c>
      <c r="D111" s="33">
        <f>SUM(D107:D110)</f>
        <v>5270</v>
      </c>
      <c r="E111" s="33">
        <f t="shared" ref="E111:O111" si="57">SUM(E107:E110)</f>
        <v>5257</v>
      </c>
      <c r="F111" s="33">
        <f t="shared" si="57"/>
        <v>5460</v>
      </c>
      <c r="G111" s="33">
        <f t="shared" ref="G111" si="58">SUM(G107:G110)</f>
        <v>5433</v>
      </c>
      <c r="H111" s="33">
        <f t="shared" si="57"/>
        <v>5515</v>
      </c>
      <c r="I111" s="33">
        <f t="shared" si="57"/>
        <v>5530</v>
      </c>
      <c r="J111" s="33">
        <f t="shared" si="57"/>
        <v>5511</v>
      </c>
      <c r="K111" s="33">
        <f t="shared" si="57"/>
        <v>5594</v>
      </c>
      <c r="L111" s="33">
        <f t="shared" si="57"/>
        <v>5645</v>
      </c>
      <c r="M111" s="33">
        <f t="shared" si="57"/>
        <v>5474</v>
      </c>
      <c r="N111" s="33">
        <f t="shared" si="57"/>
        <v>5560</v>
      </c>
      <c r="O111" s="33">
        <f t="shared" si="57"/>
        <v>5694</v>
      </c>
      <c r="P111" s="32">
        <f t="shared" si="54"/>
        <v>5694</v>
      </c>
    </row>
    <row r="112" spans="1:16" s="2" customFormat="1" ht="15.6" customHeight="1" x14ac:dyDescent="0.3">
      <c r="A112" s="277" t="s">
        <v>210</v>
      </c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9"/>
    </row>
    <row r="113" spans="1:16" x14ac:dyDescent="0.3">
      <c r="A113" s="237" t="s">
        <v>197</v>
      </c>
      <c r="B113" s="238"/>
      <c r="C113" s="11" t="s">
        <v>3</v>
      </c>
      <c r="D113" s="26">
        <f>Mulanje!D113+Luchenza!D113+Thyolo!D113+Muloza!D113+MUST!D113+Phalombe!D113+Mikolongwe!D113+Migowi!D113</f>
        <v>1533</v>
      </c>
      <c r="E113" s="26">
        <f>Mulanje!E113+Luchenza!E113+Thyolo!E113+Muloza!E113+MUST!E113+Phalombe!E113+Mikolongwe!E113+Migowi!E113</f>
        <v>1602</v>
      </c>
      <c r="F113" s="26">
        <f>Mulanje!F113+Luchenza!F113+Thyolo!F113+Muloza!F113+MUST!F113+Phalombe!F113+Mikolongwe!F113+Migowi!F113</f>
        <v>1633</v>
      </c>
      <c r="G113" s="26">
        <f>Mulanje!G113+Luchenza!G113+Thyolo!G113+Muloza!G113+MUST!G113+Phalombe!G113+Mikolongwe!G113+Migowi!G113</f>
        <v>1642</v>
      </c>
      <c r="H113" s="26">
        <f>Mulanje!H113+Luchenza!H113+Thyolo!H113+Muloza!H113+MUST!H113+Phalombe!H113+Mikolongwe!H113+Migowi!H113</f>
        <v>1686</v>
      </c>
      <c r="I113" s="26">
        <f>Mulanje!I113+Luchenza!I113+Thyolo!I113+Muloza!I113+MUST!I113+Phalombe!I113+Mikolongwe!I113+Migowi!I113</f>
        <v>1750</v>
      </c>
      <c r="J113" s="26">
        <f>Mulanje!J113+Luchenza!J113+Thyolo!J113+Muloza!J113+MUST!J113+Phalombe!J113+Mikolongwe!J113+Migowi!J113</f>
        <v>1762</v>
      </c>
      <c r="K113" s="26">
        <f>Mulanje!K113+Luchenza!K113+Thyolo!K113+Muloza!K113+MUST!K113+Phalombe!K113+Mikolongwe!K113+Migowi!K113</f>
        <v>1762</v>
      </c>
      <c r="L113" s="26">
        <f>Mulanje!L113+Luchenza!L113+Thyolo!L113+Muloza!L113+MUST!L113+Phalombe!L113+Mikolongwe!L113+Migowi!L113</f>
        <v>1768</v>
      </c>
      <c r="M113" s="26">
        <f>Mulanje!M113+Luchenza!M113+Thyolo!M113+Muloza!M113+MUST!M113+Phalombe!M113+Mikolongwe!M113+Migowi!M113+Nkando!M113</f>
        <v>1769</v>
      </c>
      <c r="N113" s="26">
        <f>Mulanje!N113+Luchenza!N113+Thyolo!N113+Muloza!N113+MUST!N113+Phalombe!N113+Mikolongwe!N113+Migowi!N113</f>
        <v>1765</v>
      </c>
      <c r="O113" s="26">
        <f>Mulanje!O113+Luchenza!O113+Thyolo!O113+Muloza!O113+MUST!O113+Phalombe!O113+Mikolongwe!O113+Migowi!O113</f>
        <v>1767</v>
      </c>
      <c r="P113" s="32">
        <f>O113</f>
        <v>1767</v>
      </c>
    </row>
    <row r="114" spans="1:16" x14ac:dyDescent="0.3">
      <c r="A114" s="237" t="s">
        <v>198</v>
      </c>
      <c r="B114" s="238"/>
      <c r="C114" s="11" t="s">
        <v>3</v>
      </c>
      <c r="D114" s="26">
        <f>Mulanje!D114+Luchenza!D114+Thyolo!D114+Muloza!D114+MUST!D114+Phalombe!D114+Mikolongwe!D114+Migowi!D114</f>
        <v>128</v>
      </c>
      <c r="E114" s="26">
        <f>Mulanje!E114+Luchenza!E114+Thyolo!E114+Muloza!E114+MUST!E114+Phalombe!E114+Mikolongwe!E114+Migowi!E114</f>
        <v>127</v>
      </c>
      <c r="F114" s="26">
        <f>Mulanje!F114+Luchenza!F114+Thyolo!F114+Muloza!F114+MUST!F114+Phalombe!F114+Mikolongwe!F114+Migowi!F114</f>
        <v>127</v>
      </c>
      <c r="G114" s="26">
        <f>Mulanje!G114+Luchenza!G114+Thyolo!G114+Muloza!G114+MUST!G114+Phalombe!G114+Mikolongwe!G114+Migowi!G114</f>
        <v>128</v>
      </c>
      <c r="H114" s="26">
        <f>Mulanje!H114+Luchenza!H114+Thyolo!H114+Muloza!H114+MUST!H114+Phalombe!H114+Mikolongwe!H114+Migowi!H114</f>
        <v>135</v>
      </c>
      <c r="I114" s="26">
        <f>Mulanje!I114+Luchenza!I114+Thyolo!I114+Muloza!I114+MUST!I114+Phalombe!I114+Mikolongwe!I114+Migowi!I114</f>
        <v>136</v>
      </c>
      <c r="J114" s="26">
        <f>Mulanje!J114+Luchenza!J114+Thyolo!J114+Muloza!J114+MUST!J114+Phalombe!J114+Mikolongwe!J114+Migowi!J114</f>
        <v>136</v>
      </c>
      <c r="K114" s="26">
        <f>Mulanje!K114+Luchenza!K114+Thyolo!K114+Muloza!K114+MUST!K114+Phalombe!K114+Mikolongwe!K114+Migowi!K114</f>
        <v>138</v>
      </c>
      <c r="L114" s="26">
        <f>Mulanje!L114+Luchenza!L114+Thyolo!L114+Muloza!L114+MUST!L114+Phalombe!L114+Mikolongwe!L114+Migowi!L114</f>
        <v>140</v>
      </c>
      <c r="M114" s="26">
        <f>Mulanje!M114+Luchenza!M114+Thyolo!M114+Muloza!M114+MUST!M114+Phalombe!M114+Mikolongwe!M114+Migowi!M114+Nkando!M114</f>
        <v>141</v>
      </c>
      <c r="N114" s="26">
        <f>Mulanje!N114+Luchenza!N114+Thyolo!N114+Muloza!N114+MUST!N114+Phalombe!N114+Mikolongwe!N114+Migowi!N114</f>
        <v>140</v>
      </c>
      <c r="O114" s="26">
        <f>Mulanje!O114+Luchenza!O114+Thyolo!O114+Muloza!O114+MUST!O114+Phalombe!O114+Mikolongwe!O114+Migowi!O114</f>
        <v>140</v>
      </c>
      <c r="P114" s="32">
        <f>O114</f>
        <v>140</v>
      </c>
    </row>
    <row r="115" spans="1:16" x14ac:dyDescent="0.3">
      <c r="A115" s="237" t="s">
        <v>199</v>
      </c>
      <c r="B115" s="238"/>
      <c r="C115" s="11" t="s">
        <v>3</v>
      </c>
      <c r="D115" s="26">
        <f>Mulanje!D115+Luchenza!D115+Thyolo!D115+Muloza!D115+MUST!D115+Phalombe!D115+Mikolongwe!D115+Migowi!D115</f>
        <v>207</v>
      </c>
      <c r="E115" s="26">
        <f>Mulanje!E115+Luchenza!E115+Thyolo!E115+Muloza!E115+MUST!E115+Phalombe!E115+Mikolongwe!E115+Migowi!E115</f>
        <v>210</v>
      </c>
      <c r="F115" s="26">
        <f>Mulanje!F115+Luchenza!F115+Thyolo!F115+Muloza!F115+MUST!F115+Phalombe!F115+Mikolongwe!F115+Migowi!F115</f>
        <v>212</v>
      </c>
      <c r="G115" s="26">
        <f>Mulanje!G115+Luchenza!G115+Thyolo!G115+Muloza!G115+MUST!G115+Phalombe!G115+Mikolongwe!G115+Migowi!G115</f>
        <v>212</v>
      </c>
      <c r="H115" s="26">
        <f>Mulanje!H115+Luchenza!H115+Thyolo!H115+Muloza!H115+MUST!H115+Phalombe!H115+Mikolongwe!H115+Migowi!H115</f>
        <v>214</v>
      </c>
      <c r="I115" s="26">
        <f>Mulanje!I115+Luchenza!I115+Thyolo!I115+Muloza!I115+MUST!I115+Phalombe!I115+Mikolongwe!I115+Migowi!I115</f>
        <v>215</v>
      </c>
      <c r="J115" s="26">
        <f>Mulanje!J115+Luchenza!J115+Thyolo!J115+Muloza!J115+MUST!J115+Phalombe!J115+Mikolongwe!J115+Migowi!J115</f>
        <v>215</v>
      </c>
      <c r="K115" s="26">
        <f>Mulanje!K115+Luchenza!K115+Thyolo!K115+Muloza!K115+MUST!K115+Phalombe!K115+Mikolongwe!K115+Migowi!K115</f>
        <v>216</v>
      </c>
      <c r="L115" s="26">
        <f>Mulanje!L115+Luchenza!L115+Thyolo!L115+Muloza!L115+MUST!L115+Phalombe!L115+Mikolongwe!L115+Migowi!L115</f>
        <v>218</v>
      </c>
      <c r="M115" s="26">
        <f>Mulanje!M115+Luchenza!M115+Thyolo!M115+Muloza!M115+MUST!M115+Phalombe!M115+Mikolongwe!M115+Migowi!M115+Nkando!M115</f>
        <v>217</v>
      </c>
      <c r="N115" s="26">
        <f>Mulanje!N115+Luchenza!N115+Thyolo!N115+Muloza!N115+MUST!N115+Phalombe!N115+Mikolongwe!N115+Migowi!N115</f>
        <v>216</v>
      </c>
      <c r="O115" s="26">
        <f>Mulanje!O115+Luchenza!O115+Thyolo!O115+Muloza!O115+MUST!O115+Phalombe!O115+Mikolongwe!O115+Migowi!O115</f>
        <v>216</v>
      </c>
      <c r="P115" s="32">
        <f t="shared" ref="P115:P116" si="59">O115</f>
        <v>216</v>
      </c>
    </row>
    <row r="116" spans="1:16" x14ac:dyDescent="0.3">
      <c r="A116" s="237" t="s">
        <v>200</v>
      </c>
      <c r="B116" s="238"/>
      <c r="C116" s="11" t="s">
        <v>3</v>
      </c>
      <c r="D116" s="26">
        <f>Mulanje!D116+Luchenza!D116+Thyolo!D116+Muloza!D116+MUST!D116+Phalombe!D116+Mikolongwe!D116+Migowi!D16</f>
        <v>4</v>
      </c>
      <c r="E116" s="26">
        <f>Mulanje!E116+Luchenza!E116+Thyolo!E116+Muloza!E116+MUST!E116+Phalombe!E116+Mikolongwe!E116+Migowi!E16</f>
        <v>4</v>
      </c>
      <c r="F116" s="26">
        <f>Mulanje!F116+Luchenza!F116+Thyolo!F116+Muloza!F116+MUST!F116+Phalombe!F116+Mikolongwe!F116+Migowi!F16</f>
        <v>4</v>
      </c>
      <c r="G116" s="26">
        <f>Mulanje!G116+Luchenza!G116+Thyolo!G116+Muloza!G116+MUST!G116+Phalombe!G116+Mikolongwe!G116+Migowi!G16</f>
        <v>4</v>
      </c>
      <c r="H116" s="26">
        <f>Mulanje!H116+Luchenza!H116+Thyolo!H116+Muloza!H116+MUST!H116+Phalombe!H116+Mikolongwe!H116+Migowi!H16</f>
        <v>4</v>
      </c>
      <c r="I116" s="26">
        <f>Mulanje!I116+Luchenza!I116+Thyolo!I116+Muloza!I116+MUST!I116+Phalombe!I116+Mikolongwe!I116+Migowi!I16</f>
        <v>4</v>
      </c>
      <c r="J116" s="26">
        <f>Mulanje!J116+Luchenza!J116+Thyolo!J116+Muloza!J116+MUST!J116+Phalombe!J116+Mikolongwe!J116+Migowi!J16</f>
        <v>4</v>
      </c>
      <c r="K116" s="26">
        <f>Mulanje!K116+Luchenza!K116+Thyolo!K116+Muloza!K116+MUST!K116+Phalombe!K116+Mikolongwe!K116+Migowi!K16</f>
        <v>6</v>
      </c>
      <c r="L116" s="26">
        <f>Mulanje!L116+Luchenza!L116+Thyolo!L116+Muloza!L116+MUST!L116+Phalombe!L116+Mikolongwe!L116+Migowi!L16</f>
        <v>6</v>
      </c>
      <c r="M116" s="26">
        <f>Mulanje!M116+Luchenza!M116+Thyolo!M116+Muloza!M116+MUST!M116+Phalombe!M116+Mikolongwe!M116+Migowi!M116+Nkando!M116</f>
        <v>6</v>
      </c>
      <c r="N116" s="26">
        <f>Mulanje!N116+Luchenza!N116+Thyolo!N116+Muloza!N116+MUST!N116+Phalombe!N116+Mikolongwe!N116+Migowi!N16</f>
        <v>6</v>
      </c>
      <c r="O116" s="26">
        <f>Mulanje!O116+Luchenza!O116+Thyolo!O116+Muloza!O116+MUST!O116+Phalombe!O116+Mikolongwe!O116+Migowi!O16</f>
        <v>6</v>
      </c>
      <c r="P116" s="32">
        <f t="shared" si="59"/>
        <v>6</v>
      </c>
    </row>
    <row r="117" spans="1:16" x14ac:dyDescent="0.3">
      <c r="A117" s="239" t="s">
        <v>94</v>
      </c>
      <c r="B117" s="240"/>
      <c r="C117" s="11" t="s">
        <v>3</v>
      </c>
      <c r="D117" s="33">
        <f>SUM(D113:D116)</f>
        <v>1872</v>
      </c>
      <c r="E117" s="33">
        <f>SUM(E113:E116)</f>
        <v>1943</v>
      </c>
      <c r="F117" s="33">
        <f>SUM(F113:F116)</f>
        <v>1976</v>
      </c>
      <c r="G117" s="33">
        <f>SUM(G113:G116)</f>
        <v>1986</v>
      </c>
      <c r="H117" s="33">
        <f>SUM(H113:H116)</f>
        <v>2039</v>
      </c>
      <c r="I117" s="33">
        <f t="shared" ref="I117:O117" si="60">SUM(I113:I116)</f>
        <v>2105</v>
      </c>
      <c r="J117" s="33">
        <f t="shared" si="60"/>
        <v>2117</v>
      </c>
      <c r="K117" s="33">
        <f t="shared" si="60"/>
        <v>2122</v>
      </c>
      <c r="L117" s="33">
        <f t="shared" si="60"/>
        <v>2132</v>
      </c>
      <c r="M117" s="33">
        <f t="shared" si="60"/>
        <v>2133</v>
      </c>
      <c r="N117" s="33">
        <f t="shared" si="60"/>
        <v>2127</v>
      </c>
      <c r="O117" s="33">
        <f t="shared" si="60"/>
        <v>2129</v>
      </c>
      <c r="P117" s="55">
        <f t="shared" ref="P117" si="61">SUM(P113:P116)</f>
        <v>2129</v>
      </c>
    </row>
    <row r="118" spans="1:16" s="2" customFormat="1" x14ac:dyDescent="0.3">
      <c r="A118" s="324" t="s">
        <v>191</v>
      </c>
      <c r="B118" s="325"/>
      <c r="C118" s="11" t="s">
        <v>3</v>
      </c>
      <c r="D118" s="33">
        <f>D111+D117</f>
        <v>7142</v>
      </c>
      <c r="E118" s="33">
        <f>E111+E117</f>
        <v>7200</v>
      </c>
      <c r="F118" s="33">
        <f>F111+F117</f>
        <v>7436</v>
      </c>
      <c r="G118" s="33">
        <f>G111+G117</f>
        <v>7419</v>
      </c>
      <c r="H118" s="33">
        <f>H111+H117</f>
        <v>7554</v>
      </c>
      <c r="I118" s="33">
        <f t="shared" ref="I118:P118" si="62">I111+I117</f>
        <v>7635</v>
      </c>
      <c r="J118" s="33">
        <f t="shared" si="62"/>
        <v>7628</v>
      </c>
      <c r="K118" s="33">
        <f t="shared" si="62"/>
        <v>7716</v>
      </c>
      <c r="L118" s="33">
        <f t="shared" si="62"/>
        <v>7777</v>
      </c>
      <c r="M118" s="33">
        <f t="shared" si="62"/>
        <v>7607</v>
      </c>
      <c r="N118" s="33">
        <f t="shared" si="62"/>
        <v>7687</v>
      </c>
      <c r="O118" s="33">
        <f t="shared" si="62"/>
        <v>7823</v>
      </c>
      <c r="P118" s="55">
        <f t="shared" si="62"/>
        <v>7823</v>
      </c>
    </row>
    <row r="119" spans="1:16" x14ac:dyDescent="0.3">
      <c r="A119" s="239" t="s">
        <v>192</v>
      </c>
      <c r="B119" s="240"/>
      <c r="C119" s="11" t="s">
        <v>3</v>
      </c>
      <c r="D119" s="33">
        <f>D118+D105</f>
        <v>10427</v>
      </c>
      <c r="E119" s="33">
        <f>E118+E105</f>
        <v>10496</v>
      </c>
      <c r="F119" s="587">
        <f>F118+F105</f>
        <v>10569</v>
      </c>
      <c r="G119" s="33">
        <f>G118+G105</f>
        <v>10655</v>
      </c>
      <c r="H119" s="33">
        <f>H118+H105</f>
        <v>10796</v>
      </c>
      <c r="I119" s="33">
        <f t="shared" ref="I119:P119" si="63">I118+I105</f>
        <v>10881</v>
      </c>
      <c r="J119" s="33">
        <f t="shared" si="63"/>
        <v>10947</v>
      </c>
      <c r="K119" s="33">
        <f t="shared" si="63"/>
        <v>11018</v>
      </c>
      <c r="L119" s="33">
        <f t="shared" si="63"/>
        <v>11098</v>
      </c>
      <c r="M119" s="33">
        <f t="shared" si="63"/>
        <v>11267</v>
      </c>
      <c r="N119" s="33">
        <f t="shared" si="63"/>
        <v>11287</v>
      </c>
      <c r="O119" s="33">
        <f t="shared" si="63"/>
        <v>11365</v>
      </c>
      <c r="P119" s="55">
        <f t="shared" si="63"/>
        <v>11365</v>
      </c>
    </row>
    <row r="120" spans="1:16" ht="14.4" x14ac:dyDescent="0.3">
      <c r="A120" s="281" t="s">
        <v>201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3"/>
    </row>
    <row r="121" spans="1:16" x14ac:dyDescent="0.3">
      <c r="A121" s="237" t="s">
        <v>93</v>
      </c>
      <c r="B121" s="238"/>
      <c r="C121" s="5" t="s">
        <v>3</v>
      </c>
      <c r="D121" s="26">
        <f>Mulanje!D121+Luchenza!D121+Thyolo!D121+Muloza!D121+MUST!D121+Phalombe!D121+Mikolongwe!D121+Migowi!D121</f>
        <v>79178</v>
      </c>
      <c r="E121" s="26">
        <f>Mulanje!E121+Luchenza!E121+Thyolo!E121+Muloza!E121+MUST!E121+Phalombe!E121+Mikolongwe!E121+Migowi!E121</f>
        <v>79266</v>
      </c>
      <c r="F121" s="26">
        <f>Mulanje!F121+Luchenza!F121+Thyolo!F121+Muloza!F121+MUST!F121+Phalombe!F121+Mikolongwe!F121+Migowi!F121</f>
        <v>79336</v>
      </c>
      <c r="G121" s="26">
        <f>Mulanje!G121+Luchenza!G121+Thyolo!G121+Muloza!G121+MUST!G121+Phalombe!G121+Mikolongwe!G121+Migowi!G121</f>
        <v>79468</v>
      </c>
      <c r="H121" s="26">
        <f>Mulanje!H121+Luchenza!H121+Thyolo!H121+Muloza!H121+MUST!H121+Phalombe!H121+Mikolongwe!H121+Migowi!H121</f>
        <v>79651</v>
      </c>
      <c r="I121" s="26">
        <f>Mulanje!I121+Luchenza!I121+Thyolo!I121+Muloza!I121+MUST!I121+Phalombe!I121+Mikolongwe!I121+Migowi!I121</f>
        <v>79795</v>
      </c>
      <c r="J121" s="26">
        <f>Mulanje!J121+Luchenza!J121+Thyolo!J121+Muloza!J121+MUST!J121+Phalombe!J121+Mikolongwe!J121+Migowi!J121</f>
        <v>79880</v>
      </c>
      <c r="K121" s="26">
        <f>Mulanje!K121+Luchenza!K121+Thyolo!K121+Muloza!K121+MUST!K121+Phalombe!K121+Mikolongwe!K121+Migowi!K121</f>
        <v>80046</v>
      </c>
      <c r="L121" s="26">
        <f>Mulanje!L121+Luchenza!L121+Thyolo!L121+Muloza!L121+MUST!L121+Phalombe!L121+Mikolongwe!L121+Migowi!L121</f>
        <v>80159</v>
      </c>
      <c r="M121" s="26">
        <f>Mulanje!M121+Luchenza!M121+Thyolo!M121+Muloza!M121+MUST!M121+Phalombe!M121+Mikolongwe!M121+Migowi!M121</f>
        <v>80423</v>
      </c>
      <c r="N121" s="26">
        <f>Mulanje!N121+Luchenza!N121+Thyolo!N121+Muloza!N121+MUST!N121+Phalombe!N121+Mikolongwe!N121+Migowi!N121</f>
        <v>80553</v>
      </c>
      <c r="O121" s="26">
        <f>Mulanje!O121+Luchenza!O121+Thyolo!O121+Muloza!O121+MUST!O121+Phalombe!O121+Mikolongwe!O121+Migowi!O121</f>
        <v>80751</v>
      </c>
      <c r="P121" s="31">
        <f>O121</f>
        <v>80751</v>
      </c>
    </row>
    <row r="122" spans="1:16" x14ac:dyDescent="0.3">
      <c r="A122" s="237" t="s">
        <v>92</v>
      </c>
      <c r="B122" s="238"/>
      <c r="C122" s="5" t="s">
        <v>3</v>
      </c>
      <c r="D122" s="26">
        <f>Mulanje!D122+Luchenza!D122+Thyolo!D122+Muloza!D122+MUST!D122+Phalombe!D122+Mikolongwe!D122+Migowi!D122</f>
        <v>69307</v>
      </c>
      <c r="E122" s="26">
        <f>Mulanje!E122+Luchenza!E122+Thyolo!E122+Muloza!E122+MUST!E122+Phalombe!E122+Mikolongwe!E122+Migowi!E122</f>
        <v>69578</v>
      </c>
      <c r="F122" s="26">
        <f>Mulanje!F122+Luchenza!F122+Thyolo!F122+Muloza!F122+MUST!F122+Phalombe!F122+Mikolongwe!F122+Migowi!F122</f>
        <v>69804</v>
      </c>
      <c r="G122" s="26">
        <f>Mulanje!G122+Luchenza!G122+Thyolo!G122+Muloza!G122+MUST!G122+Phalombe!G122+Mikolongwe!G122+Migowi!G122</f>
        <v>70087</v>
      </c>
      <c r="H122" s="26">
        <f>Mulanje!H122+Luchenza!H122+Thyolo!H122+Muloza!H122+MUST!H122+Phalombe!H122+Mikolongwe!H122+Migowi!H122</f>
        <v>70365</v>
      </c>
      <c r="I122" s="26">
        <f>Mulanje!I122+Luchenza!I122+Thyolo!I122+Muloza!I122+MUST!I122+Phalombe!I122+Mikolongwe!I122+Migowi!I122</f>
        <v>70526</v>
      </c>
      <c r="J122" s="26">
        <f>Mulanje!J122+Luchenza!J122+Thyolo!J122+Muloza!J122+MUST!J122+Phalombe!J122+Mikolongwe!J122+Migowi!J122</f>
        <v>70618</v>
      </c>
      <c r="K122" s="26">
        <f>Mulanje!K122+Luchenza!K122+Thyolo!K122+Muloza!K122+MUST!K122+Phalombe!K122+Mikolongwe!K122+Migowi!K122</f>
        <v>70675</v>
      </c>
      <c r="L122" s="26">
        <f>Mulanje!L122+Luchenza!L122+Thyolo!L122+Muloza!L122+MUST!L122+Phalombe!L122+Mikolongwe!L122+Migowi!L122</f>
        <v>70773</v>
      </c>
      <c r="M122" s="26">
        <f>Mulanje!M122+Luchenza!M122+Thyolo!M122+Muloza!M122+MUST!M122+Phalombe!M122+Mikolongwe!M122+Migowi!M122</f>
        <v>70850</v>
      </c>
      <c r="N122" s="26">
        <f>Mulanje!N122+Luchenza!N122+Thyolo!N122+Muloza!N122+MUST!N122+Phalombe!N122+Mikolongwe!N122+Migowi!N122</f>
        <v>70950</v>
      </c>
      <c r="O122" s="26">
        <f>Mulanje!O122+Luchenza!O122+Thyolo!O122+Muloza!O122+MUST!O122+Phalombe!O122+Mikolongwe!O122+Migowi!O122</f>
        <v>70976</v>
      </c>
      <c r="P122" s="31">
        <f>O122</f>
        <v>70976</v>
      </c>
    </row>
    <row r="123" spans="1:16" x14ac:dyDescent="0.3">
      <c r="A123" s="284" t="s">
        <v>91</v>
      </c>
      <c r="B123" s="285"/>
      <c r="C123" s="30" t="s">
        <v>6</v>
      </c>
      <c r="D123" s="29">
        <f t="shared" ref="D123:P123" si="64">D122/D121</f>
        <v>0.87533153148601883</v>
      </c>
      <c r="E123" s="29">
        <f t="shared" si="64"/>
        <v>0.87777861882774455</v>
      </c>
      <c r="F123" s="29">
        <f t="shared" si="64"/>
        <v>0.87985277805788042</v>
      </c>
      <c r="G123" s="29">
        <f t="shared" si="64"/>
        <v>0.8819524840187245</v>
      </c>
      <c r="H123" s="29">
        <f t="shared" si="64"/>
        <v>0.88341640406272359</v>
      </c>
      <c r="I123" s="29">
        <f t="shared" si="64"/>
        <v>0.88383983958894663</v>
      </c>
      <c r="J123" s="29">
        <f t="shared" si="64"/>
        <v>0.88405107661492244</v>
      </c>
      <c r="K123" s="29">
        <f t="shared" si="64"/>
        <v>0.88292981535617021</v>
      </c>
      <c r="L123" s="29">
        <f t="shared" si="64"/>
        <v>0.88290772090470193</v>
      </c>
      <c r="M123" s="29">
        <f t="shared" si="64"/>
        <v>0.88096688758191066</v>
      </c>
      <c r="N123" s="29">
        <f t="shared" si="64"/>
        <v>0.88078656288406387</v>
      </c>
      <c r="O123" s="29">
        <f t="shared" si="64"/>
        <v>0.87894886750628476</v>
      </c>
      <c r="P123" s="108">
        <f t="shared" si="64"/>
        <v>0.87894886750628476</v>
      </c>
    </row>
    <row r="124" spans="1:16" ht="14.4" x14ac:dyDescent="0.3">
      <c r="A124" s="307" t="s">
        <v>90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9"/>
    </row>
    <row r="125" spans="1:16" x14ac:dyDescent="0.3">
      <c r="A125" s="247" t="s">
        <v>230</v>
      </c>
      <c r="B125" s="24" t="s">
        <v>85</v>
      </c>
      <c r="C125" s="11" t="s">
        <v>3</v>
      </c>
      <c r="D125" s="141">
        <f>Mulanje!D125+Luchenza!D125+Thyolo!D125+Muloza!D125+MUST!D125+Phalombe!D125+Mikolongwe!D125+Migowi!D125</f>
        <v>0</v>
      </c>
      <c r="E125" s="141">
        <f>Mulanje!E125+Luchenza!E125+Thyolo!E125+Muloza!E125+MUST!E125+Phalombe!E125+Mikolongwe!E125+Migowi!E125</f>
        <v>2</v>
      </c>
      <c r="F125" s="141">
        <f>Mulanje!F125+Luchenza!F125+Thyolo!F125+Muloza!F125+MUST!F125+Phalombe!F125+Mikolongwe!F125+Migowi!F125</f>
        <v>0</v>
      </c>
      <c r="G125" s="141">
        <f>Mulanje!G125+Luchenza!G125+Thyolo!G125+Muloza!G125+MUST!G125+Phalombe!G125+Mikolongwe!G125+Migowi!G125</f>
        <v>0</v>
      </c>
      <c r="H125" s="141">
        <f>Mulanje!H125+Luchenza!H125+Thyolo!H125+Muloza!H125+MUST!H125+Phalombe!H125+Mikolongwe!H125+Migowi!H125</f>
        <v>0</v>
      </c>
      <c r="I125" s="141">
        <f>Mulanje!I125+Luchenza!I125+Thyolo!I125+Muloza!I125+MUST!I125+Phalombe!I125+Mikolongwe!I125+Migowi!I125</f>
        <v>0</v>
      </c>
      <c r="J125" s="141">
        <f>Mulanje!J125+Luchenza!J125+Thyolo!J125+Muloza!J125+MUST!J125+Phalombe!J125+Mikolongwe!J125+Migowi!J125</f>
        <v>2</v>
      </c>
      <c r="K125" s="141">
        <f>Mulanje!K125+Luchenza!K125+Thyolo!K125+Muloza!K125+MUST!K125+Phalombe!K125+Mikolongwe!K125+Migowi!K125</f>
        <v>0</v>
      </c>
      <c r="L125" s="141">
        <f>Mulanje!L125+Luchenza!L125+Thyolo!L125+Muloza!L125+MUST!L125+Phalombe!L125+Mikolongwe!L125+Migowi!L125</f>
        <v>0</v>
      </c>
      <c r="M125" s="131">
        <f>Mulanje!M125+Luchenza!M125+Thyolo!M125+Muloza!M125+MUST!M125+Phalombe!M125+Mikolongwe!M125+Migowi!M125+Nkando!M125</f>
        <v>1</v>
      </c>
      <c r="N125" s="131">
        <f>Mulanje!N125+Luchenza!N125+Thyolo!N125+Muloza!N125+MUST!N125+Phalombe!N125+Mikolongwe!N125+Migowi!N125+Nkando!N125</f>
        <v>5</v>
      </c>
      <c r="O125" s="131">
        <f>Mulanje!O125+Luchenza!O125+Thyolo!O125+Muloza!O125+MUST!O125+Phalombe!O125+Mikolongwe!O125+Migowi!O125+Nkando!O125</f>
        <v>1</v>
      </c>
      <c r="P125" s="35">
        <f>D125</f>
        <v>0</v>
      </c>
    </row>
    <row r="126" spans="1:16" x14ac:dyDescent="0.3">
      <c r="A126" s="280"/>
      <c r="B126" s="24" t="s">
        <v>84</v>
      </c>
      <c r="C126" s="11" t="s">
        <v>3</v>
      </c>
      <c r="D126" s="141">
        <f>Mulanje!D126+Luchenza!D126+Thyolo!D126+Muloza!D126+MUST!D126+Phalombe!D126+Mikolongwe!D126+Migowi!D126</f>
        <v>7</v>
      </c>
      <c r="E126" s="141">
        <f>Mulanje!E126+Luchenza!E126+Thyolo!E126+Muloza!E126+MUST!E126+Phalombe!E126+Mikolongwe!E126+Migowi!E126</f>
        <v>0</v>
      </c>
      <c r="F126" s="141">
        <f>Mulanje!F126+Luchenza!F126+Thyolo!F126+Muloza!F126+MUST!F126+Phalombe!F126+Mikolongwe!F126+Migowi!F126</f>
        <v>0</v>
      </c>
      <c r="G126" s="141">
        <f>Mulanje!G126+Luchenza!G126+Thyolo!G126+Muloza!G126+MUST!G126+Phalombe!G126+Mikolongwe!G126+Migowi!G126</f>
        <v>0</v>
      </c>
      <c r="H126" s="141">
        <f>Mulanje!H126+Luchenza!H126+Thyolo!H126+Muloza!H126+MUST!H126+Phalombe!H126+Mikolongwe!H126+Migowi!H126</f>
        <v>0</v>
      </c>
      <c r="I126" s="141">
        <f>Mulanje!I126+Luchenza!I126+Thyolo!I126+Muloza!I126+MUST!I126+Phalombe!I126+Mikolongwe!I126+Migowi!I126</f>
        <v>2</v>
      </c>
      <c r="J126" s="141">
        <f>Mulanje!J126+Luchenza!J126+Thyolo!J126+Muloza!J126+MUST!J126+Phalombe!J126+Mikolongwe!J126+Migowi!J126</f>
        <v>1</v>
      </c>
      <c r="K126" s="141">
        <f>Mulanje!K126+Luchenza!K126+Thyolo!K126+Muloza!K126+MUST!K126+Phalombe!K126+Mikolongwe!K126+Migowi!K126</f>
        <v>0</v>
      </c>
      <c r="L126" s="141">
        <f>Mulanje!L126+Luchenza!L126+Thyolo!L126+Muloza!L126+MUST!L126+Phalombe!L126+Mikolongwe!L126+Migowi!L126</f>
        <v>0</v>
      </c>
      <c r="M126" s="131">
        <f>Mulanje!M126+Luchenza!M126+Thyolo!M126+Muloza!M126+MUST!M126+Phalombe!M126+Mikolongwe!M126+Migowi!M126+Nkando!M126</f>
        <v>4</v>
      </c>
      <c r="N126" s="131">
        <f>Mulanje!N126+Luchenza!N126+Thyolo!N126+Muloza!N126+MUST!N126+Phalombe!N126+Mikolongwe!N126+Migowi!N126+Nkando!N126</f>
        <v>0</v>
      </c>
      <c r="O126" s="131">
        <f>Mulanje!O126+Luchenza!O126+Thyolo!O126+Muloza!O126+MUST!O126+Phalombe!O126+Mikolongwe!O126+Migowi!O126+Nkando!O126</f>
        <v>0</v>
      </c>
      <c r="P126" s="74">
        <f>SUM(D126:O126)</f>
        <v>14</v>
      </c>
    </row>
    <row r="127" spans="1:16" x14ac:dyDescent="0.3">
      <c r="A127" s="280"/>
      <c r="B127" s="82" t="s">
        <v>88</v>
      </c>
      <c r="C127" s="11" t="s">
        <v>3</v>
      </c>
      <c r="D127" s="141">
        <f>Mulanje!D127+Luchenza!D127+Thyolo!D127+Muloza!D127+MUST!D127+Phalombe!D127+Mikolongwe!D127+Migowi!D127</f>
        <v>5</v>
      </c>
      <c r="E127" s="141">
        <f>Mulanje!E127+Luchenza!E127+Thyolo!E127+Muloza!E127+MUST!E127+Phalombe!E127+Mikolongwe!E127+Migowi!E127</f>
        <v>2</v>
      </c>
      <c r="F127" s="141">
        <f>Mulanje!F127+Luchenza!F127+Thyolo!F127+Muloza!F127+MUST!F127+Phalombe!F127+Mikolongwe!F127+Migowi!F127</f>
        <v>0</v>
      </c>
      <c r="G127" s="141">
        <f>Mulanje!G127+Luchenza!G127+Thyolo!G127+Muloza!G127+MUST!G127+Phalombe!G127+Mikolongwe!G127+Migowi!G127</f>
        <v>0</v>
      </c>
      <c r="H127" s="141">
        <f>Mulanje!H127+Luchenza!H127+Thyolo!H127+Muloza!H127+MUST!H127+Phalombe!H127+Mikolongwe!H127+Migowi!H127</f>
        <v>0</v>
      </c>
      <c r="I127" s="141">
        <f>Mulanje!I127+Luchenza!I127+Thyolo!I127+Muloza!I127+MUST!I127+Phalombe!I127+Mikolongwe!I127+Migowi!I127</f>
        <v>0</v>
      </c>
      <c r="J127" s="141">
        <f>Mulanje!J127+Luchenza!J127+Thyolo!J127+Muloza!J127+MUST!J127+Phalombe!J127+Mikolongwe!J127+Migowi!J127</f>
        <v>0</v>
      </c>
      <c r="K127" s="141">
        <f>Mulanje!K127+Luchenza!K127+Thyolo!K127+Muloza!K127+MUST!K127+Phalombe!K127+Mikolongwe!K127+Migowi!K127</f>
        <v>0</v>
      </c>
      <c r="L127" s="141">
        <f>Mulanje!L127+Luchenza!L127+Thyolo!L127+Muloza!L127+MUST!L127+Phalombe!L127+Mikolongwe!L127+Migowi!L127</f>
        <v>0</v>
      </c>
      <c r="M127" s="131">
        <f>Mulanje!M127+Luchenza!M127+Thyolo!M127+Muloza!M127+MUST!M127+Phalombe!M127+Mikolongwe!M127+Migowi!M127+Nkando!M127</f>
        <v>0</v>
      </c>
      <c r="N127" s="131">
        <f>Mulanje!N127+Luchenza!N127+Thyolo!N127+Muloza!N127+MUST!N127+Phalombe!N127+Mikolongwe!N127+Migowi!N127+Nkando!N127</f>
        <v>4</v>
      </c>
      <c r="O127" s="131">
        <f>Mulanje!O127+Luchenza!O127+Thyolo!O127+Muloza!O127+MUST!O127+Phalombe!O127+Mikolongwe!O127+Migowi!O127+Nkando!O127</f>
        <v>0</v>
      </c>
      <c r="P127" s="74">
        <f>SUM(D127:O127)</f>
        <v>11</v>
      </c>
    </row>
    <row r="128" spans="1:16" x14ac:dyDescent="0.3">
      <c r="A128" s="280"/>
      <c r="B128" s="24" t="s">
        <v>82</v>
      </c>
      <c r="C128" s="11" t="s">
        <v>3</v>
      </c>
      <c r="D128" s="141">
        <f>Mulanje!D128+Luchenza!D128+Thyolo!D128+Muloza!D128+MUST!D128+Phalombe!D128+Mikolongwe!D128+Migowi!D128</f>
        <v>0</v>
      </c>
      <c r="E128" s="141">
        <f>Mulanje!E128+Luchenza!E128+Thyolo!E128+Muloza!E128+MUST!E128+Phalombe!E128+Mikolongwe!E128+Migowi!E128</f>
        <v>0</v>
      </c>
      <c r="F128" s="141">
        <f>Mulanje!F128+Luchenza!F128+Thyolo!F128+Muloza!F128+MUST!F128+Phalombe!F128+Mikolongwe!F128+Migowi!F128</f>
        <v>0</v>
      </c>
      <c r="G128" s="141">
        <f>Mulanje!G128+Luchenza!G128+Thyolo!G128+Muloza!G128+MUST!G128+Phalombe!G128+Mikolongwe!G128+Migowi!G128</f>
        <v>0</v>
      </c>
      <c r="H128" s="141">
        <f>Mulanje!H128+Luchenza!H128+Thyolo!H128+Muloza!H128+MUST!H128+Phalombe!H128+Mikolongwe!H128+Migowi!H128</f>
        <v>0</v>
      </c>
      <c r="I128" s="141">
        <f>Mulanje!I128+Luchenza!I128+Thyolo!I128+Muloza!I128+MUST!I128+Phalombe!I128+Mikolongwe!I128+Migowi!I128</f>
        <v>0</v>
      </c>
      <c r="J128" s="141">
        <f>Mulanje!J128+Luchenza!J128+Thyolo!J128+Muloza!J128+MUST!J128+Phalombe!J128+Mikolongwe!J128+Migowi!J128</f>
        <v>3</v>
      </c>
      <c r="K128" s="141">
        <f>Mulanje!K128+Luchenza!K128+Thyolo!K128+Muloza!K128+MUST!K128+Phalombe!K128+Mikolongwe!K128+Migowi!K128</f>
        <v>0</v>
      </c>
      <c r="L128" s="141">
        <f>Mulanje!L128+Luchenza!L128+Thyolo!L128+Muloza!L128+MUST!L128+Phalombe!L128+Mikolongwe!L128+Migowi!L128</f>
        <v>0</v>
      </c>
      <c r="M128" s="131">
        <f>Mulanje!M128+Luchenza!M128+Thyolo!M128+Muloza!M128+MUST!M128+Phalombe!M128+Mikolongwe!M128+Migowi!M128+Nkando!M128</f>
        <v>0</v>
      </c>
      <c r="N128" s="131">
        <f>Mulanje!N128+Luchenza!N128+Thyolo!N128+Muloza!N128+MUST!N128+Phalombe!N128+Mikolongwe!N128+Migowi!N128+Nkando!N128</f>
        <v>0</v>
      </c>
      <c r="O128" s="131">
        <f>Mulanje!O128+Luchenza!O128+Thyolo!O128+Muloza!O128+MUST!O128+Phalombe!O128+Mikolongwe!O128+Migowi!O128+Nkando!O128</f>
        <v>0</v>
      </c>
      <c r="P128" s="74">
        <f>SUM(D128:O128)</f>
        <v>3</v>
      </c>
    </row>
    <row r="129" spans="1:16" x14ac:dyDescent="0.3">
      <c r="A129" s="248"/>
      <c r="B129" s="24" t="s">
        <v>81</v>
      </c>
      <c r="C129" s="11" t="s">
        <v>3</v>
      </c>
      <c r="D129" s="139">
        <f>D125+D126-D127-D128</f>
        <v>2</v>
      </c>
      <c r="E129" s="139">
        <f>E125+E126-E127-E128</f>
        <v>0</v>
      </c>
      <c r="F129" s="139">
        <f>F125+F126-F127-F128</f>
        <v>0</v>
      </c>
      <c r="G129" s="139">
        <f>G125+G126-G127-G128</f>
        <v>0</v>
      </c>
      <c r="H129" s="139">
        <f>H125+H126-H127-H128</f>
        <v>0</v>
      </c>
      <c r="I129" s="139">
        <f t="shared" ref="I129:O129" si="65">I125+I126-I127-I128</f>
        <v>2</v>
      </c>
      <c r="J129" s="139">
        <f t="shared" si="65"/>
        <v>0</v>
      </c>
      <c r="K129" s="139">
        <f t="shared" si="65"/>
        <v>0</v>
      </c>
      <c r="L129" s="139">
        <f t="shared" si="65"/>
        <v>0</v>
      </c>
      <c r="M129" s="139">
        <f t="shared" si="65"/>
        <v>5</v>
      </c>
      <c r="N129" s="139">
        <f t="shared" si="65"/>
        <v>1</v>
      </c>
      <c r="O129" s="139">
        <f t="shared" si="65"/>
        <v>1</v>
      </c>
      <c r="P129" s="35">
        <f>P125+P126-P127-P128</f>
        <v>0</v>
      </c>
    </row>
    <row r="130" spans="1:16" x14ac:dyDescent="0.3">
      <c r="A130" s="247" t="s">
        <v>231</v>
      </c>
      <c r="B130" s="28" t="s">
        <v>85</v>
      </c>
      <c r="C130" s="27" t="s">
        <v>3</v>
      </c>
      <c r="D130" s="141">
        <f>Mulanje!D130+Luchenza!D130+Thyolo!D130+Muloza!D130+MUST!D130+Phalombe!D130+Mikolongwe!D130+Migowi!D130</f>
        <v>2</v>
      </c>
      <c r="E130" s="141">
        <f>Mulanje!E130+Luchenza!E130+Thyolo!E130+Muloza!E130+MUST!E130+Phalombe!E130+Mikolongwe!E130+Migowi!E130</f>
        <v>2</v>
      </c>
      <c r="F130" s="141">
        <f>Mulanje!F130+Luchenza!F130+Thyolo!F130+Muloza!F130+MUST!F130+Phalombe!F130+Mikolongwe!F130+Migowi!F130</f>
        <v>0</v>
      </c>
      <c r="G130" s="141">
        <f>Mulanje!G130+Luchenza!G130+Thyolo!G130+Muloza!G130+MUST!G130+Phalombe!G130+Mikolongwe!G130+Migowi!G130</f>
        <v>0</v>
      </c>
      <c r="H130" s="141">
        <f>Mulanje!H130+Luchenza!H130+Thyolo!H130+Muloza!H130+MUST!H130+Phalombe!H130+Mikolongwe!H130+Migowi!H130</f>
        <v>0</v>
      </c>
      <c r="I130" s="141">
        <f>Mulanje!I130+Luchenza!I130+Thyolo!I130+Muloza!I130+MUST!I130+Phalombe!I130+Mikolongwe!I130+Migowi!I130</f>
        <v>0</v>
      </c>
      <c r="J130" s="141">
        <f>Mulanje!J130+Luchenza!J130+Thyolo!J130+Muloza!J130+MUST!J130+Phalombe!J130+Mikolongwe!J130+Migowi!J130</f>
        <v>0</v>
      </c>
      <c r="K130" s="141">
        <f>Mulanje!K130+Luchenza!K130+Thyolo!K130+Muloza!K130+MUST!K130+Phalombe!K130+Mikolongwe!K130+Migowi!K130</f>
        <v>0</v>
      </c>
      <c r="L130" s="141">
        <f>Mulanje!L130+Luchenza!L130+Thyolo!L130+Muloza!L130+MUST!L130+Phalombe!L130+Mikolongwe!L130+Migowi!L130</f>
        <v>1</v>
      </c>
      <c r="M130" s="131">
        <f>Mulanje!M130+Luchenza!M130+Thyolo!M130+Muloza!M130+MUST!M130+Phalombe!M130+Mikolongwe!M130+Migowi!M130+Nkando!M130</f>
        <v>7</v>
      </c>
      <c r="N130" s="131">
        <f>Mulanje!N130+Luchenza!N130+Thyolo!N130+Muloza!N130+MUST!N130+Phalombe!N130+Mikolongwe!N130+Migowi!N130+Nkando!N130</f>
        <v>6</v>
      </c>
      <c r="O130" s="131">
        <f>Mulanje!O130+Luchenza!O130+Thyolo!O130+Muloza!O130+MUST!O130+Phalombe!O130+Mikolongwe!O130+Migowi!O130+Nkando!O130</f>
        <v>6</v>
      </c>
      <c r="P130" s="35">
        <f>D130</f>
        <v>2</v>
      </c>
    </row>
    <row r="131" spans="1:16" x14ac:dyDescent="0.3">
      <c r="A131" s="280"/>
      <c r="B131" s="24" t="s">
        <v>84</v>
      </c>
      <c r="C131" s="11" t="s">
        <v>3</v>
      </c>
      <c r="D131" s="141">
        <f>Mulanje!D131+Luchenza!D131+Thyolo!D131+Muloza!D131+MUST!D131+Phalombe!D131+Mikolongwe!D131+Migowi!D131</f>
        <v>0</v>
      </c>
      <c r="E131" s="141">
        <f>Mulanje!E131+Luchenza!E131+Thyolo!E131+Muloza!E131+MUST!E131+Phalombe!E131+Mikolongwe!E131+Migowi!E131</f>
        <v>0</v>
      </c>
      <c r="F131" s="141">
        <f>Mulanje!F131+Luchenza!F131+Thyolo!F131+Muloza!F131+MUST!F131+Phalombe!F131+Mikolongwe!F131+Migowi!F131</f>
        <v>0</v>
      </c>
      <c r="G131" s="141">
        <f>Mulanje!G131+Luchenza!G131+Thyolo!G131+Muloza!G131+MUST!G131+Phalombe!G131+Mikolongwe!G131+Migowi!G131</f>
        <v>2</v>
      </c>
      <c r="H131" s="141">
        <f>Mulanje!H131+Luchenza!H131+Thyolo!H131+Muloza!H131+MUST!H131+Phalombe!H131+Mikolongwe!H131+Migowi!H131</f>
        <v>0</v>
      </c>
      <c r="I131" s="141">
        <f>Mulanje!I131+Luchenza!I131+Thyolo!I131+Muloza!I131+MUST!I131+Phalombe!I131+Mikolongwe!I131+Migowi!I131</f>
        <v>0</v>
      </c>
      <c r="J131" s="141">
        <f>Mulanje!J131+Luchenza!J131+Thyolo!J131+Muloza!J131+MUST!J131+Phalombe!J131+Mikolongwe!J131+Migowi!J131</f>
        <v>0</v>
      </c>
      <c r="K131" s="141">
        <f>Mulanje!K131+Luchenza!K131+Thyolo!K131+Muloza!K131+MUST!K131+Phalombe!K131+Mikolongwe!K131+Migowi!K131</f>
        <v>1</v>
      </c>
      <c r="L131" s="141">
        <f>Mulanje!L131+Luchenza!L131+Thyolo!L131+Muloza!L131+MUST!L131+Phalombe!L131+Mikolongwe!L131+Migowi!L131</f>
        <v>0</v>
      </c>
      <c r="M131" s="131">
        <f>Mulanje!M131+Luchenza!M131+Thyolo!M131+Muloza!M131+MUST!M131+Phalombe!M131+Mikolongwe!M131+Migowi!M131+Nkando!M131</f>
        <v>0</v>
      </c>
      <c r="N131" s="131">
        <f>Mulanje!N131+Luchenza!N131+Thyolo!N131+Muloza!N131+MUST!N131+Phalombe!N131+Mikolongwe!N131+Migowi!N131+Nkando!N131</f>
        <v>0</v>
      </c>
      <c r="O131" s="131">
        <f>Mulanje!O131+Luchenza!O131+Thyolo!O131+Muloza!O131+MUST!O131+Phalombe!O131+Mikolongwe!O131+Migowi!O131+Nkando!O131</f>
        <v>0</v>
      </c>
      <c r="P131" s="74">
        <f>SUM(D131:O131)</f>
        <v>3</v>
      </c>
    </row>
    <row r="132" spans="1:16" x14ac:dyDescent="0.3">
      <c r="A132" s="280"/>
      <c r="B132" s="82" t="s">
        <v>88</v>
      </c>
      <c r="C132" s="11" t="s">
        <v>3</v>
      </c>
      <c r="D132" s="141">
        <f>Mulanje!D132+Luchenza!D132+Thyolo!D132+Muloza!D132+MUST!D132+Phalombe!D132+Mikolongwe!D132+Migowi!D132</f>
        <v>0</v>
      </c>
      <c r="E132" s="141">
        <f>Mulanje!E132+Luchenza!E132+Thyolo!E132+Muloza!E132+MUST!E132+Phalombe!E132+Mikolongwe!E132+Migowi!E132</f>
        <v>1</v>
      </c>
      <c r="F132" s="141">
        <f>Mulanje!F132+Luchenza!F132+Thyolo!F132+Muloza!F132+MUST!F132+Phalombe!F132+Mikolongwe!F132+Migowi!F132</f>
        <v>0</v>
      </c>
      <c r="G132" s="141">
        <f>Mulanje!G132+Luchenza!G132+Thyolo!G132+Muloza!G132+MUST!G132+Phalombe!G132+Mikolongwe!G132+Migowi!G132</f>
        <v>2</v>
      </c>
      <c r="H132" s="141">
        <f>Mulanje!H132+Luchenza!H132+Thyolo!H132+Muloza!H132+MUST!H132+Phalombe!H132+Mikolongwe!H132+Migowi!H132</f>
        <v>0</v>
      </c>
      <c r="I132" s="141">
        <f>Mulanje!I132+Luchenza!I132+Thyolo!I132+Muloza!I132+MUST!I132+Phalombe!I132+Mikolongwe!I132+Migowi!I132</f>
        <v>0</v>
      </c>
      <c r="J132" s="141">
        <f>Mulanje!J132+Luchenza!J132+Thyolo!J132+Muloza!J132+MUST!J132+Phalombe!J132+Mikolongwe!J132+Migowi!J132</f>
        <v>0</v>
      </c>
      <c r="K132" s="141">
        <f>Mulanje!K132+Luchenza!K132+Thyolo!K132+Muloza!K132+MUST!K132+Phalombe!K132+Mikolongwe!K132+Migowi!K132</f>
        <v>0</v>
      </c>
      <c r="L132" s="141">
        <f>Mulanje!L132+Luchenza!L132+Thyolo!L132+Muloza!L132+MUST!L132+Phalombe!L132+Mikolongwe!L132+Migowi!L132</f>
        <v>0</v>
      </c>
      <c r="M132" s="131">
        <f>Mulanje!M132+Luchenza!M132+Thyolo!M132+Muloza!M132+MUST!M132+Phalombe!M132+Mikolongwe!M132+Migowi!M132+Nkando!M132</f>
        <v>1</v>
      </c>
      <c r="N132" s="131">
        <f>Mulanje!N132+Luchenza!N132+Thyolo!N132+Muloza!N132+MUST!N132+Phalombe!N132+Mikolongwe!N132+Migowi!N132+Nkando!N132</f>
        <v>0</v>
      </c>
      <c r="O132" s="131">
        <f>Mulanje!O132+Luchenza!O132+Thyolo!O132+Muloza!O132+MUST!O132+Phalombe!O132+Mikolongwe!O132+Migowi!O132+Nkando!O132</f>
        <v>0</v>
      </c>
      <c r="P132" s="74">
        <f>SUM(D132:O132)</f>
        <v>4</v>
      </c>
    </row>
    <row r="133" spans="1:16" x14ac:dyDescent="0.3">
      <c r="A133" s="280"/>
      <c r="B133" s="24" t="s">
        <v>82</v>
      </c>
      <c r="C133" s="11" t="s">
        <v>3</v>
      </c>
      <c r="D133" s="141">
        <f>Mulanje!D133+Luchenza!D133+Thyolo!D133+Muloza!D133+MUST!D133+Phalombe!D133+Mikolongwe!D133+Migowi!D133</f>
        <v>0</v>
      </c>
      <c r="E133" s="141">
        <f>Mulanje!E133+Luchenza!E133+Thyolo!E133+Muloza!E133+MUST!E133+Phalombe!E133+Mikolongwe!E133+Migowi!E133</f>
        <v>1</v>
      </c>
      <c r="F133" s="141">
        <f>Mulanje!F133+Luchenza!F133+Thyolo!F133+Muloza!F133+MUST!F133+Phalombe!F133+Mikolongwe!F133+Migowi!F133</f>
        <v>0</v>
      </c>
      <c r="G133" s="141">
        <f>Mulanje!G133+Luchenza!G133+Thyolo!G133+Muloza!G133+MUST!G133+Phalombe!G133+Mikolongwe!G133+Migowi!G133</f>
        <v>0</v>
      </c>
      <c r="H133" s="141">
        <f>Mulanje!H133+Luchenza!H133+Thyolo!H133+Muloza!H133+MUST!H133+Phalombe!H133+Mikolongwe!H133+Migowi!H133</f>
        <v>0</v>
      </c>
      <c r="I133" s="141">
        <f>Mulanje!I133+Luchenza!I133+Thyolo!I133+Muloza!I133+MUST!I133+Phalombe!I133+Mikolongwe!I133+Migowi!I133</f>
        <v>0</v>
      </c>
      <c r="J133" s="141">
        <f>Mulanje!J133+Luchenza!J133+Thyolo!J133+Muloza!J133+MUST!J133+Phalombe!J133+Mikolongwe!J133+Migowi!J133</f>
        <v>0</v>
      </c>
      <c r="K133" s="141">
        <f>Mulanje!K133+Luchenza!K133+Thyolo!K133+Muloza!K133+MUST!K133+Phalombe!K133+Mikolongwe!K133+Migowi!K133</f>
        <v>0</v>
      </c>
      <c r="L133" s="141">
        <f>Mulanje!L133+Luchenza!L133+Thyolo!L133+Muloza!L133+MUST!L133+Phalombe!L133+Mikolongwe!L133+Migowi!L133</f>
        <v>0</v>
      </c>
      <c r="M133" s="131">
        <f>Mulanje!M133+Luchenza!M133+Thyolo!M133+Muloza!M133+MUST!M133+Phalombe!M133+Mikolongwe!M133+Migowi!M133+Nkando!M133</f>
        <v>0</v>
      </c>
      <c r="N133" s="131">
        <f>Mulanje!N133+Luchenza!N133+Thyolo!N133+Muloza!N133+MUST!N133+Phalombe!N133+Mikolongwe!N133+Migowi!N133+Nkando!N133</f>
        <v>0</v>
      </c>
      <c r="O133" s="131">
        <f>Mulanje!O133+Luchenza!O133+Thyolo!O133+Muloza!O133+MUST!O133+Phalombe!O133+Mikolongwe!O133+Migowi!O133+Nkando!O133</f>
        <v>0</v>
      </c>
      <c r="P133" s="74">
        <f>SUM(D133:O133)</f>
        <v>1</v>
      </c>
    </row>
    <row r="134" spans="1:16" x14ac:dyDescent="0.3">
      <c r="A134" s="248"/>
      <c r="B134" s="24" t="s">
        <v>81</v>
      </c>
      <c r="C134" s="11" t="s">
        <v>3</v>
      </c>
      <c r="D134" s="139">
        <f>D130+D131-D132-D133</f>
        <v>2</v>
      </c>
      <c r="E134" s="139">
        <f>E130+E131-E132-E133</f>
        <v>0</v>
      </c>
      <c r="F134" s="139">
        <f>F130+F131-F132-F133</f>
        <v>0</v>
      </c>
      <c r="G134" s="139">
        <f>G130+G131-G132-G133</f>
        <v>0</v>
      </c>
      <c r="H134" s="139">
        <f>H130+H131-H132-H133</f>
        <v>0</v>
      </c>
      <c r="I134" s="139">
        <f t="shared" ref="I134:O134" si="66">I130+I131-I132-I133</f>
        <v>0</v>
      </c>
      <c r="J134" s="139">
        <f t="shared" si="66"/>
        <v>0</v>
      </c>
      <c r="K134" s="139">
        <f t="shared" si="66"/>
        <v>1</v>
      </c>
      <c r="L134" s="139">
        <f t="shared" si="66"/>
        <v>1</v>
      </c>
      <c r="M134" s="139">
        <f t="shared" si="66"/>
        <v>6</v>
      </c>
      <c r="N134" s="139">
        <f t="shared" si="66"/>
        <v>6</v>
      </c>
      <c r="O134" s="139">
        <f t="shared" si="66"/>
        <v>6</v>
      </c>
      <c r="P134" s="35">
        <f>P130+P131-P132-P133</f>
        <v>0</v>
      </c>
    </row>
    <row r="135" spans="1:16" x14ac:dyDescent="0.3">
      <c r="A135" s="247" t="s">
        <v>89</v>
      </c>
      <c r="B135" s="24" t="s">
        <v>85</v>
      </c>
      <c r="C135" s="11" t="s">
        <v>3</v>
      </c>
      <c r="D135" s="141">
        <f>Mulanje!D135+Luchenza!D135+Thyolo!D135+Muloza!D135+MUST!D135+Phalombe!D135+Mikolongwe!D135+Migowi!D135</f>
        <v>0</v>
      </c>
      <c r="E135" s="141">
        <f>Mulanje!E135+Luchenza!E135+Thyolo!E135+Muloza!E135+MUST!E135+Phalombe!E135+Mikolongwe!E135+Migowi!E135</f>
        <v>0</v>
      </c>
      <c r="F135" s="141">
        <f>Mulanje!F135+Luchenza!F135+Thyolo!F135+Muloza!F135+MUST!F135+Phalombe!F135+Mikolongwe!F135+Migowi!F135</f>
        <v>1</v>
      </c>
      <c r="G135" s="141">
        <f>Mulanje!G135+Luchenza!G135+Thyolo!G135+Muloza!G135+MUST!G135+Phalombe!G135+Mikolongwe!G135+Migowi!G135</f>
        <v>0</v>
      </c>
      <c r="H135" s="141">
        <f>Mulanje!H135+Luchenza!H135+Thyolo!H135+Muloza!H135+MUST!H135+Phalombe!H135+Mikolongwe!H135+Migowi!H135</f>
        <v>0</v>
      </c>
      <c r="I135" s="141">
        <f>Mulanje!I135+Luchenza!I135+Thyolo!I135+Muloza!I135+MUST!I135+Phalombe!I135+Mikolongwe!I135+Migowi!I135</f>
        <v>0</v>
      </c>
      <c r="J135" s="141">
        <f>Mulanje!J135+Luchenza!J135+Thyolo!J135+Muloza!J135+MUST!J135+Phalombe!J135+Mikolongwe!J135+Migowi!J135</f>
        <v>0</v>
      </c>
      <c r="K135" s="141">
        <f>Mulanje!K135+Luchenza!K135+Thyolo!K135+Muloza!K135+MUST!K135+Phalombe!K135+Mikolongwe!K135+Migowi!K135</f>
        <v>0</v>
      </c>
      <c r="L135" s="141">
        <f>Mulanje!L135+Luchenza!L135+Thyolo!L135+Muloza!L135+MUST!L135+Phalombe!L135+Mikolongwe!L135+Migowi!L135</f>
        <v>0</v>
      </c>
      <c r="M135" s="131">
        <f>Mulanje!M135+Luchenza!M135+Thyolo!M135+Muloza!M135+MUST!M135+Phalombe!M135+Mikolongwe!M135+Migowi!M135+Nkando!M135</f>
        <v>1</v>
      </c>
      <c r="N135" s="131">
        <f>Mulanje!N135+Luchenza!N135+Thyolo!N135+Muloza!N135+MUST!N135+Phalombe!N135+Mikolongwe!N135+Migowi!N135+Nkando!N135</f>
        <v>0</v>
      </c>
      <c r="O135" s="131">
        <f>Mulanje!O135+Luchenza!O135+Thyolo!O135+Muloza!O135+MUST!O135+Phalombe!O135+Mikolongwe!O135+Migowi!O135+Nkando!O135</f>
        <v>0</v>
      </c>
      <c r="P135" s="35">
        <f>D135</f>
        <v>0</v>
      </c>
    </row>
    <row r="136" spans="1:16" x14ac:dyDescent="0.3">
      <c r="A136" s="280"/>
      <c r="B136" s="24" t="s">
        <v>84</v>
      </c>
      <c r="C136" s="11" t="s">
        <v>3</v>
      </c>
      <c r="D136" s="141">
        <f>Mulanje!D136+Luchenza!D136+Thyolo!D136+Muloza!D136+MUST!D136+Phalombe!D136+Mikolongwe!D136+Migowi!D136</f>
        <v>0</v>
      </c>
      <c r="E136" s="141">
        <f>Mulanje!E136+Luchenza!E136+Thyolo!E136+Muloza!E136+MUST!E136+Phalombe!E136+Mikolongwe!E136+Migowi!E136</f>
        <v>1</v>
      </c>
      <c r="F136" s="141">
        <f>Mulanje!F136+Luchenza!F136+Thyolo!F136+Muloza!F136+MUST!F136+Phalombe!F136+Mikolongwe!F136+Migowi!F136</f>
        <v>0</v>
      </c>
      <c r="G136" s="141">
        <f>Mulanje!G136+Luchenza!G136+Thyolo!G136+Muloza!G136+MUST!G136+Phalombe!G136+Mikolongwe!G136+Migowi!G136</f>
        <v>0</v>
      </c>
      <c r="H136" s="141">
        <f>Mulanje!H136+Luchenza!H136+Thyolo!H136+Muloza!H136+MUST!H136+Phalombe!H136+Mikolongwe!H136+Migowi!H136</f>
        <v>0</v>
      </c>
      <c r="I136" s="141">
        <f>Mulanje!I136+Luchenza!I136+Thyolo!I136+Muloza!I136+MUST!I136+Phalombe!I136+Mikolongwe!I136+Migowi!I136</f>
        <v>0</v>
      </c>
      <c r="J136" s="141">
        <f>Mulanje!J136+Luchenza!J136+Thyolo!J136+Muloza!J136+MUST!J136+Phalombe!J136+Mikolongwe!J136+Migowi!J136</f>
        <v>0</v>
      </c>
      <c r="K136" s="141">
        <f>Mulanje!K136+Luchenza!K136+Thyolo!K136+Muloza!K136+MUST!K136+Phalombe!K136+Mikolongwe!K136+Migowi!K136</f>
        <v>0</v>
      </c>
      <c r="L136" s="141">
        <f>Mulanje!L136+Luchenza!L136+Thyolo!L136+Muloza!L136+MUST!L136+Phalombe!L136+Mikolongwe!L136+Migowi!L136</f>
        <v>0</v>
      </c>
      <c r="M136" s="131">
        <f>Mulanje!M136+Luchenza!M136+Thyolo!M136+Muloza!M136+MUST!M136+Phalombe!M136+Mikolongwe!M136+Migowi!M136+Nkando!M136</f>
        <v>1</v>
      </c>
      <c r="N136" s="131">
        <f>Mulanje!N136+Luchenza!N136+Thyolo!N136+Muloza!N136+MUST!N136+Phalombe!N136+Mikolongwe!N136+Migowi!N136+Nkando!N136</f>
        <v>0</v>
      </c>
      <c r="O136" s="131">
        <f>Mulanje!O136+Luchenza!O136+Thyolo!O136+Muloza!O136+MUST!O136+Phalombe!O136+Mikolongwe!O136+Migowi!O136+Nkando!O136</f>
        <v>1</v>
      </c>
      <c r="P136" s="74">
        <f>SUM(D136:O136)</f>
        <v>3</v>
      </c>
    </row>
    <row r="137" spans="1:16" x14ac:dyDescent="0.3">
      <c r="A137" s="280"/>
      <c r="B137" s="82" t="s">
        <v>88</v>
      </c>
      <c r="C137" s="11" t="s">
        <v>3</v>
      </c>
      <c r="D137" s="141">
        <f>Mulanje!D137+Luchenza!D137+Thyolo!D137+Muloza!D137+MUST!D137+Phalombe!D137+Mikolongwe!D137+Migowi!D137</f>
        <v>0</v>
      </c>
      <c r="E137" s="141">
        <f>Mulanje!E137+Luchenza!E137+Thyolo!E137+Muloza!E137+MUST!E137+Phalombe!E137+Mikolongwe!E137+Migowi!E137</f>
        <v>0</v>
      </c>
      <c r="F137" s="141">
        <f>Mulanje!F137+Luchenza!F137+Thyolo!F137+Muloza!F137+MUST!F137+Phalombe!F137+Mikolongwe!F137+Migowi!F137</f>
        <v>1</v>
      </c>
      <c r="G137" s="141">
        <f>Mulanje!G137+Luchenza!G137+Thyolo!G137+Muloza!G137+MUST!G137+Phalombe!G137+Mikolongwe!G137+Migowi!G137</f>
        <v>0</v>
      </c>
      <c r="H137" s="141">
        <f>Mulanje!H137+Luchenza!H137+Thyolo!H137+Muloza!H137+MUST!H137+Phalombe!H137+Mikolongwe!H137+Migowi!H137</f>
        <v>0</v>
      </c>
      <c r="I137" s="141">
        <f>Mulanje!I137+Luchenza!I137+Thyolo!I137+Muloza!I137+MUST!I137+Phalombe!I137+Mikolongwe!I137+Migowi!I137</f>
        <v>0</v>
      </c>
      <c r="J137" s="141">
        <f>Mulanje!J137+Luchenza!J137+Thyolo!J137+Muloza!J137+MUST!J137+Phalombe!J137+Mikolongwe!J137+Migowi!J137</f>
        <v>0</v>
      </c>
      <c r="K137" s="141">
        <f>Mulanje!K137+Luchenza!K137+Thyolo!K137+Muloza!K137+MUST!K137+Phalombe!K137+Mikolongwe!K137+Migowi!K137</f>
        <v>0</v>
      </c>
      <c r="L137" s="141">
        <f>Mulanje!L137+Luchenza!L137+Thyolo!L137+Muloza!L137+MUST!L137+Phalombe!L137+Mikolongwe!L137+Migowi!L137</f>
        <v>0</v>
      </c>
      <c r="M137" s="131">
        <f>Mulanje!M137+Luchenza!M137+Thyolo!M137+Muloza!M137+MUST!M137+Phalombe!M137+Mikolongwe!M137+Migowi!M137+Nkando!M137</f>
        <v>1</v>
      </c>
      <c r="N137" s="131">
        <f>Mulanje!N137+Luchenza!N137+Thyolo!N137+Muloza!N137+MUST!N137+Phalombe!N137+Mikolongwe!N137+Migowi!N137+Nkando!N137</f>
        <v>0</v>
      </c>
      <c r="O137" s="131">
        <f>Mulanje!O137+Luchenza!O137+Thyolo!O137+Muloza!O137+MUST!O137+Phalombe!O137+Mikolongwe!O137+Migowi!O137+Nkando!O137</f>
        <v>1</v>
      </c>
      <c r="P137" s="74">
        <f>SUM(D137:O137)</f>
        <v>3</v>
      </c>
    </row>
    <row r="138" spans="1:16" x14ac:dyDescent="0.3">
      <c r="A138" s="280"/>
      <c r="B138" s="24" t="s">
        <v>82</v>
      </c>
      <c r="C138" s="11" t="s">
        <v>3</v>
      </c>
      <c r="D138" s="141">
        <f>Mulanje!D138+Luchenza!D138+Thyolo!D138+Muloza!D138+MUST!D138+Phalombe!D138+Mikolongwe!D138+Migowi!D138</f>
        <v>0</v>
      </c>
      <c r="E138" s="141">
        <f>Mulanje!E138+Luchenza!E138+Thyolo!E138+Muloza!E138+MUST!E138+Phalombe!E138+Mikolongwe!E138+Migowi!E138</f>
        <v>0</v>
      </c>
      <c r="F138" s="141">
        <f>Mulanje!F138+Luchenza!F138+Thyolo!F138+Muloza!F138+MUST!F138+Phalombe!F138+Mikolongwe!F138+Migowi!F138</f>
        <v>0</v>
      </c>
      <c r="G138" s="141">
        <f>Mulanje!G138+Luchenza!G138+Thyolo!G138+Muloza!G138+MUST!G138+Phalombe!G138+Mikolongwe!G138+Migowi!G138</f>
        <v>0</v>
      </c>
      <c r="H138" s="141">
        <f>Mulanje!H138+Luchenza!H138+Thyolo!H138+Muloza!H138+MUST!H138+Phalombe!H138+Mikolongwe!H138+Migowi!H138</f>
        <v>0</v>
      </c>
      <c r="I138" s="141">
        <f>Mulanje!I138+Luchenza!I138+Thyolo!I138+Muloza!I138+MUST!I138+Phalombe!I138+Mikolongwe!I138+Migowi!I138</f>
        <v>0</v>
      </c>
      <c r="J138" s="141">
        <f>Mulanje!J138+Luchenza!J138+Thyolo!J138+Muloza!J138+MUST!J138+Phalombe!J138+Mikolongwe!J138+Migowi!J138</f>
        <v>0</v>
      </c>
      <c r="K138" s="141">
        <f>Mulanje!K138+Luchenza!K138+Thyolo!K138+Muloza!K138+MUST!K138+Phalombe!K138+Mikolongwe!K138+Migowi!K138</f>
        <v>0</v>
      </c>
      <c r="L138" s="141">
        <f>Mulanje!L138+Luchenza!L138+Thyolo!L138+Muloza!L138+MUST!L138+Phalombe!L138+Mikolongwe!L138+Migowi!L138</f>
        <v>0</v>
      </c>
      <c r="M138" s="131">
        <f>Mulanje!M138+Luchenza!M138+Thyolo!M138+Muloza!M138+MUST!M138+Phalombe!M138+Mikolongwe!M138+Migowi!M138+Nkando!M138</f>
        <v>0</v>
      </c>
      <c r="N138" s="131">
        <f>Mulanje!N138+Luchenza!N138+Thyolo!N138+Muloza!N138+MUST!N138+Phalombe!N138+Mikolongwe!N138+Migowi!N138+Nkando!N138</f>
        <v>0</v>
      </c>
      <c r="O138" s="131">
        <f>Mulanje!O138+Luchenza!O138+Thyolo!O138+Muloza!O138+MUST!O138+Phalombe!O138+Mikolongwe!O138+Migowi!O138+Nkando!O138</f>
        <v>0</v>
      </c>
      <c r="P138" s="74">
        <f>SUM(D138:O138)</f>
        <v>0</v>
      </c>
    </row>
    <row r="139" spans="1:16" x14ac:dyDescent="0.3">
      <c r="A139" s="248"/>
      <c r="B139" s="24" t="s">
        <v>81</v>
      </c>
      <c r="C139" s="11" t="s">
        <v>3</v>
      </c>
      <c r="D139" s="139">
        <f>D135+D136-D137-D138</f>
        <v>0</v>
      </c>
      <c r="E139" s="139">
        <f>E135+E136-E137-E138</f>
        <v>1</v>
      </c>
      <c r="F139" s="139">
        <f>F135+F136-F137-F138</f>
        <v>0</v>
      </c>
      <c r="G139" s="139">
        <f>G135+G136-G137-G138</f>
        <v>0</v>
      </c>
      <c r="H139" s="139">
        <f>H135+H136-H137-H138</f>
        <v>0</v>
      </c>
      <c r="I139" s="139">
        <f t="shared" ref="I139:O139" si="67">I135+I136-I137-I138</f>
        <v>0</v>
      </c>
      <c r="J139" s="139">
        <f t="shared" si="67"/>
        <v>0</v>
      </c>
      <c r="K139" s="139">
        <f t="shared" si="67"/>
        <v>0</v>
      </c>
      <c r="L139" s="139">
        <f t="shared" si="67"/>
        <v>0</v>
      </c>
      <c r="M139" s="139">
        <f t="shared" si="67"/>
        <v>1</v>
      </c>
      <c r="N139" s="139">
        <f t="shared" si="67"/>
        <v>0</v>
      </c>
      <c r="O139" s="139">
        <f t="shared" si="67"/>
        <v>0</v>
      </c>
      <c r="P139" s="35">
        <f>P135+P136-P137-P138</f>
        <v>0</v>
      </c>
    </row>
    <row r="140" spans="1:16" x14ac:dyDescent="0.3">
      <c r="A140" s="247" t="s">
        <v>87</v>
      </c>
      <c r="B140" s="24" t="s">
        <v>85</v>
      </c>
      <c r="C140" s="11" t="s">
        <v>3</v>
      </c>
      <c r="D140" s="141">
        <f>Mulanje!D140+Luchenza!D140+Thyolo!D140+Muloza!D140+MUST!D140+Phalombe!D140+Mikolongwe!D140+Migowi!D140</f>
        <v>288</v>
      </c>
      <c r="E140" s="141">
        <f>Mulanje!E140+Luchenza!E140+Thyolo!E140+Muloza!E140+MUST!E140+Phalombe!E140+Mikolongwe!E140+Migowi!E140</f>
        <v>369</v>
      </c>
      <c r="F140" s="141">
        <f>Mulanje!F140+Luchenza!F140+Thyolo!F140+Muloza!F140+MUST!F140+Phalombe!F140+Mikolongwe!F140+Migowi!F140</f>
        <v>272</v>
      </c>
      <c r="G140" s="141">
        <f>Mulanje!G140+Luchenza!G140+Thyolo!G140+Muloza!G140+MUST!G140+Phalombe!G140+Mikolongwe!G140+Migowi!G140</f>
        <v>205</v>
      </c>
      <c r="H140" s="141">
        <f>Mulanje!H140+Luchenza!H140+Thyolo!H140+Muloza!H140+MUST!H140+Phalombe!H140+Mikolongwe!H140+Migowi!H140</f>
        <v>292</v>
      </c>
      <c r="I140" s="141">
        <f>Mulanje!I140+Luchenza!I140+Thyolo!I140+Muloza!I140+MUST!I140+Phalombe!I140+Mikolongwe!I140+Migowi!I140</f>
        <v>202</v>
      </c>
      <c r="J140" s="141">
        <f>Mulanje!J140+Luchenza!J140+Thyolo!J140+Muloza!J140+MUST!J140+Phalombe!J140+Mikolongwe!J140+Migowi!J140</f>
        <v>197</v>
      </c>
      <c r="K140" s="141">
        <f>Mulanje!K140+Luchenza!K140+Thyolo!K140+Muloza!K140+MUST!K140+Phalombe!K140+Mikolongwe!K140+Migowi!K140</f>
        <v>169</v>
      </c>
      <c r="L140" s="141">
        <f>Mulanje!L140+Luchenza!L140+Thyolo!L140+Muloza!L140+MUST!L141+Phalombe!L140+Mikolongwe!L140+Migowi!L140</f>
        <v>167</v>
      </c>
      <c r="M140" s="131">
        <f>Mulanje!M140+Luchenza!M140+Thyolo!M140+Muloza!M140+MUST!M140+Phalombe!M140+Mikolongwe!M140+Migowi!M140+Nkando!M140</f>
        <v>303</v>
      </c>
      <c r="N140" s="131">
        <f>Mulanje!N140+Luchenza!N140+Thyolo!N140+Muloza!N140+MUST!N140+Phalombe!N140+Mikolongwe!N140+Migowi!N140+Nkando!N140</f>
        <v>118</v>
      </c>
      <c r="O140" s="131">
        <f>Mulanje!O140+Luchenza!O140+Thyolo!O140+Muloza!O140+MUST!O140+Phalombe!O140+Mikolongwe!O140+Migowi!O140+Nkando!O140</f>
        <v>130</v>
      </c>
      <c r="P140" s="35">
        <f>D140</f>
        <v>288</v>
      </c>
    </row>
    <row r="141" spans="1:16" x14ac:dyDescent="0.3">
      <c r="A141" s="280"/>
      <c r="B141" s="24" t="s">
        <v>84</v>
      </c>
      <c r="C141" s="11" t="s">
        <v>3</v>
      </c>
      <c r="D141" s="141">
        <f>Mulanje!D141+Luchenza!D141+Thyolo!D141+Muloza!D141+MUST!D141+Phalombe!D141+Mikolongwe!D141+Migowi!D141</f>
        <v>101</v>
      </c>
      <c r="E141" s="141">
        <f>Mulanje!E141+Luchenza!E141+Thyolo!E141+Muloza!E141+MUST!E141+Phalombe!E141+Mikolongwe!E141+Migowi!E141</f>
        <v>64</v>
      </c>
      <c r="F141" s="141">
        <f>Mulanje!F141+Luchenza!F141+Thyolo!F141+Muloza!F141+MUST!F141+Phalombe!F141+Mikolongwe!F141+Migowi!F141</f>
        <v>41</v>
      </c>
      <c r="G141" s="141">
        <f>Mulanje!G141+Luchenza!G141+Thyolo!G141+Muloza!G141+MUST!G141+Phalombe!G141+Mikolongwe!G141+Migowi!G141</f>
        <v>146</v>
      </c>
      <c r="H141" s="141">
        <f>Mulanje!H141+Luchenza!H141+Thyolo!H141+Muloza!H141+MUST!H141+Phalombe!H141+Mikolongwe!H141+Migowi!H141</f>
        <v>57</v>
      </c>
      <c r="I141" s="141">
        <f>Mulanje!I141+Luchenza!I141+Thyolo!I141+Muloza!I141+MUST!I141+Phalombe!I141+Mikolongwe!I141+Migowi!I141</f>
        <v>90</v>
      </c>
      <c r="J141" s="141">
        <f>Mulanje!J141+Luchenza!J141+Thyolo!J141+Muloza!J141+MUST!J141+Phalombe!J141+Mikolongwe!J141+Migowi!J141</f>
        <v>45</v>
      </c>
      <c r="K141" s="141">
        <f>Mulanje!K141+Luchenza!K141+Thyolo!K141+Muloza!K141+MUST!K141+Phalombe!K141+Mikolongwe!K141+Migowi!K141</f>
        <v>46</v>
      </c>
      <c r="L141" s="141">
        <f>Mulanje!L141+Luchenza!L141+Thyolo!L141+Muloza!L141+MUST!L142+Phalombe!L141+Mikolongwe!L141+Migowi!L141</f>
        <v>73</v>
      </c>
      <c r="M141" s="131">
        <f>Mulanje!M141+Luchenza!M141+Thyolo!M141+Muloza!M141+MUST!M141+Phalombe!M141+Mikolongwe!M141+Migowi!M141+Nkando!M141</f>
        <v>186</v>
      </c>
      <c r="N141" s="131">
        <f>Mulanje!N141+Luchenza!N141+Thyolo!N141+Muloza!N141+MUST!N141+Phalombe!N141+Mikolongwe!N141+Migowi!N141+Nkando!N141</f>
        <v>98</v>
      </c>
      <c r="O141" s="131">
        <f>Mulanje!O141+Luchenza!O141+Thyolo!O141+Muloza!O141+MUST!O141+Phalombe!O141+Mikolongwe!O141+Migowi!O141+Nkando!O141</f>
        <v>72</v>
      </c>
      <c r="P141" s="74">
        <f>SUM(D141:O141)</f>
        <v>1019</v>
      </c>
    </row>
    <row r="142" spans="1:16" x14ac:dyDescent="0.3">
      <c r="A142" s="280"/>
      <c r="B142" s="24" t="s">
        <v>83</v>
      </c>
      <c r="C142" s="11" t="s">
        <v>3</v>
      </c>
      <c r="D142" s="141">
        <f>Mulanje!D142+Luchenza!D142+Thyolo!D142+Muloza!D142+MUST!D142+Phalombe!D142+Mikolongwe!D142+Migowi!D142</f>
        <v>18</v>
      </c>
      <c r="E142" s="141">
        <f>Mulanje!E142+Luchenza!E142+Thyolo!E142+Muloza!E142+MUST!E142+Phalombe!E142+Mikolongwe!E142+Migowi!E142</f>
        <v>148</v>
      </c>
      <c r="F142" s="141">
        <f>Mulanje!F142+Luchenza!F142+Thyolo!F142+Muloza!F142+MUST!F142+Phalombe!F142+Mikolongwe!F142+Migowi!F142</f>
        <v>92</v>
      </c>
      <c r="G142" s="141">
        <f>Mulanje!G142+Luchenza!G142+Thyolo!G142+Muloza!G142+MUST!G142+Phalombe!G142+Mikolongwe!G142+Migowi!G142</f>
        <v>50</v>
      </c>
      <c r="H142" s="141">
        <f>Mulanje!H142+Luchenza!H142+Thyolo!H142+Muloza!H142+MUST!H142+Phalombe!H142+Mikolongwe!H142+Migowi!H142</f>
        <v>105</v>
      </c>
      <c r="I142" s="141">
        <f>Mulanje!I142+Luchenza!I142+Thyolo!I142+Muloza!I142+MUST!I142+Phalombe!I142+Mikolongwe!I142+Migowi!I142</f>
        <v>50</v>
      </c>
      <c r="J142" s="141">
        <f>Mulanje!J142+Luchenza!J142+Thyolo!J142+Muloza!J142+MUST!J142+Phalombe!J142+Mikolongwe!J142+Migowi!J142</f>
        <v>55</v>
      </c>
      <c r="K142" s="141">
        <f>Mulanje!K142+Luchenza!K142+Thyolo!K142+Muloza!K142+MUST!K142+Phalombe!K142+Mikolongwe!K142+Migowi!K142</f>
        <v>41</v>
      </c>
      <c r="L142" s="141">
        <f>Mulanje!L142+Luchenza!L142+Thyolo!L142+Muloza!L142+MUST!L143+Phalombe!L142+Mikolongwe!L142+Migowi!L142</f>
        <v>19</v>
      </c>
      <c r="M142" s="131">
        <f>Mulanje!M142+Luchenza!M142+Thyolo!M142+Muloza!M142+MUST!M142+Phalombe!M142+Mikolongwe!M142+Migowi!M142+Nkando!M142</f>
        <v>25</v>
      </c>
      <c r="N142" s="131">
        <f>Mulanje!N142+Luchenza!N142+Thyolo!N142+Muloza!N142+MUST!N142+Phalombe!N142+Mikolongwe!N142+Migowi!N142+Nkando!N142</f>
        <v>3</v>
      </c>
      <c r="O142" s="131">
        <f>Mulanje!O142+Luchenza!O142+Thyolo!O142+Muloza!O142+MUST!O142+Phalombe!O142+Mikolongwe!O142+Migowi!O142+Nkando!O142</f>
        <v>0</v>
      </c>
      <c r="P142" s="74">
        <f>SUM(D142:O142)</f>
        <v>606</v>
      </c>
    </row>
    <row r="143" spans="1:16" x14ac:dyDescent="0.3">
      <c r="A143" s="280"/>
      <c r="B143" s="24" t="s">
        <v>82</v>
      </c>
      <c r="C143" s="11" t="s">
        <v>3</v>
      </c>
      <c r="D143" s="141">
        <f>Mulanje!D143+Luchenza!D143+Thyolo!D143+Muloza!D143+MUST!D143+Phalombe!D143+Mikolongwe!D143+Migowi!D143</f>
        <v>2</v>
      </c>
      <c r="E143" s="141">
        <f>Mulanje!E143+Luchenza!E143+Thyolo!E143+Muloza!E143+MUST!E143+Phalombe!E143+Mikolongwe!E143+Migowi!E143</f>
        <v>13</v>
      </c>
      <c r="F143" s="141">
        <f>Mulanje!F143+Luchenza!F143+Thyolo!F143+Muloza!F143+MUST!F143+Phalombe!F143+Mikolongwe!F143+Migowi!F143</f>
        <v>16</v>
      </c>
      <c r="G143" s="141">
        <f>Mulanje!G143+Luchenza!G143+Thyolo!G143+Muloza!G143+MUST!G143+Phalombe!G143+Mikolongwe!G143+Migowi!G143</f>
        <v>9</v>
      </c>
      <c r="H143" s="141">
        <f>Mulanje!H143+Luchenza!H143+Thyolo!H143+Muloza!H143+MUST!H143+Phalombe!H143+Mikolongwe!H143+Migowi!H143</f>
        <v>42</v>
      </c>
      <c r="I143" s="141">
        <f>Mulanje!I143+Luchenza!I143+Thyolo!I143+Muloza!I143+MUST!I143+Phalombe!I143+Mikolongwe!I143+Migowi!I143</f>
        <v>45</v>
      </c>
      <c r="J143" s="141">
        <f>Mulanje!J143+Luchenza!J143+Thyolo!J143+Muloza!J143+MUST!J143+Phalombe!J143+Mikolongwe!J143+Migowi!J143</f>
        <v>18</v>
      </c>
      <c r="K143" s="141">
        <f>Mulanje!K143+Luchenza!K143+Thyolo!K143+Muloza!K143+MUST!K143+Phalombe!K143+Mikolongwe!K143+Migowi!K143</f>
        <v>5</v>
      </c>
      <c r="L143" s="141">
        <f>Mulanje!L143+Luchenza!L143+Thyolo!L143+Muloza!L143+MUST!L144+Phalombe!L143+Mikolongwe!L143+Migowi!L143</f>
        <v>31</v>
      </c>
      <c r="M143" s="131">
        <f>Mulanje!M143+Luchenza!M143+Thyolo!M143+Muloza!M143+MUST!M143+Phalombe!M143+Mikolongwe!M143+Migowi!M143+Nkando!M143</f>
        <v>346</v>
      </c>
      <c r="N143" s="131">
        <f>Mulanje!N143+Luchenza!N143+Thyolo!N143+Muloza!N143+MUST!N143+Phalombe!N143+Mikolongwe!N143+Migowi!N143+Nkando!N143</f>
        <v>83</v>
      </c>
      <c r="O143" s="131">
        <f>Mulanje!O143+Luchenza!O143+Thyolo!O143+Muloza!O143+MUST!O143+Phalombe!O143+Mikolongwe!O143+Migowi!O143+Nkando!O143</f>
        <v>27</v>
      </c>
      <c r="P143" s="74">
        <f>SUM(D143:O143)</f>
        <v>637</v>
      </c>
    </row>
    <row r="144" spans="1:16" x14ac:dyDescent="0.3">
      <c r="A144" s="248"/>
      <c r="B144" s="24" t="s">
        <v>81</v>
      </c>
      <c r="C144" s="11" t="s">
        <v>3</v>
      </c>
      <c r="D144" s="139">
        <f>D140+D141-D142-D143</f>
        <v>369</v>
      </c>
      <c r="E144" s="139">
        <f t="shared" ref="E144:O144" si="68">E140+E141-E142-E143</f>
        <v>272</v>
      </c>
      <c r="F144" s="139">
        <f t="shared" si="68"/>
        <v>205</v>
      </c>
      <c r="G144" s="139">
        <f t="shared" si="68"/>
        <v>292</v>
      </c>
      <c r="H144" s="139">
        <f t="shared" si="68"/>
        <v>202</v>
      </c>
      <c r="I144" s="139">
        <f t="shared" si="68"/>
        <v>197</v>
      </c>
      <c r="J144" s="139">
        <f t="shared" si="68"/>
        <v>169</v>
      </c>
      <c r="K144" s="139">
        <f t="shared" si="68"/>
        <v>169</v>
      </c>
      <c r="L144" s="139">
        <f t="shared" si="68"/>
        <v>190</v>
      </c>
      <c r="M144" s="139">
        <f t="shared" si="68"/>
        <v>118</v>
      </c>
      <c r="N144" s="139">
        <f t="shared" si="68"/>
        <v>130</v>
      </c>
      <c r="O144" s="139">
        <f t="shared" si="68"/>
        <v>175</v>
      </c>
      <c r="P144" s="35">
        <f>P140+P141-P142-P143</f>
        <v>64</v>
      </c>
    </row>
    <row r="145" spans="1:16" s="2" customFormat="1" x14ac:dyDescent="0.3">
      <c r="A145" s="247" t="s">
        <v>86</v>
      </c>
      <c r="B145" s="24" t="s">
        <v>85</v>
      </c>
      <c r="C145" s="11" t="s">
        <v>3</v>
      </c>
      <c r="D145" s="140">
        <f>D125+D130+D135+D140</f>
        <v>290</v>
      </c>
      <c r="E145" s="140">
        <f t="shared" ref="E145:O145" si="69">E125+E130+E135+E140</f>
        <v>373</v>
      </c>
      <c r="F145" s="140">
        <f t="shared" si="69"/>
        <v>273</v>
      </c>
      <c r="G145" s="140">
        <f t="shared" si="69"/>
        <v>205</v>
      </c>
      <c r="H145" s="140">
        <f t="shared" si="69"/>
        <v>292</v>
      </c>
      <c r="I145" s="140">
        <f t="shared" si="69"/>
        <v>202</v>
      </c>
      <c r="J145" s="140">
        <f t="shared" si="69"/>
        <v>199</v>
      </c>
      <c r="K145" s="140">
        <f t="shared" si="69"/>
        <v>169</v>
      </c>
      <c r="L145" s="140">
        <f t="shared" si="69"/>
        <v>168</v>
      </c>
      <c r="M145" s="140">
        <f t="shared" si="69"/>
        <v>312</v>
      </c>
      <c r="N145" s="140">
        <f t="shared" si="69"/>
        <v>129</v>
      </c>
      <c r="O145" s="140">
        <f t="shared" si="69"/>
        <v>137</v>
      </c>
      <c r="P145" s="109">
        <f t="shared" ref="P145:P149" si="70">P125+P130+P135+P140</f>
        <v>290</v>
      </c>
    </row>
    <row r="146" spans="1:16" x14ac:dyDescent="0.3">
      <c r="A146" s="280"/>
      <c r="B146" s="24" t="s">
        <v>84</v>
      </c>
      <c r="C146" s="11" t="s">
        <v>3</v>
      </c>
      <c r="D146" s="140">
        <f t="shared" ref="D146:O148" si="71">D126+D131+D136+D141</f>
        <v>108</v>
      </c>
      <c r="E146" s="140">
        <f t="shared" si="71"/>
        <v>65</v>
      </c>
      <c r="F146" s="140">
        <f t="shared" si="71"/>
        <v>41</v>
      </c>
      <c r="G146" s="140">
        <f t="shared" si="71"/>
        <v>148</v>
      </c>
      <c r="H146" s="140">
        <f t="shared" si="71"/>
        <v>57</v>
      </c>
      <c r="I146" s="140">
        <f t="shared" si="71"/>
        <v>92</v>
      </c>
      <c r="J146" s="140">
        <f t="shared" si="71"/>
        <v>46</v>
      </c>
      <c r="K146" s="140">
        <f t="shared" si="71"/>
        <v>47</v>
      </c>
      <c r="L146" s="140">
        <f t="shared" si="71"/>
        <v>73</v>
      </c>
      <c r="M146" s="140">
        <f t="shared" si="71"/>
        <v>191</v>
      </c>
      <c r="N146" s="140">
        <f t="shared" si="71"/>
        <v>98</v>
      </c>
      <c r="O146" s="140">
        <f t="shared" si="71"/>
        <v>73</v>
      </c>
      <c r="P146" s="109">
        <f t="shared" si="70"/>
        <v>1039</v>
      </c>
    </row>
    <row r="147" spans="1:16" x14ac:dyDescent="0.3">
      <c r="A147" s="280"/>
      <c r="B147" s="24" t="s">
        <v>83</v>
      </c>
      <c r="C147" s="11" t="s">
        <v>3</v>
      </c>
      <c r="D147" s="140">
        <f t="shared" si="71"/>
        <v>23</v>
      </c>
      <c r="E147" s="140">
        <f t="shared" si="71"/>
        <v>151</v>
      </c>
      <c r="F147" s="140">
        <f t="shared" si="71"/>
        <v>93</v>
      </c>
      <c r="G147" s="140">
        <f t="shared" si="71"/>
        <v>52</v>
      </c>
      <c r="H147" s="140">
        <f t="shared" si="71"/>
        <v>105</v>
      </c>
      <c r="I147" s="140">
        <f t="shared" si="71"/>
        <v>50</v>
      </c>
      <c r="J147" s="140">
        <f t="shared" si="71"/>
        <v>55</v>
      </c>
      <c r="K147" s="140">
        <f t="shared" si="71"/>
        <v>41</v>
      </c>
      <c r="L147" s="140">
        <f t="shared" si="71"/>
        <v>19</v>
      </c>
      <c r="M147" s="140">
        <f t="shared" si="71"/>
        <v>27</v>
      </c>
      <c r="N147" s="140">
        <f t="shared" si="71"/>
        <v>7</v>
      </c>
      <c r="O147" s="140">
        <f t="shared" si="71"/>
        <v>1</v>
      </c>
      <c r="P147" s="109">
        <f t="shared" si="70"/>
        <v>624</v>
      </c>
    </row>
    <row r="148" spans="1:16" x14ac:dyDescent="0.3">
      <c r="A148" s="280"/>
      <c r="B148" s="24" t="s">
        <v>82</v>
      </c>
      <c r="C148" s="11" t="s">
        <v>3</v>
      </c>
      <c r="D148" s="140">
        <f t="shared" si="71"/>
        <v>2</v>
      </c>
      <c r="E148" s="140">
        <f t="shared" si="71"/>
        <v>14</v>
      </c>
      <c r="F148" s="140">
        <f t="shared" si="71"/>
        <v>16</v>
      </c>
      <c r="G148" s="140">
        <f t="shared" si="71"/>
        <v>9</v>
      </c>
      <c r="H148" s="140">
        <f t="shared" si="71"/>
        <v>42</v>
      </c>
      <c r="I148" s="140">
        <f t="shared" si="71"/>
        <v>45</v>
      </c>
      <c r="J148" s="140">
        <f t="shared" si="71"/>
        <v>21</v>
      </c>
      <c r="K148" s="140">
        <f t="shared" si="71"/>
        <v>5</v>
      </c>
      <c r="L148" s="140">
        <f t="shared" si="71"/>
        <v>31</v>
      </c>
      <c r="M148" s="140">
        <f t="shared" si="71"/>
        <v>346</v>
      </c>
      <c r="N148" s="140">
        <f t="shared" si="71"/>
        <v>83</v>
      </c>
      <c r="O148" s="140">
        <f t="shared" si="71"/>
        <v>27</v>
      </c>
      <c r="P148" s="109">
        <f t="shared" si="70"/>
        <v>641</v>
      </c>
    </row>
    <row r="149" spans="1:16" x14ac:dyDescent="0.3">
      <c r="A149" s="248"/>
      <c r="B149" s="24" t="s">
        <v>81</v>
      </c>
      <c r="C149" s="11" t="s">
        <v>3</v>
      </c>
      <c r="D149" s="139">
        <f>D145+D146-D147-D148</f>
        <v>373</v>
      </c>
      <c r="E149" s="139">
        <f t="shared" ref="E149:O149" si="72">E145+E146-E147-E148</f>
        <v>273</v>
      </c>
      <c r="F149" s="139">
        <f t="shared" si="72"/>
        <v>205</v>
      </c>
      <c r="G149" s="139">
        <f t="shared" si="72"/>
        <v>292</v>
      </c>
      <c r="H149" s="139">
        <f t="shared" si="72"/>
        <v>202</v>
      </c>
      <c r="I149" s="139">
        <f t="shared" si="72"/>
        <v>199</v>
      </c>
      <c r="J149" s="139">
        <f t="shared" si="72"/>
        <v>169</v>
      </c>
      <c r="K149" s="139">
        <f t="shared" si="72"/>
        <v>170</v>
      </c>
      <c r="L149" s="139">
        <f t="shared" si="72"/>
        <v>191</v>
      </c>
      <c r="M149" s="139">
        <f t="shared" si="72"/>
        <v>130</v>
      </c>
      <c r="N149" s="139">
        <f t="shared" si="72"/>
        <v>137</v>
      </c>
      <c r="O149" s="139">
        <f t="shared" si="72"/>
        <v>182</v>
      </c>
      <c r="P149" s="109">
        <f t="shared" si="70"/>
        <v>64</v>
      </c>
    </row>
    <row r="150" spans="1:16" ht="14.4" x14ac:dyDescent="0.3">
      <c r="A150" s="281" t="s">
        <v>80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3"/>
    </row>
    <row r="151" spans="1:16" x14ac:dyDescent="0.3">
      <c r="A151" s="237" t="s">
        <v>79</v>
      </c>
      <c r="B151" s="238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9"/>
    </row>
    <row r="152" spans="1:16" x14ac:dyDescent="0.3">
      <c r="A152" s="291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9"/>
    </row>
    <row r="153" spans="1:16" x14ac:dyDescent="0.3">
      <c r="A153" s="292"/>
      <c r="B153" s="19" t="s">
        <v>73</v>
      </c>
      <c r="C153" s="11" t="s">
        <v>57</v>
      </c>
      <c r="D153" s="141">
        <f>Mulanje!D153+Luchenza!D153+Thyolo!D153+Muloza!D153+MUST!D153+Phalombe!D153+Mikolongwe!D153+Migowi!D153</f>
        <v>153</v>
      </c>
      <c r="E153" s="141">
        <f>Mulanje!E153+Luchenza!E153+Thyolo!E153+Muloza!E153+MUST!E153+Phalombe!E153+Mikolongwe!E153+Migowi!E153</f>
        <v>181</v>
      </c>
      <c r="F153" s="141">
        <f>Mulanje!F153+Luchenza!F153+Thyolo!F153+Muloza!F153+MUST!F153+Phalombe!F153+Mikolongwe!F153+Migowi!F153</f>
        <v>167</v>
      </c>
      <c r="G153" s="141">
        <f>Mulanje!G153+Luchenza!G153+Thyolo!G153+Muloza!G153+MUST!G153+Phalombe!G153+Mikolongwe!G153+Migowi!G153</f>
        <v>171</v>
      </c>
      <c r="H153" s="141">
        <f>Mulanje!H153+Luchenza!H153+Thyolo!H153+Muloza!H153+MUST!H153+Phalombe!H153+Mikolongwe!H153+Migowi!H153</f>
        <v>190</v>
      </c>
      <c r="I153" s="141">
        <f>Mulanje!I153+Luchenza!I153+Thyolo!I153+Muloza!I153+MUST!I153+Phalombe!I153+Mikolongwe!I153+Migowi!I153</f>
        <v>151</v>
      </c>
      <c r="J153" s="141">
        <f>Mulanje!J153+Luchenza!J153+Thyolo!J153+Muloza!J153+MUST!J153+Phalombe!J153+Mikolongwe!J153+Migowi!J153</f>
        <v>178</v>
      </c>
      <c r="K153" s="141">
        <f>Mulanje!K153+Luchenza!K153+Thyolo!K153+Muloza!K153+MUST!K153+Phalombe!K153+Mikolongwe!K153+Migowi!K153</f>
        <v>177</v>
      </c>
      <c r="L153" s="141">
        <f>Mulanje!L153+Luchenza!L153+Thyolo!L153+Muloza!L153+MUST!L153+Phalombe!L153+Mikolongwe!L153+Migowi!L153</f>
        <v>162</v>
      </c>
      <c r="M153" s="131">
        <f>Mulanje!M153+Luchenza!M153+Thyolo!M153+Muloza!M153+MUST!M153+Phalombe!M153+Mikolongwe!M153+Migowi!M153+Nkando!M153</f>
        <v>194</v>
      </c>
      <c r="N153" s="131">
        <f>Mulanje!N153+Luchenza!N153+Thyolo!N153+Muloza!N153+MUST!N153+Phalombe!N153+Mikolongwe!N153+Migowi!N153+Nkando!N153</f>
        <v>178</v>
      </c>
      <c r="O153" s="131">
        <f>Mulanje!O153+Luchenza!O153+Thyolo!O153+Muloza!O153+MUST!O153+Phalombe!O153+Mikolongwe!O153+Migowi!O153+Nkando!O153</f>
        <v>182</v>
      </c>
      <c r="P153" s="74">
        <f t="shared" ref="P153:P165" si="73">SUM(D153:O153)</f>
        <v>2084</v>
      </c>
    </row>
    <row r="154" spans="1:16" x14ac:dyDescent="0.3">
      <c r="A154" s="292"/>
      <c r="B154" s="19" t="s">
        <v>72</v>
      </c>
      <c r="C154" s="11" t="s">
        <v>57</v>
      </c>
      <c r="D154" s="141">
        <f>Mulanje!D154+Luchenza!D154+Thyolo!D154+Muloza!D154+MUST!D154+Phalombe!D154+Mikolongwe!D154+Migowi!D154</f>
        <v>79</v>
      </c>
      <c r="E154" s="141">
        <f>Mulanje!E154+Luchenza!E154+Thyolo!E154+Muloza!E154+MUST!E154+Phalombe!E154+Mikolongwe!E154+Migowi!E154</f>
        <v>91</v>
      </c>
      <c r="F154" s="141">
        <f>Mulanje!F154+Luchenza!F154+Thyolo!F154+Muloza!F154+MUST!F154+Phalombe!F154+Mikolongwe!F154+Migowi!F154</f>
        <v>85</v>
      </c>
      <c r="G154" s="141">
        <f>Mulanje!G154+Luchenza!G154+Thyolo!G154+Muloza!G154+MUST!G154+Phalombe!G154+Mikolongwe!G154+Migowi!G154</f>
        <v>88</v>
      </c>
      <c r="H154" s="141">
        <f>Mulanje!H154+Luchenza!H154+Thyolo!H154+Muloza!H154+MUST!H154+Phalombe!H154+Mikolongwe!H154+Migowi!H154</f>
        <v>76</v>
      </c>
      <c r="I154" s="141">
        <f>Mulanje!I154+Luchenza!I154+Thyolo!I154+Muloza!I154+MUST!I154+Phalombe!I154+Mikolongwe!I154+Migowi!I154</f>
        <v>68</v>
      </c>
      <c r="J154" s="141">
        <f>Mulanje!J154+Luchenza!J154+Thyolo!J154+Muloza!J154+MUST!J154+Phalombe!J154+Mikolongwe!J154+Migowi!J154</f>
        <v>79</v>
      </c>
      <c r="K154" s="141">
        <f>Mulanje!K154+Luchenza!K154+Thyolo!K154+Muloza!K154+MUST!K154+Phalombe!K154+Mikolongwe!K154+Migowi!K154</f>
        <v>81</v>
      </c>
      <c r="L154" s="141">
        <f>Mulanje!L154+Luchenza!L154+Thyolo!L154+Muloza!L154+MUST!L154+Phalombe!L154+Mikolongwe!L154+Migowi!L154</f>
        <v>87</v>
      </c>
      <c r="M154" s="131">
        <f>Mulanje!M154+Luchenza!M154+Thyolo!M154+Muloza!M154+MUST!M154+Phalombe!M154+Mikolongwe!M154+Migowi!M154+Nkando!M154</f>
        <v>112</v>
      </c>
      <c r="N154" s="131">
        <f>Mulanje!N154+Luchenza!N154+Thyolo!N154+Muloza!N154+MUST!N154+Phalombe!N154+Mikolongwe!N154+Migowi!N154+Nkando!N154</f>
        <v>112</v>
      </c>
      <c r="O154" s="131">
        <f>Mulanje!O154+Luchenza!O154+Thyolo!O154+Muloza!O154+MUST!O154+Phalombe!O154+Mikolongwe!O154+Migowi!O154+Nkando!O154</f>
        <v>117</v>
      </c>
      <c r="P154" s="74">
        <f t="shared" si="73"/>
        <v>1075</v>
      </c>
    </row>
    <row r="155" spans="1:16" x14ac:dyDescent="0.3">
      <c r="A155" s="292"/>
      <c r="B155" s="19" t="s">
        <v>53</v>
      </c>
      <c r="C155" s="11" t="s">
        <v>57</v>
      </c>
      <c r="D155" s="141">
        <f>Mulanje!D155+Luchenza!D155+Thyolo!D155+Muloza!D155+MUST!D155+Phalombe!D155+Mikolongwe!D155+Migowi!D155</f>
        <v>53</v>
      </c>
      <c r="E155" s="141">
        <f>Mulanje!E155+Luchenza!E155+Thyolo!E155+Muloza!E155+MUST!E155+Phalombe!E155+Mikolongwe!E155+Migowi!E155</f>
        <v>38</v>
      </c>
      <c r="F155" s="141">
        <f>Mulanje!F155+Luchenza!F155+Thyolo!F155+Muloza!F155+MUST!F155+Phalombe!F155+Mikolongwe!F155+Migowi!F155</f>
        <v>43</v>
      </c>
      <c r="G155" s="141">
        <f>Mulanje!G155+Luchenza!G155+Thyolo!G155+Muloza!G155+MUST!G155+Phalombe!G155+Mikolongwe!G155+Migowi!G155</f>
        <v>39</v>
      </c>
      <c r="H155" s="141">
        <f>Mulanje!H155+Luchenza!H155+Thyolo!H155+Muloza!H155+MUST!H155+Phalombe!H155+Mikolongwe!H155+Migowi!H155</f>
        <v>42</v>
      </c>
      <c r="I155" s="141">
        <f>Mulanje!I155+Luchenza!I155+Thyolo!I155+Muloza!I155+MUST!I155+Phalombe!I155+Mikolongwe!I155+Migowi!I155</f>
        <v>44</v>
      </c>
      <c r="J155" s="141">
        <f>Mulanje!J155+Luchenza!J155+Thyolo!J155+Muloza!J155+MUST!J155+Phalombe!J155+Mikolongwe!J155+Migowi!J155</f>
        <v>39</v>
      </c>
      <c r="K155" s="141">
        <f>Mulanje!K155+Luchenza!K155+Thyolo!K155+Muloza!K155+MUST!K155+Phalombe!K155+Mikolongwe!K155+Migowi!K155</f>
        <v>41</v>
      </c>
      <c r="L155" s="141">
        <f>Mulanje!L155+Luchenza!L155+Thyolo!L155+Muloza!L155+MUST!L155+Phalombe!L155+Mikolongwe!L155+Migowi!L155</f>
        <v>38</v>
      </c>
      <c r="M155" s="131">
        <f>Mulanje!M155+Luchenza!M155+Thyolo!M155+Muloza!M155+MUST!M155+Phalombe!M155+Mikolongwe!M155+Migowi!M155+Nkando!M155</f>
        <v>41</v>
      </c>
      <c r="N155" s="131">
        <f>Mulanje!N155+Luchenza!N155+Thyolo!N155+Muloza!N155+MUST!N155+Phalombe!N155+Mikolongwe!N155+Migowi!N155+Nkando!N155</f>
        <v>39</v>
      </c>
      <c r="O155" s="131">
        <f>Mulanje!O155+Luchenza!O155+Thyolo!O155+Muloza!O155+MUST!O155+Phalombe!O155+Mikolongwe!O155+Migowi!O155+Nkando!O155</f>
        <v>46</v>
      </c>
      <c r="P155" s="74">
        <f t="shared" si="73"/>
        <v>503</v>
      </c>
    </row>
    <row r="156" spans="1:16" x14ac:dyDescent="0.3">
      <c r="A156" s="292"/>
      <c r="B156" s="19" t="s">
        <v>71</v>
      </c>
      <c r="C156" s="11" t="s">
        <v>57</v>
      </c>
      <c r="D156" s="141">
        <f>Mulanje!D156+Luchenza!D156+Thyolo!D156+Muloza!D156+MUST!D156+Phalombe!D156+Mikolongwe!D156+Migowi!D156</f>
        <v>9</v>
      </c>
      <c r="E156" s="141">
        <f>Mulanje!E156+Luchenza!E156+Thyolo!E156+Muloza!E156+MUST!E156+Phalombe!E156+Mikolongwe!E156+Migowi!E156</f>
        <v>4</v>
      </c>
      <c r="F156" s="141">
        <f>Mulanje!F156+Luchenza!F156+Thyolo!F156+Muloza!F156+MUST!F156+Phalombe!F156+Mikolongwe!F156+Migowi!F156</f>
        <v>9</v>
      </c>
      <c r="G156" s="141">
        <f>Mulanje!G156+Luchenza!G156+Thyolo!G156+Muloza!G156+MUST!G156+Phalombe!G156+Mikolongwe!G156+Migowi!G156</f>
        <v>5</v>
      </c>
      <c r="H156" s="141">
        <f>Mulanje!H156+Luchenza!H156+Thyolo!H156+Muloza!H156+MUST!H156+Phalombe!H156+Mikolongwe!H156+Migowi!H156</f>
        <v>9</v>
      </c>
      <c r="I156" s="141">
        <f>Mulanje!I156+Luchenza!I156+Thyolo!I156+Muloza!I156+MUST!I156+Phalombe!I156+Mikolongwe!I156+Migowi!I156</f>
        <v>0</v>
      </c>
      <c r="J156" s="141">
        <f>Mulanje!J156+Luchenza!J156+Thyolo!J156+Muloza!J156+MUST!J156+Phalombe!J156+Mikolongwe!J156+Migowi!J156</f>
        <v>4</v>
      </c>
      <c r="K156" s="141">
        <f>Mulanje!K156+Luchenza!K156+Thyolo!K156+Muloza!K156+MUST!K156+Phalombe!K156+Mikolongwe!K156+Migowi!K156</f>
        <v>5</v>
      </c>
      <c r="L156" s="141">
        <f>Mulanje!L156+Luchenza!L156+Thyolo!L156+Muloza!L156+MUST!L156+Phalombe!L156+Mikolongwe!L156+Migowi!L156</f>
        <v>5</v>
      </c>
      <c r="M156" s="131">
        <f>Mulanje!M156+Luchenza!M156+Thyolo!M156+Muloza!M156+MUST!M156+Phalombe!M156+Mikolongwe!M156+Migowi!M156+Nkando!M156</f>
        <v>9</v>
      </c>
      <c r="N156" s="131">
        <f>Mulanje!N156+Luchenza!N156+Thyolo!N156+Muloza!N156+MUST!N156+Phalombe!N156+Mikolongwe!N156+Migowi!N156+Nkando!N156</f>
        <v>6</v>
      </c>
      <c r="O156" s="131">
        <f>Mulanje!O156+Luchenza!O156+Thyolo!O156+Muloza!O156+MUST!O156+Phalombe!O156+Mikolongwe!O156+Migowi!O156+Nkando!O156</f>
        <v>7</v>
      </c>
      <c r="P156" s="74">
        <f t="shared" si="73"/>
        <v>72</v>
      </c>
    </row>
    <row r="157" spans="1:16" x14ac:dyDescent="0.3">
      <c r="A157" s="292"/>
      <c r="B157" s="19" t="s">
        <v>52</v>
      </c>
      <c r="C157" s="11" t="s">
        <v>57</v>
      </c>
      <c r="D157" s="141">
        <f>Mulanje!D157+Luchenza!D157+Thyolo!D157+Muloza!D157+MUST!D157+Phalombe!D157+Mikolongwe!D157+Migowi!D157</f>
        <v>9</v>
      </c>
      <c r="E157" s="141">
        <f>Mulanje!E157+Luchenza!E157+Thyolo!E157+Muloza!E157+MUST!E157+Phalombe!E157+Mikolongwe!E157+Migowi!E157</f>
        <v>10</v>
      </c>
      <c r="F157" s="141">
        <f>Mulanje!F157+Luchenza!F157+Thyolo!F157+Muloza!F157+MUST!F157+Phalombe!F157+Mikolongwe!F157+Migowi!F157</f>
        <v>10</v>
      </c>
      <c r="G157" s="141">
        <f>Mulanje!G157+Luchenza!G157+Thyolo!G157+Muloza!G157+MUST!G157+Phalombe!G157+Mikolongwe!G157+Migowi!G157</f>
        <v>11</v>
      </c>
      <c r="H157" s="141">
        <f>Mulanje!H157+Luchenza!H157+Thyolo!H157+Muloza!H157+MUST!H157+Phalombe!H157+Mikolongwe!H157+Migowi!H157</f>
        <v>14</v>
      </c>
      <c r="I157" s="141">
        <f>Mulanje!I157+Luchenza!I157+Thyolo!I157+Muloza!I157+MUST!I157+Phalombe!I157+Mikolongwe!I157+Migowi!I157</f>
        <v>8</v>
      </c>
      <c r="J157" s="141">
        <f>Mulanje!J157+Luchenza!J157+Thyolo!J157+Muloza!J157+MUST!J157+Phalombe!J157+Mikolongwe!J157+Migowi!J157</f>
        <v>9</v>
      </c>
      <c r="K157" s="141">
        <f>Mulanje!K157+Luchenza!K157+Thyolo!K157+Muloza!K157+MUST!K157+Phalombe!K157+Mikolongwe!K157+Migowi!K157</f>
        <v>14</v>
      </c>
      <c r="L157" s="141">
        <f>Mulanje!L157+Luchenza!L157+Thyolo!L157+Muloza!L157+MUST!L157+Phalombe!L157+Mikolongwe!L157+Migowi!L157</f>
        <v>8</v>
      </c>
      <c r="M157" s="131">
        <f>Mulanje!M157+Luchenza!M157+Thyolo!M157+Muloza!M157+MUST!M157+Phalombe!M157+Mikolongwe!M157+Migowi!M157+Nkando!M157</f>
        <v>12</v>
      </c>
      <c r="N157" s="131">
        <f>Mulanje!N157+Luchenza!N157+Thyolo!N157+Muloza!N157+MUST!N157+Phalombe!N157+Mikolongwe!N157+Migowi!N157+Nkando!N157</f>
        <v>16</v>
      </c>
      <c r="O157" s="131">
        <f>Mulanje!O157+Luchenza!O157+Thyolo!O157+Muloza!O157+MUST!O157+Phalombe!O157+Mikolongwe!O157+Migowi!O157+Nkando!O157</f>
        <v>14</v>
      </c>
      <c r="P157" s="74">
        <f t="shared" si="73"/>
        <v>135</v>
      </c>
    </row>
    <row r="158" spans="1:16" x14ac:dyDescent="0.3">
      <c r="A158" s="292"/>
      <c r="B158" s="19" t="s">
        <v>51</v>
      </c>
      <c r="C158" s="11" t="s">
        <v>57</v>
      </c>
      <c r="D158" s="141">
        <f>Mulanje!D158+Luchenza!D158+Thyolo!D158+Muloza!D158+MUST!D158+Phalombe!D158+Mikolongwe!D158+Migowi!D158</f>
        <v>6</v>
      </c>
      <c r="E158" s="141">
        <f>Mulanje!E158+Luchenza!E158+Thyolo!E158+Muloza!E158+MUST!E158+Phalombe!E158+Mikolongwe!E158+Migowi!E158</f>
        <v>9</v>
      </c>
      <c r="F158" s="141">
        <f>Mulanje!F158+Luchenza!F158+Thyolo!F158+Muloza!F158+MUST!F158+Phalombe!F158+Mikolongwe!F158+Migowi!F158</f>
        <v>8</v>
      </c>
      <c r="G158" s="141">
        <f>Mulanje!G158+Luchenza!G158+Thyolo!G158+Muloza!G158+MUST!G158+Phalombe!G158+Mikolongwe!G158+Migowi!G158</f>
        <v>10</v>
      </c>
      <c r="H158" s="141">
        <f>Mulanje!H158+Luchenza!H158+Thyolo!H158+Muloza!H158+MUST!H158+Phalombe!H158+Mikolongwe!H158+Migowi!H158</f>
        <v>7</v>
      </c>
      <c r="I158" s="141">
        <f>Mulanje!I158+Luchenza!I158+Thyolo!I158+Muloza!I158+MUST!I158+Phalombe!I158+Mikolongwe!I158+Migowi!I158</f>
        <v>9</v>
      </c>
      <c r="J158" s="141">
        <f>Mulanje!J158+Luchenza!J158+Thyolo!J158+Muloza!J158+MUST!J158+Phalombe!J158+Mikolongwe!J158+Migowi!J158</f>
        <v>8</v>
      </c>
      <c r="K158" s="141">
        <f>Mulanje!K158+Luchenza!K158+Thyolo!K158+Muloza!K158+MUST!K158+Phalombe!K158+Mikolongwe!K158+Migowi!K158</f>
        <v>5</v>
      </c>
      <c r="L158" s="141">
        <f>Mulanje!L158+Luchenza!L158+Thyolo!L158+Muloza!L158+MUST!L158+Phalombe!L158+Mikolongwe!L158+Migowi!L158</f>
        <v>10</v>
      </c>
      <c r="M158" s="131">
        <f>Mulanje!M158+Luchenza!M158+Thyolo!M158+Muloza!M158+MUST!M158+Phalombe!M158+Mikolongwe!M158+Migowi!M158+Nkando!M158</f>
        <v>12</v>
      </c>
      <c r="N158" s="131">
        <f>Mulanje!N158+Luchenza!N158+Thyolo!N158+Muloza!N158+MUST!N158+Phalombe!N158+Mikolongwe!N158+Migowi!N158+Nkando!N158</f>
        <v>11</v>
      </c>
      <c r="O158" s="131">
        <f>Mulanje!O158+Luchenza!O158+Thyolo!O158+Muloza!O158+MUST!O158+Phalombe!O158+Mikolongwe!O158+Migowi!O158+Nkando!O158</f>
        <v>13</v>
      </c>
      <c r="P158" s="74">
        <f t="shared" si="73"/>
        <v>108</v>
      </c>
    </row>
    <row r="159" spans="1:16" x14ac:dyDescent="0.3">
      <c r="A159" s="292"/>
      <c r="B159" s="19" t="s">
        <v>62</v>
      </c>
      <c r="C159" s="11" t="s">
        <v>57</v>
      </c>
      <c r="D159" s="141">
        <f>Mulanje!D159+Luchenza!D159+Thyolo!D159+Muloza!D159+MUST!D159+Phalombe!D159+Mikolongwe!D159+Migowi!D159</f>
        <v>0</v>
      </c>
      <c r="E159" s="141">
        <f>Mulanje!E159+Luchenza!E159+Thyolo!E159+Muloza!E159+MUST!E159+Phalombe!E159+Mikolongwe!E159+Migowi!E159</f>
        <v>0</v>
      </c>
      <c r="F159" s="141">
        <f>Mulanje!F159+Luchenza!F159+Thyolo!F159+Muloza!F159+MUST!F159+Phalombe!F159+Mikolongwe!F159+Migowi!F159</f>
        <v>0</v>
      </c>
      <c r="G159" s="141">
        <f>Mulanje!G159+Luchenza!G159+Thyolo!G159+Muloza!G159+MUST!G159+Phalombe!G159+Mikolongwe!G159+Migowi!G159</f>
        <v>0</v>
      </c>
      <c r="H159" s="141">
        <f>Mulanje!H159+Luchenza!H159+Thyolo!H159+Muloza!H159+MUST!H159+Phalombe!H159+Mikolongwe!H159+Migowi!H159</f>
        <v>1</v>
      </c>
      <c r="I159" s="141">
        <f>Mulanje!I159+Luchenza!I159+Thyolo!I159+Muloza!I159+MUST!I159+Phalombe!I159+Mikolongwe!I159+Migowi!I159</f>
        <v>2</v>
      </c>
      <c r="J159" s="141">
        <f>Mulanje!J159+Luchenza!J159+Thyolo!J159+Muloza!J159+MUST!J159+Phalombe!J159+Mikolongwe!J159+Migowi!J159</f>
        <v>0</v>
      </c>
      <c r="K159" s="141">
        <f>Mulanje!K159+Luchenza!K159+Thyolo!K159+Muloza!K159+MUST!K159+Phalombe!K159+Mikolongwe!K159+Migowi!K159</f>
        <v>1</v>
      </c>
      <c r="L159" s="141">
        <f>Mulanje!L159+Luchenza!L159+Thyolo!L159+Muloza!L159+MUST!L159+Phalombe!L159+Mikolongwe!L159+Migowi!L159</f>
        <v>1</v>
      </c>
      <c r="M159" s="131">
        <f>Mulanje!M159+Luchenza!M159+Thyolo!M159+Muloza!M159+MUST!M159+Phalombe!M159+Mikolongwe!M159+Migowi!M159+Nkando!M159</f>
        <v>1</v>
      </c>
      <c r="N159" s="131">
        <f>Mulanje!N159+Luchenza!N159+Thyolo!N159+Muloza!N159+MUST!N159+Phalombe!N159+Mikolongwe!N159+Migowi!N159+Nkando!N159</f>
        <v>0</v>
      </c>
      <c r="O159" s="131">
        <f>Mulanje!O159+Luchenza!O159+Thyolo!O159+Muloza!O159+MUST!O159+Phalombe!O159+Mikolongwe!O159+Migowi!O159+Nkando!O159</f>
        <v>2</v>
      </c>
      <c r="P159" s="74">
        <f t="shared" si="73"/>
        <v>8</v>
      </c>
    </row>
    <row r="160" spans="1:16" x14ac:dyDescent="0.3">
      <c r="A160" s="292"/>
      <c r="B160" s="19" t="s">
        <v>50</v>
      </c>
      <c r="C160" s="11" t="s">
        <v>57</v>
      </c>
      <c r="D160" s="141">
        <f>Mulanje!D160+Luchenza!D160+Thyolo!D160+Muloza!D160+MUST!D160+Phalombe!D160+Mikolongwe!D160+Migowi!D160</f>
        <v>4</v>
      </c>
      <c r="E160" s="141">
        <f>Mulanje!E160+Luchenza!E160+Thyolo!E160+Muloza!E160+MUST!E160+Phalombe!E160+Mikolongwe!E160+Migowi!E160</f>
        <v>2</v>
      </c>
      <c r="F160" s="141">
        <f>Mulanje!F160+Luchenza!F160+Thyolo!F160+Muloza!F160+MUST!F160+Phalombe!F160+Mikolongwe!F160+Migowi!F160</f>
        <v>5</v>
      </c>
      <c r="G160" s="141">
        <f>Mulanje!G160+Luchenza!G160+Thyolo!G160+Muloza!G160+MUST!G160+Phalombe!G160+Mikolongwe!G160+Migowi!G160</f>
        <v>6</v>
      </c>
      <c r="H160" s="141">
        <f>Mulanje!H160+Luchenza!H160+Thyolo!H160+Muloza!H160+MUST!H160+Phalombe!H160+Mikolongwe!H160+Migowi!H160</f>
        <v>4</v>
      </c>
      <c r="I160" s="141">
        <f>Mulanje!I160+Luchenza!I160+Thyolo!I160+Muloza!I160+MUST!I160+Phalombe!I160+Mikolongwe!I160+Migowi!I160</f>
        <v>2</v>
      </c>
      <c r="J160" s="141">
        <f>Mulanje!J160+Luchenza!J160+Thyolo!J160+Muloza!J160+MUST!J160+Phalombe!J160+Mikolongwe!J160+Migowi!J160</f>
        <v>4</v>
      </c>
      <c r="K160" s="141">
        <f>Mulanje!K160+Luchenza!K160+Thyolo!K160+Muloza!K160+MUST!K160+Phalombe!K160+Mikolongwe!K160+Migowi!K160</f>
        <v>4</v>
      </c>
      <c r="L160" s="141">
        <f>Mulanje!L160+Luchenza!L160+Thyolo!L160+Muloza!L160+MUST!L160+Phalombe!L160+Mikolongwe!L160+Migowi!L160</f>
        <v>4</v>
      </c>
      <c r="M160" s="131">
        <f>Mulanje!M160+Luchenza!M160+Thyolo!M160+Muloza!M160+MUST!M160+Phalombe!M160+Mikolongwe!M160+Migowi!M160+Nkando!M160</f>
        <v>4</v>
      </c>
      <c r="N160" s="131">
        <f>Mulanje!N160+Luchenza!N160+Thyolo!N160+Muloza!N160+MUST!N160+Phalombe!N160+Mikolongwe!N160+Migowi!N160+Nkando!N160</f>
        <v>3</v>
      </c>
      <c r="O160" s="131">
        <f>Mulanje!O160+Luchenza!O160+Thyolo!O160+Muloza!O160+MUST!O160+Phalombe!O160+Mikolongwe!O160+Migowi!O160+Nkando!O160</f>
        <v>2</v>
      </c>
      <c r="P160" s="74">
        <f t="shared" si="73"/>
        <v>44</v>
      </c>
    </row>
    <row r="161" spans="1:16" x14ac:dyDescent="0.3">
      <c r="A161" s="292"/>
      <c r="B161" s="19" t="s">
        <v>49</v>
      </c>
      <c r="C161" s="11" t="s">
        <v>57</v>
      </c>
      <c r="D161" s="141">
        <f>Mulanje!D161+Luchenza!D161+Thyolo!D161+Muloza!D161+MUST!D161+Phalombe!D161+Mikolongwe!D161+Migowi!D161</f>
        <v>8</v>
      </c>
      <c r="E161" s="141">
        <f>Mulanje!E161+Luchenza!E161+Thyolo!E161+Muloza!E161+MUST!E161+Phalombe!E161+Mikolongwe!E161+Migowi!E161</f>
        <v>3</v>
      </c>
      <c r="F161" s="141">
        <f>Mulanje!F161+Luchenza!F161+Thyolo!F161+Muloza!F161+MUST!F161+Phalombe!F161+Mikolongwe!F161+Migowi!F161</f>
        <v>7</v>
      </c>
      <c r="G161" s="141">
        <f>Mulanje!G161+Luchenza!G161+Thyolo!G161+Muloza!G161+MUST!G161+Phalombe!G161+Mikolongwe!G161+Migowi!G161</f>
        <v>6</v>
      </c>
      <c r="H161" s="141">
        <f>Mulanje!H161+Luchenza!H161+Thyolo!H161+Muloza!H161+MUST!H161+Phalombe!H161+Mikolongwe!H161+Migowi!H161</f>
        <v>3</v>
      </c>
      <c r="I161" s="141">
        <f>Mulanje!I161+Luchenza!I161+Thyolo!I161+Muloza!I161+MUST!I161+Phalombe!I161+Mikolongwe!I161+Migowi!I161</f>
        <v>3</v>
      </c>
      <c r="J161" s="141">
        <f>Mulanje!J161+Luchenza!J161+Thyolo!J161+Muloza!J161+MUST!J161+Phalombe!J161+Mikolongwe!J161+Migowi!J161</f>
        <v>6</v>
      </c>
      <c r="K161" s="141">
        <f>Mulanje!K161+Luchenza!K161+Thyolo!K161+Muloza!K161+MUST!K161+Phalombe!K161+Mikolongwe!K161+Migowi!K161</f>
        <v>11</v>
      </c>
      <c r="L161" s="141">
        <f>Mulanje!L161+Luchenza!L161+Thyolo!L161+Muloza!L161+MUST!L161+Phalombe!L161+Mikolongwe!L161+Migowi!L161</f>
        <v>9</v>
      </c>
      <c r="M161" s="131">
        <f>Mulanje!M161+Luchenza!M161+Thyolo!M161+Muloza!M161+MUST!M161+Phalombe!M161+Mikolongwe!M161+Migowi!M161+Nkando!M161</f>
        <v>8</v>
      </c>
      <c r="N161" s="131">
        <f>Mulanje!N161+Luchenza!N161+Thyolo!N161+Muloza!N161+MUST!N161+Phalombe!N161+Mikolongwe!N161+Migowi!N161+Nkando!N161</f>
        <v>6</v>
      </c>
      <c r="O161" s="131">
        <f>Mulanje!O161+Luchenza!O161+Thyolo!O161+Muloza!O161+MUST!O161+Phalombe!O161+Mikolongwe!O161+Migowi!O161+Nkando!O161</f>
        <v>5</v>
      </c>
      <c r="P161" s="74">
        <f t="shared" si="73"/>
        <v>75</v>
      </c>
    </row>
    <row r="162" spans="1:16" x14ac:dyDescent="0.3">
      <c r="A162" s="292"/>
      <c r="B162" s="19" t="s">
        <v>77</v>
      </c>
      <c r="C162" s="11" t="s">
        <v>57</v>
      </c>
      <c r="D162" s="141">
        <f>Mulanje!D162+Luchenza!D162+Thyolo!D162+Muloza!D162+MUST!D162+Phalombe!D162+Mikolongwe!D162+Migowi!D162</f>
        <v>12</v>
      </c>
      <c r="E162" s="141">
        <f>Mulanje!E162+Luchenza!E162+Thyolo!E162+Muloza!E162+MUST!E162+Phalombe!E162+Mikolongwe!E162+Migowi!E162</f>
        <v>9</v>
      </c>
      <c r="F162" s="141">
        <f>Mulanje!F162+Luchenza!F162+Thyolo!F162+Muloza!F162+MUST!F162+Phalombe!F162+Mikolongwe!F162+Migowi!F162</f>
        <v>2</v>
      </c>
      <c r="G162" s="141">
        <f>Mulanje!G162+Luchenza!G162+Thyolo!G162+Muloza!G162+MUST!G162+Phalombe!G162+Mikolongwe!G162+Migowi!G162</f>
        <v>2</v>
      </c>
      <c r="H162" s="141">
        <f>Mulanje!H162+Luchenza!H162+Thyolo!H162+Muloza!H162+MUST!H162+Phalombe!H162+Mikolongwe!H162+Migowi!H162</f>
        <v>2</v>
      </c>
      <c r="I162" s="141">
        <f>Mulanje!I162+Luchenza!I162+Thyolo!I162+Muloza!I162+MUST!I162+Phalombe!I162+Mikolongwe!I162+Migowi!I162</f>
        <v>4</v>
      </c>
      <c r="J162" s="141">
        <f>Mulanje!J162+Luchenza!J162+Thyolo!J162+Muloza!J162+MUST!J162+Phalombe!J162+Mikolongwe!J162+Migowi!J162</f>
        <v>5</v>
      </c>
      <c r="K162" s="141">
        <f>Mulanje!K162+Luchenza!K162+Thyolo!K162+Muloza!K162+MUST!K162+Phalombe!K162+Mikolongwe!K162+Migowi!K162</f>
        <v>6</v>
      </c>
      <c r="L162" s="141">
        <f>Mulanje!L162+Luchenza!L162+Thyolo!L162+Muloza!L162+MUST!L162+Phalombe!L162+Mikolongwe!L162+Migowi!L162</f>
        <v>6</v>
      </c>
      <c r="M162" s="131">
        <f>Mulanje!M162+Luchenza!M162+Thyolo!M162+Muloza!M162+MUST!M162+Phalombe!M162+Mikolongwe!M162+Migowi!M162+Nkando!M162</f>
        <v>7</v>
      </c>
      <c r="N162" s="131">
        <f>Mulanje!N162+Luchenza!N162+Thyolo!N162+Muloza!N162+MUST!N162+Phalombe!N162+Mikolongwe!N162+Migowi!N162+Nkando!N162</f>
        <v>4</v>
      </c>
      <c r="O162" s="131">
        <f>Mulanje!O162+Luchenza!O162+Thyolo!O162+Muloza!O162+MUST!O162+Phalombe!O162+Mikolongwe!O162+Migowi!O162+Nkando!O162</f>
        <v>4</v>
      </c>
      <c r="P162" s="74">
        <f t="shared" si="73"/>
        <v>63</v>
      </c>
    </row>
    <row r="163" spans="1:16" x14ac:dyDescent="0.3">
      <c r="A163" s="292"/>
      <c r="B163" s="19" t="s">
        <v>69</v>
      </c>
      <c r="C163" s="11" t="s">
        <v>57</v>
      </c>
      <c r="D163" s="141">
        <f>Mulanje!D163+Luchenza!D163+Thyolo!D163+Muloza!D163+MUST!D163+Phalombe!D163+Mikolongwe!D163+Migowi!D163</f>
        <v>0</v>
      </c>
      <c r="E163" s="141">
        <f>Mulanje!E163+Luchenza!E163+Thyolo!E163+Muloza!E163+MUST!E163+Phalombe!E163+Mikolongwe!E163+Migowi!E163</f>
        <v>0</v>
      </c>
      <c r="F163" s="141">
        <f>Mulanje!F163+Luchenza!F163+Thyolo!F163+Muloza!F163+MUST!F163+Phalombe!F163+Mikolongwe!F163+Migowi!F163</f>
        <v>1</v>
      </c>
      <c r="G163" s="141">
        <f>Mulanje!G163+Luchenza!G163+Thyolo!G163+Muloza!G163+MUST!G163+Phalombe!G163+Mikolongwe!G163+Migowi!G163</f>
        <v>2</v>
      </c>
      <c r="H163" s="141">
        <f>Mulanje!H163+Luchenza!H163+Thyolo!H163+Muloza!H163+MUST!H163+Phalombe!H163+Mikolongwe!H163+Migowi!H163</f>
        <v>1</v>
      </c>
      <c r="I163" s="141">
        <f>Mulanje!I163+Luchenza!I163+Thyolo!I163+Muloza!I163+MUST!I163+Phalombe!I163+Mikolongwe!I163+Migowi!I163</f>
        <v>1</v>
      </c>
      <c r="J163" s="141">
        <f>Mulanje!J163+Luchenza!J163+Thyolo!J163+Muloza!J163+MUST!J163+Phalombe!J163+Mikolongwe!J163+Migowi!J163</f>
        <v>0</v>
      </c>
      <c r="K163" s="141">
        <f>Mulanje!K163+Luchenza!K163+Thyolo!K163+Muloza!K163+MUST!K163+Phalombe!K163+Mikolongwe!K163+Migowi!K163</f>
        <v>0</v>
      </c>
      <c r="L163" s="141">
        <f>Mulanje!L163+Luchenza!L163+Thyolo!L163+Muloza!L163+MUST!L163+Phalombe!L163+Mikolongwe!L163+Migowi!L163</f>
        <v>1</v>
      </c>
      <c r="M163" s="131">
        <f>Mulanje!M163+Luchenza!M163+Thyolo!M163+Muloza!M163+MUST!M163+Phalombe!M163+Mikolongwe!M163+Migowi!M163+Nkando!M163</f>
        <v>2</v>
      </c>
      <c r="N163" s="131">
        <f>Mulanje!N163+Luchenza!N163+Thyolo!N163+Muloza!N163+MUST!N163+Phalombe!N163+Mikolongwe!N163+Migowi!N163+Nkando!N163</f>
        <v>0</v>
      </c>
      <c r="O163" s="131">
        <f>Mulanje!O163+Luchenza!O163+Thyolo!O163+Muloza!O163+MUST!O163+Phalombe!O163+Mikolongwe!O163+Migowi!O163+Nkando!O163</f>
        <v>0</v>
      </c>
      <c r="P163" s="74">
        <f t="shared" si="73"/>
        <v>8</v>
      </c>
    </row>
    <row r="164" spans="1:16" x14ac:dyDescent="0.3">
      <c r="A164" s="292"/>
      <c r="B164" s="19" t="s">
        <v>68</v>
      </c>
      <c r="C164" s="11" t="s">
        <v>57</v>
      </c>
      <c r="D164" s="141">
        <f>Mulanje!D164+Luchenza!D164+Thyolo!D164+Muloza!D164+MUST!D164+Phalombe!D164+Mikolongwe!D164+Migowi!D164</f>
        <v>0</v>
      </c>
      <c r="E164" s="141">
        <f>Mulanje!E164+Luchenza!E164+Thyolo!E164+Muloza!E164+MUST!E164+Phalombe!E164+Mikolongwe!E164+Migowi!E164</f>
        <v>0</v>
      </c>
      <c r="F164" s="141">
        <f>Mulanje!F164+Luchenza!F164+Thyolo!F164+Muloza!F164+MUST!F164+Phalombe!F164+Mikolongwe!F164+Migowi!F164</f>
        <v>0</v>
      </c>
      <c r="G164" s="141">
        <f>Mulanje!G164+Luchenza!G164+Thyolo!G164+Muloza!G164+MUST!G164+Phalombe!G164+Mikolongwe!G164+Migowi!G164</f>
        <v>0</v>
      </c>
      <c r="H164" s="141">
        <f>Mulanje!H164+Luchenza!H164+Thyolo!H164+Muloza!H164+MUST!H164+Phalombe!H164+Mikolongwe!H164+Migowi!H164</f>
        <v>0</v>
      </c>
      <c r="I164" s="141">
        <f>Mulanje!I164+Luchenza!I164+Thyolo!I164+Muloza!I164+MUST!I164+Phalombe!I164+Mikolongwe!I164+Migowi!I164</f>
        <v>0</v>
      </c>
      <c r="J164" s="141">
        <f>Mulanje!J164+Luchenza!J164+Thyolo!J164+Muloza!J164+MUST!J164+Phalombe!J164+Mikolongwe!J164+Migowi!J164</f>
        <v>0</v>
      </c>
      <c r="K164" s="141">
        <f>Mulanje!K164+Luchenza!K164+Thyolo!K164+Muloza!K164+MUST!K164+Phalombe!K164+Mikolongwe!K164+Migowi!K164</f>
        <v>0</v>
      </c>
      <c r="L164" s="141">
        <f>Mulanje!L164+Luchenza!L164+Thyolo!L164+Muloza!L164+MUST!L164+Phalombe!L164+Mikolongwe!L164+Migowi!L164</f>
        <v>0</v>
      </c>
      <c r="M164" s="131">
        <f>Mulanje!M164+Luchenza!M164+Thyolo!M164+Muloza!M164+MUST!M164+Phalombe!M164+Mikolongwe!M164+Migowi!M164+Nkando!M164</f>
        <v>0</v>
      </c>
      <c r="N164" s="131">
        <f>Mulanje!N164+Luchenza!N164+Thyolo!N164+Muloza!N164+MUST!N164+Phalombe!N164+Mikolongwe!N164+Migowi!N164+Nkando!N164</f>
        <v>0</v>
      </c>
      <c r="O164" s="131">
        <f>Mulanje!O164+Luchenza!O164+Thyolo!O164+Muloza!O164+MUST!O164+Phalombe!O164+Mikolongwe!O164+Migowi!O164+Nkando!O164</f>
        <v>0</v>
      </c>
      <c r="P164" s="74">
        <f t="shared" si="73"/>
        <v>0</v>
      </c>
    </row>
    <row r="165" spans="1:16" x14ac:dyDescent="0.3">
      <c r="A165" s="293"/>
      <c r="B165" s="19" t="s">
        <v>76</v>
      </c>
      <c r="C165" s="11" t="s">
        <v>57</v>
      </c>
      <c r="D165" s="141">
        <f>Mulanje!D165+Luchenza!D165+Thyolo!D165+Muloza!D165+MUST!D165+Phalombe!D165+Mikolongwe!D165+Migowi!D165</f>
        <v>0</v>
      </c>
      <c r="E165" s="141">
        <f>Mulanje!E165+Luchenza!E165+Thyolo!E165+Muloza!E165+MUST!E165+Phalombe!E165+Mikolongwe!E165+Migowi!E165</f>
        <v>0</v>
      </c>
      <c r="F165" s="141">
        <f>Mulanje!F165+Luchenza!F165+Thyolo!F165+Muloza!F165+MUST!F165+Phalombe!F165+Mikolongwe!F165+Migowi!F165</f>
        <v>0</v>
      </c>
      <c r="G165" s="141">
        <f>Mulanje!G165+Luchenza!G165+Thyolo!G165+Muloza!G165+MUST!G165+Phalombe!G165+Mikolongwe!G165+Migowi!G165</f>
        <v>0</v>
      </c>
      <c r="H165" s="141">
        <f>Mulanje!H165+Luchenza!H165+Thyolo!H165+Muloza!H165+MUST!H165+Phalombe!H165+Mikolongwe!H165+Migowi!H165</f>
        <v>0</v>
      </c>
      <c r="I165" s="141">
        <f>Mulanje!I165+Luchenza!I165+Thyolo!I165+Muloza!I165+MUST!I165+Phalombe!I165+Mikolongwe!I165+Migowi!I165</f>
        <v>0</v>
      </c>
      <c r="J165" s="141">
        <f>Mulanje!J165+Luchenza!J165+Thyolo!J165+Muloza!J165+MUST!J165+Phalombe!J165+Mikolongwe!J165+Migowi!J165</f>
        <v>0</v>
      </c>
      <c r="K165" s="141">
        <f>Mulanje!K165+Luchenza!K165+Thyolo!K165+Muloza!K165+MUST!K165+Phalombe!K165+Mikolongwe!K165+Migowi!K165</f>
        <v>0</v>
      </c>
      <c r="L165" s="141">
        <f>Mulanje!L165+Luchenza!L165+Thyolo!L165+Muloza!L165+MUST!L165+Phalombe!L165+Mikolongwe!L165+Migowi!L165</f>
        <v>0</v>
      </c>
      <c r="M165" s="131">
        <f>Mulanje!M165+Luchenza!M165+Thyolo!M165+Muloza!M165+MUST!M165+Phalombe!M165+Mikolongwe!M165+Migowi!M165+Nkando!M165</f>
        <v>0</v>
      </c>
      <c r="N165" s="131">
        <f>Mulanje!N165+Luchenza!N165+Thyolo!N165+Muloza!N165+MUST!N165+Phalombe!N165+Mikolongwe!N165+Migowi!N165+Nkando!N165</f>
        <v>0</v>
      </c>
      <c r="O165" s="131">
        <f>Mulanje!O165+Luchenza!O165+Thyolo!O165+Muloza!O165+MUST!O165+Phalombe!O165+Mikolongwe!O165+Migowi!O165+Nkando!O165</f>
        <v>0</v>
      </c>
      <c r="P165" s="74">
        <f t="shared" si="73"/>
        <v>0</v>
      </c>
    </row>
    <row r="166" spans="1:16" x14ac:dyDescent="0.3">
      <c r="A166" s="291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74"/>
    </row>
    <row r="167" spans="1:16" x14ac:dyDescent="0.3">
      <c r="A167" s="292"/>
      <c r="B167" s="19" t="s">
        <v>74</v>
      </c>
      <c r="C167" s="11" t="s">
        <v>57</v>
      </c>
      <c r="D167" s="141">
        <f>Mulanje!D167+Luchenza!D167+Thyolo!D167+Muloza!D167+MUST!D167+Phalombe!D167+Mikolongwe!D167+Migowi!D167</f>
        <v>2</v>
      </c>
      <c r="E167" s="141">
        <f>Mulanje!E167+Luchenza!E167+Thyolo!E167+Muloza!E167+MUST!E167+Phalombe!E167+Mikolongwe!E167+Migowi!E167</f>
        <v>4</v>
      </c>
      <c r="F167" s="141">
        <f>Mulanje!F167+Luchenza!F167+Thyolo!F167+Muloza!F167+MUST!F167+Phalombe!F167+Mikolongwe!F167+Migowi!F167</f>
        <v>4</v>
      </c>
      <c r="G167" s="141">
        <f>Mulanje!G167+Luchenza!G167+Thyolo!G167+Muloza!G167+MUST!G167+Phalombe!G167+Mikolongwe!G167+Migowi!G167</f>
        <v>2</v>
      </c>
      <c r="H167" s="141">
        <f>Mulanje!H167+Luchenza!H167+Thyolo!H167+Muloza!H167+MUST!H167+Phalombe!H167+Mikolongwe!H167+Migowi!H167</f>
        <v>5</v>
      </c>
      <c r="I167" s="141">
        <f>Mulanje!I167+Luchenza!I167+Thyolo!I167+Muloza!I167+MUST!I167+Phalombe!I167+Mikolongwe!I167+Migowi!I167</f>
        <v>3</v>
      </c>
      <c r="J167" s="141">
        <f>Mulanje!J167+Luchenza!J167+Thyolo!J167+Muloza!J167+MUST!J167+Phalombe!J167+Mikolongwe!J167+Migowi!J167</f>
        <v>2</v>
      </c>
      <c r="K167" s="141">
        <f>Mulanje!K167+Luchenza!K167+Thyolo!K167+Muloza!K167+MUST!K167+Phalombe!K167+Mikolongwe!K167+Migowi!K167</f>
        <v>6</v>
      </c>
      <c r="L167" s="141">
        <f>Mulanje!L167+Luchenza!L167+Thyolo!L167+Muloza!L167+MUST!L167+Phalombe!L167+Mikolongwe!L167+Migowi!L167</f>
        <v>2</v>
      </c>
      <c r="M167" s="131">
        <f>Mulanje!M167+Luchenza!M167+Thyolo!M167+Muloza!M167+MUST!M167+Phalombe!M167+Mikolongwe!M167+Migowi!M167+Nkando!M167</f>
        <v>6</v>
      </c>
      <c r="N167" s="131">
        <f>Mulanje!N167+Luchenza!N167+Thyolo!N167+Muloza!N167+MUST!N167+Phalombe!N167+Mikolongwe!N167+Migowi!N167+Nkando!N167</f>
        <v>7</v>
      </c>
      <c r="O167" s="131">
        <f>Mulanje!O167+Luchenza!O167+Thyolo!O167+Muloza!O167+MUST!O167+Phalombe!O167+Mikolongwe!O167+Migowi!O167+Nkando!O167</f>
        <v>9</v>
      </c>
      <c r="P167" s="74">
        <f t="shared" ref="P167:P174" si="74">SUM(D167:O167)</f>
        <v>52</v>
      </c>
    </row>
    <row r="168" spans="1:16" x14ac:dyDescent="0.3">
      <c r="A168" s="292"/>
      <c r="B168" s="19" t="s">
        <v>73</v>
      </c>
      <c r="C168" s="11" t="s">
        <v>57</v>
      </c>
      <c r="D168" s="141">
        <f>Mulanje!D168+Luchenza!D168+Thyolo!D168+Muloza!D168+MUST!D168+Phalombe!D168+Mikolongwe!D168+Migowi!D168</f>
        <v>2</v>
      </c>
      <c r="E168" s="141">
        <f>Mulanje!E168+Luchenza!E168+Thyolo!E168+Muloza!E168+MUST!E168+Phalombe!E168+Mikolongwe!E168+Migowi!E168</f>
        <v>2</v>
      </c>
      <c r="F168" s="141">
        <f>Mulanje!F168+Luchenza!F168+Thyolo!F168+Muloza!F168+MUST!F168+Phalombe!F168+Mikolongwe!F168+Migowi!F168</f>
        <v>1</v>
      </c>
      <c r="G168" s="141">
        <f>Mulanje!G168+Luchenza!G168+Thyolo!G168+Muloza!G168+MUST!G168+Phalombe!G168+Mikolongwe!G168+Migowi!G168</f>
        <v>1</v>
      </c>
      <c r="H168" s="141">
        <f>Mulanje!H168+Luchenza!H168+Thyolo!H168+Muloza!H168+MUST!H168+Phalombe!H168+Mikolongwe!H168+Migowi!H168</f>
        <v>3</v>
      </c>
      <c r="I168" s="141">
        <f>Mulanje!I168+Luchenza!I168+Thyolo!I168+Muloza!I168+MUST!I168+Phalombe!I168+Mikolongwe!I168+Migowi!I168</f>
        <v>1</v>
      </c>
      <c r="J168" s="141">
        <f>Mulanje!J168+Luchenza!J168+Thyolo!J168+Muloza!J168+MUST!J168+Phalombe!J168+Mikolongwe!J168+Migowi!J168</f>
        <v>1</v>
      </c>
      <c r="K168" s="141">
        <f>Mulanje!K168+Luchenza!K168+Thyolo!K168+Muloza!K168+MUST!K168+Phalombe!K168+Mikolongwe!K168+Migowi!K168</f>
        <v>1</v>
      </c>
      <c r="L168" s="141">
        <f>Mulanje!L168+Luchenza!L168+Thyolo!L168+Muloza!L168+MUST!L168+Phalombe!L168+Mikolongwe!L168+Migowi!L168</f>
        <v>2</v>
      </c>
      <c r="M168" s="131">
        <f>Mulanje!M168+Luchenza!M168+Thyolo!M168+Muloza!M168+MUST!M168+Phalombe!M168+Mikolongwe!M168+Migowi!M168+Nkando!M168</f>
        <v>1</v>
      </c>
      <c r="N168" s="131">
        <f>Mulanje!N168+Luchenza!N168+Thyolo!N168+Muloza!N168+MUST!N168+Phalombe!N168+Mikolongwe!N168+Migowi!N168+Nkando!N168</f>
        <v>3</v>
      </c>
      <c r="O168" s="131">
        <f>Mulanje!O168+Luchenza!O168+Thyolo!O168+Muloza!O168+MUST!O168+Phalombe!O168+Mikolongwe!O168+Migowi!O168+Nkando!O168</f>
        <v>1</v>
      </c>
      <c r="P168" s="74">
        <f t="shared" si="74"/>
        <v>19</v>
      </c>
    </row>
    <row r="169" spans="1:16" x14ac:dyDescent="0.3">
      <c r="A169" s="292"/>
      <c r="B169" s="19" t="s">
        <v>72</v>
      </c>
      <c r="C169" s="11" t="s">
        <v>57</v>
      </c>
      <c r="D169" s="141">
        <f>Mulanje!D169+Luchenza!D169+Thyolo!D169+Muloza!D169+MUST!D169+Phalombe!D169+Mikolongwe!D169+Migowi!D169</f>
        <v>0</v>
      </c>
      <c r="E169" s="141">
        <f>Mulanje!E169+Luchenza!E169+Thyolo!E169+Muloza!E169+MUST!E169+Phalombe!E169+Mikolongwe!E169+Migowi!E169</f>
        <v>0</v>
      </c>
      <c r="F169" s="141">
        <f>Mulanje!F169+Luchenza!F169+Thyolo!F169+Muloza!F169+MUST!F169+Phalombe!F169+Mikolongwe!F169+Migowi!F169</f>
        <v>0</v>
      </c>
      <c r="G169" s="141">
        <f>Mulanje!G169+Luchenza!G169+Thyolo!G169+Muloza!G169+MUST!G169+Phalombe!G169+Mikolongwe!G169+Migowi!G169</f>
        <v>0</v>
      </c>
      <c r="H169" s="141">
        <f>Mulanje!H169+Luchenza!H169+Thyolo!H169+Muloza!H169+MUST!H169+Phalombe!H169+Mikolongwe!H169+Migowi!H169</f>
        <v>0</v>
      </c>
      <c r="I169" s="141">
        <f>Mulanje!I169+Luchenza!I169+Thyolo!I169+Muloza!I169+MUST!I169+Phalombe!I169+Mikolongwe!I169+Migowi!I169</f>
        <v>0</v>
      </c>
      <c r="J169" s="141">
        <f>Mulanje!J169+Luchenza!J169+Thyolo!J169+Muloza!J169+MUST!J169+Phalombe!J169+Mikolongwe!J169+Migowi!J169</f>
        <v>1</v>
      </c>
      <c r="K169" s="141">
        <f>Mulanje!K169+Luchenza!K169+Thyolo!K169+Muloza!K169+MUST!K169+Phalombe!K169+Mikolongwe!K169+Migowi!K169</f>
        <v>0</v>
      </c>
      <c r="L169" s="141">
        <f>Mulanje!L169+Luchenza!L169+Thyolo!L169+Muloza!L169+MUST!L169+Phalombe!L169+Mikolongwe!L169+Migowi!L169</f>
        <v>0</v>
      </c>
      <c r="M169" s="131">
        <f>Mulanje!M169+Luchenza!M169+Thyolo!M169+Muloza!M169+MUST!M169+Phalombe!M169+Mikolongwe!M169+Migowi!M169+Nkando!M169</f>
        <v>1</v>
      </c>
      <c r="N169" s="131">
        <f>Mulanje!N169+Luchenza!N169+Thyolo!N169+Muloza!N169+MUST!N169+Phalombe!N169+Mikolongwe!N169+Migowi!N169+Nkando!N169</f>
        <v>0</v>
      </c>
      <c r="O169" s="131">
        <f>Mulanje!O169+Luchenza!O169+Thyolo!O169+Muloza!O169+MUST!O169+Phalombe!O169+Mikolongwe!O169+Migowi!O169+Nkando!O169</f>
        <v>0</v>
      </c>
      <c r="P169" s="74">
        <f t="shared" si="74"/>
        <v>2</v>
      </c>
    </row>
    <row r="170" spans="1:16" x14ac:dyDescent="0.3">
      <c r="A170" s="292"/>
      <c r="B170" s="19" t="s">
        <v>71</v>
      </c>
      <c r="C170" s="11" t="s">
        <v>57</v>
      </c>
      <c r="D170" s="141">
        <f>Mulanje!D170+Luchenza!D170+Thyolo!D170+Muloza!D170+MUST!D170+Phalombe!D170+Mikolongwe!D170+Migowi!D170</f>
        <v>0</v>
      </c>
      <c r="E170" s="141">
        <f>Mulanje!E170+Luchenza!E170+Thyolo!E170+Muloza!E170+MUST!E170+Phalombe!E170+Mikolongwe!E170+Migowi!E170</f>
        <v>0</v>
      </c>
      <c r="F170" s="141">
        <f>Mulanje!F170+Luchenza!F170+Thyolo!F170+Muloza!F170+MUST!F170+Phalombe!F170+Mikolongwe!F170+Migowi!F170</f>
        <v>0</v>
      </c>
      <c r="G170" s="141">
        <f>Mulanje!G170+Luchenza!G170+Thyolo!G170+Muloza!G170+MUST!G170+Phalombe!G170+Mikolongwe!G170+Migowi!G170</f>
        <v>0</v>
      </c>
      <c r="H170" s="141">
        <f>Mulanje!H170+Luchenza!H170+Thyolo!H170+Muloza!H170+MUST!H170+Phalombe!H170+Mikolongwe!H170+Migowi!H170</f>
        <v>0</v>
      </c>
      <c r="I170" s="141">
        <f>Mulanje!I170+Luchenza!I170+Thyolo!I170+Muloza!I170+MUST!I170+Phalombe!I170+Mikolongwe!I170+Migowi!I170</f>
        <v>0</v>
      </c>
      <c r="J170" s="141">
        <f>Mulanje!J170+Luchenza!J170+Thyolo!J170+Muloza!J170+MUST!J170+Phalombe!J170+Mikolongwe!J170+Migowi!J170</f>
        <v>2</v>
      </c>
      <c r="K170" s="141">
        <f>Mulanje!K170+Luchenza!K170+Thyolo!K170+Muloza!K170+MUST!K170+Phalombe!K170+Mikolongwe!K170+Migowi!K170</f>
        <v>0</v>
      </c>
      <c r="L170" s="141">
        <f>Mulanje!L170+Luchenza!L170+Thyolo!L170+Muloza!L170+MUST!L170+Phalombe!L170+Mikolongwe!L170+Migowi!L170</f>
        <v>0</v>
      </c>
      <c r="M170" s="131">
        <f>Mulanje!M170+Luchenza!M170+Thyolo!M170+Muloza!M170+MUST!M170+Phalombe!M170+Mikolongwe!M170+Migowi!M170+Nkando!M170</f>
        <v>0</v>
      </c>
      <c r="N170" s="131">
        <f>Mulanje!N170+Luchenza!N170+Thyolo!N170+Muloza!N170+MUST!N170+Phalombe!N170+Mikolongwe!N170+Migowi!N170+Nkando!N170</f>
        <v>0</v>
      </c>
      <c r="O170" s="131">
        <f>Mulanje!O170+Luchenza!O170+Thyolo!O170+Muloza!O170+MUST!O170+Phalombe!O170+Mikolongwe!O170+Migowi!O170+Nkando!O170</f>
        <v>0</v>
      </c>
      <c r="P170" s="74">
        <f t="shared" si="74"/>
        <v>2</v>
      </c>
    </row>
    <row r="171" spans="1:16" x14ac:dyDescent="0.3">
      <c r="A171" s="292"/>
      <c r="B171" s="19" t="s">
        <v>52</v>
      </c>
      <c r="C171" s="11" t="s">
        <v>57</v>
      </c>
      <c r="D171" s="141">
        <f>Mulanje!D171+Luchenza!D171+Thyolo!D171+Muloza!D171+MUST!D171+Phalombe!D171+Mikolongwe!D171+Migowi!D171</f>
        <v>0</v>
      </c>
      <c r="E171" s="141">
        <f>Mulanje!E171+Luchenza!E171+Thyolo!E171+Muloza!E171+MUST!E171+Phalombe!E171+Mikolongwe!E171+Migowi!E171</f>
        <v>0</v>
      </c>
      <c r="F171" s="141">
        <f>Mulanje!F171+Luchenza!F171+Thyolo!F171+Muloza!F171+MUST!F171+Phalombe!F171+Mikolongwe!F171+Migowi!F171</f>
        <v>0</v>
      </c>
      <c r="G171" s="141">
        <f>Mulanje!G171+Luchenza!G171+Thyolo!G171+Muloza!G171+MUST!G171+Phalombe!G171+Mikolongwe!G171+Migowi!G171</f>
        <v>0</v>
      </c>
      <c r="H171" s="141">
        <f>Mulanje!H171+Luchenza!H171+Thyolo!H171+Muloza!H171+MUST!H171+Phalombe!H171+Mikolongwe!H171+Migowi!H171</f>
        <v>1</v>
      </c>
      <c r="I171" s="141">
        <f>Mulanje!I171+Luchenza!I171+Thyolo!I171+Muloza!I171+MUST!I171+Phalombe!I171+Mikolongwe!I171+Migowi!I171</f>
        <v>0</v>
      </c>
      <c r="J171" s="141">
        <f>Mulanje!J171+Luchenza!J171+Thyolo!J171+Muloza!J171+MUST!J171+Phalombe!J171+Mikolongwe!J171+Migowi!J171</f>
        <v>0</v>
      </c>
      <c r="K171" s="141">
        <f>Mulanje!K171+Luchenza!K171+Thyolo!K171+Muloza!K171+MUST!K171+Phalombe!K171+Mikolongwe!K171+Migowi!K171</f>
        <v>0</v>
      </c>
      <c r="L171" s="141">
        <f>Mulanje!L171+Luchenza!L171+Thyolo!L171+Muloza!L171+MUST!L171+Phalombe!L171+Mikolongwe!L171+Migowi!L171</f>
        <v>0</v>
      </c>
      <c r="M171" s="131">
        <f>Mulanje!M171+Luchenza!M171+Thyolo!M171+Muloza!M171+MUST!M171+Phalombe!M171+Mikolongwe!M171+Migowi!M171+Nkando!M171</f>
        <v>0</v>
      </c>
      <c r="N171" s="131">
        <f>Mulanje!N171+Luchenza!N171+Thyolo!N171+Muloza!N171+MUST!N171+Phalombe!N171+Mikolongwe!N171+Migowi!N171+Nkando!N171</f>
        <v>1</v>
      </c>
      <c r="O171" s="131">
        <f>Mulanje!O171+Luchenza!O171+Thyolo!O171+Muloza!O171+MUST!O171+Phalombe!O171+Mikolongwe!O171+Migowi!O171+Nkando!O171</f>
        <v>0</v>
      </c>
      <c r="P171" s="74">
        <f t="shared" si="74"/>
        <v>2</v>
      </c>
    </row>
    <row r="172" spans="1:16" x14ac:dyDescent="0.3">
      <c r="A172" s="292"/>
      <c r="B172" s="19" t="s">
        <v>62</v>
      </c>
      <c r="C172" s="11" t="s">
        <v>57</v>
      </c>
      <c r="D172" s="141">
        <f>Mulanje!D172+Luchenza!D172+Thyolo!D172+Muloza!D172+MUST!D172+Phalombe!D172+Mikolongwe!D172+Migowi!D172</f>
        <v>0</v>
      </c>
      <c r="E172" s="141">
        <f>Mulanje!E172+Luchenza!E172+Thyolo!E172+Muloza!E172+MUST!E172+Phalombe!E172+Mikolongwe!E172+Migowi!E172</f>
        <v>0</v>
      </c>
      <c r="F172" s="141">
        <f>Mulanje!F172+Luchenza!F172+Thyolo!F172+Muloza!F172+MUST!F172+Phalombe!F172+Mikolongwe!F172+Migowi!F172</f>
        <v>0</v>
      </c>
      <c r="G172" s="141">
        <f>Mulanje!G172+Luchenza!G172+Thyolo!G172+Muloza!G172+MUST!G172+Phalombe!G172+Mikolongwe!G172+Migowi!G172</f>
        <v>0</v>
      </c>
      <c r="H172" s="141">
        <f>Mulanje!H172+Luchenza!H172+Thyolo!H172+Muloza!H172+MUST!H172+Phalombe!H172+Mikolongwe!H172+Migowi!H172</f>
        <v>0</v>
      </c>
      <c r="I172" s="141">
        <f>Mulanje!I172+Luchenza!I172+Thyolo!I172+Muloza!I172+MUST!I172+Phalombe!I172+Mikolongwe!I172+Migowi!I172</f>
        <v>0</v>
      </c>
      <c r="J172" s="141">
        <f>Mulanje!J172+Luchenza!J172+Thyolo!J172+Muloza!J172+MUST!J172+Phalombe!J172+Mikolongwe!J172+Migowi!J172</f>
        <v>0</v>
      </c>
      <c r="K172" s="141">
        <f>Mulanje!K172+Luchenza!K172+Thyolo!K172+Muloza!K172+MUST!K172+Phalombe!K172+Mikolongwe!K172+Migowi!K172</f>
        <v>0</v>
      </c>
      <c r="L172" s="141">
        <f>Mulanje!L172+Luchenza!L172+Thyolo!L172+Muloza!L172+MUST!L172+Phalombe!L172+Mikolongwe!L172+Migowi!L172</f>
        <v>0</v>
      </c>
      <c r="M172" s="131">
        <f>Mulanje!M172+Luchenza!M172+Thyolo!M172+Muloza!M172+MUST!M172+Phalombe!M172+Mikolongwe!M172+Migowi!M172+Nkando!M172</f>
        <v>0</v>
      </c>
      <c r="N172" s="131">
        <f>Mulanje!N172+Luchenza!N172+Thyolo!N172+Muloza!N172+MUST!N172+Phalombe!N172+Mikolongwe!N172+Migowi!N172+Nkando!N172</f>
        <v>0</v>
      </c>
      <c r="O172" s="131">
        <f>Mulanje!O172+Luchenza!O172+Thyolo!O172+Muloza!O172+MUST!O172+Phalombe!O172+Mikolongwe!O172+Migowi!O172+Nkando!O172</f>
        <v>0</v>
      </c>
      <c r="P172" s="74">
        <f t="shared" si="74"/>
        <v>0</v>
      </c>
    </row>
    <row r="173" spans="1:16" x14ac:dyDescent="0.3">
      <c r="A173" s="292"/>
      <c r="B173" s="19" t="s">
        <v>61</v>
      </c>
      <c r="C173" s="11" t="s">
        <v>57</v>
      </c>
      <c r="D173" s="141">
        <f>Mulanje!D173+Luchenza!D173+Thyolo!D173+Muloza!D173+MUST!D173+Phalombe!D173+Mikolongwe!D173+Migowi!D173</f>
        <v>0</v>
      </c>
      <c r="E173" s="141">
        <f>Mulanje!E173+Luchenza!E173+Thyolo!E173+Muloza!E173+MUST!E173+Phalombe!E173+Mikolongwe!E173+Migowi!E173</f>
        <v>0</v>
      </c>
      <c r="F173" s="141">
        <f>Mulanje!F173+Luchenza!F173+Thyolo!F173+Muloza!F173+MUST!F173+Phalombe!F173+Mikolongwe!F173+Migowi!F173</f>
        <v>0</v>
      </c>
      <c r="G173" s="141">
        <f>Mulanje!G173+Luchenza!G173+Thyolo!G173+Muloza!G173+MUST!G173+Phalombe!G173+Mikolongwe!G173+Migowi!G173</f>
        <v>0</v>
      </c>
      <c r="H173" s="141">
        <f>Mulanje!H173+Luchenza!H173+Thyolo!H173+Muloza!H173+MUST!H173+Phalombe!H173+Mikolongwe!H173+Migowi!H173</f>
        <v>0</v>
      </c>
      <c r="I173" s="141">
        <f>Mulanje!I173+Luchenza!I173+Thyolo!I173+Muloza!I173+MUST!I173+Phalombe!I173+Mikolongwe!I173+Migowi!I173</f>
        <v>0</v>
      </c>
      <c r="J173" s="141">
        <f>Mulanje!J173+Luchenza!J173+Thyolo!J173+Muloza!J173+MUST!J173+Phalombe!J173+Mikolongwe!J173+Migowi!J173</f>
        <v>0</v>
      </c>
      <c r="K173" s="141">
        <f>Mulanje!K173+Luchenza!K173+Thyolo!K173+Muloza!K173+MUST!K173+Phalombe!K173+Mikolongwe!K173+Migowi!K173</f>
        <v>0</v>
      </c>
      <c r="L173" s="141">
        <f>Mulanje!L173+Luchenza!L173+Thyolo!L173+Muloza!L173+MUST!L173+Phalombe!L173+Mikolongwe!L173+Migowi!L173</f>
        <v>0</v>
      </c>
      <c r="M173" s="131">
        <f>Mulanje!M173+Luchenza!M173+Thyolo!M173+Muloza!M173+MUST!M173+Phalombe!M173+Mikolongwe!M173+Migowi!M173+Nkando!M173</f>
        <v>0</v>
      </c>
      <c r="N173" s="131">
        <f>Mulanje!N173+Luchenza!N173+Thyolo!N173+Muloza!N173+MUST!N173+Phalombe!N173+Mikolongwe!N173+Migowi!N173+Nkando!N173</f>
        <v>0</v>
      </c>
      <c r="O173" s="131">
        <f>Mulanje!O173+Luchenza!O173+Thyolo!O173+Muloza!O173+MUST!O173+Phalombe!O173+Mikolongwe!O173+Migowi!O173+Nkando!O173</f>
        <v>0</v>
      </c>
      <c r="P173" s="74">
        <f t="shared" si="74"/>
        <v>0</v>
      </c>
    </row>
    <row r="174" spans="1:16" x14ac:dyDescent="0.3">
      <c r="A174" s="292"/>
      <c r="B174" s="19" t="s">
        <v>60</v>
      </c>
      <c r="C174" s="11" t="s">
        <v>57</v>
      </c>
      <c r="D174" s="141">
        <f>Mulanje!D174+Luchenza!D174+Thyolo!D174+Muloza!D174+MUST!D174+Phalombe!D174+Mikolongwe!D174+Migowi!D174</f>
        <v>0</v>
      </c>
      <c r="E174" s="141">
        <f>Mulanje!E174+Luchenza!E174+Thyolo!E174+Muloza!E174+MUST!E174+Phalombe!E174+Mikolongwe!E174+Migowi!E174</f>
        <v>0</v>
      </c>
      <c r="F174" s="141">
        <f>Mulanje!F174+Luchenza!F174+Thyolo!F174+Muloza!F174+MUST!F174+Phalombe!F174+Mikolongwe!F174+Migowi!F174</f>
        <v>0</v>
      </c>
      <c r="G174" s="141">
        <f>Mulanje!G174+Luchenza!G174+Thyolo!G174+Muloza!G174+MUST!G174+Phalombe!G174+Mikolongwe!G174+Migowi!G174</f>
        <v>0</v>
      </c>
      <c r="H174" s="141">
        <f>Mulanje!H174+Luchenza!H174+Thyolo!H174+Muloza!H174+MUST!H174+Phalombe!H174+Mikolongwe!H174+Migowi!H174</f>
        <v>0</v>
      </c>
      <c r="I174" s="141">
        <f>Mulanje!I174+Luchenza!I174+Thyolo!I174+Muloza!I174+MUST!I174+Phalombe!I174+Mikolongwe!I174+Migowi!I174</f>
        <v>0</v>
      </c>
      <c r="J174" s="141">
        <f>Mulanje!J174+Luchenza!J174+Thyolo!J174+Muloza!J174+MUST!J174+Phalombe!J174+Mikolongwe!J174+Migowi!J174</f>
        <v>0</v>
      </c>
      <c r="K174" s="141">
        <f>Mulanje!K174+Luchenza!K174+Thyolo!K174+Muloza!K174+MUST!K174+Phalombe!K174+Mikolongwe!K174+Migowi!K174</f>
        <v>0</v>
      </c>
      <c r="L174" s="141">
        <f>Mulanje!L174+Luchenza!L174+Thyolo!L174+Muloza!L174+MUST!L174+Phalombe!L174+Mikolongwe!L174+Migowi!L174</f>
        <v>0</v>
      </c>
      <c r="M174" s="131">
        <f>Mulanje!M174+Luchenza!M174+Thyolo!M174+Muloza!M174+MUST!M174+Phalombe!M174+Mikolongwe!M174+Migowi!M174+Nkando!M174</f>
        <v>0</v>
      </c>
      <c r="N174" s="131">
        <f>Mulanje!N174+Luchenza!N174+Thyolo!N174+Muloza!N174+MUST!N174+Phalombe!N174+Mikolongwe!N174+Migowi!N174+Nkando!N174</f>
        <v>0</v>
      </c>
      <c r="O174" s="131">
        <f>Mulanje!O174+Luchenza!O174+Thyolo!O174+Muloza!O174+MUST!O174+Phalombe!O174+Mikolongwe!O174+Migowi!O174+Nkando!O174</f>
        <v>0</v>
      </c>
      <c r="P174" s="74">
        <f t="shared" si="74"/>
        <v>0</v>
      </c>
    </row>
    <row r="175" spans="1:16" x14ac:dyDescent="0.3">
      <c r="A175" s="293"/>
      <c r="B175" s="19" t="s">
        <v>69</v>
      </c>
      <c r="C175" s="11" t="s">
        <v>57</v>
      </c>
      <c r="D175" s="141">
        <f>Mulanje!D175+Luchenza!D175+Thyolo!D175+Muloza!D175+MUST!D175+Phalombe!D175+Mikolongwe!D175+Migowi!D175</f>
        <v>0</v>
      </c>
      <c r="E175" s="141">
        <f>Mulanje!E175+Luchenza!E175+Thyolo!E175+Muloza!E175+MUST!E175+Phalombe!E175+Mikolongwe!E175+Migowi!E175</f>
        <v>0</v>
      </c>
      <c r="F175" s="141">
        <f>Mulanje!F175+Luchenza!F175+Thyolo!F175+Muloza!F175+MUST!F175+Phalombe!F175+Mikolongwe!F175+Migowi!F175</f>
        <v>0</v>
      </c>
      <c r="G175" s="141">
        <f>Mulanje!G175+Luchenza!G175+Thyolo!G175+Muloza!G175+MUST!G175+Phalombe!G175+Mikolongwe!G175+Migowi!G175</f>
        <v>0</v>
      </c>
      <c r="H175" s="141">
        <f>Mulanje!H175+Luchenza!H175+Thyolo!H175+Muloza!H175+MUST!H175+Phalombe!H175+Mikolongwe!H175+Migowi!H175</f>
        <v>0</v>
      </c>
      <c r="I175" s="141">
        <f>Mulanje!I175+Luchenza!I175+Thyolo!I175+Muloza!I175+MUST!I175+Phalombe!I175+Mikolongwe!I175+Migowi!I175</f>
        <v>0</v>
      </c>
      <c r="J175" s="141">
        <f>Mulanje!J175+Luchenza!J175+Thyolo!J175+Muloza!J175+MUST!J175+Phalombe!J175+Mikolongwe!J175+Migowi!J175</f>
        <v>0</v>
      </c>
      <c r="K175" s="141">
        <f>Mulanje!K175+Luchenza!K175+Thyolo!K175+Muloza!K175+MUST!K175+Phalombe!K175+Mikolongwe!K175+Migowi!K175</f>
        <v>0</v>
      </c>
      <c r="L175" s="141">
        <f>Mulanje!L175+Luchenza!L175+Thyolo!L175+Muloza!L175+MUST!L175+Phalombe!L175+Mikolongwe!L175+Migowi!L175</f>
        <v>0</v>
      </c>
      <c r="M175" s="131">
        <f>Mulanje!M175+Luchenza!M175+Thyolo!M175+Muloza!M175+MUST!M175+Phalombe!M175+Mikolongwe!M175+Migowi!M175+Nkando!M175</f>
        <v>0</v>
      </c>
      <c r="N175" s="131">
        <f>Mulanje!N175+Luchenza!N175+Thyolo!N175+Muloza!N175+MUST!N175+Phalombe!N175+Mikolongwe!N175+Migowi!N175+Nkando!N175</f>
        <v>0</v>
      </c>
      <c r="O175" s="131">
        <f>Mulanje!O175+Luchenza!O175+Thyolo!O175+Muloza!O175+MUST!O175+Phalombe!O175+Mikolongwe!O175+Migowi!O175+Nkando!O175</f>
        <v>0</v>
      </c>
      <c r="P175" s="74">
        <f>SUM(D175:O175)</f>
        <v>0</v>
      </c>
    </row>
    <row r="176" spans="1:16" x14ac:dyDescent="0.3">
      <c r="A176" s="291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74"/>
    </row>
    <row r="177" spans="1:16" x14ac:dyDescent="0.3">
      <c r="A177" s="292"/>
      <c r="B177" s="19" t="s">
        <v>60</v>
      </c>
      <c r="C177" s="11" t="s">
        <v>57</v>
      </c>
      <c r="D177" s="131">
        <f>Mulanje!D177+Luchenza!D177+Thyolo!D177+Muloza!D177+MUST!D177+Phalombe!D177+Mikolongwe!D177+Migowi!D177</f>
        <v>0</v>
      </c>
      <c r="E177" s="131">
        <f>Mulanje!E177+Luchenza!E177+Thyolo!E177+Muloza!E177+MUST!E177+Phalombe!E177+Mikolongwe!E177+Migowi!E177</f>
        <v>0</v>
      </c>
      <c r="F177" s="131">
        <f>Mulanje!F177+Luchenza!F177+Thyolo!F177+Muloza!F177+MUST!F177+Phalombe!F177+Mikolongwe!F177+Migowi!F177</f>
        <v>0</v>
      </c>
      <c r="G177" s="131">
        <f>Mulanje!G177+Luchenza!G177+Thyolo!G177+Muloza!G177+MUST!G177+Phalombe!G177+Mikolongwe!G177+Migowi!G177</f>
        <v>0</v>
      </c>
      <c r="H177" s="131">
        <f>Mulanje!H177+Luchenza!H177+Thyolo!H177+Muloza!H177+MUST!H177+Phalombe!H177+Mikolongwe!H177+Migowi!H177</f>
        <v>0</v>
      </c>
      <c r="I177" s="131">
        <f>Mulanje!I177+Luchenza!I177+Thyolo!I177+Muloza!I177+MUST!I177+Phalombe!I177+Mikolongwe!I177+Migowi!I177</f>
        <v>0</v>
      </c>
      <c r="J177" s="131">
        <f>Mulanje!J177+Luchenza!J177+Thyolo!J177+Muloza!J177+MUST!J177+Phalombe!J177+Mikolongwe!J177+Migowi!J177</f>
        <v>0</v>
      </c>
      <c r="K177" s="131">
        <f>Mulanje!K177+Luchenza!K177+Thyolo!K177+Muloza!K177+MUST!K177+Phalombe!K177+Mikolongwe!K177+Migowi!K177</f>
        <v>0</v>
      </c>
      <c r="L177" s="131">
        <f>Mulanje!L177+Luchenza!L177+Thyolo!L177+Muloza!L177+MUST!L177+Phalombe!L177+Mikolongwe!L177+Migowi!L177</f>
        <v>0</v>
      </c>
      <c r="M177" s="131">
        <f>Mulanje!M177+Luchenza!M177+Thyolo!M177+Muloza!M177+MUST!M177+Phalombe!M177+Mikolongwe!M177+Migowi!M177+Nkando!M177</f>
        <v>0</v>
      </c>
      <c r="N177" s="131">
        <f>Mulanje!N177+Luchenza!N177+Thyolo!N177+Muloza!N177+MUST!N177+Phalombe!N177+Mikolongwe!N177+Migowi!N177+Nkando!N177</f>
        <v>0</v>
      </c>
      <c r="O177" s="131">
        <f>Mulanje!O177+Luchenza!O177+Thyolo!O177+Muloza!O177+MUST!O177+Phalombe!O177+Mikolongwe!O177+Migowi!O177+Nkando!O177</f>
        <v>0</v>
      </c>
      <c r="P177" s="74">
        <f t="shared" ref="P177:P182" si="75">SUM(D177:O177)</f>
        <v>0</v>
      </c>
    </row>
    <row r="178" spans="1:16" x14ac:dyDescent="0.3">
      <c r="A178" s="292"/>
      <c r="B178" s="19" t="s">
        <v>69</v>
      </c>
      <c r="C178" s="11" t="s">
        <v>57</v>
      </c>
      <c r="D178" s="131">
        <f>Mulanje!D178+Luchenza!D178+Thyolo!D178+Muloza!D178+MUST!D178+Phalombe!D178+Mikolongwe!D178+Migowi!D178</f>
        <v>0</v>
      </c>
      <c r="E178" s="131">
        <f>Mulanje!E178+Luchenza!E178+Thyolo!E178+Muloza!E178+MUST!E178+Phalombe!E178+Mikolongwe!E178+Migowi!E178</f>
        <v>0</v>
      </c>
      <c r="F178" s="131">
        <f>Mulanje!F178+Luchenza!F178+Thyolo!F178+Muloza!F178+MUST!F178+Phalombe!F178+Mikolongwe!F178+Migowi!F178</f>
        <v>0</v>
      </c>
      <c r="G178" s="131">
        <f>Mulanje!G178+Luchenza!G178+Thyolo!G178+Muloza!G178+MUST!G178+Phalombe!G178+Mikolongwe!G178+Migowi!G178</f>
        <v>0</v>
      </c>
      <c r="H178" s="131">
        <f>Mulanje!H178+Luchenza!H178+Thyolo!H178+Muloza!H178+MUST!H178+Phalombe!H178+Mikolongwe!H178+Migowi!H178</f>
        <v>0</v>
      </c>
      <c r="I178" s="131">
        <f>Mulanje!I178+Luchenza!I178+Thyolo!I178+Muloza!I178+MUST!I178+Phalombe!I178+Mikolongwe!I178+Migowi!I178</f>
        <v>0</v>
      </c>
      <c r="J178" s="131">
        <f>Mulanje!J178+Luchenza!J178+Thyolo!J178+Muloza!J178+MUST!J178+Phalombe!J178+Mikolongwe!J178+Migowi!J178</f>
        <v>0</v>
      </c>
      <c r="K178" s="131">
        <f>Mulanje!K178+Luchenza!K178+Thyolo!K178+Muloza!K178+MUST!K178+Phalombe!K178+Mikolongwe!K178+Migowi!K178</f>
        <v>0</v>
      </c>
      <c r="L178" s="131">
        <f>Mulanje!L178+Luchenza!L178+Thyolo!L178+Muloza!L178+MUST!L178+Phalombe!L178+Mikolongwe!L178+Migowi!L178</f>
        <v>0</v>
      </c>
      <c r="M178" s="131">
        <f>Mulanje!M178+Luchenza!M178+Thyolo!M178+Muloza!M178+MUST!M178+Phalombe!M178+Mikolongwe!M178+Migowi!M178+Nkando!M178</f>
        <v>0</v>
      </c>
      <c r="N178" s="131">
        <f>Mulanje!N178+Luchenza!N178+Thyolo!N178+Muloza!N178+MUST!N178+Phalombe!N178+Mikolongwe!N178+Migowi!N178+Nkando!N178</f>
        <v>0</v>
      </c>
      <c r="O178" s="131">
        <f>Mulanje!O178+Luchenza!O178+Thyolo!O178+Muloza!O178+MUST!O178+Phalombe!O178+Mikolongwe!O178+Migowi!O178+Nkando!O178</f>
        <v>0</v>
      </c>
      <c r="P178" s="74">
        <f t="shared" si="75"/>
        <v>0</v>
      </c>
    </row>
    <row r="179" spans="1:16" x14ac:dyDescent="0.3">
      <c r="A179" s="292"/>
      <c r="B179" s="19" t="s">
        <v>68</v>
      </c>
      <c r="C179" s="11" t="s">
        <v>57</v>
      </c>
      <c r="D179" s="131">
        <f>Mulanje!D179+Luchenza!D179+Thyolo!D179+Muloza!D179+MUST!D179+Phalombe!D179+Mikolongwe!D179+Migowi!D179</f>
        <v>0</v>
      </c>
      <c r="E179" s="131">
        <f>Mulanje!E179+Luchenza!E179+Thyolo!E179+Muloza!E179+MUST!E179+Phalombe!E179+Mikolongwe!E179+Migowi!E179</f>
        <v>0</v>
      </c>
      <c r="F179" s="131">
        <f>Mulanje!F179+Luchenza!F179+Thyolo!F179+Muloza!F179+MUST!F179+Phalombe!F179+Mikolongwe!F179+Migowi!F179</f>
        <v>0</v>
      </c>
      <c r="G179" s="131">
        <f>Mulanje!G179+Luchenza!G179+Thyolo!G179+Muloza!G179+MUST!G179+Phalombe!G179+Mikolongwe!G179+Migowi!G179</f>
        <v>0</v>
      </c>
      <c r="H179" s="131">
        <f>Mulanje!H179+Luchenza!H179+Thyolo!H179+Muloza!H179+MUST!H179+Phalombe!H179+Mikolongwe!H179+Migowi!H179</f>
        <v>0</v>
      </c>
      <c r="I179" s="131">
        <f>Mulanje!I179+Luchenza!I179+Thyolo!I179+Muloza!I179+MUST!I179+Phalombe!I179+Mikolongwe!I179+Migowi!I179</f>
        <v>0</v>
      </c>
      <c r="J179" s="131">
        <f>Mulanje!J179+Luchenza!J179+Thyolo!J179+Muloza!J179+MUST!J179+Phalombe!J179+Mikolongwe!J179+Migowi!J179</f>
        <v>0</v>
      </c>
      <c r="K179" s="131">
        <f>Mulanje!K179+Luchenza!K179+Thyolo!K179+Muloza!K179+MUST!K179+Phalombe!K179+Mikolongwe!K179+Migowi!K179</f>
        <v>0</v>
      </c>
      <c r="L179" s="131">
        <f>Mulanje!L179+Luchenza!L179+Thyolo!L179+Muloza!L179+MUST!L179+Phalombe!L179+Mikolongwe!L179+Migowi!L179</f>
        <v>0</v>
      </c>
      <c r="M179" s="131">
        <f>Mulanje!M179+Luchenza!M179+Thyolo!M179+Muloza!M179+MUST!M179+Phalombe!M179+Mikolongwe!M179+Migowi!M179+Nkando!M179</f>
        <v>0</v>
      </c>
      <c r="N179" s="131">
        <f>Mulanje!N179+Luchenza!N179+Thyolo!N179+Muloza!N179+MUST!N179+Phalombe!N179+Mikolongwe!N179+Migowi!N179+Nkando!N179</f>
        <v>0</v>
      </c>
      <c r="O179" s="131">
        <f>Mulanje!O179+Luchenza!O179+Thyolo!O179+Muloza!O179+MUST!O179+Phalombe!O179+Mikolongwe!O179+Migowi!O179+Nkando!O179</f>
        <v>0</v>
      </c>
      <c r="P179" s="74">
        <f t="shared" si="75"/>
        <v>0</v>
      </c>
    </row>
    <row r="180" spans="1:16" x14ac:dyDescent="0.3">
      <c r="A180" s="292"/>
      <c r="B180" s="19" t="s">
        <v>67</v>
      </c>
      <c r="C180" s="11" t="s">
        <v>57</v>
      </c>
      <c r="D180" s="131">
        <f>Mulanje!D180+Luchenza!D180+Thyolo!D180+Muloza!D180+MUST!D180+Phalombe!D180+Mikolongwe!D180+Migowi!D180</f>
        <v>0</v>
      </c>
      <c r="E180" s="131">
        <f>Mulanje!E180+Luchenza!E180+Thyolo!E180+Muloza!E180+MUST!E180+Phalombe!E180+Mikolongwe!E180+Migowi!E180</f>
        <v>0</v>
      </c>
      <c r="F180" s="131">
        <f>Mulanje!F180+Luchenza!F180+Thyolo!F180+Muloza!F180+MUST!F180+Phalombe!F180+Mikolongwe!F180+Migowi!F180</f>
        <v>0</v>
      </c>
      <c r="G180" s="131">
        <f>Mulanje!G180+Luchenza!G180+Thyolo!G180+Muloza!G180+MUST!G180+Phalombe!G180+Mikolongwe!G180+Migowi!G180</f>
        <v>0</v>
      </c>
      <c r="H180" s="131">
        <f>Mulanje!H180+Luchenza!H180+Thyolo!H180+Muloza!H180+MUST!H180+Phalombe!H180+Mikolongwe!H180+Migowi!H180</f>
        <v>0</v>
      </c>
      <c r="I180" s="131">
        <f>Mulanje!I180+Luchenza!I180+Thyolo!I180+Muloza!I180+MUST!I180+Phalombe!I180+Mikolongwe!I180+Migowi!I180</f>
        <v>0</v>
      </c>
      <c r="J180" s="131">
        <f>Mulanje!J180+Luchenza!J180+Thyolo!J180+Muloza!J180+MUST!J180+Phalombe!J180+Mikolongwe!J180+Migowi!J180</f>
        <v>0</v>
      </c>
      <c r="K180" s="131">
        <f>Mulanje!K180+Luchenza!K180+Thyolo!K180+Muloza!K180+MUST!K180+Phalombe!K180+Mikolongwe!K180+Migowi!K180</f>
        <v>0</v>
      </c>
      <c r="L180" s="131">
        <f>Mulanje!L180+Luchenza!L180+Thyolo!L180+Muloza!L180+MUST!L180+Phalombe!L180+Mikolongwe!L180+Migowi!L180</f>
        <v>0</v>
      </c>
      <c r="M180" s="131">
        <f>Mulanje!M180+Luchenza!M180+Thyolo!M180+Muloza!M180+MUST!M180+Phalombe!M180+Mikolongwe!M180+Migowi!M180+Nkando!M180</f>
        <v>0</v>
      </c>
      <c r="N180" s="131">
        <f>Mulanje!N180+Luchenza!N180+Thyolo!N180+Muloza!N180+MUST!N180+Phalombe!N180+Mikolongwe!N180+Migowi!N180+Nkando!N180</f>
        <v>0</v>
      </c>
      <c r="O180" s="131">
        <f>Mulanje!O180+Luchenza!O180+Thyolo!O180+Muloza!O180+MUST!O180+Phalombe!O180+Mikolongwe!O180+Migowi!O180+Nkando!O180</f>
        <v>0</v>
      </c>
      <c r="P180" s="74">
        <f t="shared" si="75"/>
        <v>0</v>
      </c>
    </row>
    <row r="181" spans="1:16" x14ac:dyDescent="0.3">
      <c r="A181" s="292"/>
      <c r="B181" s="19" t="s">
        <v>66</v>
      </c>
      <c r="C181" s="11" t="s">
        <v>57</v>
      </c>
      <c r="D181" s="131">
        <f>Mulanje!D181+Luchenza!D181+Thyolo!D181+Muloza!D181+MUST!D181+Phalombe!D181+Mikolongwe!D181+Migowi!D181</f>
        <v>0</v>
      </c>
      <c r="E181" s="131">
        <f>Mulanje!E181+Luchenza!E181+Thyolo!E181+Muloza!E181+MUST!E181+Phalombe!E181+Mikolongwe!E181+Migowi!E181</f>
        <v>0</v>
      </c>
      <c r="F181" s="131">
        <f>Mulanje!F181+Luchenza!F181+Thyolo!F181+Muloza!F181+MUST!F181+Phalombe!F181+Mikolongwe!F181+Migowi!F181</f>
        <v>0</v>
      </c>
      <c r="G181" s="131">
        <f>Mulanje!G181+Luchenza!G181+Thyolo!G181+Muloza!G181+MUST!G181+Phalombe!G181+Mikolongwe!G181+Migowi!G181</f>
        <v>0</v>
      </c>
      <c r="H181" s="131">
        <f>Mulanje!H181+Luchenza!H181+Thyolo!H181+Muloza!H181+MUST!H181+Phalombe!H181+Mikolongwe!H181+Migowi!H181</f>
        <v>0</v>
      </c>
      <c r="I181" s="131">
        <f>Mulanje!I181+Luchenza!I181+Thyolo!I181+Muloza!I181+MUST!I181+Phalombe!I181+Mikolongwe!I181+Migowi!I181</f>
        <v>0</v>
      </c>
      <c r="J181" s="131">
        <f>Mulanje!J181+Luchenza!J181+Thyolo!J181+Muloza!J181+MUST!J181+Phalombe!J181+Mikolongwe!J181+Migowi!J181</f>
        <v>0</v>
      </c>
      <c r="K181" s="131">
        <f>Mulanje!K181+Luchenza!K181+Thyolo!K181+Muloza!K181+MUST!K181+Phalombe!K181+Mikolongwe!K181+Migowi!K181</f>
        <v>0</v>
      </c>
      <c r="L181" s="131">
        <f>Mulanje!L181+Luchenza!L181+Thyolo!L181+Muloza!L181+MUST!L181+Phalombe!L181+Mikolongwe!L181+Migowi!L181</f>
        <v>0</v>
      </c>
      <c r="M181" s="131">
        <f>Mulanje!M181+Luchenza!M181+Thyolo!M181+Muloza!M181+MUST!M181+Phalombe!M181+Mikolongwe!M181+Migowi!M181+Nkando!M181</f>
        <v>0</v>
      </c>
      <c r="N181" s="131">
        <f>Mulanje!N181+Luchenza!N181+Thyolo!N181+Muloza!N181+MUST!N181+Phalombe!N181+Mikolongwe!N181+Migowi!N181+Nkando!N181</f>
        <v>0</v>
      </c>
      <c r="O181" s="131">
        <f>Mulanje!O181+Luchenza!O181+Thyolo!O181+Muloza!O181+MUST!O181+Phalombe!O181+Mikolongwe!O181+Migowi!O181+Nkando!O181</f>
        <v>0</v>
      </c>
      <c r="P181" s="74">
        <f t="shared" si="75"/>
        <v>0</v>
      </c>
    </row>
    <row r="182" spans="1:16" x14ac:dyDescent="0.3">
      <c r="A182" s="293"/>
      <c r="B182" s="19" t="s">
        <v>65</v>
      </c>
      <c r="C182" s="11" t="s">
        <v>57</v>
      </c>
      <c r="D182" s="131">
        <f>Mulanje!D182+Luchenza!D182+Thyolo!D182+Muloza!D182+MUST!D182+Phalombe!D182+Mikolongwe!D182+Migowi!D182</f>
        <v>0</v>
      </c>
      <c r="E182" s="131">
        <f>Mulanje!E182+Luchenza!E182+Thyolo!E182+Muloza!E182+MUST!E182+Phalombe!E182+Mikolongwe!E182+Migowi!E182</f>
        <v>0</v>
      </c>
      <c r="F182" s="131">
        <f>Mulanje!F182+Luchenza!F182+Thyolo!F182+Muloza!F182+MUST!F182+Phalombe!F182+Mikolongwe!F182+Migowi!F182</f>
        <v>0</v>
      </c>
      <c r="G182" s="131">
        <f>Mulanje!G182+Luchenza!G182+Thyolo!G182+Muloza!G182+MUST!G182+Phalombe!G182+Mikolongwe!G182+Migowi!G182</f>
        <v>0</v>
      </c>
      <c r="H182" s="131">
        <f>Mulanje!H182+Luchenza!H182+Thyolo!H182+Muloza!H182+MUST!H182+Phalombe!H182+Mikolongwe!H182+Migowi!H182</f>
        <v>0</v>
      </c>
      <c r="I182" s="131">
        <f>Mulanje!I182+Luchenza!I182+Thyolo!I182+Muloza!I182+MUST!I182+Phalombe!I182+Mikolongwe!I182+Migowi!I182</f>
        <v>0</v>
      </c>
      <c r="J182" s="131">
        <f>Mulanje!J182+Luchenza!J182+Thyolo!J182+Muloza!J182+MUST!J182+Phalombe!J182+Mikolongwe!J182+Migowi!J182</f>
        <v>0</v>
      </c>
      <c r="K182" s="131">
        <f>Mulanje!K182+Luchenza!K182+Thyolo!K182+Muloza!K182+MUST!K182+Phalombe!K182+Mikolongwe!K182+Migowi!K182</f>
        <v>0</v>
      </c>
      <c r="L182" s="131">
        <f>Mulanje!L182+Luchenza!L182+Thyolo!L182+Muloza!L182+MUST!L182+Phalombe!L182+Mikolongwe!L182+Migowi!L182</f>
        <v>0</v>
      </c>
      <c r="M182" s="131">
        <f>Mulanje!M182+Luchenza!M182+Thyolo!M182+Muloza!M182+MUST!M182+Phalombe!M182+Mikolongwe!M182+Migowi!M182+Nkando!M182</f>
        <v>0</v>
      </c>
      <c r="N182" s="131">
        <f>Mulanje!N182+Luchenza!N182+Thyolo!N182+Muloza!N182+MUST!N182+Phalombe!N182+Mikolongwe!N182+Migowi!N182+Nkando!N182</f>
        <v>0</v>
      </c>
      <c r="O182" s="131">
        <f>Mulanje!O182+Luchenza!O182+Thyolo!O182+Muloza!O182+MUST!O182+Phalombe!O182+Mikolongwe!O182+Migowi!O182+Nkando!O182</f>
        <v>0</v>
      </c>
      <c r="P182" s="74">
        <f t="shared" si="75"/>
        <v>0</v>
      </c>
    </row>
    <row r="183" spans="1:16" x14ac:dyDescent="0.3">
      <c r="A183" s="291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74"/>
    </row>
    <row r="184" spans="1:16" x14ac:dyDescent="0.3">
      <c r="A184" s="292"/>
      <c r="B184" s="19" t="s">
        <v>73</v>
      </c>
      <c r="C184" s="11" t="s">
        <v>57</v>
      </c>
      <c r="D184" s="131">
        <f>Mulanje!D184+Luchenza!D184+Thyolo!D184+Muloza!D184+MUST!D184+Phalombe!D184+Mikolongwe!D184+Migowi!D184</f>
        <v>0</v>
      </c>
      <c r="E184" s="131">
        <f>Mulanje!E184+Luchenza!E184+Thyolo!E184+Muloza!E184+MUST!E184+Phalombe!E184+Mikolongwe!E184+Migowi!E184</f>
        <v>0</v>
      </c>
      <c r="F184" s="131">
        <f>Mulanje!F184+Luchenza!F184+Thyolo!F184+Muloza!F184+MUST!F184+Phalombe!F184+Mikolongwe!F184+Migowi!F184</f>
        <v>0</v>
      </c>
      <c r="G184" s="131">
        <f>Mulanje!G184+Luchenza!G184+Thyolo!G184+Muloza!G184+MUST!G184+Phalombe!G184+Mikolongwe!G184+Migowi!G184</f>
        <v>0</v>
      </c>
      <c r="H184" s="131">
        <f>Mulanje!H184+Luchenza!H184+Thyolo!H184+Muloza!H184+MUST!H184+Phalombe!H184+Mikolongwe!H184+Migowi!H184</f>
        <v>0</v>
      </c>
      <c r="I184" s="131">
        <f>Mulanje!I184+Luchenza!I184+Thyolo!I184+Muloza!I184+MUST!I184+Phalombe!I184+Mikolongwe!I184+Migowi!I184</f>
        <v>0</v>
      </c>
      <c r="J184" s="131">
        <f>Mulanje!J184+Luchenza!J184+Thyolo!J184+Muloza!J184+MUST!J184+Phalombe!J184+Mikolongwe!J184+Migowi!J184</f>
        <v>0</v>
      </c>
      <c r="K184" s="131">
        <f>Mulanje!K184+Luchenza!K184+Thyolo!K184+Muloza!K184+MUST!K184+Phalombe!K184+Mikolongwe!K184+Migowi!K184</f>
        <v>0</v>
      </c>
      <c r="L184" s="131">
        <f>Mulanje!L184+Luchenza!L184+Thyolo!L184+Muloza!L184+MUST!L184+Phalombe!L184+Mikolongwe!L184+Migowi!L184</f>
        <v>0</v>
      </c>
      <c r="M184" s="131">
        <f>Mulanje!M184+Luchenza!M184+Thyolo!M184+Muloza!M184+MUST!M184+Phalombe!M184+Mikolongwe!M184+Migowi!M184+Nkando!M184</f>
        <v>0</v>
      </c>
      <c r="N184" s="131">
        <f>Mulanje!N184+Luchenza!N184+Thyolo!N184+Muloza!N184+MUST!N184+Phalombe!N184+Mikolongwe!N184+Migowi!N184+Nkando!N184</f>
        <v>0</v>
      </c>
      <c r="O184" s="131">
        <f>Mulanje!O184+Luchenza!O184+Thyolo!O184+Muloza!O184+MUST!O184+Phalombe!O184+Mikolongwe!O184+Migowi!O184+Nkando!O184</f>
        <v>0</v>
      </c>
      <c r="P184" s="74">
        <f>SUM(D184:O184)</f>
        <v>0</v>
      </c>
    </row>
    <row r="185" spans="1:16" x14ac:dyDescent="0.3">
      <c r="A185" s="292"/>
      <c r="B185" s="19" t="s">
        <v>72</v>
      </c>
      <c r="C185" s="11" t="s">
        <v>57</v>
      </c>
      <c r="D185" s="131">
        <f>Mulanje!D185+Luchenza!D185+Thyolo!D185+Muloza!D185+MUST!D185+Phalombe!D185+Mikolongwe!D185+Migowi!D185</f>
        <v>0</v>
      </c>
      <c r="E185" s="131">
        <f>Mulanje!E185+Luchenza!E185+Thyolo!E185+Muloza!E185+MUST!E185+Phalombe!E185+Mikolongwe!E185+Migowi!E185</f>
        <v>0</v>
      </c>
      <c r="F185" s="131">
        <f>Mulanje!F185+Luchenza!F185+Thyolo!F185+Muloza!F185+MUST!F185+Phalombe!F185+Mikolongwe!F185+Migowi!F185</f>
        <v>0</v>
      </c>
      <c r="G185" s="131">
        <f>Mulanje!G185+Luchenza!G185+Thyolo!G185+Muloza!G185+MUST!G185+Phalombe!G185+Mikolongwe!G185+Migowi!G185</f>
        <v>0</v>
      </c>
      <c r="H185" s="131">
        <f>Mulanje!H185+Luchenza!H185+Thyolo!H185+Muloza!H185+MUST!H185+Phalombe!H185+Mikolongwe!H185+Migowi!H185</f>
        <v>0</v>
      </c>
      <c r="I185" s="131">
        <f>Mulanje!I185+Luchenza!I185+Thyolo!I185+Muloza!I185+MUST!I185+Phalombe!I185+Mikolongwe!I185+Migowi!I185</f>
        <v>0</v>
      </c>
      <c r="J185" s="131">
        <f>Mulanje!J185+Luchenza!J185+Thyolo!J185+Muloza!J185+MUST!J185+Phalombe!J185+Mikolongwe!J185+Migowi!J185</f>
        <v>0</v>
      </c>
      <c r="K185" s="131">
        <f>Mulanje!K185+Luchenza!K185+Thyolo!K185+Muloza!K185+MUST!K185+Phalombe!K185+Mikolongwe!K185+Migowi!K185</f>
        <v>0</v>
      </c>
      <c r="L185" s="131">
        <f>Mulanje!L185+Luchenza!L185+Thyolo!L185+Muloza!L185+MUST!L185+Phalombe!L185+Mikolongwe!L185+Migowi!L185</f>
        <v>0</v>
      </c>
      <c r="M185" s="131">
        <f>Mulanje!M185+Luchenza!M185+Thyolo!M185+Muloza!M185+MUST!M185+Phalombe!M185+Mikolongwe!M185+Migowi!M185+Nkando!M185</f>
        <v>0</v>
      </c>
      <c r="N185" s="131">
        <f>Mulanje!N185+Luchenza!N185+Thyolo!N185+Muloza!N185+MUST!N185+Phalombe!N185+Mikolongwe!N185+Migowi!N185+Nkando!N185</f>
        <v>0</v>
      </c>
      <c r="O185" s="131">
        <f>Mulanje!O185+Luchenza!O185+Thyolo!O185+Muloza!O185+MUST!O185+Phalombe!O185+Mikolongwe!O185+Migowi!O185+Nkando!O185</f>
        <v>0</v>
      </c>
      <c r="P185" s="74">
        <f>SUM(D185:O185)</f>
        <v>0</v>
      </c>
    </row>
    <row r="186" spans="1:16" x14ac:dyDescent="0.3">
      <c r="A186" s="292"/>
      <c r="B186" s="19" t="s">
        <v>53</v>
      </c>
      <c r="C186" s="11" t="s">
        <v>57</v>
      </c>
      <c r="D186" s="131">
        <f>Mulanje!D186+Luchenza!D186+Thyolo!D186+Muloza!D186+MUST!D186+Phalombe!D186+Mikolongwe!D186+Migowi!D186</f>
        <v>0</v>
      </c>
      <c r="E186" s="131">
        <f>Mulanje!E186+Luchenza!E186+Thyolo!E186+Muloza!E186+MUST!E186+Phalombe!E186+Mikolongwe!E186+Migowi!E186</f>
        <v>0</v>
      </c>
      <c r="F186" s="131">
        <f>Mulanje!F186+Luchenza!F186+Thyolo!F186+Muloza!F186+MUST!F186+Phalombe!F186+Mikolongwe!F186+Migowi!F186</f>
        <v>0</v>
      </c>
      <c r="G186" s="131">
        <f>Mulanje!G186+Luchenza!G186+Thyolo!G186+Muloza!G186+MUST!G186+Phalombe!G186+Mikolongwe!G186+Migowi!G186</f>
        <v>0</v>
      </c>
      <c r="H186" s="131">
        <f>Mulanje!H186+Luchenza!H186+Thyolo!H186+Muloza!H186+MUST!H186+Phalombe!H186+Mikolongwe!H186+Migowi!H186</f>
        <v>0</v>
      </c>
      <c r="I186" s="131">
        <f>Mulanje!I186+Luchenza!I186+Thyolo!I186+Muloza!I186+MUST!I186+Phalombe!I186+Mikolongwe!I186+Migowi!I186</f>
        <v>0</v>
      </c>
      <c r="J186" s="131">
        <f>Mulanje!J186+Luchenza!J186+Thyolo!J186+Muloza!J186+MUST!J186+Phalombe!J186+Mikolongwe!J186+Migowi!J186</f>
        <v>0</v>
      </c>
      <c r="K186" s="131">
        <f>Mulanje!K186+Luchenza!K186+Thyolo!K186+Muloza!K186+MUST!K186+Phalombe!K186+Mikolongwe!K186+Migowi!K186</f>
        <v>0</v>
      </c>
      <c r="L186" s="131">
        <f>Mulanje!L186+Luchenza!L186+Thyolo!L186+Muloza!L186+MUST!L186+Phalombe!L186+Mikolongwe!L186+Migowi!L186</f>
        <v>0</v>
      </c>
      <c r="M186" s="131">
        <f>Mulanje!M186+Luchenza!M186+Thyolo!M186+Muloza!M186+MUST!M186+Phalombe!M186+Mikolongwe!M186+Migowi!M186+Nkando!M186</f>
        <v>0</v>
      </c>
      <c r="N186" s="131">
        <f>Mulanje!N186+Luchenza!N186+Thyolo!N186+Muloza!N186+MUST!N186+Phalombe!N186+Mikolongwe!N186+Migowi!N186+Nkando!N186</f>
        <v>0</v>
      </c>
      <c r="O186" s="131">
        <f>Mulanje!O186+Luchenza!O186+Thyolo!O186+Muloza!O186+MUST!O186+Phalombe!O186+Mikolongwe!O186+Migowi!O186+Nkando!O186</f>
        <v>0</v>
      </c>
      <c r="P186" s="74">
        <f>SUM(D186:O186)</f>
        <v>0</v>
      </c>
    </row>
    <row r="187" spans="1:16" x14ac:dyDescent="0.3">
      <c r="A187" s="293"/>
      <c r="B187" s="19" t="s">
        <v>52</v>
      </c>
      <c r="C187" s="11" t="s">
        <v>57</v>
      </c>
      <c r="D187" s="131">
        <f>Mulanje!D187+Luchenza!D187+Thyolo!D187+Muloza!D187+MUST!D187+Phalombe!D187+Mikolongwe!D187+Migowi!D187</f>
        <v>0</v>
      </c>
      <c r="E187" s="131">
        <f>Mulanje!E187+Luchenza!E187+Thyolo!E187+Muloza!E187+MUST!E187+Phalombe!E187+Mikolongwe!E187+Migowi!E187</f>
        <v>0</v>
      </c>
      <c r="F187" s="131">
        <f>Mulanje!F187+Luchenza!F187+Thyolo!F187+Muloza!F187+MUST!F187+Phalombe!F187+Mikolongwe!F187+Migowi!F187</f>
        <v>0</v>
      </c>
      <c r="G187" s="131">
        <f>Mulanje!G187+Luchenza!G187+Thyolo!G187+Muloza!G187+MUST!G187+Phalombe!G187+Mikolongwe!G187+Migowi!G187</f>
        <v>0</v>
      </c>
      <c r="H187" s="131">
        <f>Mulanje!H187+Luchenza!H187+Thyolo!H187+Muloza!H187+MUST!H187+Phalombe!H187+Mikolongwe!H187+Migowi!H187</f>
        <v>0</v>
      </c>
      <c r="I187" s="131">
        <f>Mulanje!I187+Luchenza!I187+Thyolo!I187+Muloza!I187+MUST!I187+Phalombe!I187+Mikolongwe!I187+Migowi!I187</f>
        <v>0</v>
      </c>
      <c r="J187" s="131">
        <f>Mulanje!J187+Luchenza!J187+Thyolo!J187+Muloza!J187+MUST!J187+Phalombe!J187+Mikolongwe!J187+Migowi!J187</f>
        <v>0</v>
      </c>
      <c r="K187" s="131">
        <f>Mulanje!K187+Luchenza!K187+Thyolo!K187+Muloza!K187+MUST!K187+Phalombe!K187+Mikolongwe!K187+Migowi!K187</f>
        <v>0</v>
      </c>
      <c r="L187" s="131">
        <f>Mulanje!L187+Luchenza!L187+Thyolo!L187+Muloza!L187+MUST!L187+Phalombe!L187+Mikolongwe!L187+Migowi!L187</f>
        <v>0</v>
      </c>
      <c r="M187" s="131">
        <f>Mulanje!M187+Luchenza!M187+Thyolo!M187+Muloza!M187+MUST!M187+Phalombe!M187+Mikolongwe!M187+Migowi!M187+Nkando!M187</f>
        <v>0</v>
      </c>
      <c r="N187" s="131">
        <f>Mulanje!N187+Luchenza!N187+Thyolo!N187+Muloza!N187+MUST!N187+Phalombe!N187+Mikolongwe!N187+Migowi!N187+Nkando!N187</f>
        <v>0</v>
      </c>
      <c r="O187" s="131">
        <f>Mulanje!O187+Luchenza!O187+Thyolo!O187+Muloza!O187+MUST!O187+Phalombe!O187+Mikolongwe!O187+Migowi!O187+Nkando!O187</f>
        <v>0</v>
      </c>
      <c r="P187" s="74">
        <f>SUM(D187:O187)</f>
        <v>0</v>
      </c>
    </row>
    <row r="188" spans="1:16" x14ac:dyDescent="0.3">
      <c r="A188" s="291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74"/>
    </row>
    <row r="189" spans="1:16" x14ac:dyDescent="0.3">
      <c r="A189" s="292"/>
      <c r="B189" s="20" t="s">
        <v>52</v>
      </c>
      <c r="C189" s="11" t="s">
        <v>57</v>
      </c>
      <c r="D189" s="131">
        <f>Mulanje!D189+Luchenza!D189+Thyolo!D189+Muloza!D189+MUST!D189+Phalombe!D189+Mikolongwe!D189+Migowi!D189</f>
        <v>0</v>
      </c>
      <c r="E189" s="131">
        <f>Mulanje!E189+Luchenza!E189+Thyolo!E189+Muloza!E189+MUST!E189+Phalombe!E189+Mikolongwe!E189+Migowi!E189</f>
        <v>0</v>
      </c>
      <c r="F189" s="131">
        <f>Mulanje!F189+Luchenza!F189+Thyolo!F189+Muloza!F189+MUST!F189+Phalombe!F189+Mikolongwe!F189+Migowi!F189</f>
        <v>0</v>
      </c>
      <c r="G189" s="131">
        <f>Mulanje!G189+Luchenza!G189+Thyolo!G189+Muloza!G189+MUST!G189+Phalombe!G189+Mikolongwe!G189+Migowi!G189</f>
        <v>0</v>
      </c>
      <c r="H189" s="131">
        <f>Mulanje!H189+Luchenza!H189+Thyolo!H189+Muloza!H189+MUST!H189+Phalombe!H189+Mikolongwe!H189+Migowi!H189</f>
        <v>0</v>
      </c>
      <c r="I189" s="131">
        <f>Mulanje!I189+Luchenza!I189+Thyolo!I189+Muloza!I189+MUST!I189+Phalombe!I189+Mikolongwe!I189+Migowi!I189</f>
        <v>0</v>
      </c>
      <c r="J189" s="131">
        <f>Mulanje!J189+Luchenza!J189+Thyolo!J189+Muloza!J189+MUST!J189+Phalombe!J189+Mikolongwe!J189+Migowi!J189</f>
        <v>0</v>
      </c>
      <c r="K189" s="131">
        <f>Mulanje!K189+Luchenza!K189+Thyolo!K189+Muloza!K189+MUST!K189+Phalombe!K189+Mikolongwe!K189+Migowi!K189</f>
        <v>0</v>
      </c>
      <c r="L189" s="131">
        <f>Mulanje!L189+Luchenza!L189+Thyolo!L189+Muloza!L189+MUST!L189+Phalombe!L189+Mikolongwe!L189+Migowi!L189</f>
        <v>0</v>
      </c>
      <c r="M189" s="131">
        <f>Mulanje!M189+Luchenza!M189+Thyolo!M189+Muloza!M189+MUST!M189+Phalombe!M189+Mikolongwe!M189+Migowi!M189+Nkando!M189</f>
        <v>0</v>
      </c>
      <c r="N189" s="131">
        <f>Mulanje!N189+Luchenza!N189+Thyolo!N189+Muloza!N189+MUST!N189+Phalombe!N189+Mikolongwe!N189+Migowi!N189+Nkando!N189</f>
        <v>0</v>
      </c>
      <c r="O189" s="131">
        <f>Mulanje!O189+Luchenza!O189+Thyolo!O189+Muloza!O189+MUST!O189+Phalombe!O189+Mikolongwe!O189+Migowi!O189+Nkando!O189</f>
        <v>0</v>
      </c>
      <c r="P189" s="74">
        <f>SUM(D189:O189)</f>
        <v>0</v>
      </c>
    </row>
    <row r="190" spans="1:16" x14ac:dyDescent="0.3">
      <c r="A190" s="292"/>
      <c r="B190" s="19" t="s">
        <v>62</v>
      </c>
      <c r="C190" s="11" t="s">
        <v>57</v>
      </c>
      <c r="D190" s="131">
        <f>Mulanje!D190+Luchenza!D190+Thyolo!D190+Muloza!D190+MUST!D190+Phalombe!D190+Mikolongwe!D190+Migowi!D190</f>
        <v>3</v>
      </c>
      <c r="E190" s="131">
        <f>Mulanje!E190+Luchenza!E190+Thyolo!E190+Muloza!E190+MUST!E190+Phalombe!E190+Mikolongwe!E190+Migowi!E190</f>
        <v>2</v>
      </c>
      <c r="F190" s="131">
        <f>Mulanje!F190+Luchenza!F190+Thyolo!F190+Muloza!F190+MUST!F190+Phalombe!F190+Mikolongwe!F190+Migowi!F190</f>
        <v>0</v>
      </c>
      <c r="G190" s="131">
        <f>Mulanje!G190+Luchenza!G190+Thyolo!G190+Muloza!G190+MUST!G190+Phalombe!G190+Mikolongwe!G190+Migowi!G190</f>
        <v>0</v>
      </c>
      <c r="H190" s="131">
        <f>Mulanje!H190+Luchenza!H190+Thyolo!H190+Muloza!H190+MUST!H190+Phalombe!H190+Mikolongwe!H190+Migowi!H190</f>
        <v>0</v>
      </c>
      <c r="I190" s="131">
        <f>Mulanje!I190+Luchenza!I190+Thyolo!I190+Muloza!I190+MUST!I190+Phalombe!I190+Mikolongwe!I190+Migowi!I190</f>
        <v>0</v>
      </c>
      <c r="J190" s="131">
        <f>Mulanje!J190+Luchenza!J190+Thyolo!J190+Muloza!J190+MUST!J190+Phalombe!J190+Mikolongwe!J190+Migowi!J190</f>
        <v>0</v>
      </c>
      <c r="K190" s="131">
        <f>Mulanje!K190+Luchenza!K190+Thyolo!K190+Muloza!K190+MUST!K190+Phalombe!K190+Mikolongwe!K190+Migowi!K190</f>
        <v>0</v>
      </c>
      <c r="L190" s="131">
        <f>Mulanje!L190+Luchenza!L190+Thyolo!L190+Muloza!L190+MUST!L190+Phalombe!L190+Mikolongwe!L190+Migowi!L190</f>
        <v>2</v>
      </c>
      <c r="M190" s="131">
        <f>Mulanje!M190+Luchenza!M190+Thyolo!M190+Muloza!M190+MUST!M190+Phalombe!M190+Mikolongwe!M190+Migowi!M190+Nkando!M190</f>
        <v>0</v>
      </c>
      <c r="N190" s="131">
        <f>Mulanje!N190+Luchenza!N190+Thyolo!N190+Muloza!N190+MUST!N190+Phalombe!N190+Mikolongwe!N190+Migowi!N190+Nkando!N190</f>
        <v>0</v>
      </c>
      <c r="O190" s="131">
        <f>Mulanje!O190+Luchenza!O190+Thyolo!O190+Muloza!O190+MUST!O190+Phalombe!O190+Mikolongwe!O190+Migowi!O190+Nkando!O190</f>
        <v>0</v>
      </c>
      <c r="P190" s="74">
        <f>SUM(D190:O190)</f>
        <v>7</v>
      </c>
    </row>
    <row r="191" spans="1:16" x14ac:dyDescent="0.3">
      <c r="A191" s="292"/>
      <c r="B191" s="19" t="s">
        <v>61</v>
      </c>
      <c r="C191" s="11" t="s">
        <v>57</v>
      </c>
      <c r="D191" s="131">
        <f>Mulanje!D191+Luchenza!D191+Thyolo!D191+Muloza!D191+MUST!D191+Phalombe!D191+Mikolongwe!D191+Migowi!D191</f>
        <v>2</v>
      </c>
      <c r="E191" s="131">
        <f>Mulanje!E191+Luchenza!E191+Thyolo!E191+Muloza!E191+MUST!E191+Phalombe!E191+Mikolongwe!E191+Migowi!E191</f>
        <v>1</v>
      </c>
      <c r="F191" s="131">
        <f>Mulanje!F191+Luchenza!F191+Thyolo!F191+Muloza!F191+MUST!F191+Phalombe!F191+Mikolongwe!F191+Migowi!F191</f>
        <v>1</v>
      </c>
      <c r="G191" s="131">
        <f>Mulanje!G191+Luchenza!G191+Thyolo!G191+Muloza!G191+MUST!G191+Phalombe!G191+Mikolongwe!G191+Migowi!G191</f>
        <v>1</v>
      </c>
      <c r="H191" s="131">
        <f>Mulanje!H191+Luchenza!H191+Thyolo!H191+Muloza!H191+MUST!H191+Phalombe!H191+Mikolongwe!H191+Migowi!H191</f>
        <v>0</v>
      </c>
      <c r="I191" s="131">
        <f>Mulanje!I191+Luchenza!I191+Thyolo!I191+Muloza!I191+MUST!I191+Phalombe!I191+Mikolongwe!I191+Migowi!I191</f>
        <v>0</v>
      </c>
      <c r="J191" s="131">
        <f>Mulanje!J191+Luchenza!J191+Thyolo!J191+Muloza!J191+MUST!J191+Phalombe!J191+Mikolongwe!J191+Migowi!J191</f>
        <v>0</v>
      </c>
      <c r="K191" s="131">
        <f>Mulanje!K191+Luchenza!K191+Thyolo!K191+Muloza!K191+MUST!K191+Phalombe!K191+Mikolongwe!K191+Migowi!K191</f>
        <v>0</v>
      </c>
      <c r="L191" s="131">
        <f>Mulanje!L191+Luchenza!L191+Thyolo!L191+Muloza!L191+MUST!L191+Phalombe!L191+Mikolongwe!L191+Migowi!L191</f>
        <v>0</v>
      </c>
      <c r="M191" s="131">
        <f>Mulanje!M191+Luchenza!M191+Thyolo!M191+Muloza!M191+MUST!M191+Phalombe!M191+Mikolongwe!M191+Migowi!M191+Nkando!M191</f>
        <v>0</v>
      </c>
      <c r="N191" s="131">
        <f>Mulanje!N191+Luchenza!N191+Thyolo!N191+Muloza!N191+MUST!N191+Phalombe!N191+Mikolongwe!N191+Migowi!N191+Nkando!N191</f>
        <v>0</v>
      </c>
      <c r="O191" s="131">
        <f>Mulanje!O191+Luchenza!O191+Thyolo!O191+Muloza!O191+MUST!O191+Phalombe!O191+Mikolongwe!O191+Migowi!O191+Nkando!O191</f>
        <v>0</v>
      </c>
      <c r="P191" s="74">
        <f>SUM(D191:O191)</f>
        <v>5</v>
      </c>
    </row>
    <row r="192" spans="1:16" x14ac:dyDescent="0.3">
      <c r="A192" s="293"/>
      <c r="B192" s="19" t="s">
        <v>60</v>
      </c>
      <c r="C192" s="11" t="s">
        <v>57</v>
      </c>
      <c r="D192" s="131">
        <f>Mulanje!D192+Luchenza!D192+Thyolo!D192+Muloza!D192+MUST!D192+Phalombe!D192+Mikolongwe!D192+Migowi!D192</f>
        <v>0</v>
      </c>
      <c r="E192" s="131">
        <f>Mulanje!E192+Luchenza!E192+Thyolo!E192+Muloza!E192+MUST!E192+Phalombe!E192+Mikolongwe!E192+Migowi!E192</f>
        <v>1</v>
      </c>
      <c r="F192" s="131">
        <f>Mulanje!F192+Luchenza!F192+Thyolo!F192+Muloza!F192+MUST!F192+Phalombe!F192+Mikolongwe!F192+Migowi!F192</f>
        <v>0</v>
      </c>
      <c r="G192" s="131">
        <f>Mulanje!G192+Luchenza!G192+Thyolo!G192+Muloza!G192+MUST!G192+Phalombe!G192+Mikolongwe!G192+Migowi!G192</f>
        <v>0</v>
      </c>
      <c r="H192" s="131">
        <f>Mulanje!H192+Luchenza!H192+Thyolo!H192+Muloza!H192+MUST!H192+Phalombe!H192+Mikolongwe!H192+Migowi!H192</f>
        <v>2</v>
      </c>
      <c r="I192" s="131">
        <f>Mulanje!I192+Luchenza!I192+Thyolo!I192+Muloza!I192+MUST!I192+Phalombe!I192+Mikolongwe!I192+Migowi!I192</f>
        <v>1</v>
      </c>
      <c r="J192" s="131">
        <f>Mulanje!J192+Luchenza!J192+Thyolo!J192+Muloza!J192+MUST!J192+Phalombe!J192+Mikolongwe!J192+Migowi!J192</f>
        <v>0</v>
      </c>
      <c r="K192" s="131">
        <f>Mulanje!K192+Luchenza!K192+Thyolo!K192+Muloza!K192+MUST!K192+Phalombe!K192+Mikolongwe!K192+Migowi!K192</f>
        <v>0</v>
      </c>
      <c r="L192" s="131">
        <f>Mulanje!L192+Luchenza!L192+Thyolo!L192+Muloza!L192+MUST!L192+Phalombe!L192+Mikolongwe!L192+Migowi!L192</f>
        <v>0</v>
      </c>
      <c r="M192" s="131">
        <f>Mulanje!M192+Luchenza!M192+Thyolo!M192+Muloza!M192+MUST!M192+Phalombe!M192+Mikolongwe!M192+Migowi!M192+Nkando!M192</f>
        <v>0</v>
      </c>
      <c r="N192" s="131">
        <f>Mulanje!N192+Luchenza!N192+Thyolo!N192+Muloza!N192+MUST!N192+Phalombe!N192+Mikolongwe!N192+Migowi!N192+Nkando!N192</f>
        <v>0</v>
      </c>
      <c r="O192" s="131">
        <f>Mulanje!O192+Luchenza!O192+Thyolo!O192+Muloza!O192+MUST!O192+Phalombe!O192+Mikolongwe!O192+Migowi!O192+Nkando!O192</f>
        <v>0</v>
      </c>
      <c r="P192" s="74">
        <f>SUM(D192:O192)</f>
        <v>4</v>
      </c>
    </row>
    <row r="193" spans="1:16" x14ac:dyDescent="0.3">
      <c r="A193" s="84" t="s">
        <v>59</v>
      </c>
      <c r="B193" s="17"/>
      <c r="C193" s="11"/>
      <c r="D193" s="10">
        <f>SUM(D153:D192)</f>
        <v>342</v>
      </c>
      <c r="E193" s="10">
        <f t="shared" ref="E193:P193" si="76">SUM(E153:E192)</f>
        <v>357</v>
      </c>
      <c r="F193" s="10">
        <f t="shared" si="76"/>
        <v>343</v>
      </c>
      <c r="G193" s="10">
        <f t="shared" ref="G193:H193" si="77">SUM(G153:G192)</f>
        <v>344</v>
      </c>
      <c r="H193" s="10">
        <f t="shared" si="77"/>
        <v>360</v>
      </c>
      <c r="I193" s="10">
        <f t="shared" ref="I193:O193" si="78">SUM(I153:I192)</f>
        <v>297</v>
      </c>
      <c r="J193" s="10">
        <f t="shared" si="78"/>
        <v>338</v>
      </c>
      <c r="K193" s="10">
        <f t="shared" si="78"/>
        <v>352</v>
      </c>
      <c r="L193" s="10">
        <f t="shared" si="78"/>
        <v>337</v>
      </c>
      <c r="M193" s="10">
        <f t="shared" si="78"/>
        <v>410</v>
      </c>
      <c r="N193" s="10">
        <f t="shared" si="78"/>
        <v>386</v>
      </c>
      <c r="O193" s="10">
        <f t="shared" si="78"/>
        <v>402</v>
      </c>
      <c r="P193" s="40">
        <f t="shared" si="76"/>
        <v>4268</v>
      </c>
    </row>
    <row r="194" spans="1:16" x14ac:dyDescent="0.3">
      <c r="A194" s="286" t="s">
        <v>58</v>
      </c>
      <c r="B194" s="287"/>
      <c r="C194" s="11" t="s">
        <v>57</v>
      </c>
      <c r="D194" s="131">
        <f>Mulanje!D194+Luchenza!D194+Thyolo!D194+Muloza!D194+MUST!D194+Phalombe!D194+Mikolongwe!D194+Migowi!D194</f>
        <v>2</v>
      </c>
      <c r="E194" s="131">
        <f>Mulanje!E194+Luchenza!E194+Thyolo!E194+Muloza!E194+MUST!E194+Phalombe!E194+Mikolongwe!E194+Migowi!E194</f>
        <v>3</v>
      </c>
      <c r="F194" s="131">
        <f>Mulanje!F194+Luchenza!F194+Thyolo!F194+Muloza!F194+MUST!F194+Phalombe!F194+Mikolongwe!F194+Migowi!F194</f>
        <v>5</v>
      </c>
      <c r="G194" s="131">
        <f>Mulanje!G194+Luchenza!G194+Thyolo!G194+Muloza!G194+MUST!G194+Phalombe!G194+Mikolongwe!G194+Migowi!G194</f>
        <v>3</v>
      </c>
      <c r="H194" s="131">
        <f>Mulanje!H194+Luchenza!H194+Thyolo!H194+Muloza!H194+MUST!H194+Phalombe!H194+Mikolongwe!H194+Migowi!H194</f>
        <v>13</v>
      </c>
      <c r="I194" s="131">
        <f>Mulanje!I194+Luchenza!I194+Thyolo!I194+Muloza!I194+MUST!I194+Phalombe!I194+Mikolongwe!I194+Migowi!I194</f>
        <v>3</v>
      </c>
      <c r="J194" s="131">
        <f>Mulanje!J194+Luchenza!J194+Thyolo!J194+Muloza!J194+MUST!J194+Phalombe!J194+Mikolongwe!J194+Migowi!J194</f>
        <v>15</v>
      </c>
      <c r="K194" s="131">
        <f>Mulanje!K194+Luchenza!K194+Thyolo!K194+Muloza!K194+MUST!K194+Phalombe!K194+Mikolongwe!K194+Migowi!K194</f>
        <v>12</v>
      </c>
      <c r="L194" s="131">
        <f>Mulanje!L194+Luchenza!L194+Thyolo!L194+Muloza!L194+MUST!L194+Phalombe!L194+Mikolongwe!L194+Migowi!L194</f>
        <v>7</v>
      </c>
      <c r="M194" s="131">
        <f>Mulanje!M194+Luchenza!M194+Thyolo!M194+Muloza!M194+MUST!M194+Phalombe!M194+Mikolongwe!M194+Migowi!M194+Nkando!M194</f>
        <v>15</v>
      </c>
      <c r="N194" s="131">
        <f>Mulanje!N194+Luchenza!N194+Thyolo!N194+Muloza!N194+MUST!N194+Phalombe!N194+Mikolongwe!N194+Migowi!N194</f>
        <v>6</v>
      </c>
      <c r="O194" s="131">
        <f>Mulanje!O194+Luchenza!O194+Thyolo!O194+Muloza!O194+MUST!O194+Phalombe!O194+Mikolongwe!O194+Migowi!O194</f>
        <v>3</v>
      </c>
      <c r="P194" s="39">
        <f>SUM(D194:O194)</f>
        <v>87</v>
      </c>
    </row>
    <row r="195" spans="1:16" x14ac:dyDescent="0.3">
      <c r="A195" s="288"/>
      <c r="B195" s="289"/>
      <c r="C195" s="16" t="s">
        <v>55</v>
      </c>
      <c r="D195" s="131">
        <f>Mulanje!D195+Luchenza!D195+Thyolo!D195+Muloza!D195+MUST!D195+Phalombe!D195+Mikolongwe!D195+Migowi!D195</f>
        <v>28</v>
      </c>
      <c r="E195" s="131">
        <f>Mulanje!E195+Luchenza!E195+Thyolo!E195+Muloza!E195+MUST!E195+Phalombe!E195+Mikolongwe!E195+Migowi!E195</f>
        <v>264</v>
      </c>
      <c r="F195" s="131">
        <f>Mulanje!F195+Luchenza!F195+Thyolo!F195+Muloza!F195+MUST!F195+Phalombe!F195+Mikolongwe!F195+Migowi!F195</f>
        <v>376</v>
      </c>
      <c r="G195" s="131">
        <f>Mulanje!G195+Luchenza!G195+Thyolo!G195+Muloza!G195+MUST!G195+Phalombe!G195+Mikolongwe!G195+Migowi!G195</f>
        <v>72</v>
      </c>
      <c r="H195" s="131">
        <f>Mulanje!H195+Luchenza!H195+Thyolo!H195+Muloza!H195+MUST!H195+Phalombe!H195+Mikolongwe!H195+Migowi!H195</f>
        <v>1706</v>
      </c>
      <c r="I195" s="131">
        <f>Mulanje!I195+Luchenza!I195+Thyolo!I195+Muloza!I195+MUST!I195+Phalombe!I195+Mikolongwe!I195+Migowi!I195</f>
        <v>47</v>
      </c>
      <c r="J195" s="131">
        <f>Mulanje!J195+Luchenza!J195+Thyolo!J195+Muloza!J195+MUST!J195+Phalombe!J195+Mikolongwe!J195+Migowi!J195</f>
        <v>628</v>
      </c>
      <c r="K195" s="131">
        <f>Mulanje!K195+Luchenza!K195+Thyolo!K195+Muloza!K195+MUST!K195+Phalombe!K195+Mikolongwe!K195+Migowi!K195</f>
        <v>754</v>
      </c>
      <c r="L195" s="131">
        <f>Mulanje!L195+Luchenza!L195+Thyolo!L195+Muloza!L195+MUST!L195+Phalombe!L195+Mikolongwe!L195+Migowi!L195</f>
        <v>776</v>
      </c>
      <c r="M195" s="131">
        <f>Mulanje!M195+Luchenza!M195+Thyolo!M195+Muloza!M195+MUST!M195+Phalombe!M195+Mikolongwe!M195+Migowi!M195+Nkando!M195</f>
        <v>780</v>
      </c>
      <c r="N195" s="131">
        <f>Mulanje!N195+Luchenza!N195+Thyolo!N195+Muloza!N195+MUST!N195+Phalombe!N195+Mikolongwe!N195+Migowi!N195</f>
        <v>704</v>
      </c>
      <c r="O195" s="131">
        <f>Mulanje!O195+Luchenza!O195+Thyolo!O195+Muloza!O195+MUST!O195+Phalombe!O195+Mikolongwe!O195+Migowi!O195</f>
        <v>772</v>
      </c>
      <c r="P195" s="39">
        <f>SUM(D195:O195)</f>
        <v>6907</v>
      </c>
    </row>
    <row r="196" spans="1:16" x14ac:dyDescent="0.3">
      <c r="A196" s="332" t="s">
        <v>202</v>
      </c>
      <c r="B196" s="333"/>
      <c r="C196" s="16" t="s">
        <v>55</v>
      </c>
      <c r="D196" s="131">
        <f>(Mulanje!D196+Luchenza!D196+Thyolo!D196+Muloza!D196+MUST!D196+Phalombe!D196+Mikolongwe!D196+Migowi!D196)/10</f>
        <v>15.5</v>
      </c>
      <c r="E196" s="131">
        <f>(Mulanje!E196+Luchenza!E196+Thyolo!E196+Muloza!E196+MUST!E196+Phalombe!E196+Mikolongwe!E196+Migowi!E196)/10</f>
        <v>16.238709677419354</v>
      </c>
      <c r="F196" s="131">
        <f>(Mulanje!F196+Luchenza!F196+Thyolo!F196+Muloza!F196+MUST!F196+Phalombe!F196+Mikolongwe!F196+Migowi!F196)/10</f>
        <v>16.303333333333335</v>
      </c>
      <c r="G196" s="131">
        <f>(Mulanje!G196+Luchenza!G196+Thyolo!G196+Muloza!G196+MUST!G196+Phalombe!G196+Mikolongwe!G196+Migowi!G196)/10</f>
        <v>15.8</v>
      </c>
      <c r="H196" s="131">
        <f>(Mulanje!H196+Luchenza!H196+Thyolo!H196+Muloza!H196+MUST!H196+Phalombe!H196+Mikolongwe!H196+Migowi!H196)/10</f>
        <v>15.474193548387097</v>
      </c>
      <c r="I196" s="131">
        <f>(Mulanje!I196+Luchenza!I196+Thyolo!I196+Muloza!I196+MUST!I196+Phalombe!I196+Mikolongwe!I196+Migowi!I196)/10</f>
        <v>14.2</v>
      </c>
      <c r="J196" s="131">
        <f>(Mulanje!J196+Luchenza!J196+Thyolo!J196+Muloza!J196+MUST!J196+Phalombe!J196+Mikolongwe!J196+Migowi!J196)/10</f>
        <v>15.1</v>
      </c>
      <c r="K196" s="131">
        <f>(Mulanje!K196+Luchenza!K196+Thyolo!K196+Muloza!K196+MUST!K196+Phalombe!K196+Mikolongwe!K196+Migowi!K196)/10</f>
        <v>15.7</v>
      </c>
      <c r="L196" s="131">
        <f>(Mulanje!L196+Luchenza!L196+Thyolo!L196+Muloza!L196+MUST!L196+Phalombe!L196+Mikolongwe!L196+Migowi!L196)/10</f>
        <v>15.506451612903225</v>
      </c>
      <c r="M196" s="131">
        <f>Mulanje!M196+Luchenza!M196+Thyolo!M196+Muloza!M196+MUST!M196+Phalombe!M196+Mikolongwe!M196+Migowi!M196+Nkando!M196</f>
        <v>155.74193548387098</v>
      </c>
      <c r="N196" s="131">
        <f>(Mulanje!N196+Luchenza!N196+Thyolo!N196+Muloza!N196+MUST!N196+Phalombe!N196+Mikolongwe!N196+Migowi!N196)/10</f>
        <v>15.531034482758622</v>
      </c>
      <c r="O196" s="131">
        <f>(Mulanje!O196+Luchenza!O196+Thyolo!O196+Muloza!O196+MUST!O196+Phalombe!O196+Mikolongwe!O196+Migowi!O196)/10</f>
        <v>15.703225806451613</v>
      </c>
      <c r="P196" s="39"/>
    </row>
    <row r="197" spans="1:16" x14ac:dyDescent="0.3">
      <c r="A197" s="237" t="s">
        <v>56</v>
      </c>
      <c r="B197" s="238"/>
      <c r="C197" s="16" t="s">
        <v>55</v>
      </c>
      <c r="D197" s="131">
        <f>Mulanje!D197+Luchenza!D197+Thyolo!D197+Muloza!D197+MUST!D197+Phalombe!D197+Mikolongwe!D197+Migowi!D197</f>
        <v>189</v>
      </c>
      <c r="E197" s="131">
        <f>Mulanje!E197+Luchenza!E197+Thyolo!E197+Muloza!E197+MUST!E197+Phalombe!E197+Mikolongwe!E197+Migowi!E197</f>
        <v>203</v>
      </c>
      <c r="F197" s="131">
        <f>Mulanje!F197+Luchenza!F197+Thyolo!F197+Muloza!F197+MUST!F197+Phalombe!F197+Mikolongwe!F197+Migowi!F197</f>
        <v>192</v>
      </c>
      <c r="G197" s="131">
        <f>Mulanje!G197+Luchenza!G197+Thyolo!G197+Muloza!G197+MUST!G197+Phalombe!G197+Mikolongwe!G197+Migowi!G197</f>
        <v>193</v>
      </c>
      <c r="H197" s="131">
        <f>Mulanje!H197+Luchenza!H197+Thyolo!H197+Muloza!H197+MUST!H197+Phalombe!H197+Mikolongwe!H197+Migowi!H197</f>
        <v>508</v>
      </c>
      <c r="I197" s="131">
        <f>Mulanje!I197+Luchenza!I197+Thyolo!I197+Muloza!I197+MUST!I197+Phalombe!I197+Mikolongwe!I197+Migowi!I197</f>
        <v>237</v>
      </c>
      <c r="J197" s="131">
        <f>Mulanje!J197+Luchenza!J197+Thyolo!J197+Muloza!J197+MUST!J197+Phalombe!J197+Mikolongwe!J197+Migowi!J197</f>
        <v>468</v>
      </c>
      <c r="K197" s="131">
        <f>Mulanje!K197+Luchenza!K197+Thyolo!K197+Muloza!K197+MUST!K197+Phalombe!K197+Mikolongwe!K197+Migowi!K197</f>
        <v>338</v>
      </c>
      <c r="L197" s="131">
        <f>Mulanje!L197+Luchenza!L197+Thyolo!L197+Muloza!L197+MUST!L197+Phalombe!L197+Mikolongwe!L197+Migowi!L197</f>
        <v>663</v>
      </c>
      <c r="M197" s="131">
        <f>Mulanje!M197+Luchenza!M197+Thyolo!M197+Muloza!M197+MUST!M197+Phalombe!M197+Mikolongwe!M197+Migowi!M197+Nkando!M197</f>
        <v>403</v>
      </c>
      <c r="N197" s="131">
        <f>Mulanje!N197+Luchenza!N197+Thyolo!N197+Muloza!N197+MUST!N197+Phalombe!N197+Mikolongwe!N197+Migowi!N197</f>
        <v>178</v>
      </c>
      <c r="O197" s="131">
        <f>Mulanje!O197+Luchenza!O197+Thyolo!O197+Muloza!O197+MUST!O197+Phalombe!O197+Mikolongwe!O197+Migowi!O197</f>
        <v>174</v>
      </c>
      <c r="P197" s="39">
        <f>SUM(D197:O197)</f>
        <v>3746</v>
      </c>
    </row>
    <row r="198" spans="1:16" ht="14.4" x14ac:dyDescent="0.3">
      <c r="A198" s="281" t="s">
        <v>203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3"/>
    </row>
    <row r="199" spans="1:16" x14ac:dyDescent="0.3">
      <c r="A199" s="286" t="s">
        <v>54</v>
      </c>
      <c r="B199" s="323" t="s">
        <v>53</v>
      </c>
      <c r="C199" s="11" t="s">
        <v>47</v>
      </c>
      <c r="D199" s="131">
        <f>Mulanje!D199+Luchenza!D199+Thyolo!D199+Muloza!D199+MUST!D199+Phalombe!D199+Mikolongwe!D199+Migowi!D199</f>
        <v>0</v>
      </c>
      <c r="E199" s="131">
        <f>Mulanje!E199+Luchenza!E199+Thyolo!E199+Muloza!E199+MUST!E199+Phalombe!E199+Mikolongwe!E199+Migowi!E199</f>
        <v>180</v>
      </c>
      <c r="F199" s="131">
        <f>Mulanje!F199+Luchenza!F199+Thyolo!F199+Muloza!F199+MUST!F199+Phalombe!F199+Mikolongwe!F199+Migowi!F199</f>
        <v>158</v>
      </c>
      <c r="G199" s="131">
        <f>Mulanje!G199+Luchenza!G199+Thyolo!G199+Muloza!G199+MUST!G199+Phalombe!G199+Mikolongwe!G199+Migowi!G199</f>
        <v>0</v>
      </c>
      <c r="H199" s="131">
        <f>Mulanje!H199+Luchenza!H199+Thyolo!H199+Muloza!H199+MUST!H199+Phalombe!H199+Mikolongwe!H199+Migowi!H199</f>
        <v>258</v>
      </c>
      <c r="I199" s="131">
        <f>Mulanje!I199+Luchenza!I199+Thyolo!I199+Muloza!I199+MUST!I199+Phalombe!I199+Mikolongwe!I199+Migowi!I199</f>
        <v>0</v>
      </c>
      <c r="J199" s="131">
        <f>Mulanje!J199+Luchenza!J199+Thyolo!J199+Muloza!J199+MUST!J199+Phalombe!J199+Mikolongwe!J199+Migowi!J199</f>
        <v>600</v>
      </c>
      <c r="K199" s="131">
        <f>Mulanje!K199+Luchenza!K199+Thyolo!K199+Muloza!K199+MUST!K199+Phalombe!K199+Mikolongwe!K199+Migowi!K199</f>
        <v>0</v>
      </c>
      <c r="L199" s="131">
        <f>Mulanje!L199+Luchenza!L199+Thyolo!L199+Muloza!L199+MUST!L199+Phalombe!L199+Mikolongwe!L199+Migowi!L199</f>
        <v>0</v>
      </c>
      <c r="M199" s="131">
        <f>Mulanje!M199+Luchenza!M199+Thyolo!M199+Muloza!M199+MUST!M199+Phalombe!M199+Mikolongwe!M199+Migowi!M199+Nkando!M199</f>
        <v>1586</v>
      </c>
      <c r="N199" s="131">
        <f>Mulanje!N199+Luchenza!N199+Thyolo!N199+Muloza!N199+MUST!N199+Phalombe!N199+Mikolongwe!N199+Migowi!N199+Nkando!N199</f>
        <v>35</v>
      </c>
      <c r="O199" s="131">
        <f>Mulanje!O199+Luchenza!O199+Thyolo!O199+Muloza!O199+MUST!O199+Phalombe!O199+Mikolongwe!O199+Migowi!O199+Nkando!O199</f>
        <v>50</v>
      </c>
      <c r="P199" s="39">
        <f t="shared" ref="P199:P204" si="79">SUM(D199:O199)</f>
        <v>2867</v>
      </c>
    </row>
    <row r="200" spans="1:16" x14ac:dyDescent="0.3">
      <c r="A200" s="290"/>
      <c r="B200" s="323" t="s">
        <v>52</v>
      </c>
      <c r="C200" s="11" t="s">
        <v>47</v>
      </c>
      <c r="D200" s="131">
        <f>Mulanje!D200+Luchenza!D200+Thyolo!D200+Muloza!D200+MUST!D200+Phalombe!D200+Mikolongwe!D200+Migowi!D200</f>
        <v>0</v>
      </c>
      <c r="E200" s="131">
        <f>Mulanje!E200+Luchenza!E200+Thyolo!E200+Muloza!E200+MUST!E200+Phalombe!E200+Mikolongwe!E200+Migowi!E200</f>
        <v>240</v>
      </c>
      <c r="F200" s="131">
        <f>Mulanje!F200+Luchenza!F200+Thyolo!F200+Muloza!F200+MUST!F200+Phalombe!F200+Mikolongwe!F200+Migowi!F200</f>
        <v>0</v>
      </c>
      <c r="G200" s="131">
        <f>Mulanje!G200+Luchenza!G200+Thyolo!G200+Muloza!G200+MUST!G200+Phalombe!G200+Mikolongwe!G200+Migowi!G200</f>
        <v>0</v>
      </c>
      <c r="H200" s="131">
        <f>Mulanje!H200+Luchenza!H200+Thyolo!H200+Muloza!H200+MUST!H200+Phalombe!H200+Mikolongwe!H200+Migowi!H200</f>
        <v>156</v>
      </c>
      <c r="I200" s="131">
        <f>Mulanje!I200+Luchenza!I200+Thyolo!I200+Muloza!I200+MUST!I200+Phalombe!I200+Mikolongwe!I200+Migowi!I200</f>
        <v>0</v>
      </c>
      <c r="J200" s="131">
        <f>Mulanje!J200+Luchenza!J200+Thyolo!J200+Muloza!J200+MUST!J200+Phalombe!J200+Mikolongwe!J200+Migowi!J200</f>
        <v>45</v>
      </c>
      <c r="K200" s="131">
        <f>Mulanje!K200+Luchenza!K200+Thyolo!K200+Muloza!K200+MUST!K200+Phalombe!K200+Mikolongwe!K200+Migowi!K200</f>
        <v>0</v>
      </c>
      <c r="L200" s="131">
        <f>Mulanje!L200+Luchenza!L200+Thyolo!L200+Muloza!L200+MUST!L200+Phalombe!L200+Mikolongwe!L200+Migowi!L200</f>
        <v>0</v>
      </c>
      <c r="M200" s="131">
        <f>Mulanje!M200+Luchenza!M200+Thyolo!M200+Muloza!M200+MUST!M200+Phalombe!M200+Mikolongwe!M200+Migowi!M200+Nkando!M200</f>
        <v>15</v>
      </c>
      <c r="N200" s="131">
        <f>Mulanje!N200+Luchenza!N200+Thyolo!N200+Muloza!N200+MUST!N200+Phalombe!N200+Mikolongwe!N200+Migowi!N200+Nkando!N200</f>
        <v>503</v>
      </c>
      <c r="O200" s="131">
        <f>Mulanje!O200+Luchenza!O200+Thyolo!O200+Muloza!O200+MUST!O200+Phalombe!O200+Mikolongwe!O200+Migowi!O200+Nkando!O200</f>
        <v>378</v>
      </c>
      <c r="P200" s="39">
        <f t="shared" si="79"/>
        <v>1337</v>
      </c>
    </row>
    <row r="201" spans="1:16" x14ac:dyDescent="0.3">
      <c r="A201" s="290"/>
      <c r="B201" s="323" t="s">
        <v>51</v>
      </c>
      <c r="C201" s="11" t="s">
        <v>47</v>
      </c>
      <c r="D201" s="131">
        <f>Mulanje!D201+Luchenza!D201+Thyolo!D201+Muloza!D201+MUST!D201+Phalombe!D201+Mikolongwe!D201+Migowi!D201</f>
        <v>0</v>
      </c>
      <c r="E201" s="131">
        <f>Mulanje!E201+Luchenza!E201+Thyolo!E201+Muloza!E201+MUST!E201+Phalombe!E201+Mikolongwe!E201+Migowi!E201</f>
        <v>0</v>
      </c>
      <c r="F201" s="131">
        <f>Mulanje!F201+Luchenza!F201+Thyolo!F201+Muloza!F201+MUST!F201+Phalombe!F201+Mikolongwe!F201+Migowi!F201</f>
        <v>18</v>
      </c>
      <c r="G201" s="131">
        <f>Mulanje!G201+Luchenza!G201+Thyolo!G201+Muloza!G201+MUST!G201+Phalombe!G201+Mikolongwe!G201+Migowi!G201</f>
        <v>42</v>
      </c>
      <c r="H201" s="131">
        <f>Mulanje!H201+Luchenza!H201+Thyolo!H201+Muloza!H201+MUST!H201+Phalombe!H201+Mikolongwe!H201+Migowi!H201</f>
        <v>0</v>
      </c>
      <c r="I201" s="131">
        <f>Mulanje!I201+Luchenza!I201+Thyolo!I201+Muloza!I201+MUST!I201+Phalombe!I201+Mikolongwe!I201+Migowi!I201</f>
        <v>68</v>
      </c>
      <c r="J201" s="131">
        <f>Mulanje!J201+Luchenza!J201+Thyolo!J201+Muloza!J201+MUST!J201+Phalombe!J201+Mikolongwe!J201+Migowi!J201</f>
        <v>0</v>
      </c>
      <c r="K201" s="131">
        <f>Mulanje!K201+Luchenza!K201+Thyolo!K201+Muloza!K201+MUST!K201+Phalombe!K201+Mikolongwe!K201+Migowi!K201</f>
        <v>0</v>
      </c>
      <c r="L201" s="131">
        <f>Mulanje!L201+Luchenza!L201+Thyolo!L201+Muloza!L201+MUST!L201+Phalombe!L201+Mikolongwe!L201+Migowi!L201</f>
        <v>0</v>
      </c>
      <c r="M201" s="131">
        <f>Mulanje!M201+Luchenza!M201+Thyolo!M201+Muloza!M201+MUST!M201+Phalombe!M201+Mikolongwe!M201+Migowi!M201+Nkando!M201</f>
        <v>8</v>
      </c>
      <c r="N201" s="131">
        <f>Mulanje!N201+Luchenza!N201+Thyolo!N201+Muloza!N201+MUST!N201+Phalombe!N201+Mikolongwe!N201+Migowi!N201+Nkando!N201</f>
        <v>270</v>
      </c>
      <c r="O201" s="131">
        <f>Mulanje!O201+Luchenza!O201+Thyolo!O201+Muloza!O201+MUST!O201+Phalombe!O201+Mikolongwe!O201+Migowi!O201+Nkando!O201</f>
        <v>1576</v>
      </c>
      <c r="P201" s="39">
        <f t="shared" si="79"/>
        <v>1982</v>
      </c>
    </row>
    <row r="202" spans="1:16" x14ac:dyDescent="0.3">
      <c r="A202" s="290"/>
      <c r="B202" s="323" t="s">
        <v>50</v>
      </c>
      <c r="C202" s="11" t="s">
        <v>47</v>
      </c>
      <c r="D202" s="131">
        <f>Mulanje!D202+Luchenza!D202+Thyolo!D202+Muloza!D202+MUST!D202+Phalombe!D202+Mikolongwe!D202+Migowi!D202</f>
        <v>0</v>
      </c>
      <c r="E202" s="131">
        <f>Mulanje!E202+Luchenza!E202+Thyolo!E202+Muloza!E202+MUST!E202+Phalombe!E202+Mikolongwe!E202+Migowi!E202</f>
        <v>0</v>
      </c>
      <c r="F202" s="131">
        <f>Mulanje!F202+Luchenza!F202+Thyolo!F202+Muloza!F202+MUST!F202+Phalombe!F202+Mikolongwe!F202+Migowi!F202</f>
        <v>0</v>
      </c>
      <c r="G202" s="131">
        <f>Mulanje!G202+Luchenza!G202+Thyolo!G202+Muloza!G202+MUST!G202+Phalombe!G202+Mikolongwe!G202+Migowi!G202</f>
        <v>0</v>
      </c>
      <c r="H202" s="131">
        <f>Mulanje!H202+Luchenza!H202+Thyolo!H202+Muloza!H202+MUST!H202+Phalombe!H202+Mikolongwe!H202+Migowi!H202</f>
        <v>0</v>
      </c>
      <c r="I202" s="131">
        <f>Mulanje!I202+Luchenza!I202+Thyolo!I202+Muloza!I202+MUST!I202+Phalombe!I202+Mikolongwe!I202+Migowi!I202</f>
        <v>0</v>
      </c>
      <c r="J202" s="131">
        <f>Mulanje!J202+Luchenza!J202+Thyolo!J202+Muloza!J202+MUST!J202+Phalombe!J202+Mikolongwe!J202+Migowi!J202</f>
        <v>0</v>
      </c>
      <c r="K202" s="131">
        <f>Mulanje!K202+Luchenza!K202+Thyolo!K202+Muloza!K202+MUST!K202+Phalombe!K202+Mikolongwe!K202+Migowi!K202</f>
        <v>0</v>
      </c>
      <c r="L202" s="131">
        <f>Mulanje!L202+Luchenza!L202+Thyolo!L202+Muloza!L202+MUST!L202+Phalombe!L202+Mikolongwe!L202+Migowi!L202</f>
        <v>570</v>
      </c>
      <c r="M202" s="131">
        <f>Mulanje!M202+Luchenza!M202+Thyolo!M202+Muloza!M202+MUST!M202+Phalombe!M202+Mikolongwe!M202+Migowi!M202+Nkando!M202</f>
        <v>0</v>
      </c>
      <c r="N202" s="131">
        <f>Mulanje!N202+Luchenza!N202+Thyolo!N202+Muloza!N202+MUST!N202+Phalombe!N202+Mikolongwe!N202+Migowi!N202+Nkando!N202</f>
        <v>1576</v>
      </c>
      <c r="O202" s="131">
        <f>Mulanje!O202+Luchenza!O202+Thyolo!O202+Muloza!O202+MUST!O202+Phalombe!O202+Mikolongwe!O202+Migowi!O202+Nkando!O202</f>
        <v>66</v>
      </c>
      <c r="P202" s="39">
        <f t="shared" si="79"/>
        <v>2212</v>
      </c>
    </row>
    <row r="203" spans="1:16" x14ac:dyDescent="0.3">
      <c r="A203" s="288"/>
      <c r="B203" s="323" t="s">
        <v>49</v>
      </c>
      <c r="C203" s="11" t="s">
        <v>47</v>
      </c>
      <c r="D203" s="131">
        <f>Mulanje!D203+Luchenza!D203+Thyolo!D203+Muloza!D203+MUST!D203+Phalombe!D203+Mikolongwe!D203+Migowi!D203</f>
        <v>0</v>
      </c>
      <c r="E203" s="131">
        <f>Mulanje!E203+Luchenza!E203+Thyolo!E203+Muloza!E203+MUST!E203+Phalombe!E203+Mikolongwe!E203+Migowi!E203</f>
        <v>0</v>
      </c>
      <c r="F203" s="131">
        <f>Mulanje!F203+Luchenza!F203+Thyolo!F203+Muloza!F203+MUST!F203+Phalombe!F203+Mikolongwe!F203+Migowi!F203</f>
        <v>0</v>
      </c>
      <c r="G203" s="131">
        <f>Mulanje!G203+Luchenza!G203+Thyolo!G203+Muloza!G203+MUST!G203+Phalombe!G203+Mikolongwe!G203+Migowi!G203</f>
        <v>0</v>
      </c>
      <c r="H203" s="131">
        <f>Mulanje!H203+Luchenza!H203+Thyolo!H203+Muloza!H203+MUST!H203+Phalombe!H203+Mikolongwe!H203+Migowi!H203</f>
        <v>0</v>
      </c>
      <c r="I203" s="131">
        <f>Mulanje!I203+Luchenza!I203+Thyolo!I203+Muloza!I203+MUST!I203+Phalombe!I203+Mikolongwe!I203+Migowi!I203</f>
        <v>18</v>
      </c>
      <c r="J203" s="131">
        <f>Mulanje!J203+Luchenza!J203+Thyolo!J203+Muloza!J203+MUST!J203+Phalombe!J203+Mikolongwe!J203+Migowi!J203</f>
        <v>0</v>
      </c>
      <c r="K203" s="131">
        <f>Mulanje!K203+Luchenza!K203+Thyolo!K203+Muloza!K203+MUST!K203+Phalombe!K203+Mikolongwe!K203+Migowi!K203</f>
        <v>0</v>
      </c>
      <c r="L203" s="131">
        <f>Mulanje!L203+Luchenza!L203+Thyolo!L203+Muloza!L203+MUST!L203+Phalombe!L203+Mikolongwe!L203+Migowi!L203</f>
        <v>870</v>
      </c>
      <c r="M203" s="131">
        <f>Mulanje!M203+Luchenza!M203+Thyolo!M203+Muloza!M203+MUST!M203+Phalombe!M203+Mikolongwe!M203+Migowi!M203+Nkando!M203</f>
        <v>840</v>
      </c>
      <c r="N203" s="131">
        <f>Mulanje!N203+Luchenza!N203+Thyolo!N203+Muloza!N203+MUST!N203+Phalombe!N203+Mikolongwe!N203+Migowi!N203+Nkando!N203</f>
        <v>242</v>
      </c>
      <c r="O203" s="131">
        <f>Mulanje!O203+Luchenza!O203+Thyolo!O203+Muloza!O203+MUST!O203+Phalombe!O203+Mikolongwe!O203+Migowi!O203+Nkando!O203</f>
        <v>240</v>
      </c>
      <c r="P203" s="39">
        <f t="shared" si="79"/>
        <v>2210</v>
      </c>
    </row>
    <row r="204" spans="1:16" x14ac:dyDescent="0.3">
      <c r="A204" s="83" t="s">
        <v>48</v>
      </c>
      <c r="B204" s="323"/>
      <c r="C204" s="11" t="s">
        <v>47</v>
      </c>
      <c r="D204" s="15">
        <f t="shared" ref="D204:H204" si="80">SUM(D199:D203)</f>
        <v>0</v>
      </c>
      <c r="E204" s="15">
        <f>SUM(E199:E203)</f>
        <v>420</v>
      </c>
      <c r="F204" s="15">
        <f>SUM(F199:F203)</f>
        <v>176</v>
      </c>
      <c r="G204" s="10">
        <f t="shared" si="80"/>
        <v>42</v>
      </c>
      <c r="H204" s="10">
        <f t="shared" si="80"/>
        <v>414</v>
      </c>
      <c r="I204" s="10">
        <f t="shared" ref="I204:O204" si="81">SUM(I199:I203)</f>
        <v>86</v>
      </c>
      <c r="J204" s="10">
        <f t="shared" si="81"/>
        <v>645</v>
      </c>
      <c r="K204" s="10">
        <f t="shared" si="81"/>
        <v>0</v>
      </c>
      <c r="L204" s="10">
        <f t="shared" si="81"/>
        <v>1440</v>
      </c>
      <c r="M204" s="10">
        <f t="shared" si="81"/>
        <v>2449</v>
      </c>
      <c r="N204" s="10">
        <f t="shared" si="81"/>
        <v>2626</v>
      </c>
      <c r="O204" s="10">
        <f t="shared" si="81"/>
        <v>2310</v>
      </c>
      <c r="P204" s="110">
        <f t="shared" si="79"/>
        <v>10608</v>
      </c>
    </row>
    <row r="205" spans="1:16" s="2" customFormat="1" ht="14.4" x14ac:dyDescent="0.3">
      <c r="A205" s="281" t="s">
        <v>46</v>
      </c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3"/>
    </row>
    <row r="206" spans="1:16" x14ac:dyDescent="0.3">
      <c r="A206" s="237" t="s">
        <v>43</v>
      </c>
      <c r="B206" s="238"/>
      <c r="C206" s="11" t="s">
        <v>31</v>
      </c>
      <c r="D206" s="15">
        <f>Mulanje!D206+Luchenza!D206+Thyolo!D206+Muloza!D206+MUST!D206+Phalombe!D206+Mikolongwe!D206+Migowi!D206</f>
        <v>16846546.460000001</v>
      </c>
      <c r="E206" s="15">
        <f>Mulanje!E206+Luchenza!E206+Thyolo!E206+Muloza!E206+MUST!E206+Phalombe!E206+Mikolongwe!E206+Migowi!E206</f>
        <v>28216336.270000003</v>
      </c>
      <c r="F206" s="15">
        <f>Mulanje!F206+Luchenza!F206+Thyolo!F206+Muloza!F206+MUST!F206+Phalombe!F206+Mikolongwe!F206+Migowi!F206</f>
        <v>36859873.880000003</v>
      </c>
      <c r="G206" s="15">
        <f>Mulanje!G206+Luchenza!G206+Thyolo!G206+Muloza!G206+MUST!G206+Phalombe!G206+Mikolongwe!G206+Migowi!G206</f>
        <v>36494970.340000004</v>
      </c>
      <c r="H206" s="15">
        <f>Mulanje!H206+Luchenza!H206+Thyolo!H206+Muloza!H206+MUST!H206+Phalombe!H206+Mikolongwe!H206+Migowi!H206</f>
        <v>55289227</v>
      </c>
      <c r="I206" s="15">
        <f>Mulanje!I206+Luchenza!I206+Thyolo!I206+Muloza!I206+MUST!I206+Phalombe!I206+Mikolongwe!I206+Migowi!I206</f>
        <v>53334133.370000005</v>
      </c>
      <c r="J206" s="15">
        <f>Mulanje!J206+Luchenza!J206+Thyolo!J206+Muloza!J206+MUST!J206+Phalombe!J206+Mikolongwe!J206+Migowi!J206</f>
        <v>25361488</v>
      </c>
      <c r="K206" s="15">
        <f>Mulanje!K206+Luchenza!K206+Thyolo!K206+Muloza!K206+MUST!K206+Phalombe!K206+Mikolongwe!K206+Migowi!K206</f>
        <v>67170593.799999997</v>
      </c>
      <c r="L206" s="15">
        <f>Mulanje!L206+Luchenza!L206+Thyolo!L206+Muloza!L206+MUST!L206+Phalombe!L206+Mikolongwe!L206+Migowi!L206</f>
        <v>17511457.640000001</v>
      </c>
      <c r="M206" s="15">
        <f>Mulanje!M206+Luchenza!M206+Thyolo!M206+Muloza!M206+MUST!M206+Phalombe!M206+Mikolongwe!M206+Migowi!M206+Nkando!M206</f>
        <v>46970589</v>
      </c>
      <c r="N206" s="15">
        <f>Mulanje!N206+Luchenza!N206+Thyolo!N206+Muloza!N206+MUST!N206+Phalombe!N206+Mikolongwe!N206+Migowi!N206+Nkando!N206</f>
        <v>33236880.149999999</v>
      </c>
      <c r="O206" s="15">
        <f>Mulanje!O206+Luchenza!O206+Thyolo!O206+Muloza!O206+MUST!O206+Phalombe!O206+Mikolongwe!O206+Migowi!O206+Nkando!O206</f>
        <v>39136865</v>
      </c>
      <c r="P206" s="40">
        <f>SUM(D206:O206)</f>
        <v>456428960.90999997</v>
      </c>
    </row>
    <row r="207" spans="1:16" x14ac:dyDescent="0.3">
      <c r="A207" s="237" t="s">
        <v>42</v>
      </c>
      <c r="B207" s="238"/>
      <c r="C207" s="11" t="s">
        <v>31</v>
      </c>
      <c r="D207" s="15">
        <f>Mulanje!D207+Luchenza!D207+Thyolo!D207+Muloza!D207+MUST!D207+Phalombe!D207+Mikolongwe!D207+Migowi!D207</f>
        <v>154600</v>
      </c>
      <c r="E207" s="15">
        <f>Mulanje!E207+Luchenza!E207+Thyolo!E207+Muloza!E207+MUST!E207+Phalombe!E207+Mikolongwe!E207+Migowi!E207</f>
        <v>263700</v>
      </c>
      <c r="F207" s="15">
        <f>Mulanje!F207+Luchenza!F207+Thyolo!F207+Muloza!F207+MUST!F207+Phalombe!F207+Mikolongwe!F207+Migowi!F207</f>
        <v>182100</v>
      </c>
      <c r="G207" s="15">
        <f>Mulanje!G207+Luchenza!G207+Thyolo!G207+Muloza!G207+MUST!G207+Phalombe!G207+Mikolongwe!G207+Migowi!G207</f>
        <v>254500</v>
      </c>
      <c r="H207" s="15">
        <f>Mulanje!H207+Luchenza!H207+Thyolo!H207+Muloza!H207+MUST!H207+Phalombe!H207+Mikolongwe!H207+Migowi!H207</f>
        <v>443900</v>
      </c>
      <c r="I207" s="15">
        <f>Mulanje!I207+Luchenza!I207+Thyolo!I207+Muloza!I207+MUST!I207+Phalombe!I207+Mikolongwe!I207+Migowi!I207</f>
        <v>237500</v>
      </c>
      <c r="J207" s="15">
        <f>Mulanje!J207+Luchenza!J207+Thyolo!J207+Muloza!J207+MUST!J207+Phalombe!J207+Mikolongwe!J207+Migowi!J207</f>
        <v>146200</v>
      </c>
      <c r="K207" s="15">
        <f>Mulanje!K207+Luchenza!K207+Thyolo!K207+Muloza!K207+MUST!K207+Phalombe!K207+Mikolongwe!K207+Migowi!K207</f>
        <v>317500</v>
      </c>
      <c r="L207" s="15">
        <f>Mulanje!L207+Luchenza!L207+Thyolo!L207+Muloza!L207+MUST!L207+Phalombe!L207+Mikolongwe!L207+Migowi!L207</f>
        <v>151300</v>
      </c>
      <c r="M207" s="15">
        <f>Mulanje!M207+Luchenza!M207+Thyolo!M207+Muloza!M207+MUST!M207+Phalombe!M207+Mikolongwe!M207+Migowi!M207+Nkando!M207</f>
        <v>207440</v>
      </c>
      <c r="N207" s="15">
        <f>Mulanje!N207+Luchenza!N207+Thyolo!N207+Muloza!N207+MUST!N207+Phalombe!N207+Mikolongwe!N207+Migowi!N207+Nkando!N207</f>
        <v>193000</v>
      </c>
      <c r="O207" s="15">
        <f>Mulanje!O207+Luchenza!O207+Thyolo!O207+Muloza!O207+MUST!O207+Phalombe!O207+Mikolongwe!O207+Migowi!O207+Nkando!O207</f>
        <v>184250</v>
      </c>
      <c r="P207" s="40">
        <f>SUM(D207:O207)</f>
        <v>2735990</v>
      </c>
    </row>
    <row r="208" spans="1:16" x14ac:dyDescent="0.3">
      <c r="A208" s="243" t="s">
        <v>41</v>
      </c>
      <c r="B208" s="244"/>
      <c r="C208" s="11" t="s">
        <v>31</v>
      </c>
      <c r="D208" s="15">
        <f>Mulanje!D208+Luchenza!D208+Thyolo!D208+Muloza!D208+MUST!D208+Phalombe!D208+Mikolongwe!D208+Migowi!D208</f>
        <v>871363.16</v>
      </c>
      <c r="E208" s="15">
        <f>Mulanje!E208+Luchenza!E208+Thyolo!E208+Muloza!E208+MUST!E208+Phalombe!E208+Mikolongwe!E208+Migowi!E208</f>
        <v>1416931.77</v>
      </c>
      <c r="F208" s="15">
        <f>Mulanje!F208+Luchenza!F208+Thyolo!F208+Muloza!F208+MUST!F208+Phalombe!F208+Mikolongwe!F208+Migowi!F208</f>
        <v>2314724.4900000002</v>
      </c>
      <c r="G208" s="15">
        <f>Mulanje!G208+Luchenza!G208+Thyolo!G208+Muloza!G208+MUST!G208+Phalombe!G208+Mikolongwe!G208+Migowi!G208</f>
        <v>1398150</v>
      </c>
      <c r="H208" s="15">
        <f>Mulanje!H208+Luchenza!H208+Thyolo!H208+Muloza!H208+MUST!H208+Phalombe!H208+Mikolongwe!H208+Migowi!H208</f>
        <v>1381634</v>
      </c>
      <c r="I208" s="15">
        <f>Mulanje!I208+Luchenza!I208+Thyolo!I208+Muloza!I208+MUST!I208+Phalombe!I208+Mikolongwe!I208+Migowi!I208</f>
        <v>1402493.32</v>
      </c>
      <c r="J208" s="15">
        <f>Mulanje!J208+Luchenza!J208+Thyolo!J208+Muloza!J208+MUST!J208+Phalombe!J208+Mikolongwe!J208+Migowi!J208</f>
        <v>1234237</v>
      </c>
      <c r="K208" s="15">
        <f>Mulanje!K208+Luchenza!K208+Thyolo!K208+Muloza!K208+MUST!K208+Phalombe!K208+Mikolongwe!K208+Migowi!K208</f>
        <v>1658824.93</v>
      </c>
      <c r="L208" s="15">
        <f>Mulanje!L208+Luchenza!L208+Thyolo!L208+Muloza!L208+MUST!L208+Phalombe!L208+Mikolongwe!L208+Migowi!L208</f>
        <v>1256756</v>
      </c>
      <c r="M208" s="15">
        <f>Mulanje!M208+Luchenza!M208+Thyolo!M208+Muloza!M208+MUST!M208+Phalombe!M208+Mikolongwe!M208+Migowi!M208+Nkando!M208</f>
        <v>27046972</v>
      </c>
      <c r="N208" s="15">
        <f>Mulanje!N208+Luchenza!N208+Thyolo!N208+Muloza!N208+MUST!N208+Phalombe!N208+Mikolongwe!N208+Migowi!N208+Nkando!N208</f>
        <v>1655078.3800000001</v>
      </c>
      <c r="O208" s="15">
        <f>Mulanje!O208+Luchenza!O208+Thyolo!O208+Muloza!O208+MUST!O208+Phalombe!O208+Mikolongwe!O208+Migowi!O208+Nkando!O208</f>
        <v>1166864</v>
      </c>
      <c r="P208" s="40">
        <f>SUM(D208:O208)</f>
        <v>42804029.050000004</v>
      </c>
    </row>
    <row r="209" spans="1:16" x14ac:dyDescent="0.3">
      <c r="A209" s="237" t="s">
        <v>40</v>
      </c>
      <c r="B209" s="238"/>
      <c r="C209" s="11" t="s">
        <v>31</v>
      </c>
      <c r="D209" s="15">
        <f>Mulanje!D209+Luchenza!D209+Thyolo!D209+Muloza!D209+MUST!D209+Phalombe!D209+Mikolongwe!D209+Migowi!D209</f>
        <v>982277.96</v>
      </c>
      <c r="E209" s="15">
        <f>Mulanje!E209+Luchenza!E209+Thyolo!E209+Muloza!E209+MUST!E209+Phalombe!E209+Mikolongwe!E209+Migowi!E209</f>
        <v>40997861.899999999</v>
      </c>
      <c r="F209" s="15">
        <f>Mulanje!F209+Luchenza!F209+Thyolo!F209+Muloza!F209+MUST!F209+Phalombe!F209+Mikolongwe!F209+Migowi!F209</f>
        <v>5411826.8300000001</v>
      </c>
      <c r="G209" s="15">
        <f>Mulanje!G209+Luchenza!G209+Thyolo!G209+Muloza!G209+MUST!G209+Phalombe!G209+Mikolongwe!G209+Migowi!G209</f>
        <v>935702.07000000007</v>
      </c>
      <c r="H209" s="15">
        <f>Mulanje!H209+Luchenza!H209+Thyolo!H209+Muloza!H209+MUST!H209+Phalombe!H209+Mikolongwe!H209+Migowi!H209</f>
        <v>215591464</v>
      </c>
      <c r="I209" s="15">
        <f>Mulanje!I209+Luchenza!I209+Thyolo!I209+Muloza!I209+MUST!I209+Phalombe!I209+Mikolongwe!I209+Migowi!I209</f>
        <v>143485264.65000001</v>
      </c>
      <c r="J209" s="15">
        <f>Mulanje!J209+Luchenza!J209+Thyolo!J209+Muloza!J209+MUST!J209+Phalombe!J209+Mikolongwe!J209+Migowi!J209</f>
        <v>567050</v>
      </c>
      <c r="K209" s="15">
        <f>Mulanje!K209+Luchenza!K209+Thyolo!K209+Muloza!K209+MUST!K209+Phalombe!K209+Mikolongwe!K209+Migowi!K209</f>
        <v>9199817.3200000003</v>
      </c>
      <c r="L209" s="15">
        <f>Mulanje!L209+Luchenza!L209+Thyolo!L209+Muloza!L209+MUST!L209+Phalombe!L209+Mikolongwe!L209+Migowi!L209</f>
        <v>416867</v>
      </c>
      <c r="M209" s="15">
        <f>Mulanje!M209+Luchenza!M209+Thyolo!M209+Muloza!M209+MUST!M209+Phalombe!M209+Mikolongwe!M209+Migowi!M209+Nkando!M209</f>
        <v>325154647</v>
      </c>
      <c r="N209" s="15">
        <f>Mulanje!N209+Luchenza!N209+Thyolo!N209+Muloza!N209+MUST!N209+Phalombe!N209+Mikolongwe!N209+Migowi!N209+Nkando!N209</f>
        <v>4606470.45</v>
      </c>
      <c r="O209" s="15">
        <f>Mulanje!O209+Luchenza!O209+Thyolo!O209+Muloza!O209+MUST!O209+Phalombe!O209+Mikolongwe!O209+Migowi!O209+Nkando!O209</f>
        <v>460626</v>
      </c>
      <c r="P209" s="40">
        <f>SUM(D209:O209)</f>
        <v>747809875.18000007</v>
      </c>
    </row>
    <row r="210" spans="1:16" x14ac:dyDescent="0.3">
      <c r="A210" s="294" t="s">
        <v>45</v>
      </c>
      <c r="B210" s="295"/>
      <c r="C210" s="11" t="s">
        <v>31</v>
      </c>
      <c r="D210" s="10">
        <f t="shared" ref="D210:O210" si="82">SUM(D206:D209)</f>
        <v>18854787.580000002</v>
      </c>
      <c r="E210" s="10">
        <f t="shared" si="82"/>
        <v>70894829.939999998</v>
      </c>
      <c r="F210" s="10">
        <f t="shared" si="82"/>
        <v>44768525.200000003</v>
      </c>
      <c r="G210" s="10">
        <f t="shared" si="82"/>
        <v>39083322.410000004</v>
      </c>
      <c r="H210" s="10">
        <f t="shared" si="82"/>
        <v>272706225</v>
      </c>
      <c r="I210" s="10">
        <f t="shared" si="82"/>
        <v>198459391.34</v>
      </c>
      <c r="J210" s="10">
        <f t="shared" si="82"/>
        <v>27308975</v>
      </c>
      <c r="K210" s="10">
        <f t="shared" si="82"/>
        <v>78346736.050000012</v>
      </c>
      <c r="L210" s="10">
        <f t="shared" si="82"/>
        <v>19336380.640000001</v>
      </c>
      <c r="M210" s="10">
        <f t="shared" si="82"/>
        <v>399379648</v>
      </c>
      <c r="N210" s="10">
        <f t="shared" si="82"/>
        <v>39691428.980000004</v>
      </c>
      <c r="O210" s="10">
        <f t="shared" si="82"/>
        <v>40948605</v>
      </c>
      <c r="P210" s="40">
        <f>SUM(D210:O210)</f>
        <v>1249778855.1399999</v>
      </c>
    </row>
    <row r="211" spans="1:16" s="2" customFormat="1" ht="14.4" x14ac:dyDescent="0.3">
      <c r="A211" s="281" t="s">
        <v>44</v>
      </c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3"/>
    </row>
    <row r="212" spans="1:16" x14ac:dyDescent="0.3">
      <c r="A212" s="237" t="s">
        <v>43</v>
      </c>
      <c r="B212" s="238"/>
      <c r="C212" s="11" t="s">
        <v>31</v>
      </c>
      <c r="D212" s="15">
        <f>Mulanje!D212+Luchenza!D212+Thyolo!D212+Muloza!D212+MUST!D212+Phalombe!D212+Mikolongwe!D212+Migowi!D212</f>
        <v>7757586.3200000003</v>
      </c>
      <c r="E212" s="15">
        <f>Mulanje!E212+Luchenza!E212+Thyolo!E212+Muloza!E212+MUST!E212+Phalombe!E212+Mikolongwe!E212+Migowi!E212</f>
        <v>9095809.8900000006</v>
      </c>
      <c r="F212" s="15">
        <f>Mulanje!F212+Luchenza!F212+Thyolo!F212+Muloza!F212+MUST!F212+Phalombe!F212+Mikolongwe!F212+Migowi!F212</f>
        <v>12939326.289999999</v>
      </c>
      <c r="G212" s="15">
        <f>Mulanje!G212+Luchenza!G212+Thyolo!G212+Muloza!G212+MUST!G212+Phalombe!G212+Mikolongwe!G212+Migowi!G212</f>
        <v>12606312.890000001</v>
      </c>
      <c r="H212" s="15">
        <f>Mulanje!H212+Luchenza!H212+Thyolo!H212+Muloza!H212+MUST!H212+Phalombe!H212+Mikolongwe!H212+Migowi!H212</f>
        <v>26030506.25</v>
      </c>
      <c r="I212" s="15">
        <f>Mulanje!I212+Luchenza!I212+Thyolo!I212+Muloza!I212+MUST!I212+Phalombe!I212+Mikolongwe!I212+Migowi!I212</f>
        <v>9453140</v>
      </c>
      <c r="J212" s="15">
        <f>Mulanje!J212+Luchenza!J212+Thyolo!J212+Muloza!J212+MUST!J212+Phalombe!J212+Mikolongwe!J212+Migowi!J212</f>
        <v>15713426.610000003</v>
      </c>
      <c r="K212" s="15">
        <f>Mulanje!K212+Luchenza!K212+Thyolo!K212+Muloza!K212+MUST!K212+Phalombe!K212+Mikolongwe!K212+Migowi!K212</f>
        <v>14054760.539999997</v>
      </c>
      <c r="L212" s="15">
        <f>Mulanje!L212+Luchenza!L212+Thyolo!L212+Muloza!L212+MUST!L212+Phalombe!L212+Mikolongwe!L212+Migowi!L212</f>
        <v>15911190.73</v>
      </c>
      <c r="M212" s="15">
        <f>Mulanje!M212+Luchenza!M212+Thyolo!M212+Muloza!M212+MUST!M212+Phalombe!M212+Mikolongwe!M212+Migowi!M212+Nkando!M212</f>
        <v>19986955.640000001</v>
      </c>
      <c r="N212" s="15">
        <f>Mulanje!N212+Luchenza!N212+Thyolo!N212+Muloza!N212+MUST!N212+Phalombe!N212+Mikolongwe!N212+Migowi!N212+Nkando!N212</f>
        <v>19941674.259999998</v>
      </c>
      <c r="O212" s="15">
        <f>Mulanje!O212+Luchenza!O212+Thyolo!O212+Muloza!O212+MUST!O212+Phalombe!O212+Mikolongwe!O212+Migowi!O212+Nkando!O212</f>
        <v>13957184.890000001</v>
      </c>
      <c r="P212" s="40">
        <f>SUM(D212:O212)</f>
        <v>177447874.31</v>
      </c>
    </row>
    <row r="213" spans="1:16" x14ac:dyDescent="0.3">
      <c r="A213" s="237" t="s">
        <v>42</v>
      </c>
      <c r="B213" s="238"/>
      <c r="C213" s="11" t="s">
        <v>31</v>
      </c>
      <c r="D213" s="15">
        <f>Mulanje!D213+Luchenza!D213+Thyolo!D213+Muloza!D213+MUST!D213+Phalombe!D213+Mikolongwe!D213+Migowi!D213</f>
        <v>112600</v>
      </c>
      <c r="E213" s="15">
        <f>Mulanje!E213+Luchenza!E213+Thyolo!E213+Muloza!E213+MUST!E213+Phalombe!E213+Mikolongwe!E213+Migowi!E213</f>
        <v>136000</v>
      </c>
      <c r="F213" s="15">
        <f>Mulanje!F213+Luchenza!F213+Thyolo!F213+Muloza!F213+MUST!F213+Phalombe!F213+Mikolongwe!F213+Migowi!F213</f>
        <v>192540</v>
      </c>
      <c r="G213" s="15">
        <f>Mulanje!G213+Luchenza!G213+Thyolo!G213+Muloza!G213+MUST!G213+Phalombe!G213+Mikolongwe!G213+Migowi!G213</f>
        <v>144000</v>
      </c>
      <c r="H213" s="15">
        <f>Mulanje!H213+Luchenza!H213+Thyolo!H213+Muloza!H213+MUST!H213+Phalombe!H213+Mikolongwe!H213+Migowi!H213</f>
        <v>201846</v>
      </c>
      <c r="I213" s="15">
        <f>Mulanje!I213+Luchenza!I213+Thyolo!I213+Muloza!I213+MUST!I213+Phalombe!I213+Mikolongwe!I213+Migowi!I213</f>
        <v>110000</v>
      </c>
      <c r="J213" s="15">
        <f>Mulanje!J213+Luchenza!J213+Thyolo!J213+Muloza!J213+MUST!J213+Phalombe!J213+Mikolongwe!J213+Migowi!J213</f>
        <v>148600</v>
      </c>
      <c r="K213" s="15">
        <f>Mulanje!K213+Luchenza!K213+Thyolo!K213+Muloza!K213+MUST!K213+Phalombe!K213+Mikolongwe!K213+Migowi!K213</f>
        <v>165000</v>
      </c>
      <c r="L213" s="15">
        <f>Mulanje!L213+Luchenza!L213+Thyolo!L213+Muloza!L213+MUST!L213+Phalombe!L213+Mikolongwe!L213+Migowi!L213</f>
        <v>261540</v>
      </c>
      <c r="M213" s="15">
        <f>Mulanje!M213+Luchenza!M213+Thyolo!M213+Muloza!M213+MUST!M213+Phalombe!M213+Mikolongwe!M213+Migowi!M213+Nkando!M213</f>
        <v>621000</v>
      </c>
      <c r="N213" s="15">
        <f>Mulanje!N213+Luchenza!N213+Thyolo!N213+Muloza!N213+MUST!N213+Phalombe!N213+Mikolongwe!N213+Migowi!N213+Nkando!N213</f>
        <v>695000</v>
      </c>
      <c r="O213" s="15">
        <f>Mulanje!O213+Luchenza!O213+Thyolo!O213+Muloza!O213+MUST!O213+Phalombe!O213+Mikolongwe!O213+Migowi!O213+Nkando!O213</f>
        <v>170192.48</v>
      </c>
      <c r="P213" s="40">
        <f>SUM(D213:O213)</f>
        <v>2958318.48</v>
      </c>
    </row>
    <row r="214" spans="1:16" x14ac:dyDescent="0.3">
      <c r="A214" s="243" t="s">
        <v>41</v>
      </c>
      <c r="B214" s="244"/>
      <c r="C214" s="11" t="s">
        <v>31</v>
      </c>
      <c r="D214" s="15">
        <f>Mulanje!D214+Luchenza!D214+Thyolo!D214+Muloza!D214+MUST!D214+Phalombe!D214+Mikolongwe!D214+Migowi!D214</f>
        <v>4989249</v>
      </c>
      <c r="E214" s="15">
        <f>Mulanje!E214+Luchenza!E214+Thyolo!E214+Muloza!E214+MUST!E214+Phalombe!E214+Mikolongwe!E214+Migowi!E214</f>
        <v>5291068</v>
      </c>
      <c r="F214" s="15">
        <f>Mulanje!F214+Luchenza!F214+Thyolo!F214+Muloza!F214+MUST!F214+Phalombe!F214+Mikolongwe!F214+Migowi!F214</f>
        <v>5587317</v>
      </c>
      <c r="G214" s="15">
        <f>Mulanje!G214+Luchenza!G214+Thyolo!G214+Muloza!G214+MUST!G214+Phalombe!G214+Mikolongwe!G214+Migowi!G214</f>
        <v>5602877</v>
      </c>
      <c r="H214" s="15">
        <f>Mulanje!H214+Luchenza!H214+Thyolo!H214+Muloza!H214+MUST!H214+Phalombe!H214+Mikolongwe!H214+Migowi!H214</f>
        <v>7474392.6600000001</v>
      </c>
      <c r="I214" s="15">
        <f>Mulanje!I214+Luchenza!I214+Thyolo!I214+Muloza!I214+MUST!I214+Phalombe!I214+Mikolongwe!I214+Migowi!I214</f>
        <v>6044554.8899999997</v>
      </c>
      <c r="J214" s="15">
        <f>Mulanje!J214+Luchenza!J214+Thyolo!J214+Muloza!J214+MUST!J214+Phalombe!J214+Mikolongwe!J214+Migowi!J214</f>
        <v>7018793.3799999999</v>
      </c>
      <c r="K214" s="15">
        <f>Mulanje!K214+Luchenza!K214+Thyolo!K214+Muloza!K214+MUST!K214+Phalombe!K214+Mikolongwe!K214+Migowi!K214</f>
        <v>7624939.9400000004</v>
      </c>
      <c r="L214" s="15">
        <f>Mulanje!L214+Luchenza!L214+Thyolo!L214+Muloza!L214+MUST!L214+Phalombe!L214+Mikolongwe!L214+Migowi!L214</f>
        <v>10254835.93</v>
      </c>
      <c r="M214" s="15">
        <f>Mulanje!M214+Luchenza!M214+Thyolo!M214+Muloza!M214+MUST!M214+Phalombe!M214+Mikolongwe!M214+Migowi!M214+Nkando!M214</f>
        <v>8920551.8000000007</v>
      </c>
      <c r="N214" s="15">
        <f>Mulanje!N214+Luchenza!N214+Thyolo!N214+Muloza!N214+MUST!N214+Phalombe!N214+Mikolongwe!N214+Migowi!N214+Nkando!N214</f>
        <v>8630476.6999999993</v>
      </c>
      <c r="O214" s="15">
        <f>Mulanje!O214+Luchenza!O214+Thyolo!O214+Muloza!O214+MUST!O214+Phalombe!O214+Mikolongwe!O214+Migowi!O214+Nkando!O214</f>
        <v>5678428.1200000001</v>
      </c>
      <c r="P214" s="40">
        <f>SUM(D214:O214)</f>
        <v>83117484.420000002</v>
      </c>
    </row>
    <row r="215" spans="1:16" x14ac:dyDescent="0.3">
      <c r="A215" s="237" t="s">
        <v>40</v>
      </c>
      <c r="B215" s="238"/>
      <c r="C215" s="11" t="s">
        <v>31</v>
      </c>
      <c r="D215" s="15">
        <f>Mulanje!D215+Luchenza!D215+Thyolo!D215+Muloza!D215+MUST!D215+Phalombe!D215+Mikolongwe!D215+Migowi!D215</f>
        <v>14961614.799999999</v>
      </c>
      <c r="E215" s="15">
        <f>Mulanje!E215+Luchenza!E215+Thyolo!E215+Muloza!E215+MUST!E215+Phalombe!E215+Mikolongwe!E215+Migowi!E215</f>
        <v>10614050.239999998</v>
      </c>
      <c r="F215" s="15">
        <f>Mulanje!F215+Luchenza!F215+Thyolo!F215+Muloza!F215+MUST!F215+Phalombe!F215+Mikolongwe!F215+Migowi!F215</f>
        <v>28469441.310000002</v>
      </c>
      <c r="G215" s="15">
        <f>Mulanje!G215+Luchenza!G215+Thyolo!G215+Muloza!G215+MUST!G215+Phalombe!G215+Mikolongwe!G215+Migowi!G215</f>
        <v>15167913</v>
      </c>
      <c r="H215" s="15">
        <f>Mulanje!H215+Luchenza!H215+Thyolo!H215+Muloza!H215+MUST!H215+Phalombe!H215+Mikolongwe!H215+Migowi!H215</f>
        <v>64419036.219999999</v>
      </c>
      <c r="I215" s="15">
        <f>Mulanje!I215+Luchenza!I215+Thyolo!I215+Muloza!I215+MUST!I215+Phalombe!I215+Mikolongwe!I215+Migowi!I215</f>
        <v>54683275.75</v>
      </c>
      <c r="J215" s="15">
        <f>Mulanje!J215+Luchenza!J215+Thyolo!J215+Muloza!J215+MUST!J215+Phalombe!J215+Mikolongwe!J215+Migowi!J215</f>
        <v>51376563.799999997</v>
      </c>
      <c r="K215" s="15">
        <f>Mulanje!K215+Luchenza!K215+Thyolo!K215+Muloza!K215+MUST!K215+Phalombe!K215+Mikolongwe!K215+Migowi!K215</f>
        <v>47150930.939999998</v>
      </c>
      <c r="L215" s="15">
        <f>Mulanje!L215+Luchenza!L215+Thyolo!L215+Muloza!L215+MUST!L215+Phalombe!L215+Mikolongwe!L215+Migowi!L215</f>
        <v>55069694.699999996</v>
      </c>
      <c r="M215" s="15">
        <f>Mulanje!M215+Luchenza!M215+Thyolo!M215+Muloza!M215+MUST!M215+Phalombe!M215+Mikolongwe!M215+Migowi!M215+Nkando!M215</f>
        <v>34144784.119999997</v>
      </c>
      <c r="N215" s="15">
        <f>Mulanje!N215+Luchenza!N215+Thyolo!N215+Muloza!N215+MUST!N215+Phalombe!N215+Mikolongwe!N215+Migowi!N215+Nkando!N215</f>
        <v>67562309.019999996</v>
      </c>
      <c r="O215" s="15">
        <f>Mulanje!O215+Luchenza!O215+Thyolo!O215+Muloza!O215+MUST!O215+Phalombe!O215+Mikolongwe!O215+Migowi!O215+Nkando!O215</f>
        <v>47325520.5</v>
      </c>
      <c r="P215" s="40">
        <f>SUM(D215:O215)</f>
        <v>490945134.39999998</v>
      </c>
    </row>
    <row r="216" spans="1:16" x14ac:dyDescent="0.3">
      <c r="A216" s="294" t="s">
        <v>39</v>
      </c>
      <c r="B216" s="295"/>
      <c r="C216" s="11" t="s">
        <v>31</v>
      </c>
      <c r="D216" s="10">
        <f t="shared" ref="D216:H216" si="83">SUM(D212:D215)</f>
        <v>27821050.119999997</v>
      </c>
      <c r="E216" s="10">
        <f t="shared" si="83"/>
        <v>25136928.129999999</v>
      </c>
      <c r="F216" s="10">
        <f t="shared" si="83"/>
        <v>47188624.600000001</v>
      </c>
      <c r="G216" s="10">
        <f t="shared" ref="G216" si="84">SUM(G212:G215)</f>
        <v>33521102.890000001</v>
      </c>
      <c r="H216" s="10">
        <f t="shared" si="83"/>
        <v>98125781.129999995</v>
      </c>
      <c r="I216" s="10">
        <f t="shared" ref="I216:O216" si="85">SUM(I212:I215)</f>
        <v>70290970.640000001</v>
      </c>
      <c r="J216" s="10">
        <f t="shared" si="85"/>
        <v>74257383.789999992</v>
      </c>
      <c r="K216" s="10">
        <f t="shared" si="85"/>
        <v>68995631.419999987</v>
      </c>
      <c r="L216" s="10">
        <f t="shared" si="85"/>
        <v>81497261.359999999</v>
      </c>
      <c r="M216" s="10">
        <f t="shared" si="85"/>
        <v>63673291.560000002</v>
      </c>
      <c r="N216" s="10">
        <f t="shared" si="85"/>
        <v>96829459.979999989</v>
      </c>
      <c r="O216" s="10">
        <f t="shared" si="85"/>
        <v>67131325.99000001</v>
      </c>
      <c r="P216" s="40">
        <f>SUM(D216:O216)</f>
        <v>754468811.6099999</v>
      </c>
    </row>
    <row r="217" spans="1:16" s="2" customFormat="1" x14ac:dyDescent="0.3">
      <c r="A217" s="334" t="s">
        <v>38</v>
      </c>
      <c r="B217" s="335"/>
      <c r="C217" s="11" t="s">
        <v>31</v>
      </c>
      <c r="D217" s="10">
        <f>D210+D216</f>
        <v>46675837.700000003</v>
      </c>
      <c r="E217" s="10">
        <f t="shared" ref="E217:P217" si="86">E210+E216</f>
        <v>96031758.069999993</v>
      </c>
      <c r="F217" s="10">
        <f t="shared" si="86"/>
        <v>91957149.800000012</v>
      </c>
      <c r="G217" s="10">
        <f t="shared" si="86"/>
        <v>72604425.300000012</v>
      </c>
      <c r="H217" s="10">
        <f t="shared" si="86"/>
        <v>370832006.13</v>
      </c>
      <c r="I217" s="10">
        <f t="shared" ref="I217:O217" si="87">I210+I216</f>
        <v>268750361.98000002</v>
      </c>
      <c r="J217" s="10">
        <f t="shared" si="87"/>
        <v>101566358.78999999</v>
      </c>
      <c r="K217" s="10">
        <f t="shared" si="87"/>
        <v>147342367.47</v>
      </c>
      <c r="L217" s="10">
        <f t="shared" si="87"/>
        <v>100833642</v>
      </c>
      <c r="M217" s="10">
        <f t="shared" si="87"/>
        <v>463052939.56</v>
      </c>
      <c r="N217" s="10">
        <f t="shared" si="87"/>
        <v>136520888.95999998</v>
      </c>
      <c r="O217" s="10">
        <f t="shared" si="87"/>
        <v>108079930.99000001</v>
      </c>
      <c r="P217" s="40">
        <f t="shared" si="86"/>
        <v>2004247666.7499998</v>
      </c>
    </row>
    <row r="218" spans="1:16" s="2" customFormat="1" ht="14.4" x14ac:dyDescent="0.3">
      <c r="A218" s="281" t="s">
        <v>37</v>
      </c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3"/>
    </row>
    <row r="219" spans="1:16" x14ac:dyDescent="0.3">
      <c r="A219" s="237" t="s">
        <v>35</v>
      </c>
      <c r="B219" s="238"/>
      <c r="C219" s="11" t="s">
        <v>31</v>
      </c>
      <c r="D219" s="15">
        <f>Mulanje!D219+Luchenza!D219+Thyolo!D219+Muloza!D219+MUST!D219+Phalombe!D219+Mikolongwe!D219+Migowi!D219</f>
        <v>22197410.52</v>
      </c>
      <c r="E219" s="15">
        <f>Mulanje!E219+Luchenza!E219+Thyolo!E219+Muloza!E219+MUST!E219+Phalombe!E219+Mikolongwe!E219+Migowi!E219</f>
        <v>44335050.049999997</v>
      </c>
      <c r="F219" s="15">
        <f>Mulanje!F219+Luchenza!F219+Thyolo!F219+Muloza!F219+MUST!F219+Phalombe!F219+Mikolongwe!F219+Migowi!F219</f>
        <v>37640845.310000002</v>
      </c>
      <c r="G219" s="15">
        <f>Mulanje!G219+Luchenza!G219+Thyolo!G219+Muloza!G219+MUST!G219+Phalombe!G219+Mikolongwe!G219+Migowi!G219</f>
        <v>35381340.140000001</v>
      </c>
      <c r="H219" s="15">
        <f>Mulanje!H219+Luchenza!H219+Thyolo!H219+Muloza!H219+MUST!H219+Phalombe!H219+Mikolongwe!H219+Migowi!H219</f>
        <v>36472333.539999992</v>
      </c>
      <c r="I219" s="15">
        <f>Mulanje!I219+Luchenza!I219+Thyolo!I219+Muloza!I219+MUST!I219+Phalombe!I219+Mikolongwe!I219+Migowi!I219</f>
        <v>39584581.290000007</v>
      </c>
      <c r="J219" s="15">
        <f>Mulanje!J219+Luchenza!J219+Thyolo!J219+Muloza!J219+MUST!J219+Phalombe!J219+Mikolongwe!J219+Migowi!J219</f>
        <v>39165130.68</v>
      </c>
      <c r="K219" s="15">
        <f>Mulanje!K219+Luchenza!K219+Thyolo!K219+Muloza!K219+MUST!K219+Phalombe!K219+Mikolongwe!K219+Migowi!K219</f>
        <v>38771291.430000007</v>
      </c>
      <c r="L219" s="15">
        <f>Mulanje!L219+Luchenza!L219+Thyolo!L219+Muloza!L219+MUST!L219+Phalombe!L219+Mikolongwe!L219+Migowi!L219</f>
        <v>38688138.859999999</v>
      </c>
      <c r="M219" s="15">
        <f>Mulanje!M219+Luchenza!M219+Thyolo!M219+Muloza!M219+MUST!M219+Phalombe!M219+Mikolongwe!M219+Migowi!M219+Nkando!M219</f>
        <v>41636815.93</v>
      </c>
      <c r="N219" s="15">
        <f>Mulanje!N219+Luchenza!N219+Thyolo!N219+Muloza!N219+MUST!N219+Phalombe!N219+Mikolongwe!N219+Migowi!N219+Nkando!N219</f>
        <v>38571184.949999996</v>
      </c>
      <c r="O219" s="15">
        <f>Mulanje!O219+Luchenza!O219+Thyolo!O219+Muloza!O219+MUST!O219+Phalombe!O219+Mikolongwe!O219+Migowi!O219+Nkando!O219</f>
        <v>136307796.49000001</v>
      </c>
      <c r="P219" s="40">
        <f>SUM(D219:O219)</f>
        <v>548751919.19000006</v>
      </c>
    </row>
    <row r="220" spans="1:16" x14ac:dyDescent="0.3">
      <c r="A220" s="237" t="s">
        <v>34</v>
      </c>
      <c r="B220" s="238"/>
      <c r="C220" s="11" t="s">
        <v>31</v>
      </c>
      <c r="D220" s="15">
        <f>Mulanje!D220+Luchenza!D220+Thyolo!D220+Muloza!D220+MUST!D220+Phalombe!D220+Mikolongwe!D220+Migowi!D220</f>
        <v>206059.64999999997</v>
      </c>
      <c r="E220" s="15">
        <f>Mulanje!E220+Luchenza!E220+Thyolo!E220+Muloza!E220+MUST!E220+Phalombe!E220+Mikolongwe!E220+Migowi!E220</f>
        <v>191278.99999999997</v>
      </c>
      <c r="F220" s="15">
        <f>Mulanje!F220+Luchenza!F220+Thyolo!F220+Muloza!F220+MUST!F220+Phalombe!F220+Mikolongwe!F220+Migowi!F220</f>
        <v>207102.99000000002</v>
      </c>
      <c r="G220" s="15">
        <f>Mulanje!G220+Luchenza!G220+Thyolo!G220+Muloza!G220+MUST!G220+Phalombe!G220+Mikolongwe!G220+Migowi!G220</f>
        <v>189018.17</v>
      </c>
      <c r="H220" s="15">
        <f>Mulanje!H220+Luchenza!H220+Thyolo!H220+Muloza!H220+MUST!H220+Phalombe!H220+Mikolongwe!H220+Migowi!H220</f>
        <v>186757.86000000002</v>
      </c>
      <c r="I220" s="15">
        <f>Mulanje!I220+Luchenza!I220+Thyolo!I220+Muloza!I220+MUST!I220+Phalombe!I220+Mikolongwe!I220+Migowi!I220</f>
        <v>201016.37</v>
      </c>
      <c r="J220" s="15">
        <f>Mulanje!J220+Luchenza!J220+Thyolo!J220+Muloza!J220+MUST!J220+Phalombe!J220+Mikolongwe!J220+Migowi!J220</f>
        <v>210928.47</v>
      </c>
      <c r="K220" s="15">
        <f>Mulanje!K220+Luchenza!K220+Thyolo!K220+Muloza!K220+MUST!K220+Phalombe!K220+Mikolongwe!K220+Migowi!K220</f>
        <v>198582.37999999998</v>
      </c>
      <c r="L220" s="15">
        <f>Mulanje!L220+Luchenza!L220+Thyolo!L220+Muloza!L220+MUST!L220+Phalombe!L220+Mikolongwe!L220+Migowi!L220</f>
        <v>216493</v>
      </c>
      <c r="M220" s="15">
        <f>Mulanje!M220+Luchenza!M220+Thyolo!M220+Muloza!M220+MUST!M220+Phalombe!M220+Mikolongwe!M220+Migowi!M220+Nkando!M220</f>
        <v>174237.78</v>
      </c>
      <c r="N220" s="15">
        <f>Mulanje!N220+Luchenza!N220+Thyolo!N220+Muloza!N220+MUST!N220+Phalombe!N220+Mikolongwe!N220+Migowi!N220+Nkando!N220</f>
        <v>175455.01</v>
      </c>
      <c r="O220" s="15">
        <f>Mulanje!O220+Luchenza!O220+Thyolo!O220+Muloza!O220+MUST!O220+Phalombe!O220+Mikolongwe!O220+Migowi!O220+Nkando!O220</f>
        <v>159283</v>
      </c>
      <c r="P220" s="40">
        <f>SUM(D220:O220)</f>
        <v>2316213.6799999997</v>
      </c>
    </row>
    <row r="221" spans="1:16" x14ac:dyDescent="0.3">
      <c r="A221" s="237" t="s">
        <v>33</v>
      </c>
      <c r="B221" s="238"/>
      <c r="C221" s="11" t="s">
        <v>31</v>
      </c>
      <c r="D221" s="15">
        <f>Mulanje!D221+Luchenza!D221+Thyolo!D221+Muloza!D221+MUST!D221+Phalombe!D221+Mikolongwe!D221+Migowi!D221</f>
        <v>45749662.109999999</v>
      </c>
      <c r="E221" s="15">
        <f>Mulanje!E221+Luchenza!E221+Thyolo!E221+Muloza!E221+MUST!E221+Phalombe!E221+Mikolongwe!E221+Migowi!E221</f>
        <v>43584333.769999996</v>
      </c>
      <c r="F221" s="15">
        <f>Mulanje!F221+Luchenza!F221+Thyolo!F221+Muloza!F221+MUST!F221+Phalombe!F221+Mikolongwe!F221+Migowi!F221</f>
        <v>43022517.939999998</v>
      </c>
      <c r="G221" s="15">
        <f>Mulanje!G221+Luchenza!G221+Thyolo!G221+Muloza!G221+MUST!G221+Phalombe!G221+Mikolongwe!G221+Migowi!G221</f>
        <v>46927452.980000004</v>
      </c>
      <c r="H221" s="15">
        <f>Mulanje!H221+Luchenza!H221+Thyolo!H221+Muloza!H221+MUST!H221+Phalombe!H221+Mikolongwe!H221+Migowi!H221</f>
        <v>38931727.82</v>
      </c>
      <c r="I221" s="15">
        <f>Mulanje!I221+Luchenza!I221+Thyolo!I221+Muloza!I221+MUST!I221+Phalombe!I221+Mikolongwe!I221+Migowi!I221</f>
        <v>12969440.74</v>
      </c>
      <c r="J221" s="15">
        <f>Mulanje!J221+Luchenza!J221+Thyolo!J221+Muloza!J221+MUST!J221+Phalombe!J221+Mikolongwe!J221+Migowi!J221</f>
        <v>13419342.310000001</v>
      </c>
      <c r="K221" s="15">
        <f>Mulanje!K221+Luchenza!K221+Thyolo!K221+Muloza!K221+MUST!K221+Phalombe!K221+Mikolongwe!K221+Migowi!K221</f>
        <v>10583896.359999999</v>
      </c>
      <c r="L221" s="15">
        <f>Mulanje!L221+Luchenza!L221+Thyolo!L221+Muloza!L221+MUST!L221+Phalombe!L221+Mikolongwe!L221+Migowi!L221</f>
        <v>12480755.130000001</v>
      </c>
      <c r="M221" s="15">
        <f>Mulanje!M221+Luchenza!M221+Thyolo!M221+Muloza!M221+MUST!M221+Phalombe!M221+Mikolongwe!M221+Migowi!M221+Nkando!M221</f>
        <v>6609293.959999999</v>
      </c>
      <c r="N221" s="15">
        <f>Mulanje!N221+Luchenza!N221+Thyolo!N221+Muloza!N221+MUST!N221+Phalombe!N221+Mikolongwe!N221+Migowi!N221+Nkando!N221</f>
        <v>13489819.82</v>
      </c>
      <c r="O221" s="15">
        <f>Mulanje!O221+Luchenza!O221+Thyolo!O221+Muloza!O221+MUST!O221+Phalombe!O221+Mikolongwe!O221+Migowi!O221+Nkando!O221</f>
        <v>11198090.369999999</v>
      </c>
      <c r="P221" s="40">
        <f>SUM(D221:O221)</f>
        <v>298966333.31</v>
      </c>
    </row>
    <row r="222" spans="1:16" x14ac:dyDescent="0.3">
      <c r="A222" s="237" t="s">
        <v>32</v>
      </c>
      <c r="B222" s="238"/>
      <c r="C222" s="11" t="s">
        <v>31</v>
      </c>
      <c r="D222" s="15">
        <f>Mulanje!D222+Luchenza!D222+Thyolo!D222+Muloza!D222+MUST!D222+Phalombe!D222+Mikolongwe!D222+Migowi!D222</f>
        <v>1249588.51</v>
      </c>
      <c r="E222" s="15">
        <f>Mulanje!E222+Luchenza!E222+Thyolo!E222+Muloza!E222+MUST!E222+Phalombe!E222+Mikolongwe!E222+Migowi!E222</f>
        <v>2156008.6999999997</v>
      </c>
      <c r="F222" s="15">
        <f>Mulanje!F222+Luchenza!F222+Thyolo!F222+Muloza!F222+MUST!F222+Phalombe!F222+Mikolongwe!F222+Migowi!F222</f>
        <v>2678479.8499999996</v>
      </c>
      <c r="G222" s="15">
        <f>Mulanje!G222+Luchenza!G222+Thyolo!G222+Muloza!G222+MUST!G222+Phalombe!G222+Mikolongwe!G222+Migowi!G222</f>
        <v>2015910.7999999998</v>
      </c>
      <c r="H222" s="15">
        <f>Mulanje!H222+Luchenza!H222+Thyolo!H222+Muloza!H222+MUST!H222+Phalombe!H222+Mikolongwe!H222+Migowi!H222</f>
        <v>2595278.67</v>
      </c>
      <c r="I222" s="15">
        <f>Mulanje!I222+Luchenza!I222+Thyolo!I222+Muloza!I222+MUST!I222+Phalombe!I222+Mikolongwe!I222+Migowi!I222</f>
        <v>2274013.91</v>
      </c>
      <c r="J222" s="15">
        <f>Mulanje!J222+Luchenza!J222+Thyolo!J222+Muloza!J222+MUST!J222+Phalombe!J222+Mikolongwe!J222+Migowi!J222</f>
        <v>1932913.4000000001</v>
      </c>
      <c r="K222" s="15">
        <f>Mulanje!K222+Luchenza!K222+Thyolo!K222+Muloza!K222+MUST!K222+Phalombe!K222+Mikolongwe!K222+Migowi!K222</f>
        <v>1761074.1199999999</v>
      </c>
      <c r="L222" s="15">
        <f>Mulanje!L222+Luchenza!L222+Thyolo!L222+Muloza!L222+MUST!L222+Phalombe!L222+Mikolongwe!L222+Migowi!L222</f>
        <v>1832206.73</v>
      </c>
      <c r="M222" s="15">
        <f>Mulanje!M222+Luchenza!M222+Thyolo!M222+Muloza!M222+MUST!M222+Phalombe!M222+Mikolongwe!M222+Migowi!M222+Nkando!M222</f>
        <v>3938370.6799999997</v>
      </c>
      <c r="N222" s="15">
        <f>Mulanje!N222+Luchenza!N222+Thyolo!N222+Muloza!N222+MUST!N222+Phalombe!N222+Mikolongwe!N222+Migowi!N222</f>
        <v>1651578</v>
      </c>
      <c r="O222" s="15">
        <f>Mulanje!O222+Luchenza!O222+Thyolo!O222+Muloza!O222+MUST!O222+Phalombe!O222+Mikolongwe!O222+Migowi!O222</f>
        <v>1748259.76</v>
      </c>
      <c r="P222" s="40">
        <f>SUM(D222:O222)</f>
        <v>25833683.129999999</v>
      </c>
    </row>
    <row r="223" spans="1:16" x14ac:dyDescent="0.3">
      <c r="A223" s="294" t="s">
        <v>36</v>
      </c>
      <c r="B223" s="295"/>
      <c r="C223" s="11" t="s">
        <v>31</v>
      </c>
      <c r="D223" s="12">
        <f t="shared" ref="D223:O223" si="88">SUM(D219:D222)</f>
        <v>69402720.790000007</v>
      </c>
      <c r="E223" s="10">
        <f t="shared" si="88"/>
        <v>90266671.519999996</v>
      </c>
      <c r="F223" s="10">
        <f t="shared" si="88"/>
        <v>83548946.090000004</v>
      </c>
      <c r="G223" s="10">
        <f t="shared" si="88"/>
        <v>84513722.090000004</v>
      </c>
      <c r="H223" s="10">
        <f t="shared" si="88"/>
        <v>78186097.890000001</v>
      </c>
      <c r="I223" s="10">
        <f t="shared" si="88"/>
        <v>55029052.310000002</v>
      </c>
      <c r="J223" s="14">
        <f t="shared" si="88"/>
        <v>54728314.859999999</v>
      </c>
      <c r="K223" s="14">
        <f t="shared" si="88"/>
        <v>51314844.290000007</v>
      </c>
      <c r="L223" s="14">
        <f t="shared" si="88"/>
        <v>53217593.719999999</v>
      </c>
      <c r="M223" s="14">
        <f t="shared" si="88"/>
        <v>52358718.350000001</v>
      </c>
      <c r="N223" s="14">
        <f t="shared" si="88"/>
        <v>53888037.779999994</v>
      </c>
      <c r="O223" s="14">
        <f t="shared" si="88"/>
        <v>149413429.62</v>
      </c>
      <c r="P223" s="40">
        <f>SUM(D223:O223)</f>
        <v>875868149.31000006</v>
      </c>
    </row>
    <row r="224" spans="1:16" ht="14.4" x14ac:dyDescent="0.3">
      <c r="A224" s="281" t="s">
        <v>211</v>
      </c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3"/>
    </row>
    <row r="225" spans="1:16" x14ac:dyDescent="0.3">
      <c r="A225" s="237" t="s">
        <v>35</v>
      </c>
      <c r="B225" s="238"/>
      <c r="C225" s="11" t="s">
        <v>31</v>
      </c>
      <c r="D225" s="15">
        <f>Mulanje!D225+Luchenza!D225+Thyolo!D225+Muloza!D225+MUST!D225+Phalombe!D225+Mikolongwe!D225+Migowi!D225</f>
        <v>0</v>
      </c>
      <c r="E225" s="15">
        <f>Mulanje!E225+Luchenza!E225+Thyolo!E225+Muloza!E225+MUST!E225+Phalombe!E225+Mikolongwe!E225+Migowi!E225</f>
        <v>0</v>
      </c>
      <c r="F225" s="15">
        <f>Mulanje!F225+Luchenza!F225+Thyolo!F225+Muloza!F225+MUST!F225+Phalombe!F225+Mikolongwe!F225+Migowi!F225</f>
        <v>0</v>
      </c>
      <c r="G225" s="15">
        <f>Mulanje!G225+Luchenza!G225+Thyolo!G225+Muloza!G225+MUST!G225+Phalombe!G225+Mikolongwe!G225+Migowi!G225</f>
        <v>0</v>
      </c>
      <c r="H225" s="15">
        <f>Mulanje!H225+Luchenza!H225+Thyolo!H225+Muloza!H225+MUST!H225+Phalombe!H225+Mikolongwe!H225+Migowi!H225</f>
        <v>0</v>
      </c>
      <c r="I225" s="15">
        <f>Mulanje!I225+Luchenza!I225+Thyolo!I225+Muloza!I225+MUST!I225+Phalombe!I225+Mikolongwe!I225+Migowi!I225</f>
        <v>0</v>
      </c>
      <c r="J225" s="15">
        <f>Mulanje!J225+Luchenza!J225+Thyolo!J225+Muloza!J225+MUST!J225+Phalombe!J225+Mikolongwe!J225+Migowi!J225</f>
        <v>0</v>
      </c>
      <c r="K225" s="15">
        <f>Mulanje!K225+Luchenza!K225+Thyolo!K225+Muloza!K225+MUST!K225+Phalombe!K225+Mikolongwe!K225+Migowi!K225</f>
        <v>0</v>
      </c>
      <c r="L225" s="15">
        <f>Mulanje!L225+Luchenza!L225+Thyolo!L225+Muloza!L225+MUST!L225+Phalombe!L225+Mikolongwe!L225+Migowi!L225</f>
        <v>0</v>
      </c>
      <c r="M225" s="15">
        <f>Mulanje!M225+Luchenza!M225+Thyolo!M225+Muloza!M225+MUST!M225+Phalombe!M225+Mikolongwe!M225+Migowi!M225+Nkando!M225</f>
        <v>82484.61</v>
      </c>
      <c r="N225" s="15">
        <f>Mulanje!N225+Luchenza!N225+Thyolo!N225+Muloza!N225+MUST!N225+Phalombe!N225+Mikolongwe!N225+Migowi!N225+Nkando!N225</f>
        <v>0</v>
      </c>
      <c r="O225" s="15">
        <f>Mulanje!O225+Luchenza!O225+Thyolo!O225+Muloza!O225+MUST!O225+Phalombe!O225+Mikolongwe!O225+Migowi!O225+Nkando!O225</f>
        <v>0</v>
      </c>
      <c r="P225" s="40">
        <f t="shared" ref="P225:P230" si="89">SUM(D225:O225)</f>
        <v>82484.61</v>
      </c>
    </row>
    <row r="226" spans="1:16" x14ac:dyDescent="0.3">
      <c r="A226" s="237" t="s">
        <v>34</v>
      </c>
      <c r="B226" s="238"/>
      <c r="C226" s="11" t="s">
        <v>31</v>
      </c>
      <c r="D226" s="15">
        <f>Mulanje!D226+Luchenza!D226+Thyolo!D226+Muloza!D226+MUST!D226+Phalombe!D226+Mikolongwe!D226+Migowi!D226</f>
        <v>0</v>
      </c>
      <c r="E226" s="15">
        <f>Mulanje!E226+Luchenza!E226+Thyolo!E226+Muloza!E226+MUST!E226+Phalombe!E226+Mikolongwe!E226+Migowi!E226</f>
        <v>0</v>
      </c>
      <c r="F226" s="15">
        <f>Mulanje!F226+Luchenza!F226+Thyolo!F226+Muloza!F226+MUST!F226+Phalombe!F226+Mikolongwe!F226+Migowi!F226</f>
        <v>0</v>
      </c>
      <c r="G226" s="15">
        <f>Mulanje!G226+Luchenza!G226+Thyolo!G226+Muloza!G226+MUST!G226+Phalombe!G226+Mikolongwe!G226+Migowi!G226</f>
        <v>0</v>
      </c>
      <c r="H226" s="15">
        <f>Mulanje!H226+Luchenza!H226+Thyolo!H226+Muloza!H226+MUST!H226+Phalombe!H226+Mikolongwe!H226+Migowi!H226</f>
        <v>0</v>
      </c>
      <c r="I226" s="15">
        <f>Mulanje!I226+Luchenza!I226+Thyolo!I226+Muloza!I226+MUST!I226+Phalombe!I226+Mikolongwe!I226+Migowi!I226</f>
        <v>0</v>
      </c>
      <c r="J226" s="15">
        <f>Mulanje!J226+Luchenza!J226+Thyolo!J226+Muloza!J226+MUST!J226+Phalombe!J226+Mikolongwe!J226+Migowi!J226</f>
        <v>0</v>
      </c>
      <c r="K226" s="15">
        <f>Mulanje!K226+Luchenza!K226+Thyolo!K226+Muloza!K226+MUST!K226+Phalombe!K226+Mikolongwe!K226+Migowi!K226</f>
        <v>0</v>
      </c>
      <c r="L226" s="15">
        <f>Mulanje!L226+Luchenza!L226+Thyolo!L226+Muloza!L226+MUST!L226+Phalombe!L226+Mikolongwe!L226+Migowi!L226</f>
        <v>0</v>
      </c>
      <c r="M226" s="15">
        <f>Mulanje!M226+Luchenza!M226+Thyolo!M226+Muloza!M226+MUST!M226+Phalombe!M226+Mikolongwe!M226+Migowi!M226+Nkando!M226</f>
        <v>0</v>
      </c>
      <c r="N226" s="15">
        <f>Mulanje!N226+Luchenza!N226+Thyolo!N226+Muloza!N226+MUST!N226+Phalombe!N226+Mikolongwe!N226+Migowi!N226+Nkando!N226</f>
        <v>0</v>
      </c>
      <c r="O226" s="15">
        <f>Mulanje!O226+Luchenza!O226+Thyolo!O226+Muloza!O226+MUST!O226+Phalombe!O226+Mikolongwe!O226+Migowi!O226+Nkando!O226</f>
        <v>0</v>
      </c>
      <c r="P226" s="40">
        <f t="shared" si="89"/>
        <v>0</v>
      </c>
    </row>
    <row r="227" spans="1:16" x14ac:dyDescent="0.3">
      <c r="A227" s="237" t="s">
        <v>33</v>
      </c>
      <c r="B227" s="238"/>
      <c r="C227" s="11" t="s">
        <v>31</v>
      </c>
      <c r="D227" s="15">
        <f>Mulanje!D227+Luchenza!D227+Thyolo!D227+Muloza!D227+MUST!D227+Phalombe!D227+Mikolongwe!D227+Migowi!D227</f>
        <v>0</v>
      </c>
      <c r="E227" s="15">
        <f>Mulanje!E227+Luchenza!E227+Thyolo!E227+Muloza!E227+MUST!E227+Phalombe!E227+Mikolongwe!E227+Migowi!E227</f>
        <v>0</v>
      </c>
      <c r="F227" s="15">
        <f>Mulanje!F227+Luchenza!F227+Thyolo!F227+Muloza!F227+MUST!F227+Phalombe!F227+Mikolongwe!F227+Migowi!F227</f>
        <v>0</v>
      </c>
      <c r="G227" s="15">
        <f>Mulanje!G227+Luchenza!G227+Thyolo!G227+Muloza!G227+MUST!G227+Phalombe!G227+Mikolongwe!G227+Migowi!G227</f>
        <v>0</v>
      </c>
      <c r="H227" s="15">
        <f>Mulanje!H227+Luchenza!H227+Thyolo!H227+Muloza!H227+MUST!H227+Phalombe!H227+Mikolongwe!H227+Migowi!H227</f>
        <v>0</v>
      </c>
      <c r="I227" s="15">
        <f>Mulanje!I227+Luchenza!I227+Thyolo!I227+Muloza!I227+MUST!I227+Phalombe!I227+Mikolongwe!I227+Migowi!I227</f>
        <v>0</v>
      </c>
      <c r="J227" s="15">
        <f>Mulanje!J227+Luchenza!J227+Thyolo!J227+Muloza!J227+MUST!J227+Phalombe!J227+Mikolongwe!J227+Migowi!J227</f>
        <v>0</v>
      </c>
      <c r="K227" s="15">
        <f>Mulanje!K227+Luchenza!K227+Thyolo!K227+Muloza!K227+MUST!K227+Phalombe!K227+Mikolongwe!K227+Migowi!K227</f>
        <v>0</v>
      </c>
      <c r="L227" s="15">
        <f>Mulanje!L227+Luchenza!L227+Thyolo!L227+Muloza!L227+MUST!L227+Phalombe!L227+Mikolongwe!L227+Migowi!L227</f>
        <v>0</v>
      </c>
      <c r="M227" s="15">
        <f>Mulanje!M227+Luchenza!M227+Thyolo!M227+Muloza!M227+MUST!M227+Phalombe!M227+Mikolongwe!M227+Migowi!M227+Nkando!M227</f>
        <v>0</v>
      </c>
      <c r="N227" s="15">
        <f>Mulanje!N227+Luchenza!N227+Thyolo!N227+Muloza!N227+MUST!N227+Phalombe!N227+Mikolongwe!N227+Migowi!N227+Nkando!N227</f>
        <v>0</v>
      </c>
      <c r="O227" s="15">
        <f>Mulanje!O227+Luchenza!O227+Thyolo!O227+Muloza!O227+MUST!O227+Phalombe!O227+Mikolongwe!O227+Migowi!O227+Nkando!O227</f>
        <v>0</v>
      </c>
      <c r="P227" s="40">
        <f t="shared" si="89"/>
        <v>0</v>
      </c>
    </row>
    <row r="228" spans="1:16" x14ac:dyDescent="0.3">
      <c r="A228" s="237" t="s">
        <v>32</v>
      </c>
      <c r="B228" s="238"/>
      <c r="C228" s="11" t="s">
        <v>31</v>
      </c>
      <c r="D228" s="15">
        <f>Mulanje!D228+Luchenza!D228+Thyolo!D228+Muloza!D228+MUST!D228+Phalombe!D228+Mikolongwe!D228+Migowi!D228</f>
        <v>0</v>
      </c>
      <c r="E228" s="15">
        <f>Mulanje!E228+Luchenza!E228+Thyolo!E228+Muloza!E228+MUST!E228+Phalombe!E228+Mikolongwe!E228+Migowi!E228</f>
        <v>0</v>
      </c>
      <c r="F228" s="15">
        <f>Mulanje!F228+Luchenza!F228+Thyolo!F228+Muloza!F228+MUST!F228+Phalombe!F228+Mikolongwe!F228+Migowi!F228</f>
        <v>0</v>
      </c>
      <c r="G228" s="15">
        <f>Mulanje!G228+Luchenza!G228+Thyolo!G228+Muloza!G228+MUST!G228+Phalombe!G228+Mikolongwe!G228+Migowi!G228</f>
        <v>0</v>
      </c>
      <c r="H228" s="15">
        <f>Mulanje!H228+Luchenza!H228+Thyolo!H228+Muloza!H228+MUST!H228+Phalombe!H228+Mikolongwe!H228+Migowi!H228</f>
        <v>0</v>
      </c>
      <c r="I228" s="15">
        <f>Mulanje!I228+Luchenza!I228+Thyolo!I228+Muloza!I228+MUST!I228+Phalombe!I228+Mikolongwe!I228+Migowi!I228</f>
        <v>0</v>
      </c>
      <c r="J228" s="15">
        <f>Mulanje!J228+Luchenza!J228+Thyolo!J228+Muloza!J228+MUST!J228+Phalombe!J228+Mikolongwe!J228+Migowi!J228</f>
        <v>0</v>
      </c>
      <c r="K228" s="15">
        <f>Mulanje!K228+Luchenza!K228+Thyolo!K228+Muloza!K228+MUST!K228+Phalombe!K228+Mikolongwe!K228+Migowi!K228</f>
        <v>0</v>
      </c>
      <c r="L228" s="15">
        <f>Mulanje!L228+Luchenza!L228+Thyolo!L228+Muloza!L228+MUST!L228+Phalombe!L228+Mikolongwe!L228+Migowi!L228</f>
        <v>0</v>
      </c>
      <c r="M228" s="15">
        <f>Mulanje!M228+Luchenza!M228+Thyolo!M228+Muloza!M228+MUST!M228+Phalombe!M228+Mikolongwe!M228+Migowi!M228+Nkando!M228</f>
        <v>0</v>
      </c>
      <c r="N228" s="15">
        <f>Mulanje!N228+Luchenza!N228+Thyolo!N228+Muloza!N228+MUST!N228+Phalombe!N228+Mikolongwe!N228+Migowi!N228+Nkando!N228</f>
        <v>0</v>
      </c>
      <c r="O228" s="15">
        <f>Mulanje!O228+Luchenza!O228+Thyolo!O228+Muloza!O228+MUST!O228+Phalombe!O228+Mikolongwe!O228+Migowi!O228+Nkando!O228</f>
        <v>0</v>
      </c>
      <c r="P228" s="40">
        <f t="shared" si="89"/>
        <v>0</v>
      </c>
    </row>
    <row r="229" spans="1:16" x14ac:dyDescent="0.3">
      <c r="A229" s="294" t="s">
        <v>212</v>
      </c>
      <c r="B229" s="295"/>
      <c r="C229" s="11" t="s">
        <v>31</v>
      </c>
      <c r="D229" s="12">
        <f t="shared" ref="D229:H229" si="90">SUM(D225:D228)</f>
        <v>0</v>
      </c>
      <c r="E229" s="10">
        <f t="shared" si="90"/>
        <v>0</v>
      </c>
      <c r="F229" s="10">
        <f t="shared" si="90"/>
        <v>0</v>
      </c>
      <c r="G229" s="10">
        <f t="shared" si="90"/>
        <v>0</v>
      </c>
      <c r="H229" s="10">
        <f t="shared" si="90"/>
        <v>0</v>
      </c>
      <c r="I229" s="10">
        <f t="shared" ref="I229:O229" si="91">SUM(I225:I228)</f>
        <v>0</v>
      </c>
      <c r="J229" s="10">
        <f t="shared" si="91"/>
        <v>0</v>
      </c>
      <c r="K229" s="10">
        <f t="shared" si="91"/>
        <v>0</v>
      </c>
      <c r="L229" s="10">
        <f t="shared" si="91"/>
        <v>0</v>
      </c>
      <c r="M229" s="10">
        <f t="shared" si="91"/>
        <v>82484.61</v>
      </c>
      <c r="N229" s="10">
        <f t="shared" si="91"/>
        <v>0</v>
      </c>
      <c r="O229" s="10">
        <f t="shared" si="91"/>
        <v>0</v>
      </c>
      <c r="P229" s="40">
        <f t="shared" si="89"/>
        <v>82484.61</v>
      </c>
    </row>
    <row r="230" spans="1:16" x14ac:dyDescent="0.3">
      <c r="A230" s="334" t="s">
        <v>213</v>
      </c>
      <c r="B230" s="119"/>
      <c r="C230" s="11" t="s">
        <v>31</v>
      </c>
      <c r="D230" s="12">
        <f>D223+D229</f>
        <v>69402720.790000007</v>
      </c>
      <c r="E230" s="12">
        <f t="shared" ref="E230:O230" si="92">E223+E229</f>
        <v>90266671.519999996</v>
      </c>
      <c r="F230" s="12">
        <f t="shared" si="92"/>
        <v>83548946.090000004</v>
      </c>
      <c r="G230" s="12">
        <f t="shared" si="92"/>
        <v>84513722.090000004</v>
      </c>
      <c r="H230" s="12">
        <f t="shared" si="92"/>
        <v>78186097.890000001</v>
      </c>
      <c r="I230" s="12">
        <f t="shared" si="92"/>
        <v>55029052.310000002</v>
      </c>
      <c r="J230" s="12">
        <f t="shared" si="92"/>
        <v>54728314.859999999</v>
      </c>
      <c r="K230" s="12">
        <f t="shared" si="92"/>
        <v>51314844.290000007</v>
      </c>
      <c r="L230" s="12">
        <f t="shared" si="92"/>
        <v>53217593.719999999</v>
      </c>
      <c r="M230" s="12">
        <f t="shared" si="92"/>
        <v>52441202.960000001</v>
      </c>
      <c r="N230" s="12">
        <f t="shared" si="92"/>
        <v>53888037.779999994</v>
      </c>
      <c r="O230" s="12">
        <f t="shared" si="92"/>
        <v>149413429.62</v>
      </c>
      <c r="P230" s="40">
        <f t="shared" si="89"/>
        <v>875950633.92000008</v>
      </c>
    </row>
    <row r="231" spans="1:16" ht="14.4" x14ac:dyDescent="0.3">
      <c r="A231" s="281" t="s">
        <v>30</v>
      </c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3"/>
    </row>
    <row r="232" spans="1:16" x14ac:dyDescent="0.3">
      <c r="A232" s="237" t="s">
        <v>29</v>
      </c>
      <c r="B232" s="238"/>
      <c r="C232" s="11" t="s">
        <v>18</v>
      </c>
      <c r="D232" s="15">
        <f>Mulanje!D232+Luchenza!D232+Thyolo!D232+Muloza!D232+MUST!D232+Phalombe!D232+Mikolongwe!D232+Migowi!D232</f>
        <v>1600221.8799999997</v>
      </c>
      <c r="E232" s="15">
        <f>Mulanje!E232+Luchenza!E232+Thyolo!E232+Muloza!E232+MUST!E232+Phalombe!E232+Mikolongwe!E232+Migowi!E232</f>
        <v>2440792.23</v>
      </c>
      <c r="F232" s="15">
        <f>Mulanje!F232+Luchenza!F232+Thyolo!F232+Muloza!F232+MUST!F232+Phalombe!F232+Mikolongwe!F232+Migowi!F232</f>
        <v>2490348.6899999995</v>
      </c>
      <c r="G232" s="15">
        <f>Mulanje!G232+Luchenza!G232+Thyolo!G232+Muloza!G232+MUST!G232+Phalombe!G232+Mikolongwe!G232+Migowi!G232</f>
        <v>2512721.19</v>
      </c>
      <c r="H232" s="15">
        <f>Mulanje!H232+Luchenza!H232+Thyolo!H232+Muloza!H232+MUST!H232+Phalombe!H232+Mikolongwe!H232+Migowi!H232</f>
        <v>2556592.0500000003</v>
      </c>
      <c r="I232" s="15">
        <f>Mulanje!I232+Luchenza!I232+Thyolo!I232+Muloza!I232+MUST!I232+Phalombe!I232+Mikolongwe!I232+Migowi!I232</f>
        <v>2614812.2400000002</v>
      </c>
      <c r="J232" s="15">
        <f>Mulanje!J232+Luchenza!J232+Thyolo!J232+Muloza!J232+MUST!J232+Phalombe!J232+Mikolongwe!J232+Migowi!J232</f>
        <v>2581442.7999999998</v>
      </c>
      <c r="K232" s="15">
        <f>Mulanje!K232+Luchenza!K232+Thyolo!K232+Muloza!K232+MUST!K232+Phalombe!K232+Mikolongwe!K232+Migowi!K232</f>
        <v>2634613.29</v>
      </c>
      <c r="L232" s="15">
        <f>Mulanje!L232+Luchenza!L232+Thyolo!L232+Muloza!L232+MUST!L232+Phalombe!L232+Mikolongwe!L232+Migowi!L232</f>
        <v>2647841.8699999996</v>
      </c>
      <c r="M232" s="15">
        <f>Mulanje!M232+Luchenza!M232+Thyolo!M232+Muloza!M232+MUST!M232+Phalombe!M232+Mikolongwe!M232+Migowi!M232+Nkando!M232</f>
        <v>2579212.5600000005</v>
      </c>
      <c r="N232" s="15">
        <f>Mulanje!N232+Luchenza!N232+Thyolo!N232+Muloza!N232+MUST!N232+Phalombe!N232+Mikolongwe!N232+Migowi!N232+Nkando!N232</f>
        <v>2684568.5400000005</v>
      </c>
      <c r="O232" s="15">
        <f>Mulanje!O232+Luchenza!O232+Thyolo!O232+Muloza!O232+MUST!O232+Phalombe!O232+Mikolongwe!O232+Migowi!O232+Nkando!O232</f>
        <v>2749242.24</v>
      </c>
      <c r="P232" s="40">
        <f>SUM(D232:O232)</f>
        <v>30092409.579999998</v>
      </c>
    </row>
    <row r="233" spans="1:16" x14ac:dyDescent="0.3">
      <c r="A233" s="237" t="s">
        <v>28</v>
      </c>
      <c r="B233" s="238"/>
      <c r="C233" s="11" t="s">
        <v>18</v>
      </c>
      <c r="D233" s="15">
        <f>Mulanje!D233+Luchenza!D233+Thyolo!D233+Muloza!D233+MUST!D233+Phalombe!D233+Mikolongwe!D233+Migowi!D233</f>
        <v>3651.6899999999991</v>
      </c>
      <c r="E233" s="15">
        <f>Mulanje!E233+Luchenza!E233+Thyolo!E233+Muloza!E233+MUST!E233+Phalombe!E233+Mikolongwe!E233+Migowi!E233</f>
        <v>3825.5799999999995</v>
      </c>
      <c r="F233" s="15">
        <f>Mulanje!F233+Luchenza!F233+Thyolo!F233+Muloza!F233+MUST!F233+Phalombe!F233+Mikolongwe!F233+Migowi!F233</f>
        <v>3651.69</v>
      </c>
      <c r="G233" s="15">
        <f>Mulanje!G233+Luchenza!G233+Thyolo!G233+Muloza!G233+MUST!G233+Phalombe!G233+Mikolongwe!G233+Migowi!G233</f>
        <v>3652.02</v>
      </c>
      <c r="H233" s="15">
        <f>Mulanje!H233+Luchenza!H233+Thyolo!H233+Muloza!H233+MUST!H233+Phalombe!H233+Mikolongwe!H233+Migowi!H233</f>
        <v>3651.69</v>
      </c>
      <c r="I233" s="15">
        <f>Mulanje!I233+Luchenza!I233+Thyolo!I233+Muloza!I233+MUST!I233+Phalombe!I233+Mikolongwe!I233+Migowi!I233</f>
        <v>3651.45</v>
      </c>
      <c r="J233" s="15">
        <f>Mulanje!J233+Luchenza!J233+Thyolo!J233+Muloza!J233+MUST!J233+Phalombe!J233+Mikolongwe!J233+Migowi!J233</f>
        <v>3477.6699999999996</v>
      </c>
      <c r="K233" s="15">
        <f>Mulanje!K233+Luchenza!K233+Thyolo!K233+Muloza!K233+MUST!K233+Phalombe!K233+Mikolongwe!K233+Migowi!K233</f>
        <v>3477.7999999999997</v>
      </c>
      <c r="L233" s="15">
        <f>Mulanje!L233+Luchenza!L233+Thyolo!L233+Muloza!L233+MUST!L233+Phalombe!L233+Mikolongwe!L233+Migowi!L233</f>
        <v>3478</v>
      </c>
      <c r="M233" s="15">
        <f>Mulanje!M233+Luchenza!M233+Thyolo!M233+Muloza!M233+MUST!M233+Phalombe!M233+Mikolongwe!M233+Migowi!M233+Nkando!M233</f>
        <v>3130.0199999999995</v>
      </c>
      <c r="N233" s="15">
        <f>Mulanje!N233+Luchenza!N233+Thyolo!N233+Muloza!N233+MUST!N233+Phalombe!N233+Mikolongwe!N233+Migowi!N233+Nkando!N233</f>
        <v>3130.0199999999995</v>
      </c>
      <c r="O233" s="15">
        <f>Mulanje!O233+Luchenza!O233+Thyolo!O233+Muloza!O233+MUST!O233+Phalombe!O233+Mikolongwe!O233+Migowi!O233+Nkando!O233</f>
        <v>3131</v>
      </c>
      <c r="P233" s="40">
        <f>SUM(D233:O233)</f>
        <v>41908.62999999999</v>
      </c>
    </row>
    <row r="234" spans="1:16" x14ac:dyDescent="0.3">
      <c r="A234" s="237" t="s">
        <v>27</v>
      </c>
      <c r="B234" s="238"/>
      <c r="C234" s="11" t="s">
        <v>18</v>
      </c>
      <c r="D234" s="15">
        <f>Mulanje!D234+Luchenza!D234+Thyolo!D234+Muloza!D234+MUST!D234+Phalombe!D234+Mikolongwe!D234+Migowi!D234</f>
        <v>152199.5</v>
      </c>
      <c r="E234" s="15">
        <f>Mulanje!E234+Luchenza!E234+Thyolo!E234+Muloza!E234+MUST!E234+Phalombe!E234+Mikolongwe!E234+Migowi!E234</f>
        <v>225214.49</v>
      </c>
      <c r="F234" s="15">
        <f>Mulanje!F234+Luchenza!F234+Thyolo!F234+Muloza!F234+MUST!F234+Phalombe!F234+Mikolongwe!F234+Migowi!F234</f>
        <v>225214.49</v>
      </c>
      <c r="G234" s="15">
        <f>Mulanje!G234+Luchenza!G234+Thyolo!G234+Muloza!G234+MUST!G234+Phalombe!G234+Mikolongwe!G234+Migowi!G234</f>
        <v>209789.72</v>
      </c>
      <c r="H234" s="15">
        <f>Mulanje!H234+Luchenza!H234+Thyolo!H234+Muloza!H234+MUST!H234+Phalombe!H234+Mikolongwe!H234+Migowi!H234</f>
        <v>197448.32000000001</v>
      </c>
      <c r="I234" s="15">
        <f>Mulanje!I234+Luchenza!I234+Thyolo!I234+Muloza!I234+MUST!I234+Phalombe!I234+Mikolongwe!I234+Migowi!I234</f>
        <v>178937.51</v>
      </c>
      <c r="J234" s="15">
        <f>Mulanje!J234+Luchenza!J234+Thyolo!J234+Muloza!J234+MUST!J234+Phalombe!J234+Mikolongwe!J234+Migowi!J234</f>
        <v>169681.34</v>
      </c>
      <c r="K234" s="15">
        <f>Mulanje!K234+Luchenza!K234+Thyolo!K234+Muloza!K234+MUST!K234+Phalombe!K234+Mikolongwe!K234+Migowi!K234</f>
        <v>169682.15000000002</v>
      </c>
      <c r="L234" s="15">
        <f>Mulanje!L234+Luchenza!L234+Thyolo!L234+Muloza!L234+MUST!L234+Phalombe!L234+Mikolongwe!L234+Migowi!L234</f>
        <v>169682.26</v>
      </c>
      <c r="M234" s="15">
        <f>Mulanje!M234+Luchenza!M234+Thyolo!M234+Muloza!M234+MUST!M234+Phalombe!M234+Mikolongwe!M234+Migowi!M234+Nkando!M234</f>
        <v>166597.02000000002</v>
      </c>
      <c r="N234" s="15">
        <f>Mulanje!N234+Luchenza!N234+Thyolo!N234+Muloza!N234+MUST!N234+Phalombe!N234+Mikolongwe!N234+Migowi!N234+Nkando!N234</f>
        <v>191278.06</v>
      </c>
      <c r="O234" s="15">
        <f>Mulanje!O234+Luchenza!O234+Thyolo!O234+Muloza!O234+MUST!O234+Phalombe!O234+Mikolongwe!O234+Migowi!O234+Nkando!O234</f>
        <v>191277.26</v>
      </c>
      <c r="P234" s="40">
        <f>SUM(D234:O234)</f>
        <v>2247002.12</v>
      </c>
    </row>
    <row r="235" spans="1:16" x14ac:dyDescent="0.3">
      <c r="A235" s="237" t="s">
        <v>26</v>
      </c>
      <c r="B235" s="238"/>
      <c r="C235" s="11" t="s">
        <v>18</v>
      </c>
      <c r="D235" s="15">
        <f>Mulanje!D235+Luchenza!D235+Thyolo!D235+Muloza!D235+MUST!D235+Phalombe!D235+Mikolongwe!D235+Migowi!D235</f>
        <v>165820.09000000003</v>
      </c>
      <c r="E235" s="15">
        <f>Mulanje!E235+Luchenza!E235+Thyolo!E235+Muloza!E235+MUST!E235+Phalombe!E235+Mikolongwe!E235+Migowi!E235</f>
        <v>257161.97</v>
      </c>
      <c r="F235" s="15">
        <f>Mulanje!F235+Luchenza!F235+Thyolo!F235+Muloza!F235+MUST!F235+Phalombe!F235+Mikolongwe!F235+Migowi!F235</f>
        <v>181353.11</v>
      </c>
      <c r="G235" s="15">
        <f>Mulanje!G235+Luchenza!G235+Thyolo!G235+Muloza!G235+MUST!G235+Phalombe!G235+Mikolongwe!G235+Migowi!G235</f>
        <v>290888.41000000003</v>
      </c>
      <c r="H235" s="15">
        <f>Mulanje!H235+Luchenza!H235+Thyolo!H235+Muloza!H235+MUST!H235+Phalombe!H235+Mikolongwe!H235+Migowi!H235</f>
        <v>316182.75</v>
      </c>
      <c r="I235" s="15">
        <f>Mulanje!I235+Luchenza!I235+Thyolo!I235+Muloza!I235+MUST!I235+Phalombe!I235+Mikolongwe!I235+Migowi!I235</f>
        <v>307751.88</v>
      </c>
      <c r="J235" s="15">
        <f>Mulanje!J235+Luchenza!J235+Thyolo!J235+Muloza!J235+MUST!J235+Phalombe!J235+Mikolongwe!J235+Migowi!J235</f>
        <v>290888.10000000003</v>
      </c>
      <c r="K235" s="15">
        <f>Mulanje!K235+Luchenza!K235+Thyolo!K235+Muloza!K235+MUST!K235+Phalombe!K235+Mikolongwe!K235+Migowi!K235</f>
        <v>295076.90000000002</v>
      </c>
      <c r="L235" s="15">
        <f>Mulanje!L235+Luchenza!L235+Thyolo!L235+Muloza!L235+MUST!L235+Phalombe!L235+Mikolongwe!L235+Migowi!L235</f>
        <v>286671.77</v>
      </c>
      <c r="M235" s="15">
        <f>Mulanje!M235+Luchenza!M235+Thyolo!M235+Muloza!M235+MUST!M235+Phalombe!M235+Mikolongwe!M235+Migowi!M235+Nkando!M235</f>
        <v>333045.83</v>
      </c>
      <c r="N235" s="15">
        <f>Mulanje!N235+Luchenza!N235+Thyolo!N235+Muloza!N235+MUST!N235+Phalombe!N235+Mikolongwe!N235+Migowi!N235+Nkando!N235</f>
        <v>358340.45000000007</v>
      </c>
      <c r="O235" s="15">
        <f>Mulanje!O235+Luchenza!O235+Thyolo!O235+Muloza!O235+MUST!O235+Phalombe!O235+Mikolongwe!O235+Migowi!O235+Nkando!O235</f>
        <v>366772.77</v>
      </c>
      <c r="P235" s="40">
        <f>SUM(D235:O235)</f>
        <v>3449954.0300000003</v>
      </c>
    </row>
    <row r="236" spans="1:16" x14ac:dyDescent="0.3">
      <c r="A236" s="294" t="s">
        <v>25</v>
      </c>
      <c r="B236" s="295"/>
      <c r="C236" s="11" t="s">
        <v>18</v>
      </c>
      <c r="D236" s="12">
        <f t="shared" ref="D236:E236" si="93">SUM(D232:D235)</f>
        <v>1921893.1599999997</v>
      </c>
      <c r="E236" s="12">
        <f t="shared" si="93"/>
        <v>2926994.27</v>
      </c>
      <c r="F236" s="12">
        <f t="shared" ref="F236:H236" si="94">SUM(F232:F235)</f>
        <v>2900567.9799999991</v>
      </c>
      <c r="G236" s="12">
        <f t="shared" si="94"/>
        <v>3017051.3400000003</v>
      </c>
      <c r="H236" s="12">
        <f t="shared" si="94"/>
        <v>3073874.81</v>
      </c>
      <c r="I236" s="12">
        <f t="shared" ref="I236:O236" si="95">SUM(I232:I235)</f>
        <v>3105153.08</v>
      </c>
      <c r="J236" s="12">
        <f t="shared" si="95"/>
        <v>3045489.9099999997</v>
      </c>
      <c r="K236" s="12">
        <f t="shared" si="95"/>
        <v>3102850.1399999997</v>
      </c>
      <c r="L236" s="12">
        <f t="shared" si="95"/>
        <v>3107673.9</v>
      </c>
      <c r="M236" s="12">
        <f t="shared" si="95"/>
        <v>3081985.4300000006</v>
      </c>
      <c r="N236" s="12">
        <f t="shared" si="95"/>
        <v>3237317.0700000008</v>
      </c>
      <c r="O236" s="12">
        <f t="shared" si="95"/>
        <v>3310423.27</v>
      </c>
      <c r="P236" s="40">
        <f t="shared" ref="P236" si="96">SUM(P232:P235)</f>
        <v>35831274.359999999</v>
      </c>
    </row>
    <row r="237" spans="1:16" ht="14.4" x14ac:dyDescent="0.3">
      <c r="A237" s="281" t="s">
        <v>24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3"/>
    </row>
    <row r="238" spans="1:16" x14ac:dyDescent="0.3">
      <c r="A238" s="237" t="s">
        <v>23</v>
      </c>
      <c r="B238" s="238"/>
      <c r="C238" s="11" t="s">
        <v>18</v>
      </c>
      <c r="D238" s="15">
        <f>Mulanje!D238+Luchenza!D238+Thyolo!D238+Muloza!D238+MUST!D238+Phalombe!D238+Mikolongwe!D238+Migowi!D238</f>
        <v>4236392</v>
      </c>
      <c r="E238" s="15">
        <f>Mulanje!E238+Luchenza!E238+Thyolo!E238+Muloza!E238+MUST!E238+Phalombe!E238+Mikolongwe!E238+Migowi!E238</f>
        <v>4308725</v>
      </c>
      <c r="F238" s="15">
        <f>Mulanje!F238+Luchenza!F238+Thyolo!F238+Muloza!F238+MUST!F238+Phalombe!F238+Mikolongwe!F238+Migowi!F238</f>
        <v>4398025</v>
      </c>
      <c r="G238" s="15">
        <f>Mulanje!G238+Luchenza!G238+Thyolo!G238+Muloza!G238+MUST!G238+Phalombe!G238+Mikolongwe!G238+Migowi!G238</f>
        <v>4442675</v>
      </c>
      <c r="H238" s="15">
        <f>Mulanje!H238+Luchenza!H238+Thyolo!H238+Muloza!H238+MUST!H238+Phalombe!H238+Mikolongwe!H238+Migowi!H238</f>
        <v>4523938</v>
      </c>
      <c r="I238" s="15">
        <f>Mulanje!I238+Luchenza!I238+Thyolo!I238+Muloza!I238+MUST!I238+Phalombe!I238+Mikolongwe!I238+Migowi!I238</f>
        <v>4628419</v>
      </c>
      <c r="J238" s="15">
        <f>Mulanje!J238+Luchenza!J238+Thyolo!J238+Muloza!J238+MUST!J238+Phalombe!J238+Mikolongwe!J238+Migowi!J238</f>
        <v>4563230</v>
      </c>
      <c r="K238" s="15">
        <f>Mulanje!K238+Luchenza!K238+Thyolo!K238+Muloza!K238+MUST!K238+Phalombe!K238+Mikolongwe!K238+Migowi!K238</f>
        <v>4657888</v>
      </c>
      <c r="L238" s="15">
        <f>Mulanje!L238+Luchenza!L238+Thyolo!L238+Muloza!L238+MUST!L238+Phalombe!L238+Mikolongwe!L238+Migowi!L238</f>
        <v>4682892</v>
      </c>
      <c r="M238" s="15">
        <f>Mulanje!M238+Luchenza!M238+Thyolo!M238+Muloza!M238+MUST!M238+Phalombe!M238+Mikolongwe!M238+Migowi!M238+Nkando!M238</f>
        <v>4561444</v>
      </c>
      <c r="N238" s="15">
        <f>Mulanje!N238+Luchenza!N238+Thyolo!N238+Muloza!N238+MUST!N238+Phalombe!N238+Mikolongwe!N238+Migowi!N238+Nkando!N238</f>
        <v>4735402</v>
      </c>
      <c r="O238" s="15">
        <f>Mulanje!O238+Luchenza!O238+Thyolo!O238+Muloza!O238+MUST!O238+Phalombe!O238+Mikolongwe!O238+Migowi!O238+Nkando!O238</f>
        <v>4859706</v>
      </c>
      <c r="P238" s="40">
        <f>SUM(D238:O238)</f>
        <v>54598736</v>
      </c>
    </row>
    <row r="239" spans="1:16" x14ac:dyDescent="0.3">
      <c r="A239" s="237" t="s">
        <v>22</v>
      </c>
      <c r="B239" s="238"/>
      <c r="C239" s="11" t="s">
        <v>18</v>
      </c>
      <c r="D239" s="15">
        <f>Mulanje!D239+Luchenza!D239+Thyolo!D239+Muloza!D239+MUST!D239+Phalombe!D239+Mikolongwe!D239+Migowi!D239</f>
        <v>18753</v>
      </c>
      <c r="E239" s="15">
        <f>Mulanje!E239+Luchenza!E239+Thyolo!E239+Muloza!E239+MUST!E239+Phalombe!E239+Mikolongwe!E239+Migowi!E239</f>
        <v>19646</v>
      </c>
      <c r="F239" s="15">
        <f>Mulanje!F239+Luchenza!F239+Thyolo!F239+Muloza!F239+MUST!F239+Phalombe!F239+Mikolongwe!F239+Migowi!F239</f>
        <v>18753</v>
      </c>
      <c r="G239" s="15">
        <f>Mulanje!G239+Luchenza!G239+Thyolo!G239+Muloza!G239+MUST!G239+Phalombe!G239+Mikolongwe!G239+Migowi!G239</f>
        <v>18753</v>
      </c>
      <c r="H239" s="15">
        <f>Mulanje!H239+Luchenza!H239+Thyolo!H239+Muloza!H239+MUST!H239+Phalombe!H239+Mikolongwe!H239+Migowi!H239</f>
        <v>18753</v>
      </c>
      <c r="I239" s="15">
        <f>Mulanje!I239+Luchenza!I239+Thyolo!I239+Muloza!I239+MUST!I239+Phalombe!I239+Mikolongwe!I239+Migowi!I239</f>
        <v>18753</v>
      </c>
      <c r="J239" s="15">
        <f>Mulanje!J239+Luchenza!J239+Thyolo!J239+Muloza!J239+MUST!J239+Phalombe!J239+Mikolongwe!J239+Migowi!J239</f>
        <v>17860</v>
      </c>
      <c r="K239" s="15">
        <f>Mulanje!K239+Luchenza!K239+Thyolo!K239+Muloza!K239+MUST!K239+Phalombe!K239+Mikolongwe!K239+Migowi!K239</f>
        <v>17860</v>
      </c>
      <c r="L239" s="15">
        <f>Mulanje!L239+Luchenza!L239+Thyolo!L239+Muloza!L239+MUST!L239+Phalombe!L239+Mikolongwe!L239+Migowi!L239</f>
        <v>17860</v>
      </c>
      <c r="M239" s="15">
        <f>Mulanje!M239+Luchenza!M239+Thyolo!M239+Muloza!M239+MUST!M239+Phalombe!M239+Mikolongwe!M239+Migowi!M239+Nkando!M239</f>
        <v>16074</v>
      </c>
      <c r="N239" s="15">
        <f>Mulanje!N239+Luchenza!N239+Thyolo!N239+Muloza!N239+MUST!N239+Phalombe!N239+Mikolongwe!N239+Migowi!N239+Nkando!N239</f>
        <v>16074</v>
      </c>
      <c r="O239" s="15">
        <f>Mulanje!O239+Luchenza!O239+Thyolo!O239+Muloza!O239+MUST!O239+Phalombe!O239+Mikolongwe!O239+Migowi!O239+Nkando!O239</f>
        <v>16074</v>
      </c>
      <c r="P239" s="40">
        <f>SUM(D239:O239)</f>
        <v>215213</v>
      </c>
    </row>
    <row r="240" spans="1:16" x14ac:dyDescent="0.3">
      <c r="A240" s="237" t="s">
        <v>21</v>
      </c>
      <c r="B240" s="238"/>
      <c r="C240" s="11" t="s">
        <v>18</v>
      </c>
      <c r="D240" s="15">
        <f>Mulanje!D240+Luchenza!D240+Thyolo!D240+Muloza!D240+MUST!D240+Phalombe!D240+Mikolongwe!D240+Migowi!D240</f>
        <v>66082</v>
      </c>
      <c r="E240" s="15">
        <f>Mulanje!E240+Luchenza!E240+Thyolo!E240+Muloza!E240+MUST!E240+Phalombe!E240+Mikolongwe!E240+Migowi!E240</f>
        <v>65189</v>
      </c>
      <c r="F240" s="15">
        <f>Mulanje!F240+Luchenza!F240+Thyolo!F240+Muloza!F240+MUST!F240+Phalombe!F240+Mikolongwe!F240+Migowi!F240</f>
        <v>65189</v>
      </c>
      <c r="G240" s="15">
        <f>Mulanje!G240+Luchenza!G240+Thyolo!G240+Muloza!G240+MUST!G240+Phalombe!G240+Mikolongwe!G240+Migowi!G240</f>
        <v>60724</v>
      </c>
      <c r="H240" s="15">
        <f>Mulanje!H240+Luchenza!H240+Thyolo!H240+Muloza!H240+MUST!H240+Phalombe!H240+Mikolongwe!H240+Migowi!H240</f>
        <v>57152</v>
      </c>
      <c r="I240" s="15">
        <f>Mulanje!I240+Luchenza!I240+Thyolo!I240+Muloza!I240+MUST!I240+Phalombe!I240+Mikolongwe!I240+Migowi!I240</f>
        <v>51793</v>
      </c>
      <c r="J240" s="15">
        <f>Mulanje!J240+Luchenza!J240+Thyolo!J240+Muloza!J240+MUST!J240+Phalombe!J240+Mikolongwe!J240+Migowi!J240</f>
        <v>49115</v>
      </c>
      <c r="K240" s="15">
        <f>Mulanje!K240+Luchenza!K240+Thyolo!K240+Muloza!K240+MUST!K240+Phalombe!K240+Mikolongwe!K240+Migowi!K240</f>
        <v>49115</v>
      </c>
      <c r="L240" s="15">
        <f>Mulanje!L240+Luchenza!L240+Thyolo!L240+Muloza!L240+MUST!L240+Phalombe!L240+Mikolongwe!L240+Migowi!L240</f>
        <v>49115</v>
      </c>
      <c r="M240" s="15">
        <f>Mulanje!M240+Luchenza!M240+Thyolo!M240+Muloza!M240+MUST!M240+Phalombe!M240+Mikolongwe!M240+Migowi!M240+Nkando!M240</f>
        <v>48222</v>
      </c>
      <c r="N240" s="15">
        <f>Mulanje!N240+Luchenza!N240+Thyolo!N240+Muloza!N240+MUST!N240+Phalombe!N240+Mikolongwe!N240+Migowi!N240+Nkando!N240</f>
        <v>55366</v>
      </c>
      <c r="O240" s="15">
        <f>Mulanje!O240+Luchenza!O240+Thyolo!O240+Muloza!O240+MUST!O240+Phalombe!O240+Mikolongwe!O240+Migowi!O240+Nkando!O240</f>
        <v>55366</v>
      </c>
      <c r="P240" s="40">
        <f>SUM(D240:O240)</f>
        <v>672428</v>
      </c>
    </row>
    <row r="241" spans="1:16" x14ac:dyDescent="0.3">
      <c r="A241" s="237" t="s">
        <v>20</v>
      </c>
      <c r="B241" s="238"/>
      <c r="C241" s="11" t="s">
        <v>18</v>
      </c>
      <c r="D241" s="15">
        <f>Mulanje!D241+Luchenza!D241+Thyolo!D241+Muloza!D241+MUST!D241+Phalombe!D241+Mikolongwe!D241+Migowi!D241</f>
        <v>52687</v>
      </c>
      <c r="E241" s="15">
        <f>Mulanje!E241+Luchenza!E241+Thyolo!E241+Muloza!E241+MUST!E241+Phalombe!E241+Mikolongwe!E241+Migowi!E241</f>
        <v>403413.62</v>
      </c>
      <c r="F241" s="15">
        <f>Mulanje!F241+Luchenza!F241+Thyolo!F241+Muloza!F241+MUST!F241+Phalombe!F241+Mikolongwe!F241+Migowi!F241</f>
        <v>54473</v>
      </c>
      <c r="G241" s="15">
        <f>Mulanje!G241+Luchenza!G241+Thyolo!G241+Muloza!G241+MUST!G241+Phalombe!G241+Mikolongwe!G241+Migowi!G241</f>
        <v>69655</v>
      </c>
      <c r="H241" s="15">
        <f>Mulanje!H241+Luchenza!H241+Thyolo!H241+Muloza!H241+MUST!H241+Phalombe!H241+Mikolongwe!H241+Migowi!H241</f>
        <v>66975</v>
      </c>
      <c r="I241" s="15">
        <f>Mulanje!I241+Luchenza!I241+Thyolo!I241+Muloza!I241+MUST!I241+Phalombe!I241+Mikolongwe!I241+Migowi!I241</f>
        <v>65189</v>
      </c>
      <c r="J241" s="15">
        <f>Mulanje!J241+Luchenza!J241+Thyolo!J241+Muloza!J241+MUST!J241+Phalombe!J241+Mikolongwe!J241+Migowi!J241</f>
        <v>61617</v>
      </c>
      <c r="K241" s="15">
        <f>Mulanje!K241+Luchenza!K241+Thyolo!K241+Muloza!K241+MUST!K241+Phalombe!K241+Mikolongwe!K241+Migowi!K241</f>
        <v>62510</v>
      </c>
      <c r="L241" s="15">
        <f>Mulanje!L241+Luchenza!L241+Thyolo!L241+Muloza!L241+MUST!L241+Phalombe!L241+Mikolongwe!L241+Migowi!L241</f>
        <v>60724</v>
      </c>
      <c r="M241" s="15">
        <f>Mulanje!M241+Luchenza!M241+Thyolo!M241+Muloza!M241+MUST!M241+Phalombe!M241+Mikolongwe!M241+Migowi!M241+Nkando!M241</f>
        <v>70547</v>
      </c>
      <c r="N241" s="15">
        <f>Mulanje!N241+Luchenza!N241+Thyolo!N241+Muloza!N241+MUST!N241+Phalombe!N241+Mikolongwe!N241+Migowi!N241+Nkando!N241</f>
        <v>75905</v>
      </c>
      <c r="O241" s="15">
        <f>Mulanje!O241+Luchenza!O241+Thyolo!O241+Muloza!O241+MUST!O241+Phalombe!O241+Mikolongwe!O241+Migowi!O241+Nkando!O241</f>
        <v>77691</v>
      </c>
      <c r="P241" s="40">
        <f>SUM(D241:O241)</f>
        <v>1121386.6200000001</v>
      </c>
    </row>
    <row r="242" spans="1:16" x14ac:dyDescent="0.3">
      <c r="A242" s="294" t="s">
        <v>19</v>
      </c>
      <c r="B242" s="295"/>
      <c r="C242" s="11" t="s">
        <v>18</v>
      </c>
      <c r="D242" s="12">
        <f t="shared" ref="D242:P242" si="97">SUM(D238:D241)</f>
        <v>4373914</v>
      </c>
      <c r="E242" s="12">
        <f t="shared" si="97"/>
        <v>4796973.62</v>
      </c>
      <c r="F242" s="12">
        <f t="shared" si="97"/>
        <v>4536440</v>
      </c>
      <c r="G242" s="12">
        <f t="shared" ref="G242:H242" si="98">SUM(G238:G241)</f>
        <v>4591807</v>
      </c>
      <c r="H242" s="12">
        <f t="shared" si="98"/>
        <v>4666818</v>
      </c>
      <c r="I242" s="12">
        <f t="shared" si="97"/>
        <v>4764154</v>
      </c>
      <c r="J242" s="12">
        <f t="shared" si="97"/>
        <v>4691822</v>
      </c>
      <c r="K242" s="12">
        <f t="shared" si="97"/>
        <v>4787373</v>
      </c>
      <c r="L242" s="12">
        <f t="shared" si="97"/>
        <v>4810591</v>
      </c>
      <c r="M242" s="12">
        <f t="shared" si="97"/>
        <v>4696287</v>
      </c>
      <c r="N242" s="12">
        <f t="shared" si="97"/>
        <v>4882747</v>
      </c>
      <c r="O242" s="12">
        <f t="shared" si="97"/>
        <v>5008837</v>
      </c>
      <c r="P242" s="40">
        <f t="shared" si="97"/>
        <v>56607763.619999997</v>
      </c>
    </row>
    <row r="243" spans="1:16" x14ac:dyDescent="0.3">
      <c r="A243" s="294" t="s">
        <v>214</v>
      </c>
      <c r="B243" s="295"/>
      <c r="C243" s="11" t="s">
        <v>18</v>
      </c>
      <c r="D243" s="10">
        <f>D230+D236+D242</f>
        <v>75698527.950000003</v>
      </c>
      <c r="E243" s="10">
        <f t="shared" ref="E243:O243" si="99">E230+E236+E242</f>
        <v>97990639.409999996</v>
      </c>
      <c r="F243" s="10">
        <f t="shared" si="99"/>
        <v>90985954.070000008</v>
      </c>
      <c r="G243" s="10">
        <f t="shared" si="99"/>
        <v>92122580.430000007</v>
      </c>
      <c r="H243" s="10">
        <f t="shared" si="99"/>
        <v>85926790.700000003</v>
      </c>
      <c r="I243" s="10">
        <f t="shared" si="99"/>
        <v>62898359.390000001</v>
      </c>
      <c r="J243" s="10">
        <f t="shared" si="99"/>
        <v>62465626.769999996</v>
      </c>
      <c r="K243" s="10">
        <f t="shared" si="99"/>
        <v>59205067.430000007</v>
      </c>
      <c r="L243" s="10">
        <f t="shared" si="99"/>
        <v>61135858.619999997</v>
      </c>
      <c r="M243" s="10">
        <f t="shared" si="99"/>
        <v>60219475.390000001</v>
      </c>
      <c r="N243" s="10">
        <f t="shared" si="99"/>
        <v>62008101.849999994</v>
      </c>
      <c r="O243" s="10">
        <f t="shared" si="99"/>
        <v>157732689.89000002</v>
      </c>
      <c r="P243" s="40">
        <f t="shared" ref="P243" si="100">P216+P223+P236+P242</f>
        <v>1722775998.8999999</v>
      </c>
    </row>
    <row r="244" spans="1:16" ht="14.4" x14ac:dyDescent="0.3">
      <c r="A244" s="281" t="s">
        <v>204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3"/>
    </row>
    <row r="245" spans="1:16" x14ac:dyDescent="0.3">
      <c r="A245" s="315" t="s">
        <v>205</v>
      </c>
      <c r="B245" s="316"/>
      <c r="C245" s="11" t="s">
        <v>18</v>
      </c>
      <c r="D245" s="15">
        <f>Mulanje!D245+Luchenza!D245+Thyolo!D245+Muloza!D245+MUST!D245+Phalombe!D245+Mikolongwe!D245+Migowi!D245</f>
        <v>340497969.06999993</v>
      </c>
      <c r="E245" s="15">
        <f>Mulanje!E245+Luchenza!E245+Thyolo!E245+Muloza!E245+MUST!E245+Phalombe!E245+Mikolongwe!E245+Migowi!E245</f>
        <v>359078174.56999999</v>
      </c>
      <c r="F245" s="15">
        <f>Mulanje!F245+Luchenza!F245+Thyolo!F245+Muloza!F245+MUST!F245+Phalombe!F245+Mikolongwe!F245+Migowi!F245</f>
        <v>163258507.74000001</v>
      </c>
      <c r="G245" s="15">
        <f>Mulanje!G245+Luchenza!G245+Thyolo!G245+Muloza!G245+MUST!G245+Phalombe!G245+Mikolongwe!G245+Migowi!G245</f>
        <v>370043590.71999997</v>
      </c>
      <c r="H245" s="15">
        <f>Mulanje!H245+Luchenza!H245+Thyolo!H245+Muloza!H245+MUST!H245+Phalombe!H245+Mikolongwe!H245+Migowi!H245</f>
        <v>384895873.63999993</v>
      </c>
      <c r="I245" s="15">
        <f>Mulanje!I245+Luchenza!I245+Thyolo!I245+Muloza!I245+MUST!I245+Phalombe!I245+Mikolongwe!I245+Migowi!I245</f>
        <v>409404897.30000007</v>
      </c>
      <c r="J245" s="15">
        <f>Mulanje!J245+Luchenza!J245+Thyolo!J245+Muloza!J245+MUST!J245+Phalombe!J245+Mikolongwe!J245+Migowi!J245</f>
        <v>438469427.88000005</v>
      </c>
      <c r="K245" s="15">
        <f>Mulanje!K245+Luchenza!K245+Thyolo!K245+Muloza!K245+MUST!K245+Phalombe!K245+Mikolongwe!K245+Migowi!K245</f>
        <v>368163843.14999998</v>
      </c>
      <c r="L245" s="15">
        <f>Mulanje!L245+Luchenza!L245+Thyolo!L245+Muloza!L245+MUST!L245+Phalombe!L245+Mikolongwe!L245+Migowi!L245</f>
        <v>462377445.28999996</v>
      </c>
      <c r="M245" s="15">
        <f>Mulanje!M245+Luchenza!M245+Thyolo!M245+Muloza!M245+MUST!M245+Phalombe!M245+Mikolongwe!M245+Migowi!M245+Nkando!M245</f>
        <v>391316726.32999998</v>
      </c>
      <c r="N245" s="15">
        <f>Mulanje!N245+Luchenza!N245+Thyolo!N245+Muloza!N245+MUST!N245+Phalombe!N245+Mikolongwe!N245+Migowi!N245+Nkando!N245</f>
        <v>403277606.68000007</v>
      </c>
      <c r="O245" s="15">
        <f>Mulanje!O245+Luchenza!O245+Thyolo!O245+Muloza!O245+MUST!O245+Phalombe!O245+Mikolongwe!O245+Migowi!O245+Nkando!O245</f>
        <v>104762718.44000004</v>
      </c>
      <c r="P245" s="40">
        <f>O245</f>
        <v>104762718.44000004</v>
      </c>
    </row>
    <row r="246" spans="1:16" x14ac:dyDescent="0.3">
      <c r="A246" s="315" t="s">
        <v>206</v>
      </c>
      <c r="B246" s="316"/>
      <c r="C246" s="11" t="s">
        <v>18</v>
      </c>
      <c r="D246" s="15">
        <f>Mulanje!D246+Luchenza!D246+Thyolo!D246+Muloza!D246+MUST!D246+Phalombe!D246+Mikolongwe!D246+Migowi!D246</f>
        <v>529268067.13</v>
      </c>
      <c r="E246" s="15">
        <f>Mulanje!E246+Luchenza!E246+Thyolo!E246+Muloza!E246+MUST!E246+Phalombe!E246+Mikolongwe!E246+Migowi!E246</f>
        <v>536861730.64999998</v>
      </c>
      <c r="F246" s="15">
        <f>Mulanje!F246+Luchenza!F246+Thyolo!F246+Muloza!F246+MUST!F246+Phalombe!F246+Mikolongwe!F246+Migowi!F246</f>
        <v>337222292.17999995</v>
      </c>
      <c r="G246" s="15">
        <f>Mulanje!G246+Luchenza!G246+Thyolo!G246+Muloza!G246+MUST!G246+Phalombe!G246+Mikolongwe!G246+Migowi!G246</f>
        <v>616687616.01999998</v>
      </c>
      <c r="H246" s="15">
        <f>Mulanje!H246+Luchenza!H246+Thyolo!H246+Muloza!H246+MUST!H246+Phalombe!H246+Mikolongwe!H246+Migowi!H246</f>
        <v>597213994.17000008</v>
      </c>
      <c r="I246" s="15">
        <f>Mulanje!I246+Luchenza!I246+Thyolo!I246+Muloza!I246+MUST!I246+Phalombe!I246+Mikolongwe!I246+Migowi!I246</f>
        <v>387495324.24000001</v>
      </c>
      <c r="J246" s="15">
        <f>Mulanje!J246+Luchenza!J246+Thyolo!J246+Muloza!J246+MUST!J246+Phalombe!J246+Mikolongwe!J246+Migowi!J246</f>
        <v>366247748.05000001</v>
      </c>
      <c r="K246" s="15">
        <f>Mulanje!K246+Luchenza!K246+Thyolo!K246+Muloza!K246+MUST!K246+Phalombe!K246+Mikolongwe!K246+Migowi!K246</f>
        <v>476627139.51999992</v>
      </c>
      <c r="L246" s="15">
        <f>Mulanje!L246+Luchenza!L246+Thyolo!L246+Muloza!L246+MUST!L246+Phalombe!L246+Mikolongwe!L246+Migowi!L246</f>
        <v>419744931.26999992</v>
      </c>
      <c r="M246" s="15">
        <f>Mulanje!M246+Luchenza!M246+Thyolo!M246+Muloza!M246+MUST!M246+Phalombe!M246+Mikolongwe!M246+Migowi!M246+Nkando!M246</f>
        <v>170042336.83999997</v>
      </c>
      <c r="N246" s="15">
        <f>Mulanje!N246+Luchenza!N246+Thyolo!N246+Muloza!N246+MUST!N246+Phalombe!N246+Mikolongwe!N246+Migowi!N246+Nkando!N246</f>
        <v>184358972.52000001</v>
      </c>
      <c r="O246" s="15">
        <f>Mulanje!O246+Luchenza!O246+Thyolo!O246+Muloza!O246+MUST!O246+Phalombe!O246+Mikolongwe!O246+Migowi!O246+Nkando!O246</f>
        <v>288906216.05000001</v>
      </c>
      <c r="P246" s="40">
        <f>O246</f>
        <v>288906216.05000001</v>
      </c>
    </row>
    <row r="247" spans="1:16" x14ac:dyDescent="0.3">
      <c r="A247" s="317" t="s">
        <v>207</v>
      </c>
      <c r="B247" s="318"/>
      <c r="C247" s="11" t="s">
        <v>18</v>
      </c>
      <c r="D247" s="142">
        <f>D245+D246</f>
        <v>869766036.19999993</v>
      </c>
      <c r="E247" s="142">
        <f>E245+E246</f>
        <v>895939905.22000003</v>
      </c>
      <c r="F247" s="142">
        <f t="shared" ref="F247:P247" si="101">F245+F246</f>
        <v>500480799.91999996</v>
      </c>
      <c r="G247" s="142">
        <f t="shared" si="101"/>
        <v>986731206.74000001</v>
      </c>
      <c r="H247" s="142">
        <f t="shared" si="101"/>
        <v>982109867.80999994</v>
      </c>
      <c r="I247" s="142">
        <f t="shared" ref="I247:O247" si="102">I245+I246</f>
        <v>796900221.54000008</v>
      </c>
      <c r="J247" s="142">
        <f t="shared" si="102"/>
        <v>804717175.93000007</v>
      </c>
      <c r="K247" s="142">
        <f t="shared" si="102"/>
        <v>844790982.66999984</v>
      </c>
      <c r="L247" s="142">
        <f t="shared" si="102"/>
        <v>882122376.55999994</v>
      </c>
      <c r="M247" s="142">
        <f t="shared" si="102"/>
        <v>561359063.16999996</v>
      </c>
      <c r="N247" s="142">
        <f t="shared" si="102"/>
        <v>587636579.20000005</v>
      </c>
      <c r="O247" s="142">
        <f t="shared" si="102"/>
        <v>393668934.49000007</v>
      </c>
      <c r="P247" s="165">
        <f t="shared" si="101"/>
        <v>393668934.49000007</v>
      </c>
    </row>
    <row r="248" spans="1:16" ht="14.4" x14ac:dyDescent="0.3">
      <c r="A248" s="281" t="s">
        <v>17</v>
      </c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2"/>
      <c r="P248" s="283"/>
    </row>
    <row r="249" spans="1:16" x14ac:dyDescent="0.3">
      <c r="A249" s="254" t="s">
        <v>16</v>
      </c>
      <c r="B249" s="255"/>
      <c r="C249" s="5" t="s">
        <v>6</v>
      </c>
      <c r="D249" s="8">
        <f>D58/D243%</f>
        <v>42.685771712116882</v>
      </c>
      <c r="E249" s="8">
        <f t="shared" ref="E249:P249" si="103">E58/E243%</f>
        <v>34.64693779881113</v>
      </c>
      <c r="F249" s="8">
        <f t="shared" si="103"/>
        <v>34.396370521836296</v>
      </c>
      <c r="G249" s="8">
        <f t="shared" si="103"/>
        <v>35.79953422555252</v>
      </c>
      <c r="H249" s="8">
        <f t="shared" si="103"/>
        <v>38.597943648673947</v>
      </c>
      <c r="I249" s="8">
        <f t="shared" si="103"/>
        <v>52.962056196539748</v>
      </c>
      <c r="J249" s="8">
        <f t="shared" si="103"/>
        <v>53.017973067718252</v>
      </c>
      <c r="K249" s="8">
        <f t="shared" si="103"/>
        <v>59.223877089220515</v>
      </c>
      <c r="L249" s="8">
        <f t="shared" si="103"/>
        <v>61.365245543025637</v>
      </c>
      <c r="M249" s="8">
        <f t="shared" si="103"/>
        <v>85.781671043676923</v>
      </c>
      <c r="N249" s="8">
        <f t="shared" si="103"/>
        <v>38.268027737034608</v>
      </c>
      <c r="O249" s="8">
        <f t="shared" si="103"/>
        <v>32.26736019922501</v>
      </c>
      <c r="P249" s="111">
        <f t="shared" si="103"/>
        <v>24.901511089179071</v>
      </c>
    </row>
    <row r="250" spans="1:16" x14ac:dyDescent="0.3">
      <c r="A250" s="254" t="s">
        <v>208</v>
      </c>
      <c r="B250" s="255"/>
      <c r="C250" s="5" t="s">
        <v>6</v>
      </c>
      <c r="D250" s="29">
        <f>D210/(D223+D245)%</f>
        <v>4.5998428513110783</v>
      </c>
      <c r="E250" s="29">
        <f t="shared" ref="E250:P250" si="104">E210/(E223+E245)%</f>
        <v>15.777376898143029</v>
      </c>
      <c r="F250" s="29">
        <f t="shared" si="104"/>
        <v>18.139049086757478</v>
      </c>
      <c r="G250" s="29">
        <f t="shared" si="104"/>
        <v>8.5981066212296113</v>
      </c>
      <c r="H250" s="29">
        <f t="shared" si="104"/>
        <v>58.889406577196716</v>
      </c>
      <c r="I250" s="29">
        <f t="shared" si="104"/>
        <v>42.731456541162125</v>
      </c>
      <c r="J250" s="29">
        <f t="shared" si="104"/>
        <v>5.5371248960473292</v>
      </c>
      <c r="K250" s="29">
        <f t="shared" si="104"/>
        <v>18.677167254464223</v>
      </c>
      <c r="L250" s="29">
        <f t="shared" si="104"/>
        <v>3.7503038580681478</v>
      </c>
      <c r="M250" s="29">
        <f t="shared" si="104"/>
        <v>90.016171232566577</v>
      </c>
      <c r="N250" s="29">
        <f t="shared" si="104"/>
        <v>8.6820673121409122</v>
      </c>
      <c r="O250" s="29">
        <f t="shared" si="104"/>
        <v>16.11032558032699</v>
      </c>
      <c r="P250" s="108">
        <f t="shared" si="104"/>
        <v>127.44641192129143</v>
      </c>
    </row>
    <row r="251" spans="1:16" ht="16.2" thickBot="1" x14ac:dyDescent="0.35">
      <c r="A251" s="305" t="s">
        <v>15</v>
      </c>
      <c r="B251" s="306"/>
      <c r="C251" s="5" t="s">
        <v>6</v>
      </c>
      <c r="D251" s="7">
        <f>D210/D223%</f>
        <v>27.167216739313659</v>
      </c>
      <c r="E251" s="7">
        <f t="shared" ref="E251:P251" si="105">E210/E223%</f>
        <v>78.539319935256657</v>
      </c>
      <c r="F251" s="7">
        <f t="shared" si="105"/>
        <v>53.583590571896345</v>
      </c>
      <c r="G251" s="7">
        <f t="shared" si="105"/>
        <v>46.244942766074786</v>
      </c>
      <c r="H251" s="7">
        <f t="shared" si="105"/>
        <v>348.79119480252143</v>
      </c>
      <c r="I251" s="7">
        <f t="shared" si="105"/>
        <v>360.64475583188545</v>
      </c>
      <c r="J251" s="7">
        <f t="shared" si="105"/>
        <v>49.899170237305569</v>
      </c>
      <c r="K251" s="7">
        <f t="shared" si="105"/>
        <v>152.67850294396752</v>
      </c>
      <c r="L251" s="7">
        <f t="shared" si="105"/>
        <v>36.334563982236361</v>
      </c>
      <c r="M251" s="7">
        <f t="shared" si="105"/>
        <v>762.77582909933847</v>
      </c>
      <c r="N251" s="7">
        <f t="shared" si="105"/>
        <v>73.655361403289177</v>
      </c>
      <c r="O251" s="7">
        <f t="shared" si="105"/>
        <v>27.406241262344167</v>
      </c>
      <c r="P251" s="112">
        <f t="shared" si="105"/>
        <v>142.69029603651677</v>
      </c>
    </row>
    <row r="252" spans="1:16" ht="14.4" x14ac:dyDescent="0.3">
      <c r="A252" s="307" t="s">
        <v>14</v>
      </c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9"/>
    </row>
    <row r="253" spans="1:16" s="2" customFormat="1" ht="15" customHeight="1" x14ac:dyDescent="0.3">
      <c r="A253" s="254" t="s">
        <v>13</v>
      </c>
      <c r="B253" s="255"/>
      <c r="C253" s="5" t="s">
        <v>3</v>
      </c>
      <c r="D253" s="26">
        <f>Mulanje!D253+Luchenza!D253+Thyolo!D253+Muloza!D253+MUST!D253+Phalombe!D253+Mikolongwe!D253+Migowi!D253</f>
        <v>269</v>
      </c>
      <c r="E253" s="26">
        <f>Mulanje!E253+Luchenza!E253+Thyolo!E253+Muloza!E253+MUST!E253+Phalombe!E253+Mikolongwe!E253+Migowi!E253</f>
        <v>220</v>
      </c>
      <c r="F253" s="26">
        <f>Mulanje!F253+Luchenza!F253+Thyolo!F253+Muloza!F253+MUST!F253+Phalombe!F253+Mikolongwe!F253+Migowi!F253</f>
        <v>117</v>
      </c>
      <c r="G253" s="26">
        <f>Mulanje!G253+Luchenza!G253+Thyolo!G253+Muloza!G253+MUST!G253+Phalombe!G253+Mikolongwe!G253+Migowi!G253</f>
        <v>74</v>
      </c>
      <c r="H253" s="26">
        <f>Mulanje!H253+Luchenza!H253+Thyolo!H253+Muloza!H253+MUST!H253+Phalombe!H253+Mikolongwe!H253+Migowi!H253</f>
        <v>190</v>
      </c>
      <c r="I253" s="26">
        <f>Mulanje!I253+Luchenza!I253+Thyolo!I253+Muloza!I253+MUST!I253+Phalombe!I253+Mikolongwe!I253+Migowi!I253</f>
        <v>99</v>
      </c>
      <c r="J253" s="26">
        <f>Mulanje!J253+Luchenza!J253+Thyolo!J253+Muloza!J253+MUST!J253+Phalombe!J253+Mikolongwe!J253+Migowi!J253</f>
        <v>140</v>
      </c>
      <c r="K253" s="26">
        <f>Mulanje!K253+Luchenza!K253+Thyolo!K253+Muloza!K253+MUST!K253+Phalombe!K253+Mikolongwe!K253+Migowi!K253</f>
        <v>180</v>
      </c>
      <c r="L253" s="26">
        <f>Mulanje!L253+Luchenza!L253+Thyolo!L253+Muloza!L253+MUST!L253+Phalombe!L253+Mikolongwe!L253+Migowi!L253</f>
        <v>100</v>
      </c>
      <c r="M253" s="26">
        <f>Mulanje!M253+Luchenza!M253+Thyolo!M253+Muloza!M253+MUST!M253+Phalombe!M253+Mikolongwe!M253+Migowi!M253+Nkando!M253</f>
        <v>103</v>
      </c>
      <c r="N253" s="26">
        <f>Mulanje!N253+Luchenza!N253+Thyolo!N253+Muloza!N253+MUST!N253+Phalombe!N253+Mikolongwe!N253+Migowi!N253+Nkando!N253</f>
        <v>49</v>
      </c>
      <c r="O253" s="26">
        <f>Mulanje!O253+Luchenza!O253+Thyolo!O253+Muloza!O253+MUST!O253+Phalombe!O253+Mikolongwe!O253+Migowi!O253+Nkando!O253</f>
        <v>90</v>
      </c>
      <c r="P253" s="113">
        <f>SUM(D253:O253)</f>
        <v>1631</v>
      </c>
    </row>
    <row r="254" spans="1:16" s="2" customFormat="1" x14ac:dyDescent="0.3">
      <c r="A254" s="254" t="s">
        <v>12</v>
      </c>
      <c r="B254" s="255"/>
      <c r="C254" s="5" t="s">
        <v>3</v>
      </c>
      <c r="D254" s="26">
        <f>Mulanje!D254+Luchenza!D254+Thyolo!D254+Muloza!D254+MUST!D254+Phalombe!D254+Mikolongwe!D254+Migowi!D254</f>
        <v>21</v>
      </c>
      <c r="E254" s="26">
        <f>Mulanje!E254+Luchenza!E254+Thyolo!E254+Muloza!E254+MUST!E254+Phalombe!E254+Mikolongwe!E254+Migowi!E254</f>
        <v>45</v>
      </c>
      <c r="F254" s="26">
        <f>Mulanje!F254+Luchenza!F254+Thyolo!F254+Muloza!F254+MUST!F254+Phalombe!F254+Mikolongwe!F254+Migowi!F254</f>
        <v>22</v>
      </c>
      <c r="G254" s="26">
        <f>Mulanje!G254+Luchenza!G254+Thyolo!G254+Muloza!G254+MUST!G254+Phalombe!G254+Mikolongwe!G254+Migowi!G254</f>
        <v>32</v>
      </c>
      <c r="H254" s="26">
        <f>Mulanje!H254+Luchenza!H254+Thyolo!H254+Muloza!H254+MUST!H254+Phalombe!H254+Mikolongwe!H254+Migowi!H254</f>
        <v>48</v>
      </c>
      <c r="I254" s="26">
        <f>Mulanje!I254+Luchenza!I254+Thyolo!I254+Muloza!I254+MUST!I254+Phalombe!I254+Mikolongwe!I254+Migowi!I254</f>
        <v>52</v>
      </c>
      <c r="J254" s="26">
        <f>Mulanje!J254+Luchenza!J254+Thyolo!J254+Muloza!J254+MUST!J254+Phalombe!J254+Mikolongwe!J254+Migowi!J254</f>
        <v>45</v>
      </c>
      <c r="K254" s="26">
        <f>Mulanje!K254+Luchenza!K254+Thyolo!K254+Muloza!K254+MUST!K254+Phalombe!K254+Mikolongwe!K254+Migowi!K254</f>
        <v>24</v>
      </c>
      <c r="L254" s="26">
        <f>Mulanje!L254+Luchenza!L254+Thyolo!L254+Muloza!L254+MUST!L254+Phalombe!L254+Mikolongwe!L254+Migowi!L254</f>
        <v>24</v>
      </c>
      <c r="M254" s="26">
        <f>Mulanje!M254+Luchenza!M254+Thyolo!M254+Muloza!M254+MUST!M254+Phalombe!M254+Mikolongwe!M254+Migowi!M254+Nkando!M254</f>
        <v>25</v>
      </c>
      <c r="N254" s="26">
        <f>Mulanje!N254+Luchenza!N254+Thyolo!N254+Muloza!N254+MUST!N254+Phalombe!N254+Mikolongwe!N254+Migowi!N254+Nkando!N254</f>
        <v>33</v>
      </c>
      <c r="O254" s="26">
        <f>Mulanje!O254+Luchenza!O254+Thyolo!O254+Muloza!O254+MUST!O254+Phalombe!O254+Mikolongwe!O254+Migowi!O254+Nkando!O254</f>
        <v>43</v>
      </c>
      <c r="P254" s="113">
        <f>SUM(D254:O254)</f>
        <v>414</v>
      </c>
    </row>
    <row r="255" spans="1:16" ht="15.75" customHeight="1" x14ac:dyDescent="0.3">
      <c r="A255" s="254" t="s">
        <v>11</v>
      </c>
      <c r="B255" s="255"/>
      <c r="C255" s="5" t="s">
        <v>3</v>
      </c>
      <c r="D255" s="4">
        <f>D95</f>
        <v>828</v>
      </c>
      <c r="E255" s="4">
        <f>E95</f>
        <v>851</v>
      </c>
      <c r="F255" s="4">
        <f>F95</f>
        <v>806</v>
      </c>
      <c r="G255" s="4">
        <f>G95</f>
        <v>775</v>
      </c>
      <c r="H255" s="4">
        <f>H95</f>
        <v>763</v>
      </c>
      <c r="I255" s="4">
        <f t="shared" ref="I255:L255" si="106">I95</f>
        <v>710</v>
      </c>
      <c r="J255" s="4">
        <f t="shared" si="106"/>
        <v>741</v>
      </c>
      <c r="K255" s="4">
        <f t="shared" si="106"/>
        <v>705</v>
      </c>
      <c r="L255" s="4">
        <f t="shared" si="106"/>
        <v>704</v>
      </c>
      <c r="M255" s="26">
        <f>Mulanje!M255+Luchenza!M255+Thyolo!M255+Muloza!M255+MUST!M255+Phalombe!M255+Mikolongwe!M255+Migowi!M255+Nkando!M255</f>
        <v>724</v>
      </c>
      <c r="N255" s="26">
        <f>Mulanje!N255+Luchenza!N255+Thyolo!N255+Muloza!N255+MUST!N255+Phalombe!N255+Mikolongwe!N255+Migowi!N255+Nkando!N255</f>
        <v>309</v>
      </c>
      <c r="O255" s="26">
        <f>Mulanje!O255+Luchenza!O255+Thyolo!O255+Muloza!O255+MUST!O255+Phalombe!O255+Mikolongwe!O255+Migowi!O255+Nkando!O255</f>
        <v>688</v>
      </c>
      <c r="P255" s="113">
        <f>SUM(D255:O255)</f>
        <v>8604</v>
      </c>
    </row>
    <row r="256" spans="1:16" x14ac:dyDescent="0.3">
      <c r="A256" s="254" t="s">
        <v>10</v>
      </c>
      <c r="B256" s="255"/>
      <c r="C256" s="5" t="s">
        <v>3</v>
      </c>
      <c r="D256" s="4">
        <f>D91</f>
        <v>52</v>
      </c>
      <c r="E256" s="4">
        <f>E91</f>
        <v>85</v>
      </c>
      <c r="F256" s="4">
        <f>F91</f>
        <v>53</v>
      </c>
      <c r="G256" s="4">
        <f>G91</f>
        <v>47</v>
      </c>
      <c r="H256" s="4">
        <f>H91</f>
        <v>80</v>
      </c>
      <c r="I256" s="4">
        <f t="shared" ref="I256:L256" si="107">I91</f>
        <v>50</v>
      </c>
      <c r="J256" s="4">
        <f t="shared" si="107"/>
        <v>99</v>
      </c>
      <c r="K256" s="4">
        <f t="shared" si="107"/>
        <v>43</v>
      </c>
      <c r="L256" s="4">
        <f t="shared" si="107"/>
        <v>55</v>
      </c>
      <c r="M256" s="26">
        <f>Mulanje!M256+Luchenza!M256+Thyolo!M256+Muloza!M256+MUST!M256+Phalombe!M256+Mikolongwe!M256+Migowi!M256+Nkando!M256</f>
        <v>56</v>
      </c>
      <c r="N256" s="26">
        <f>Mulanje!N256+Luchenza!N256+Thyolo!N256+Muloza!N256+MUST!N256+Phalombe!N256+Mikolongwe!N256+Migowi!N256+Nkando!N256</f>
        <v>49</v>
      </c>
      <c r="O256" s="26">
        <f>Mulanje!O256+Luchenza!O256+Thyolo!O256+Muloza!O256+MUST!O256+Phalombe!O256+Mikolongwe!O256+Migowi!O256+Nkando!O256</f>
        <v>47</v>
      </c>
      <c r="P256" s="113">
        <f>SUM(D256:O256)</f>
        <v>716</v>
      </c>
    </row>
    <row r="257" spans="1:16" ht="15.6" customHeight="1" x14ac:dyDescent="0.3">
      <c r="A257" s="254" t="s">
        <v>9</v>
      </c>
      <c r="B257" s="255"/>
      <c r="C257" s="5" t="s">
        <v>3</v>
      </c>
      <c r="D257" s="26">
        <f>Mulanje!D257+Luchenza!D257+Thyolo!D257+Muloza!D257+MUST!D257+Phalombe!D257+Mikolongwe!D257+Migowi!D257</f>
        <v>75</v>
      </c>
      <c r="E257" s="26">
        <f>Mulanje!E257+Luchenza!E257+Thyolo!E257+Muloza!E257+MUST!E257+Phalombe!E257+Mikolongwe!E257+Migowi!E257</f>
        <v>97</v>
      </c>
      <c r="F257" s="26">
        <f>Mulanje!F257+Luchenza!F257+Thyolo!F257+Muloza!F257+MUST!F257+Phalombe!F257+Mikolongwe!F257+Migowi!F257</f>
        <v>109</v>
      </c>
      <c r="G257" s="26">
        <f>Mulanje!G257+Luchenza!G257+Thyolo!G257+Muloza!G257+MUST!G257+Phalombe!G257+Mikolongwe!G257+Migowi!G257</f>
        <v>77</v>
      </c>
      <c r="H257" s="26">
        <f>Mulanje!H257+Luchenza!H257+Thyolo!H257+Muloza!H257+MUST!H257+Phalombe!H257+Mikolongwe!H257+Migowi!H257</f>
        <v>96</v>
      </c>
      <c r="I257" s="26">
        <f>Mulanje!I257+Luchenza!I257+Thyolo!I257+Muloza!I257+MUST!I257+Phalombe!I257+Mikolongwe!I257+Migowi!I257</f>
        <v>87</v>
      </c>
      <c r="J257" s="26">
        <f>Mulanje!J257+Luchenza!J257+Thyolo!J257+Muloza!J257+MUST!J257+Phalombe!J257+Mikolongwe!J257+Migowi!J257</f>
        <v>104</v>
      </c>
      <c r="K257" s="26">
        <f>Mulanje!K257+Luchenza!K257+Thyolo!K257+Muloza!K257+MUST!K257+Phalombe!K257+Mikolongwe!K257+Migowi!K257</f>
        <v>95</v>
      </c>
      <c r="L257" s="26">
        <f>Mulanje!L257+Luchenza!L257+Thyolo!L257+Muloza!L257+MUST!L257+Phalombe!L257+Mikolongwe!L257+Migowi!L257</f>
        <v>89</v>
      </c>
      <c r="M257" s="26">
        <f>Mulanje!M257+Luchenza!M257+Thyolo!M257+Muloza!M257+MUST!M257+Phalombe!M257+Mikolongwe!M257+Migowi!M257+Nkando!M257</f>
        <v>138</v>
      </c>
      <c r="N257" s="26">
        <f>Mulanje!N257+Luchenza!N257+Thyolo!N257+Muloza!N257+MUST!N257+Phalombe!N257+Mikolongwe!N257+Migowi!N257+Nkando!N257</f>
        <v>84</v>
      </c>
      <c r="O257" s="26">
        <f>Mulanje!O257+Luchenza!O257+Thyolo!O257+Muloza!O257+MUST!O257+Phalombe!O257+Mikolongwe!O257+Migowi!O257+Nkando!O257</f>
        <v>86</v>
      </c>
      <c r="P257" s="113">
        <f>SUM(D257:O257)</f>
        <v>1137</v>
      </c>
    </row>
    <row r="258" spans="1:16" x14ac:dyDescent="0.3">
      <c r="A258" s="294" t="s">
        <v>8</v>
      </c>
      <c r="B258" s="295"/>
      <c r="C258" s="5" t="s">
        <v>3</v>
      </c>
      <c r="D258" s="1">
        <f t="shared" ref="D258:P258" si="108">D257/D256</f>
        <v>1.4423076923076923</v>
      </c>
      <c r="E258" s="1">
        <f t="shared" si="108"/>
        <v>1.1411764705882352</v>
      </c>
      <c r="F258" s="1">
        <f t="shared" si="108"/>
        <v>2.0566037735849059</v>
      </c>
      <c r="G258" s="1">
        <f t="shared" si="108"/>
        <v>1.6382978723404256</v>
      </c>
      <c r="H258" s="1">
        <f t="shared" si="108"/>
        <v>1.2</v>
      </c>
      <c r="I258" s="1">
        <f t="shared" si="108"/>
        <v>1.74</v>
      </c>
      <c r="J258" s="1">
        <f t="shared" si="108"/>
        <v>1.0505050505050506</v>
      </c>
      <c r="K258" s="1">
        <f t="shared" si="108"/>
        <v>2.2093023255813953</v>
      </c>
      <c r="L258" s="1">
        <f t="shared" si="108"/>
        <v>1.6181818181818182</v>
      </c>
      <c r="M258" s="1">
        <f t="shared" si="108"/>
        <v>2.4642857142857144</v>
      </c>
      <c r="N258" s="1">
        <f t="shared" si="108"/>
        <v>1.7142857142857142</v>
      </c>
      <c r="O258" s="1">
        <f t="shared" si="108"/>
        <v>1.8297872340425532</v>
      </c>
      <c r="P258" s="113">
        <f t="shared" si="108"/>
        <v>1.5879888268156424</v>
      </c>
    </row>
    <row r="259" spans="1:16" x14ac:dyDescent="0.3">
      <c r="A259" s="294" t="s">
        <v>7</v>
      </c>
      <c r="B259" s="295"/>
      <c r="C259" s="5" t="s">
        <v>6</v>
      </c>
      <c r="D259" s="1">
        <f t="shared" ref="D259:P259" si="109">D92/D255*100</f>
        <v>2.5362318840579712</v>
      </c>
      <c r="E259" s="1">
        <f t="shared" si="109"/>
        <v>5.8754406580493539</v>
      </c>
      <c r="F259" s="1">
        <f t="shared" si="109"/>
        <v>8.808933002481389</v>
      </c>
      <c r="G259" s="1">
        <f t="shared" si="109"/>
        <v>9.2903225806451619</v>
      </c>
      <c r="H259" s="161">
        <f t="shared" si="109"/>
        <v>11.795543905635649</v>
      </c>
      <c r="I259" s="6">
        <f t="shared" si="109"/>
        <v>14.507042253521126</v>
      </c>
      <c r="J259" s="6">
        <f t="shared" si="109"/>
        <v>9.1767881241565465</v>
      </c>
      <c r="K259" s="6">
        <f t="shared" si="109"/>
        <v>10.638297872340425</v>
      </c>
      <c r="L259" s="6">
        <f t="shared" si="109"/>
        <v>7.6704545454545459</v>
      </c>
      <c r="M259" s="6">
        <f t="shared" si="109"/>
        <v>4.834254143646409</v>
      </c>
      <c r="N259" s="6">
        <f t="shared" si="109"/>
        <v>18.770226537216828</v>
      </c>
      <c r="O259" s="6">
        <f t="shared" si="109"/>
        <v>10.61046511627907</v>
      </c>
      <c r="P259" s="114">
        <f t="shared" si="109"/>
        <v>8.9493258949325902</v>
      </c>
    </row>
    <row r="260" spans="1:16" ht="14.4" x14ac:dyDescent="0.3">
      <c r="A260" s="281" t="s">
        <v>5</v>
      </c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2"/>
      <c r="P260" s="283"/>
    </row>
    <row r="261" spans="1:16" s="2" customFormat="1" ht="15" customHeight="1" x14ac:dyDescent="0.3">
      <c r="A261" s="254" t="s">
        <v>4</v>
      </c>
      <c r="B261" s="255"/>
      <c r="C261" s="5" t="s">
        <v>3</v>
      </c>
      <c r="D261" s="26">
        <f>Mulanje!D261+Luchenza!D261+Thyolo!D261+Muloza!D261+MUST!D261+Phalombe!D261+Mikolongwe!D261+Migowi!D261</f>
        <v>85</v>
      </c>
      <c r="E261" s="26">
        <f>Mulanje!E261+Luchenza!E261+Thyolo!E261+Muloza!E261+MUST!E261+Phalombe!E261+Mikolongwe!E261+Migowi!E261</f>
        <v>68</v>
      </c>
      <c r="F261" s="26">
        <f>Mulanje!F261+Luchenza!F261+Thyolo!F261+Muloza!F261+MUST!F261+Phalombe!F261+Mikolongwe!F261+Migowi!F261</f>
        <v>67</v>
      </c>
      <c r="G261" s="26">
        <f>Mulanje!G261+Luchenza!G261+Thyolo!G261+Muloza!G261+MUST!G261+Phalombe!G261+Mikolongwe!G261+Migowi!G261</f>
        <v>66</v>
      </c>
      <c r="H261" s="26">
        <f>Mulanje!H261+Luchenza!H261+Thyolo!H261+Muloza!H261+MUST!H261+Phalombe!H261+Mikolongwe!H261+Migowi!H261</f>
        <v>69</v>
      </c>
      <c r="I261" s="26">
        <f>Mulanje!I261+Luchenza!I261+Thyolo!I261+Muloza!I261+MUST!I261+Phalombe!I261+Mikolongwe!I261+Migowi!I261</f>
        <v>52</v>
      </c>
      <c r="J261" s="26">
        <f>Mulanje!J261+Luchenza!J261+Thyolo!J261+Muloza!J261+MUST!J261+Phalombe!J261+Mikolongwe!J261+Migowi!J261</f>
        <v>65</v>
      </c>
      <c r="K261" s="26">
        <f>Mulanje!K261+Luchenza!K261+Thyolo!K261+Muloza!K261+MUST!K261+Phalombe!K261+Mikolongwe!K261+Migowi!K261</f>
        <v>53</v>
      </c>
      <c r="L261" s="26">
        <f>Mulanje!L261+Luchenza!L261+Thyolo!L261+Muloza!L261+MUST!L261+Phalombe!L261+Mikolongwe!L261+Migowi!L261</f>
        <v>116</v>
      </c>
      <c r="M261" s="26">
        <f>Mulanje!M261+Luchenza!M261+Thyolo!M261+Muloza!M261+MUST!M261+Phalombe!M261+Mikolongwe!M261+Migowi!M261+Nkando!M261</f>
        <v>73</v>
      </c>
      <c r="N261" s="26">
        <f>Mulanje!N261+Luchenza!N261+Thyolo!N261+Muloza!N261+MUST!N261+Phalombe!N261+Mikolongwe!N261+Migowi!N261+Nkando!N261</f>
        <v>73</v>
      </c>
      <c r="O261" s="26">
        <f>Mulanje!O261+Luchenza!O261+Thyolo!O261+Muloza!O261+MUST!O261+Phalombe!O261+Mikolongwe!O261+Migowi!O261+Nkando!O261</f>
        <v>100</v>
      </c>
      <c r="P261" s="40">
        <f>SUM(D261:O261)</f>
        <v>887</v>
      </c>
    </row>
    <row r="262" spans="1:16" s="2" customFormat="1" ht="15.75" customHeight="1" x14ac:dyDescent="0.3">
      <c r="A262" s="254" t="s">
        <v>2</v>
      </c>
      <c r="B262" s="255"/>
      <c r="C262" s="5" t="s">
        <v>0</v>
      </c>
      <c r="D262" s="26">
        <f>Mulanje!D262+Luchenza!D262+Thyolo!D262+Muloza!D262+MUST!D262+Phalombe!D262+Mikolongwe!D262+Migowi!D262</f>
        <v>44</v>
      </c>
      <c r="E262" s="26">
        <f>Mulanje!E262+Luchenza!E262+Thyolo!E262+Muloza!E262+MUST!E262+Phalombe!E262+Mikolongwe!E262+Migowi!E262</f>
        <v>49</v>
      </c>
      <c r="F262" s="26">
        <f>Mulanje!F262+Luchenza!F262+Thyolo!F262+Muloza!F262+MUST!F262+Phalombe!F262+Mikolongwe!F262+Migowi!F262</f>
        <v>46</v>
      </c>
      <c r="G262" s="26">
        <f>Mulanje!G262+Luchenza!G262+Thyolo!G262+Muloza!G262+MUST!G262+Phalombe!G262+Mikolongwe!G262+Migowi!G262</f>
        <v>49</v>
      </c>
      <c r="H262" s="26">
        <f>Mulanje!H262+Luchenza!H262+Thyolo!H262+Muloza!H262+MUST!H262+Phalombe!H262+Mikolongwe!H262+Migowi!H262</f>
        <v>53</v>
      </c>
      <c r="I262" s="26">
        <f>Mulanje!I262+Luchenza!I262+Thyolo!I262+Muloza!I262+MUST!I262+Phalombe!I262+Mikolongwe!I262+Migowi!I262</f>
        <v>48</v>
      </c>
      <c r="J262" s="26">
        <f>Mulanje!J262+Luchenza!J262+Thyolo!J262+Muloza!J262+MUST!J262+Phalombe!J262+Mikolongwe!J262+Migowi!J262</f>
        <v>46</v>
      </c>
      <c r="K262" s="26">
        <f>Mulanje!K262+Luchenza!K262+Thyolo!K262+Muloza!K262+MUST!K262+Phalombe!K262+Mikolongwe!K262+Migowi!K262</f>
        <v>53</v>
      </c>
      <c r="L262" s="26">
        <f>Mulanje!L262+Luchenza!L262+Thyolo!L262+Muloza!L262+MUST!L262+Phalombe!L262+Mikolongwe!L262+Migowi!L262</f>
        <v>72</v>
      </c>
      <c r="M262" s="26">
        <f>Mulanje!M262+Luchenza!M262+Thyolo!M262+Muloza!M262+MUST!M262+Phalombe!M262+Mikolongwe!M262+Migowi!M262+Nkando!M262</f>
        <v>48</v>
      </c>
      <c r="N262" s="26">
        <f>Mulanje!N262+Luchenza!N262+Thyolo!N262+Muloza!N262+MUST!N262+Phalombe!N262+Mikolongwe!N262+Migowi!N262+Nkando!N262</f>
        <v>62</v>
      </c>
      <c r="O262" s="26">
        <f>Mulanje!O262+Luchenza!O262+Thyolo!O262+Muloza!O262+MUST!O262+Phalombe!O262+Mikolongwe!O262+Migowi!O262+Nkando!O262</f>
        <v>76</v>
      </c>
      <c r="P262" s="40">
        <f>SUM(D262:O262)</f>
        <v>646</v>
      </c>
    </row>
    <row r="263" spans="1:16" ht="16.2" thickBot="1" x14ac:dyDescent="0.35">
      <c r="A263" s="299" t="s">
        <v>1</v>
      </c>
      <c r="B263" s="300"/>
      <c r="C263" s="115" t="s">
        <v>0</v>
      </c>
      <c r="D263" s="116">
        <f>D261/D262</f>
        <v>1.9318181818181819</v>
      </c>
      <c r="E263" s="116">
        <f>E261/E262</f>
        <v>1.3877551020408163</v>
      </c>
      <c r="F263" s="116">
        <f>F261/F262</f>
        <v>1.4565217391304348</v>
      </c>
      <c r="G263" s="116">
        <f>G261/G262</f>
        <v>1.346938775510204</v>
      </c>
      <c r="H263" s="116">
        <f>H261/H262</f>
        <v>1.3018867924528301</v>
      </c>
      <c r="I263" s="116">
        <f t="shared" ref="I263:P263" si="110">I261/I262</f>
        <v>1.0833333333333333</v>
      </c>
      <c r="J263" s="116">
        <f t="shared" si="110"/>
        <v>1.4130434782608696</v>
      </c>
      <c r="K263" s="116">
        <f t="shared" si="110"/>
        <v>1</v>
      </c>
      <c r="L263" s="116">
        <f t="shared" si="110"/>
        <v>1.6111111111111112</v>
      </c>
      <c r="M263" s="116">
        <f t="shared" si="110"/>
        <v>1.5208333333333333</v>
      </c>
      <c r="N263" s="116">
        <f t="shared" si="110"/>
        <v>1.1774193548387097</v>
      </c>
      <c r="O263" s="116">
        <f t="shared" si="110"/>
        <v>1.3157894736842106</v>
      </c>
      <c r="P263" s="202">
        <f t="shared" si="110"/>
        <v>1.3730650154798762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L263"/>
  <sheetViews>
    <sheetView zoomScaleNormal="100" workbookViewId="0">
      <pane xSplit="3" ySplit="8" topLeftCell="D108" activePane="bottomRight" state="frozen"/>
      <selection pane="topRight" activeCell="D1" sqref="D1"/>
      <selection pane="bottomLeft" activeCell="A9" sqref="A9"/>
      <selection pane="bottomRight" activeCell="F121" sqref="F121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10" width="19.109375" customWidth="1"/>
    <col min="11" max="11" width="23.109375" customWidth="1"/>
    <col min="12" max="12" width="20.109375" bestFit="1" customWidth="1"/>
  </cols>
  <sheetData>
    <row r="1" spans="1:12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2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2" ht="18" thickBot="1" x14ac:dyDescent="0.35">
      <c r="A3" s="219" t="s">
        <v>217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1"/>
    </row>
    <row r="4" spans="1:12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2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125"/>
    </row>
    <row r="6" spans="1:12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2" ht="16.2" thickBot="1" x14ac:dyDescent="0.35">
      <c r="A7" s="241" t="s">
        <v>174</v>
      </c>
      <c r="B7" s="242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60" t="s">
        <v>225</v>
      </c>
      <c r="K7" s="60" t="s">
        <v>226</v>
      </c>
      <c r="L7" s="59" t="s">
        <v>160</v>
      </c>
    </row>
    <row r="8" spans="1:12" ht="15" thickBot="1" x14ac:dyDescent="0.35">
      <c r="A8" s="301" t="s">
        <v>159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3"/>
    </row>
    <row r="9" spans="1:12" ht="15.6" x14ac:dyDescent="0.3">
      <c r="A9" s="245" t="s">
        <v>176</v>
      </c>
      <c r="B9" s="246"/>
      <c r="C9" s="58" t="s">
        <v>152</v>
      </c>
      <c r="D9" s="57">
        <f>Mulanje!D9+Mulanje!E9+Mulanje!F9</f>
        <v>127090</v>
      </c>
      <c r="E9" s="57">
        <f>Luchenza!D9+Luchenza!E9+Luchenza!F9</f>
        <v>45298</v>
      </c>
      <c r="F9" s="57">
        <f>Thyolo!D9+Thyolo!E9+Thyolo!F9</f>
        <v>76380</v>
      </c>
      <c r="G9" s="57">
        <f>Muloza!D9+Muloza!E9+Muloza!F9</f>
        <v>21573</v>
      </c>
      <c r="H9" s="57">
        <f>MUST!D9+MUST!E9+MUST!F9</f>
        <v>43986</v>
      </c>
      <c r="I9" s="57">
        <f>Phalombe!D9+Phalombe!E9+Phalombe!F9</f>
        <v>40349</v>
      </c>
      <c r="J9" s="57">
        <f>Mikolongwe!D9+Mikolongwe!E9+Mikolongwe!F9</f>
        <v>4459</v>
      </c>
      <c r="K9" s="57">
        <f>Migowi!D9+Migowi!E9+Migowi!F9</f>
        <v>8451</v>
      </c>
      <c r="L9" s="152">
        <f>SUM(D9:K9)</f>
        <v>367586</v>
      </c>
    </row>
    <row r="10" spans="1:12" x14ac:dyDescent="0.3">
      <c r="A10" s="281" t="s">
        <v>177</v>
      </c>
      <c r="B10" s="282"/>
      <c r="C10" s="282"/>
      <c r="D10" s="304"/>
      <c r="E10" s="304"/>
      <c r="F10" s="304"/>
      <c r="G10" s="304"/>
      <c r="H10" s="304"/>
      <c r="I10" s="304"/>
      <c r="J10" s="304"/>
      <c r="K10" s="304"/>
      <c r="L10" s="283"/>
    </row>
    <row r="11" spans="1:12" ht="15.6" x14ac:dyDescent="0.3">
      <c r="A11" s="243" t="s">
        <v>157</v>
      </c>
      <c r="B11" s="244"/>
      <c r="C11" s="11" t="s">
        <v>152</v>
      </c>
      <c r="D11" s="26">
        <f>Mulanje!D11+Mulanje!E11+Mulanje!F11</f>
        <v>60778</v>
      </c>
      <c r="E11" s="26">
        <f>Luchenza!D11+Luchenza!E11+Luchenza!F11</f>
        <v>21524</v>
      </c>
      <c r="F11" s="26">
        <f>Thyolo!D11+Thyolo!E11+Thyolo!F11</f>
        <v>23633</v>
      </c>
      <c r="G11" s="26">
        <f>Muloza!D11+Muloza!E11+Muloza!F11</f>
        <v>11590</v>
      </c>
      <c r="H11" s="26">
        <f>MUST!D11+MUST!E11+MUST!F11</f>
        <v>2363</v>
      </c>
      <c r="I11" s="26">
        <f>Phalombe!D11+Phalombe!E11+Phalombe!F11</f>
        <v>22909</v>
      </c>
      <c r="J11" s="26">
        <f>Mikolongwe!D11+Mikolongwe!E11+Mikolongwe!F11</f>
        <v>528</v>
      </c>
      <c r="K11" s="26">
        <f>Migowi!D11+Migowi!E11+Migowi!F11</f>
        <v>0</v>
      </c>
      <c r="L11" s="55">
        <f>SUM(D11:K11)</f>
        <v>143325</v>
      </c>
    </row>
    <row r="12" spans="1:12" ht="15.6" x14ac:dyDescent="0.3">
      <c r="A12" s="243" t="s">
        <v>156</v>
      </c>
      <c r="B12" s="244"/>
      <c r="C12" s="11" t="s">
        <v>152</v>
      </c>
      <c r="D12" s="26">
        <f>Mulanje!D12+Mulanje!E12+Mulanje!F12</f>
        <v>3330</v>
      </c>
      <c r="E12" s="26">
        <f>Luchenza!D12+Luchenza!E12+Luchenza!F12</f>
        <v>66</v>
      </c>
      <c r="F12" s="26">
        <f>Thyolo!D12+Thyolo!E12+Thyolo!F12</f>
        <v>55</v>
      </c>
      <c r="G12" s="26">
        <f>Muloza!D12+Muloza!E12+Muloza!F12</f>
        <v>25</v>
      </c>
      <c r="H12" s="26">
        <f>MUST!D12+MUST!E12+MUST!F12</f>
        <v>0</v>
      </c>
      <c r="I12" s="26">
        <f>Phalombe!D12+Phalombe!E12+Phalombe!F12</f>
        <v>0</v>
      </c>
      <c r="J12" s="26">
        <f>Mikolongwe!D12+Mikolongwe!E12+Mikolongwe!F12</f>
        <v>0</v>
      </c>
      <c r="K12" s="26">
        <f>Migowi!D12+Migowi!E12+Migowi!F12</f>
        <v>0</v>
      </c>
      <c r="L12" s="55">
        <f>SUM(D12:K12)</f>
        <v>3476</v>
      </c>
    </row>
    <row r="13" spans="1:12" ht="15.6" x14ac:dyDescent="0.3">
      <c r="A13" s="243" t="s">
        <v>155</v>
      </c>
      <c r="B13" s="244"/>
      <c r="C13" s="11" t="s">
        <v>152</v>
      </c>
      <c r="D13" s="26">
        <f>Mulanje!D13+Mulanje!E13+Mulanje!F13</f>
        <v>4518</v>
      </c>
      <c r="E13" s="26">
        <f>Luchenza!D13+Luchenza!E13+Luchenza!F13</f>
        <v>6298</v>
      </c>
      <c r="F13" s="26">
        <f>Thyolo!D13+Thyolo!E13+Thyolo!F13</f>
        <v>4992</v>
      </c>
      <c r="G13" s="26">
        <f>Muloza!D13+Muloza!E13+Muloza!F13</f>
        <v>1354</v>
      </c>
      <c r="H13" s="26">
        <f>MUST!D13+MUST!E13+MUST!F13</f>
        <v>31465</v>
      </c>
      <c r="I13" s="26">
        <f>Phalombe!D13+Phalombe!E13+Phalombe!F13</f>
        <v>1233</v>
      </c>
      <c r="J13" s="26">
        <f>Mikolongwe!D13+Mikolongwe!E13+Mikolongwe!F13</f>
        <v>0</v>
      </c>
      <c r="K13" s="26">
        <f>Migowi!D13+Migowi!E13+Migowi!F13</f>
        <v>0</v>
      </c>
      <c r="L13" s="55">
        <f>SUM(D13:K13)</f>
        <v>49860</v>
      </c>
    </row>
    <row r="14" spans="1:12" ht="15.6" x14ac:dyDescent="0.3">
      <c r="A14" s="237" t="s">
        <v>154</v>
      </c>
      <c r="B14" s="238"/>
      <c r="C14" s="11" t="s">
        <v>152</v>
      </c>
      <c r="D14" s="26">
        <f>Mulanje!D14+Mulanje!E14+Mulanje!F14</f>
        <v>145</v>
      </c>
      <c r="E14" s="26">
        <f>Luchenza!D14+Luchenza!E14+Luchenza!F14</f>
        <v>333</v>
      </c>
      <c r="F14" s="26">
        <f>Thyolo!D14+Thyolo!E14+Thyolo!F14</f>
        <v>965</v>
      </c>
      <c r="G14" s="26">
        <f>Muloza!D14+Muloza!E14+Muloza!F14</f>
        <v>341</v>
      </c>
      <c r="H14" s="26">
        <f>MUST!D14+MUST!E14+MUST!F14</f>
        <v>170</v>
      </c>
      <c r="I14" s="26">
        <f>Phalombe!D14+Phalombe!E14+Phalombe!F14</f>
        <v>143</v>
      </c>
      <c r="J14" s="26">
        <f>Mikolongwe!D14+Mikolongwe!E14+Mikolongwe!F14</f>
        <v>0</v>
      </c>
      <c r="K14" s="26">
        <f>Migowi!D14+Migowi!E14+Migowi!F14</f>
        <v>0</v>
      </c>
      <c r="L14" s="55">
        <f>SUM(D14:K14)</f>
        <v>2097</v>
      </c>
    </row>
    <row r="15" spans="1:12" s="63" customFormat="1" ht="15.6" x14ac:dyDescent="0.3">
      <c r="A15" s="239" t="s">
        <v>158</v>
      </c>
      <c r="B15" s="240"/>
      <c r="C15" s="62" t="s">
        <v>152</v>
      </c>
      <c r="D15" s="34">
        <f t="shared" ref="D15:L15" si="0">SUM(D11:D14)</f>
        <v>68771</v>
      </c>
      <c r="E15" s="34">
        <f t="shared" si="0"/>
        <v>28221</v>
      </c>
      <c r="F15" s="34">
        <f t="shared" si="0"/>
        <v>29645</v>
      </c>
      <c r="G15" s="34">
        <f t="shared" si="0"/>
        <v>13310</v>
      </c>
      <c r="H15" s="34">
        <f t="shared" si="0"/>
        <v>33998</v>
      </c>
      <c r="I15" s="34">
        <f t="shared" si="0"/>
        <v>24285</v>
      </c>
      <c r="J15" s="34">
        <f t="shared" si="0"/>
        <v>528</v>
      </c>
      <c r="K15" s="34">
        <f t="shared" si="0"/>
        <v>0</v>
      </c>
      <c r="L15" s="55">
        <f t="shared" si="0"/>
        <v>198758</v>
      </c>
    </row>
    <row r="16" spans="1:12" s="2" customFormat="1" x14ac:dyDescent="0.3">
      <c r="A16" s="281" t="s">
        <v>178</v>
      </c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3"/>
    </row>
    <row r="17" spans="1:12" s="2" customFormat="1" ht="15.6" x14ac:dyDescent="0.3">
      <c r="A17" s="243" t="s">
        <v>180</v>
      </c>
      <c r="B17" s="244"/>
      <c r="C17" s="11" t="s">
        <v>152</v>
      </c>
      <c r="D17" s="26">
        <f>Mulanje!D17+Mulanje!E17+Mulanje!F17</f>
        <v>8130</v>
      </c>
      <c r="E17" s="26">
        <f>Luchenza!D17+Luchenza!E17+Luchenza!F17</f>
        <v>3146</v>
      </c>
      <c r="F17" s="26">
        <f>Thyolo!D17+Thyolo!E17+Thyolo!F17</f>
        <v>4185</v>
      </c>
      <c r="G17" s="26">
        <f>Muloza!D17+Muloza!E17+Muloza!F17</f>
        <v>2867</v>
      </c>
      <c r="H17" s="26">
        <f>MUST!D17+MUST!E17+MUST!F17</f>
        <v>719.1</v>
      </c>
      <c r="I17" s="26">
        <f>Phalombe!D17+Phalombe!E17+Phalombe!F17</f>
        <v>2335</v>
      </c>
      <c r="J17" s="26">
        <f>Mikolongwe!D17+Mikolongwe!E17+Mikolongwe!F17</f>
        <v>791.3</v>
      </c>
      <c r="K17" s="26">
        <f>Migowi!D17+Migowi!E17+Migowi!F17</f>
        <v>2530.6</v>
      </c>
      <c r="L17" s="55">
        <f>SUM(D17:K17)</f>
        <v>24703.999999999996</v>
      </c>
    </row>
    <row r="18" spans="1:12" s="2" customFormat="1" ht="15.6" x14ac:dyDescent="0.3">
      <c r="A18" s="243" t="s">
        <v>181</v>
      </c>
      <c r="B18" s="244"/>
      <c r="C18" s="11" t="s">
        <v>152</v>
      </c>
      <c r="D18" s="26">
        <f>Mulanje!D18+Mulanje!E18+Mulanje!F18</f>
        <v>247</v>
      </c>
      <c r="E18" s="26">
        <f>Luchenza!D18+Luchenza!E18+Luchenza!F18</f>
        <v>0</v>
      </c>
      <c r="F18" s="26">
        <f>Thyolo!D18+Thyolo!E18+Thyolo!F18</f>
        <v>0</v>
      </c>
      <c r="G18" s="26">
        <f>Muloza!D18+Muloza!E18+Muloza!F18</f>
        <v>0</v>
      </c>
      <c r="H18" s="26">
        <f>MUST!D18+MUST!E18+MUST!F18</f>
        <v>0</v>
      </c>
      <c r="I18" s="26">
        <f>Phalombe!D18+Phalombe!E18+Phalombe!F18</f>
        <v>0</v>
      </c>
      <c r="J18" s="26">
        <f>Mikolongwe!D18+Mikolongwe!E18+Mikolongwe!F18</f>
        <v>0</v>
      </c>
      <c r="K18" s="26">
        <f>Migowi!D18+Migowi!E18+Migowi!F18</f>
        <v>0</v>
      </c>
      <c r="L18" s="55">
        <f>SUM(D18:K18)</f>
        <v>247</v>
      </c>
    </row>
    <row r="19" spans="1:12" s="2" customFormat="1" ht="15.6" x14ac:dyDescent="0.3">
      <c r="A19" s="243" t="s">
        <v>182</v>
      </c>
      <c r="B19" s="244"/>
      <c r="C19" s="11" t="s">
        <v>152</v>
      </c>
      <c r="D19" s="26">
        <f>Mulanje!D19+Mulanje!E19+Mulanje!F19</f>
        <v>14470</v>
      </c>
      <c r="E19" s="26">
        <f>Luchenza!D19+Luchenza!E19+Luchenza!F19</f>
        <v>1724</v>
      </c>
      <c r="F19" s="26">
        <f>Thyolo!D19+Thyolo!E19+Thyolo!F19</f>
        <v>5168</v>
      </c>
      <c r="G19" s="26">
        <f>Muloza!D19+Muloza!E19+Muloza!F19</f>
        <v>460</v>
      </c>
      <c r="H19" s="26">
        <f>MUST!D19+MUST!E19+MUST!F19</f>
        <v>0</v>
      </c>
      <c r="I19" s="26">
        <f>Phalombe!D19+Phalombe!E19+Phalombe!F19</f>
        <v>4812</v>
      </c>
      <c r="J19" s="26">
        <f>Mikolongwe!D19+Mikolongwe!E19+Mikolongwe!F19</f>
        <v>2236.6</v>
      </c>
      <c r="K19" s="26">
        <f>Migowi!D19+Migowi!E19+Migowi!F19</f>
        <v>3990</v>
      </c>
      <c r="L19" s="55">
        <f>SUM(D19:K19)</f>
        <v>32860.6</v>
      </c>
    </row>
    <row r="20" spans="1:12" s="2" customFormat="1" ht="15.6" x14ac:dyDescent="0.3">
      <c r="A20" s="237" t="s">
        <v>183</v>
      </c>
      <c r="B20" s="238"/>
      <c r="C20" s="11" t="s">
        <v>152</v>
      </c>
      <c r="D20" s="26">
        <f>Mulanje!D20+Mulanje!E20+Mulanje!F20</f>
        <v>649</v>
      </c>
      <c r="E20" s="26">
        <f>Luchenza!D20+Luchenza!E20+Luchenza!F20</f>
        <v>872</v>
      </c>
      <c r="F20" s="26">
        <f>Thyolo!D20+Thyolo!E20+Thyolo!F20</f>
        <v>758</v>
      </c>
      <c r="G20" s="26">
        <f>Muloza!D20+Muloza!E20+Muloza!F20</f>
        <v>675</v>
      </c>
      <c r="H20" s="26">
        <f>MUST!D20+MUST!E20+MUST!F20</f>
        <v>2251</v>
      </c>
      <c r="I20" s="26">
        <f>Phalombe!D20+Phalombe!E20+Phalombe!F20</f>
        <v>307</v>
      </c>
      <c r="J20" s="26">
        <f>Mikolongwe!D20+Mikolongwe!E20+Mikolongwe!F20</f>
        <v>0</v>
      </c>
      <c r="K20" s="26">
        <f>Migowi!D20+Migowi!E20+Migowi!F20</f>
        <v>0</v>
      </c>
      <c r="L20" s="55">
        <f>SUM(D20:K20)</f>
        <v>5512</v>
      </c>
    </row>
    <row r="21" spans="1:12" s="73" customFormat="1" ht="15.6" x14ac:dyDescent="0.3">
      <c r="A21" s="239" t="s">
        <v>184</v>
      </c>
      <c r="B21" s="240"/>
      <c r="C21" s="62" t="s">
        <v>152</v>
      </c>
      <c r="D21" s="34">
        <f>SUM(D17:D20)</f>
        <v>23496</v>
      </c>
      <c r="E21" s="34">
        <f t="shared" ref="E21:L21" si="1">SUM(E17:E20)</f>
        <v>5742</v>
      </c>
      <c r="F21" s="34">
        <f t="shared" si="1"/>
        <v>10111</v>
      </c>
      <c r="G21" s="34">
        <f t="shared" si="1"/>
        <v>4002</v>
      </c>
      <c r="H21" s="34">
        <f t="shared" si="1"/>
        <v>2970.1</v>
      </c>
      <c r="I21" s="34">
        <f t="shared" si="1"/>
        <v>7454</v>
      </c>
      <c r="J21" s="34">
        <f t="shared" si="1"/>
        <v>3027.8999999999996</v>
      </c>
      <c r="K21" s="34">
        <f t="shared" si="1"/>
        <v>6520.6</v>
      </c>
      <c r="L21" s="55">
        <f t="shared" si="1"/>
        <v>63323.599999999991</v>
      </c>
    </row>
    <row r="22" spans="1:12" s="2" customFormat="1" ht="15.6" x14ac:dyDescent="0.3">
      <c r="A22" s="236" t="s">
        <v>185</v>
      </c>
      <c r="B22" s="223"/>
      <c r="C22" s="11" t="s">
        <v>152</v>
      </c>
      <c r="D22" s="34">
        <f>D21+D15</f>
        <v>92267</v>
      </c>
      <c r="E22" s="34">
        <f t="shared" ref="E22:L22" si="2">E21+E15</f>
        <v>33963</v>
      </c>
      <c r="F22" s="34">
        <f t="shared" si="2"/>
        <v>39756</v>
      </c>
      <c r="G22" s="34">
        <f t="shared" si="2"/>
        <v>17312</v>
      </c>
      <c r="H22" s="34">
        <f t="shared" si="2"/>
        <v>36968.1</v>
      </c>
      <c r="I22" s="34">
        <f t="shared" si="2"/>
        <v>31739</v>
      </c>
      <c r="J22" s="34">
        <f t="shared" si="2"/>
        <v>3555.8999999999996</v>
      </c>
      <c r="K22" s="34">
        <f>K21+K15</f>
        <v>6520.6</v>
      </c>
      <c r="L22" s="55">
        <f t="shared" si="2"/>
        <v>262081.59999999998</v>
      </c>
    </row>
    <row r="23" spans="1:12" x14ac:dyDescent="0.3">
      <c r="A23" s="281" t="s">
        <v>215</v>
      </c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3"/>
    </row>
    <row r="24" spans="1:12" ht="15.6" x14ac:dyDescent="0.3">
      <c r="A24" s="229" t="s">
        <v>179</v>
      </c>
      <c r="B24" s="37" t="s">
        <v>153</v>
      </c>
      <c r="C24" s="5" t="s">
        <v>152</v>
      </c>
      <c r="D24" s="54">
        <f>D9-D22</f>
        <v>34823</v>
      </c>
      <c r="E24" s="54">
        <f t="shared" ref="E24:L24" si="3">E9-E22</f>
        <v>11335</v>
      </c>
      <c r="F24" s="54">
        <f t="shared" si="3"/>
        <v>36624</v>
      </c>
      <c r="G24" s="54">
        <f t="shared" si="3"/>
        <v>4261</v>
      </c>
      <c r="H24" s="54">
        <f t="shared" si="3"/>
        <v>7017.9000000000015</v>
      </c>
      <c r="I24" s="54">
        <f t="shared" si="3"/>
        <v>8610</v>
      </c>
      <c r="J24" s="54">
        <f t="shared" si="3"/>
        <v>903.10000000000036</v>
      </c>
      <c r="K24" s="54">
        <f t="shared" si="3"/>
        <v>1930.3999999999996</v>
      </c>
      <c r="L24" s="164">
        <f t="shared" si="3"/>
        <v>105504.40000000002</v>
      </c>
    </row>
    <row r="25" spans="1:12" ht="15.6" x14ac:dyDescent="0.3">
      <c r="A25" s="231"/>
      <c r="B25" s="53" t="s">
        <v>151</v>
      </c>
      <c r="C25" s="52" t="s">
        <v>6</v>
      </c>
      <c r="D25" s="51">
        <f t="shared" ref="D25:L25" si="4">D24/D9</f>
        <v>0.27400267526949407</v>
      </c>
      <c r="E25" s="51">
        <f t="shared" si="4"/>
        <v>0.25023179831339132</v>
      </c>
      <c r="F25" s="51">
        <f t="shared" si="4"/>
        <v>0.47949725058915948</v>
      </c>
      <c r="G25" s="51">
        <f t="shared" si="4"/>
        <v>0.19751541278449913</v>
      </c>
      <c r="H25" s="51">
        <f t="shared" si="4"/>
        <v>0.15954849270222346</v>
      </c>
      <c r="I25" s="51">
        <f t="shared" si="4"/>
        <v>0.21338818805918364</v>
      </c>
      <c r="J25" s="51">
        <f t="shared" si="4"/>
        <v>0.20253420049338425</v>
      </c>
      <c r="K25" s="51">
        <f t="shared" si="4"/>
        <v>0.22842267187315107</v>
      </c>
      <c r="L25" s="153">
        <f t="shared" si="4"/>
        <v>0.2870196362211837</v>
      </c>
    </row>
    <row r="26" spans="1:12" x14ac:dyDescent="0.3">
      <c r="A26" s="281" t="s">
        <v>150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3"/>
    </row>
    <row r="27" spans="1:12" x14ac:dyDescent="0.3">
      <c r="A27" s="226" t="s">
        <v>149</v>
      </c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8"/>
    </row>
    <row r="28" spans="1:12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6"/>
    </row>
    <row r="29" spans="1:12" ht="15.6" x14ac:dyDescent="0.3">
      <c r="A29" s="249" t="s">
        <v>146</v>
      </c>
      <c r="B29" s="642">
        <v>5111.67</v>
      </c>
      <c r="C29" s="5" t="s">
        <v>140</v>
      </c>
      <c r="D29" s="26">
        <f>Mulanje!D29+Mulanje!E29+Mulanje!F29</f>
        <v>264</v>
      </c>
      <c r="E29" s="26">
        <f>Luchenza!D29+Luchenza!E29+Luchenza!F29</f>
        <v>150</v>
      </c>
      <c r="F29" s="26">
        <f>Thyolo!D29+Thyolo!E29+Thyolo!F29</f>
        <v>244</v>
      </c>
      <c r="G29" s="26">
        <f>Muloza!D29+Muloza!E29+Muloza!F29</f>
        <v>36</v>
      </c>
      <c r="H29" s="26">
        <f>MUST!D29+MUST!E29+MUST!F29</f>
        <v>42</v>
      </c>
      <c r="I29" s="26">
        <f>Phalombe!D29+Phalombe!E29+Phalombe!F29</f>
        <v>91</v>
      </c>
      <c r="J29" s="26">
        <f>Mikolongwe!D29+Mikolongwe!E29+Mikolongwe!F29</f>
        <v>12</v>
      </c>
      <c r="K29" s="26">
        <f>Migowi!D29+Migowi!E29+Migowi!F29</f>
        <v>21</v>
      </c>
      <c r="L29" s="45">
        <f>SUM(D29:K29)</f>
        <v>860</v>
      </c>
    </row>
    <row r="30" spans="1:12" ht="15.6" x14ac:dyDescent="0.3">
      <c r="A30" s="250"/>
      <c r="B30" s="642"/>
      <c r="C30" s="42" t="s">
        <v>139</v>
      </c>
      <c r="D30" s="15">
        <f t="shared" ref="D30:L30" si="5">D29/(D9/1000)</f>
        <v>2.0772680777401842</v>
      </c>
      <c r="E30" s="15">
        <f t="shared" si="5"/>
        <v>3.3114044770188529</v>
      </c>
      <c r="F30" s="15">
        <f t="shared" si="5"/>
        <v>3.1945535480492278</v>
      </c>
      <c r="G30" s="15">
        <f t="shared" si="5"/>
        <v>1.6687526074259491</v>
      </c>
      <c r="H30" s="15">
        <f t="shared" si="5"/>
        <v>0.95484927022234356</v>
      </c>
      <c r="I30" s="15">
        <f t="shared" si="5"/>
        <v>2.2553223128206401</v>
      </c>
      <c r="J30" s="15">
        <f t="shared" si="5"/>
        <v>2.6911863646557528</v>
      </c>
      <c r="K30" s="15">
        <f t="shared" si="5"/>
        <v>2.4849130280440184</v>
      </c>
      <c r="L30" s="102">
        <f t="shared" si="5"/>
        <v>2.3395885588678569</v>
      </c>
    </row>
    <row r="31" spans="1:12" ht="15.6" x14ac:dyDescent="0.3">
      <c r="A31" s="247" t="s">
        <v>145</v>
      </c>
      <c r="B31" s="642">
        <v>1537</v>
      </c>
      <c r="C31" s="5" t="s">
        <v>140</v>
      </c>
      <c r="D31" s="26">
        <f>Mulanje!D31+Mulanje!E31+Mulanje!F31</f>
        <v>0</v>
      </c>
      <c r="E31" s="26">
        <f>Luchenza!D31+Luchenza!E31+Luchenza!F31</f>
        <v>0</v>
      </c>
      <c r="F31" s="26">
        <f>Thyolo!D31+Thyolo!E31+Thyolo!F31</f>
        <v>0</v>
      </c>
      <c r="G31" s="26">
        <f>Muloza!D31+Muloza!E31+Muloza!F31</f>
        <v>0</v>
      </c>
      <c r="H31" s="26">
        <f>MUST!D31+MUST!E31+MUST!F31</f>
        <v>0</v>
      </c>
      <c r="I31" s="26">
        <f>Phalombe!D31+Phalombe!E31+Phalombe!F31</f>
        <v>0</v>
      </c>
      <c r="J31" s="26">
        <f>Mikolongwe!D31+Mikolongwe!E31+Mikolongwe!F31</f>
        <v>0</v>
      </c>
      <c r="K31" s="26">
        <f>Migowi!D31+Migowi!E31+Migowi!F31</f>
        <v>0</v>
      </c>
      <c r="L31" s="45">
        <f>SUM(D31:K31)</f>
        <v>0</v>
      </c>
    </row>
    <row r="32" spans="1:12" ht="15.6" x14ac:dyDescent="0.3">
      <c r="A32" s="248"/>
      <c r="B32" s="642"/>
      <c r="C32" s="42" t="s">
        <v>139</v>
      </c>
      <c r="D32" s="15">
        <f t="shared" ref="D32:L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02">
        <f t="shared" si="6"/>
        <v>0</v>
      </c>
    </row>
    <row r="33" spans="1:12" ht="15.6" x14ac:dyDescent="0.3">
      <c r="A33" s="247" t="s">
        <v>144</v>
      </c>
      <c r="B33" s="642">
        <v>1781.02</v>
      </c>
      <c r="C33" s="5" t="s">
        <v>140</v>
      </c>
      <c r="D33" s="26">
        <f>Mulanje!D33+Mulanje!E33+Mulanje!F33</f>
        <v>0</v>
      </c>
      <c r="E33" s="26">
        <f>Luchenza!D33+Luchenza!E33+Luchenza!F33</f>
        <v>0</v>
      </c>
      <c r="F33" s="26">
        <f>Thyolo!D33+Thyolo!E33+Thyolo!F33</f>
        <v>0</v>
      </c>
      <c r="G33" s="26">
        <f>Muloza!D33+Muloza!E33+Muloza!F33</f>
        <v>0</v>
      </c>
      <c r="H33" s="26">
        <f>MUST!D33+MUST!E33+MUST!F33</f>
        <v>0</v>
      </c>
      <c r="I33" s="26">
        <f>Phalombe!D33+Phalombe!E33+Phalombe!F33</f>
        <v>0</v>
      </c>
      <c r="J33" s="26">
        <f>Mikolongwe!D33+Mikolongwe!E33+Mikolongwe!F33</f>
        <v>0</v>
      </c>
      <c r="K33" s="26">
        <f>Migowi!D33+Migowi!E33+Migowi!F33</f>
        <v>0</v>
      </c>
      <c r="L33" s="45">
        <f>SUM(D33:K33)</f>
        <v>0</v>
      </c>
    </row>
    <row r="34" spans="1:12" ht="15.6" x14ac:dyDescent="0.3">
      <c r="A34" s="248"/>
      <c r="B34" s="642"/>
      <c r="C34" s="42" t="s">
        <v>139</v>
      </c>
      <c r="D34" s="15">
        <f t="shared" ref="D34:L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02">
        <f t="shared" si="7"/>
        <v>0</v>
      </c>
    </row>
    <row r="35" spans="1:12" ht="15.6" x14ac:dyDescent="0.3">
      <c r="A35" s="247" t="s">
        <v>143</v>
      </c>
      <c r="B35" s="642">
        <v>5979.95</v>
      </c>
      <c r="C35" s="5" t="s">
        <v>126</v>
      </c>
      <c r="D35" s="26">
        <f>Mulanje!D35+Mulanje!E35+Mulanje!F35</f>
        <v>0</v>
      </c>
      <c r="E35" s="26">
        <f>Luchenza!D35+Luchenza!E35+Luchenza!F35</f>
        <v>0</v>
      </c>
      <c r="F35" s="26">
        <f>Thyolo!D35+Thyolo!E35+Thyolo!F35</f>
        <v>228</v>
      </c>
      <c r="G35" s="26">
        <f>Muloza!D35+Muloza!E35+Muloza!F35</f>
        <v>0</v>
      </c>
      <c r="H35" s="26">
        <f>MUST!D35+MUST!E35+MUST!F35</f>
        <v>0</v>
      </c>
      <c r="I35" s="26">
        <f>Phalombe!D35+Phalombe!E35+Phalombe!F35</f>
        <v>0</v>
      </c>
      <c r="J35" s="26">
        <f>Mikolongwe!D35+Mikolongwe!E35+Mikolongwe!F35</f>
        <v>0</v>
      </c>
      <c r="K35" s="26">
        <f>Migowi!D35+Migowi!E35+Migowi!F35</f>
        <v>0</v>
      </c>
      <c r="L35" s="45">
        <f>SUM(D35:K35)</f>
        <v>228</v>
      </c>
    </row>
    <row r="36" spans="1:12" ht="15.6" x14ac:dyDescent="0.3">
      <c r="A36" s="248"/>
      <c r="B36" s="642"/>
      <c r="C36" s="5" t="s">
        <v>142</v>
      </c>
      <c r="D36" s="15">
        <f t="shared" si="7"/>
        <v>0</v>
      </c>
      <c r="E36" s="15">
        <f t="shared" si="7"/>
        <v>0</v>
      </c>
      <c r="F36" s="15">
        <f t="shared" si="7"/>
        <v>9.6475267634240254</v>
      </c>
      <c r="G36" s="15">
        <f t="shared" si="7"/>
        <v>0</v>
      </c>
      <c r="H36" s="15">
        <f t="shared" si="7"/>
        <v>0</v>
      </c>
      <c r="I36" s="15">
        <f t="shared" si="7"/>
        <v>0</v>
      </c>
      <c r="J36" s="15">
        <f t="shared" si="7"/>
        <v>0</v>
      </c>
      <c r="K36" s="15" t="e">
        <f t="shared" si="7"/>
        <v>#DIV/0!</v>
      </c>
      <c r="L36" s="40">
        <f t="shared" si="7"/>
        <v>1.5907901622187337</v>
      </c>
    </row>
    <row r="37" spans="1:12" ht="15.6" x14ac:dyDescent="0.3">
      <c r="A37" s="247" t="s">
        <v>186</v>
      </c>
      <c r="B37" s="642">
        <v>5403.75</v>
      </c>
      <c r="C37" s="5" t="s">
        <v>126</v>
      </c>
      <c r="D37" s="26">
        <f>Mulanje!D37+Mulanje!E37+Mulanje!F37</f>
        <v>0</v>
      </c>
      <c r="E37" s="26">
        <f>Luchenza!D37+Luchenza!E37+Luchenza!F37</f>
        <v>0</v>
      </c>
      <c r="F37" s="26">
        <f>Thyolo!D37+Thyolo!E37+Thyolo!F37</f>
        <v>0</v>
      </c>
      <c r="G37" s="26">
        <f>Muloza!D37+Muloza!E37+Muloza!F37</f>
        <v>0</v>
      </c>
      <c r="H37" s="26">
        <f>MUST!D37+MUST!E37+MUST!F37</f>
        <v>0</v>
      </c>
      <c r="I37" s="26">
        <f>Phalombe!D37+Phalombe!E37+Phalombe!F37</f>
        <v>0</v>
      </c>
      <c r="J37" s="26">
        <f>Mikolongwe!D37+Mikolongwe!E37+Mikolongwe!F37</f>
        <v>0</v>
      </c>
      <c r="K37" s="26">
        <f>Migowi!D37+Migowi!E37+Migowi!F37</f>
        <v>0</v>
      </c>
      <c r="L37" s="45">
        <f>SUM(D37:K37)</f>
        <v>0</v>
      </c>
    </row>
    <row r="38" spans="1:12" ht="15.6" x14ac:dyDescent="0.3">
      <c r="A38" s="248"/>
      <c r="B38" s="642"/>
      <c r="C38" s="5" t="s">
        <v>142</v>
      </c>
      <c r="D38" s="15">
        <f t="shared" si="7"/>
        <v>0</v>
      </c>
      <c r="E38" s="15">
        <f t="shared" si="7"/>
        <v>0</v>
      </c>
      <c r="F38" s="15">
        <f t="shared" si="7"/>
        <v>0</v>
      </c>
      <c r="G38" s="15">
        <f t="shared" si="7"/>
        <v>0</v>
      </c>
      <c r="H38" s="15">
        <f t="shared" si="7"/>
        <v>0</v>
      </c>
      <c r="I38" s="15">
        <f t="shared" si="7"/>
        <v>0</v>
      </c>
      <c r="J38" s="15" t="e">
        <f t="shared" si="7"/>
        <v>#DIV/0!</v>
      </c>
      <c r="K38" s="15" t="e">
        <f t="shared" si="7"/>
        <v>#DIV/0!</v>
      </c>
      <c r="L38" s="102">
        <f t="shared" si="7"/>
        <v>0</v>
      </c>
    </row>
    <row r="39" spans="1:12" ht="15.6" x14ac:dyDescent="0.3">
      <c r="A39" s="247" t="s">
        <v>141</v>
      </c>
      <c r="B39" s="642">
        <v>1950</v>
      </c>
      <c r="C39" s="5" t="s">
        <v>140</v>
      </c>
      <c r="D39" s="26">
        <f>Mulanje!D39+Mulanje!E39+Mulanje!F39</f>
        <v>0</v>
      </c>
      <c r="E39" s="26">
        <f>Luchenza!D39+Luchenza!E39+Luchenza!F39</f>
        <v>0</v>
      </c>
      <c r="F39" s="26">
        <f>Thyolo!D39+Thyolo!E39+Thyolo!F39</f>
        <v>0</v>
      </c>
      <c r="G39" s="26">
        <f>Muloza!D39+Muloza!E39+Muloza!F39</f>
        <v>0</v>
      </c>
      <c r="H39" s="26">
        <f>MUST!D39+MUST!E39+MUST!F39</f>
        <v>0</v>
      </c>
      <c r="I39" s="26">
        <f>Phalombe!D39+Phalombe!E39+Phalombe!F39</f>
        <v>0</v>
      </c>
      <c r="J39" s="26">
        <f>Mikolongwe!D39+Mikolongwe!E39+Mikolongwe!F39</f>
        <v>0</v>
      </c>
      <c r="K39" s="26">
        <f>Migowi!D39+Migowi!E39+Migowi!F39</f>
        <v>0</v>
      </c>
      <c r="L39" s="45">
        <f>SUM(D39:K39)</f>
        <v>0</v>
      </c>
    </row>
    <row r="40" spans="1:12" ht="15.6" x14ac:dyDescent="0.3">
      <c r="A40" s="248"/>
      <c r="B40" s="642"/>
      <c r="C40" s="42" t="s">
        <v>139</v>
      </c>
      <c r="D40" s="15">
        <f t="shared" ref="D40:L40" si="8">D39/(D9/1000)</f>
        <v>0</v>
      </c>
      <c r="E40" s="15">
        <f t="shared" si="8"/>
        <v>0</v>
      </c>
      <c r="F40" s="15">
        <f t="shared" si="8"/>
        <v>0</v>
      </c>
      <c r="G40" s="15">
        <f t="shared" si="8"/>
        <v>0</v>
      </c>
      <c r="H40" s="15">
        <f t="shared" si="8"/>
        <v>0</v>
      </c>
      <c r="I40" s="15">
        <f t="shared" si="8"/>
        <v>0</v>
      </c>
      <c r="J40" s="15">
        <f t="shared" si="8"/>
        <v>0</v>
      </c>
      <c r="K40" s="15">
        <f t="shared" si="8"/>
        <v>0</v>
      </c>
      <c r="L40" s="102">
        <f t="shared" si="8"/>
        <v>0</v>
      </c>
    </row>
    <row r="41" spans="1:12" ht="15.6" x14ac:dyDescent="0.3">
      <c r="A41" s="237" t="s">
        <v>138</v>
      </c>
      <c r="B41" s="238"/>
      <c r="C41" s="11" t="s">
        <v>31</v>
      </c>
      <c r="D41" s="41">
        <f>(D29*$B29)+(D31*$B31)+(D33*$B33)+(D35*$B35)+(D37*$B37)+(D39*$B39)</f>
        <v>1349480.8800000001</v>
      </c>
      <c r="E41" s="41">
        <f t="shared" ref="E41:K41" si="9">(E29*$B29)+(E31*$B31)+(E33*$B33)+(E35*$B35)+(E37*$B37)+(E39*$B39)</f>
        <v>766750.5</v>
      </c>
      <c r="F41" s="41">
        <f t="shared" si="9"/>
        <v>2610676.08</v>
      </c>
      <c r="G41" s="41">
        <f t="shared" si="9"/>
        <v>184020.12</v>
      </c>
      <c r="H41" s="41">
        <f t="shared" si="9"/>
        <v>214690.14</v>
      </c>
      <c r="I41" s="41">
        <f t="shared" si="9"/>
        <v>465161.97000000003</v>
      </c>
      <c r="J41" s="41">
        <f t="shared" si="9"/>
        <v>61340.04</v>
      </c>
      <c r="K41" s="41">
        <f t="shared" si="9"/>
        <v>107345.07</v>
      </c>
      <c r="L41" s="39">
        <f>SUM(D41:K41)</f>
        <v>5759464.7999999998</v>
      </c>
    </row>
    <row r="42" spans="1:12" ht="15.6" x14ac:dyDescent="0.3">
      <c r="A42" s="256" t="s">
        <v>137</v>
      </c>
      <c r="B42" s="257"/>
      <c r="C42" s="42" t="s">
        <v>115</v>
      </c>
      <c r="D42" s="15">
        <f t="shared" ref="D42:L42" si="10">D41/D9</f>
        <v>10.618308914942167</v>
      </c>
      <c r="E42" s="15">
        <f t="shared" si="10"/>
        <v>16.92680692304296</v>
      </c>
      <c r="F42" s="15">
        <f t="shared" si="10"/>
        <v>34.18010054988217</v>
      </c>
      <c r="G42" s="15">
        <f t="shared" si="10"/>
        <v>8.5301126408010006</v>
      </c>
      <c r="H42" s="15">
        <f t="shared" si="10"/>
        <v>4.8808743691174472</v>
      </c>
      <c r="I42" s="15">
        <f t="shared" si="10"/>
        <v>11.528463406775881</v>
      </c>
      <c r="J42" s="15">
        <f t="shared" si="10"/>
        <v>13.756456604619871</v>
      </c>
      <c r="K42" s="15">
        <f t="shared" si="10"/>
        <v>12.702055378061768</v>
      </c>
      <c r="L42" s="44">
        <f t="shared" si="10"/>
        <v>15.668346454979243</v>
      </c>
    </row>
    <row r="43" spans="1:12" x14ac:dyDescent="0.3">
      <c r="A43" s="251" t="s">
        <v>136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3"/>
    </row>
    <row r="44" spans="1:12" ht="15.6" x14ac:dyDescent="0.3">
      <c r="A44" s="237" t="s">
        <v>135</v>
      </c>
      <c r="B44" s="238"/>
      <c r="C44" s="11" t="s">
        <v>134</v>
      </c>
      <c r="D44" s="26">
        <f>Mulanje!D44+Mulanje!E44+Mulanje!F44</f>
        <v>67</v>
      </c>
      <c r="E44" s="26">
        <f>Luchenza!D44+Luchenza!E44+Luchenza!F44</f>
        <v>25105</v>
      </c>
      <c r="F44" s="26">
        <f>Thyolo!D44+Thyolo!E44+Thyolo!F44</f>
        <v>1544</v>
      </c>
      <c r="G44" s="26">
        <f>Muloza!D44+Muloza!E44+Muloza!F44</f>
        <v>21734</v>
      </c>
      <c r="H44" s="26">
        <f>MUST!D44+MUST!E44+MUST!F44</f>
        <v>19675</v>
      </c>
      <c r="I44" s="26">
        <f>Phalombe!D44+Phalombe!E44+Phalombe!F44</f>
        <v>4548.9699999999993</v>
      </c>
      <c r="J44" s="26">
        <f>Mikolongwe!D44+Mikolongwe!E44+Mikolongwe!F44</f>
        <v>1207</v>
      </c>
      <c r="K44" s="26">
        <f>Migowi!D44+Migowi!E44+Migowi!F44</f>
        <v>4361</v>
      </c>
      <c r="L44" s="39">
        <f>SUM(D44:K44)</f>
        <v>78241.97</v>
      </c>
    </row>
    <row r="45" spans="1:12" ht="15.6" x14ac:dyDescent="0.3">
      <c r="A45" s="256" t="s">
        <v>133</v>
      </c>
      <c r="B45" s="257"/>
      <c r="C45" s="42" t="s">
        <v>132</v>
      </c>
      <c r="D45" s="15">
        <f t="shared" ref="D45:L45" si="11">D44/D9</f>
        <v>5.2718545912345584E-4</v>
      </c>
      <c r="E45" s="15">
        <f t="shared" si="11"/>
        <v>0.55421872930372207</v>
      </c>
      <c r="F45" s="15">
        <f t="shared" si="11"/>
        <v>2.0214715894213146E-2</v>
      </c>
      <c r="G45" s="15">
        <f t="shared" si="11"/>
        <v>1.0074630324943217</v>
      </c>
      <c r="H45" s="15">
        <f t="shared" si="11"/>
        <v>0.4473014140863002</v>
      </c>
      <c r="I45" s="15">
        <f t="shared" si="11"/>
        <v>0.11274058836650225</v>
      </c>
      <c r="J45" s="15">
        <f t="shared" si="11"/>
        <v>0.27068849517829108</v>
      </c>
      <c r="K45" s="15">
        <f t="shared" si="11"/>
        <v>0.5160336054904745</v>
      </c>
      <c r="L45" s="102">
        <f t="shared" si="11"/>
        <v>0.21285350911079312</v>
      </c>
    </row>
    <row r="46" spans="1:12" ht="15.6" x14ac:dyDescent="0.3">
      <c r="A46" s="254" t="s">
        <v>131</v>
      </c>
      <c r="B46" s="255"/>
      <c r="C46" s="5" t="s">
        <v>31</v>
      </c>
      <c r="D46" s="26">
        <f>Mulanje!D46+Mulanje!E46+Mulanje!F46</f>
        <v>8235.64</v>
      </c>
      <c r="E46" s="26">
        <f>Luchenza!D46+Luchenza!E46+Luchenza!F46</f>
        <v>3532635.9075000002</v>
      </c>
      <c r="F46" s="26">
        <f>Thyolo!D46+Thyolo!E46+Thyolo!F46</f>
        <v>263511.81599999999</v>
      </c>
      <c r="G46" s="26">
        <f>Muloza!D46+Muloza!E46+Muloza!F46</f>
        <v>3064904.6009999998</v>
      </c>
      <c r="H46" s="26">
        <f>MUST!D46+MUST!E46+MUST!F46</f>
        <v>2779215.2625000002</v>
      </c>
      <c r="I46" s="26">
        <f>Phalombe!D46+Phalombe!E46+Phalombe!F46</f>
        <v>680455.91095499997</v>
      </c>
      <c r="J46" s="26">
        <f>Mikolongwe!D46+Mikolongwe!E46+Mikolongwe!F46</f>
        <v>216752.56049999999</v>
      </c>
      <c r="K46" s="26">
        <f>Migowi!D46+Migowi!E46+Migowi!F46</f>
        <v>654374.79149999993</v>
      </c>
      <c r="L46" s="39">
        <f>SUM(D46:K46)</f>
        <v>11200086.489955002</v>
      </c>
    </row>
    <row r="47" spans="1:12" s="2" customFormat="1" ht="15.6" x14ac:dyDescent="0.3">
      <c r="A47" s="237" t="s">
        <v>130</v>
      </c>
      <c r="B47" s="238"/>
      <c r="C47" s="11" t="s">
        <v>115</v>
      </c>
      <c r="D47" s="15">
        <f t="shared" ref="D47:L47" si="12">D46/D9</f>
        <v>6.4801636635455184E-2</v>
      </c>
      <c r="E47" s="15">
        <f t="shared" si="12"/>
        <v>77.986575731820395</v>
      </c>
      <c r="F47" s="15">
        <f t="shared" si="12"/>
        <v>3.4500106834249804</v>
      </c>
      <c r="G47" s="15">
        <f t="shared" si="12"/>
        <v>142.07132067862605</v>
      </c>
      <c r="H47" s="15">
        <f t="shared" si="12"/>
        <v>63.184087266402948</v>
      </c>
      <c r="I47" s="15">
        <f t="shared" si="12"/>
        <v>16.864257130412152</v>
      </c>
      <c r="J47" s="15">
        <f t="shared" si="12"/>
        <v>48.610127943485082</v>
      </c>
      <c r="K47" s="15">
        <f t="shared" si="12"/>
        <v>77.431640220092291</v>
      </c>
      <c r="L47" s="102">
        <f t="shared" si="12"/>
        <v>30.46929559328974</v>
      </c>
    </row>
    <row r="48" spans="1:12" x14ac:dyDescent="0.3">
      <c r="A48" s="251" t="s">
        <v>129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3"/>
    </row>
    <row r="49" spans="1:12" ht="15.6" x14ac:dyDescent="0.3">
      <c r="A49" s="237" t="s">
        <v>128</v>
      </c>
      <c r="B49" s="238"/>
      <c r="C49" s="5" t="s">
        <v>127</v>
      </c>
      <c r="D49" s="26">
        <f>Mulanje!D49+Mulanje!E49+Mulanje!F49</f>
        <v>6023</v>
      </c>
      <c r="E49" s="26">
        <f>Luchenza!D49+Luchenza!E49+Luchenza!F49</f>
        <v>0</v>
      </c>
      <c r="F49" s="26">
        <f>Thyolo!D49+Thyolo!E49+Thyolo!F49</f>
        <v>5287</v>
      </c>
      <c r="G49" s="26">
        <f>Muloza!D49+Muloza!E49+Muloza!F49</f>
        <v>4374</v>
      </c>
      <c r="H49" s="26">
        <f>MUST!D49+MUST!E49+MUST!F49</f>
        <v>6065</v>
      </c>
      <c r="I49" s="26">
        <f>Phalombe!D49+Phalombe!E49+Phalombe!F49</f>
        <v>0</v>
      </c>
      <c r="J49" s="26">
        <f>Mikolongwe!D49+Mikolongwe!E49+Mikolongwe!F49</f>
        <v>0</v>
      </c>
      <c r="K49" s="26">
        <f>Migowi!D49+Migowi!E49+Migowi!F49</f>
        <v>0</v>
      </c>
      <c r="L49" s="39">
        <f>SUM(D49:K49)</f>
        <v>21749</v>
      </c>
    </row>
    <row r="50" spans="1:12" ht="15.6" x14ac:dyDescent="0.3">
      <c r="A50" s="237" t="s">
        <v>187</v>
      </c>
      <c r="B50" s="238"/>
      <c r="C50" s="5" t="s">
        <v>126</v>
      </c>
      <c r="D50" s="26">
        <f>Mulanje!D50+Mulanje!E50+Mulanje!F50</f>
        <v>437</v>
      </c>
      <c r="E50" s="26">
        <f>Luchenza!D50+Luchenza!E50+Luchenza!F50</f>
        <v>0</v>
      </c>
      <c r="F50" s="26">
        <f>Thyolo!D50+Thyolo!E50+Thyolo!F50</f>
        <v>514</v>
      </c>
      <c r="G50" s="26">
        <f>Muloza!D50+Muloza!E50+Muloza!F50</f>
        <v>465</v>
      </c>
      <c r="H50" s="26">
        <f>MUST!D50+MUST!E50+MUST!F50</f>
        <v>287</v>
      </c>
      <c r="I50" s="26">
        <f>Phalombe!D50+Phalombe!E50+Phalombe!F50</f>
        <v>0</v>
      </c>
      <c r="J50" s="26">
        <f>Mikolongwe!D50+Mikolongwe!E50+Mikolongwe!F50</f>
        <v>0</v>
      </c>
      <c r="K50" s="26">
        <f>Migowi!D50+Migowi!E50+Migowi!F50</f>
        <v>0</v>
      </c>
      <c r="L50" s="39">
        <f>SUM(D50:K50)</f>
        <v>1703</v>
      </c>
    </row>
    <row r="51" spans="1:12" ht="15.6" x14ac:dyDescent="0.3">
      <c r="A51" s="254" t="s">
        <v>125</v>
      </c>
      <c r="B51" s="255"/>
      <c r="C51" s="5" t="s">
        <v>31</v>
      </c>
      <c r="D51" s="26">
        <f>Mulanje!D51+Mulanje!E51+Mulanje!F51</f>
        <v>839040</v>
      </c>
      <c r="E51" s="26">
        <f>Luchenza!D51+Luchenza!E51+Luchenza!F51</f>
        <v>0</v>
      </c>
      <c r="F51" s="26">
        <f>Thyolo!D51+Thyolo!E51+Thyolo!F51</f>
        <v>986880</v>
      </c>
      <c r="G51" s="26">
        <f>Muloza!D51+Muloza!E51+Muloza!F51</f>
        <v>893260.2</v>
      </c>
      <c r="H51" s="26">
        <f>MUST!D51+MUST!E51+MUST!F51</f>
        <v>575000</v>
      </c>
      <c r="I51" s="26">
        <f>Phalombe!D51+Phalombe!E51+Phalombe!F51</f>
        <v>0</v>
      </c>
      <c r="J51" s="26">
        <f>Mikolongwe!D51+Mikolongwe!E51+Mikolongwe!F51</f>
        <v>0</v>
      </c>
      <c r="K51" s="26">
        <f>Migowi!D51+Migowi!E51+Migowi!F51</f>
        <v>0</v>
      </c>
      <c r="L51" s="40">
        <f>SUM(D51:K51)</f>
        <v>3294180.2</v>
      </c>
    </row>
    <row r="52" spans="1:12" ht="15.6" x14ac:dyDescent="0.3">
      <c r="A52" s="237" t="s">
        <v>124</v>
      </c>
      <c r="B52" s="238"/>
      <c r="C52" s="5" t="s">
        <v>31</v>
      </c>
      <c r="D52" s="26">
        <f>Mulanje!D52+Mulanje!E52+Mulanje!F52</f>
        <v>0</v>
      </c>
      <c r="E52" s="26">
        <f>Luchenza!D52+Luchenza!E52+Luchenza!F52</f>
        <v>0</v>
      </c>
      <c r="F52" s="26">
        <f>Thyolo!D52+Thyolo!E52+Thyolo!F52</f>
        <v>331252</v>
      </c>
      <c r="G52" s="26">
        <f>Muloza!D52+Muloza!E52+Muloza!F52</f>
        <v>0</v>
      </c>
      <c r="H52" s="26">
        <f>MUST!D52+MUST!E52+MUST!F52</f>
        <v>0</v>
      </c>
      <c r="I52" s="26">
        <f>Phalombe!D52+Phalombe!E52+Phalombe!F52</f>
        <v>0</v>
      </c>
      <c r="J52" s="26">
        <f>Mikolongwe!D52+Mikolongwe!E52+Mikolongwe!F52</f>
        <v>0</v>
      </c>
      <c r="K52" s="26">
        <f>Migowi!D52+Migowi!E52+Migowi!F52</f>
        <v>0</v>
      </c>
      <c r="L52" s="40">
        <f>SUM(D52:K52)</f>
        <v>331252</v>
      </c>
    </row>
    <row r="53" spans="1:12" x14ac:dyDescent="0.3">
      <c r="A53" s="251" t="s">
        <v>123</v>
      </c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3"/>
    </row>
    <row r="54" spans="1:12" ht="15.6" x14ac:dyDescent="0.3">
      <c r="A54" s="237" t="s">
        <v>122</v>
      </c>
      <c r="B54" s="238"/>
      <c r="C54" s="11" t="s">
        <v>18</v>
      </c>
      <c r="D54" s="26">
        <f>Mulanje!D54+Mulanje!E54+Mulanje!F54</f>
        <v>12515645.959999999</v>
      </c>
      <c r="E54" s="26">
        <f>Luchenza!D54+Luchenza!E54+Luchenza!F54</f>
        <v>11022387.41</v>
      </c>
      <c r="F54" s="26">
        <f>Thyolo!D54+Thyolo!E54+Thyolo!F54</f>
        <v>12332785.41</v>
      </c>
      <c r="G54" s="26">
        <f>Muloza!D54+Muloza!E54+Muloza!F54</f>
        <v>7353158.5399999991</v>
      </c>
      <c r="H54" s="26">
        <f>MUST!D54+MUST!E54+MUST!F54</f>
        <v>5265022.83</v>
      </c>
      <c r="I54" s="26">
        <f>Phalombe!D54+Phalombe!E54+Phalombe!F54</f>
        <v>5589756.21</v>
      </c>
      <c r="J54" s="26">
        <f>Mikolongwe!D54+Mikolongwe!E54+Mikolongwe!F54</f>
        <v>0</v>
      </c>
      <c r="K54" s="26">
        <f>Migowi!D54+Migowi!E54+Migowi!F54</f>
        <v>0</v>
      </c>
      <c r="L54" s="39">
        <f>SUM(D54:K54)</f>
        <v>54078756.359999999</v>
      </c>
    </row>
    <row r="55" spans="1:12" ht="15.6" x14ac:dyDescent="0.3">
      <c r="A55" s="222" t="s">
        <v>121</v>
      </c>
      <c r="B55" s="223"/>
      <c r="C55" s="11" t="s">
        <v>18</v>
      </c>
      <c r="D55" s="26">
        <f>Mulanje!D55+Mulanje!E55+Mulanje!F55</f>
        <v>3774932.84</v>
      </c>
      <c r="E55" s="26">
        <f>Luchenza!D55+Luchenza!E55+Luchenza!F55</f>
        <v>3713749.47</v>
      </c>
      <c r="F55" s="26">
        <f>Thyolo!D55+Thyolo!E55+Thyolo!F55</f>
        <v>3267207.63</v>
      </c>
      <c r="G55" s="26">
        <f>Muloza!D55+Muloza!E55+Muloza!F55</f>
        <v>1780899.36</v>
      </c>
      <c r="H55" s="26">
        <f>MUST!D55+MUST!E55+MUST!F55</f>
        <v>1303912.3500000001</v>
      </c>
      <c r="I55" s="26">
        <f>Phalombe!D55+Phalombe!E55+Phalombe!F55</f>
        <v>1293974.53</v>
      </c>
      <c r="J55" s="26">
        <f>Mikolongwe!D55+Mikolongwe!E55+Mikolongwe!F55</f>
        <v>395784.6</v>
      </c>
      <c r="K55" s="26">
        <f>Migowi!D55+Migowi!E55+Migowi!F55</f>
        <v>308033.33</v>
      </c>
      <c r="L55" s="39">
        <f>SUM(D55:K55)</f>
        <v>15838494.109999999</v>
      </c>
    </row>
    <row r="56" spans="1:12" ht="15.6" x14ac:dyDescent="0.3">
      <c r="A56" s="237" t="s">
        <v>120</v>
      </c>
      <c r="B56" s="238"/>
      <c r="C56" s="5" t="s">
        <v>18</v>
      </c>
      <c r="D56" s="26">
        <f>Mulanje!D56+Mulanje!E56+Mulanje!F56</f>
        <v>1359947.33</v>
      </c>
      <c r="E56" s="26">
        <f>Luchenza!D56+Luchenza!E56+Luchenza!F56</f>
        <v>1883197.12</v>
      </c>
      <c r="F56" s="26">
        <f>Thyolo!D56+Thyolo!E56+Thyolo!F56</f>
        <v>1187315.0899999999</v>
      </c>
      <c r="G56" s="26">
        <f>Muloza!D56+Muloza!E56+Muloza!F56</f>
        <v>1364634.1</v>
      </c>
      <c r="H56" s="26">
        <f>MUST!D56+MUST!E56+MUST!F56</f>
        <v>422000</v>
      </c>
      <c r="I56" s="26">
        <f>Phalombe!D56+Phalombe!E56+Phalombe!F56</f>
        <v>516575</v>
      </c>
      <c r="J56" s="26">
        <f>Mikolongwe!D56+Mikolongwe!E56+Mikolongwe!F56</f>
        <v>140000</v>
      </c>
      <c r="K56" s="26">
        <f>Migowi!D56+Migowi!E56+Migowi!F56</f>
        <v>183220</v>
      </c>
      <c r="L56" s="39">
        <f>SUM(D56:K56)</f>
        <v>7056888.6400000006</v>
      </c>
    </row>
    <row r="57" spans="1:12" x14ac:dyDescent="0.3">
      <c r="A57" s="251" t="s">
        <v>119</v>
      </c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3"/>
    </row>
    <row r="58" spans="1:12" ht="15.6" x14ac:dyDescent="0.3">
      <c r="A58" s="254" t="s">
        <v>118</v>
      </c>
      <c r="B58" s="255"/>
      <c r="C58" s="5" t="s">
        <v>18</v>
      </c>
      <c r="D58" s="13">
        <f>D41+D46+D51+D52+D54+D55+D56</f>
        <v>19847282.649999999</v>
      </c>
      <c r="E58" s="13">
        <f t="shared" ref="E58:K58" si="13">E41+E46+E51+E52+E54+E55+E56</f>
        <v>20918720.407500003</v>
      </c>
      <c r="F58" s="13">
        <f t="shared" si="13"/>
        <v>20979628.026000001</v>
      </c>
      <c r="G58" s="13">
        <f t="shared" si="13"/>
        <v>14640876.920999998</v>
      </c>
      <c r="H58" s="13">
        <f t="shared" si="13"/>
        <v>10559840.5825</v>
      </c>
      <c r="I58" s="13">
        <f t="shared" si="13"/>
        <v>8545923.6209550016</v>
      </c>
      <c r="J58" s="13">
        <f t="shared" si="13"/>
        <v>813877.20050000004</v>
      </c>
      <c r="K58" s="13">
        <f t="shared" si="13"/>
        <v>1252973.1915</v>
      </c>
      <c r="L58" s="64">
        <f>SUM(D58:K58)</f>
        <v>97559122.599954993</v>
      </c>
    </row>
    <row r="59" spans="1:12" ht="15.6" x14ac:dyDescent="0.3">
      <c r="A59" s="254" t="s">
        <v>117</v>
      </c>
      <c r="B59" s="255"/>
      <c r="C59" s="5" t="s">
        <v>115</v>
      </c>
      <c r="D59" s="15">
        <f t="shared" ref="D59:L59" si="14">D58/D9</f>
        <v>156.16714651034698</v>
      </c>
      <c r="E59" s="15">
        <f t="shared" si="14"/>
        <v>461.80229607267432</v>
      </c>
      <c r="F59" s="15">
        <f t="shared" si="14"/>
        <v>274.67436535742343</v>
      </c>
      <c r="G59" s="15">
        <f t="shared" si="14"/>
        <v>678.6667093589208</v>
      </c>
      <c r="H59" s="15">
        <f t="shared" si="14"/>
        <v>240.07276366343837</v>
      </c>
      <c r="I59" s="15">
        <f t="shared" si="14"/>
        <v>211.80013435165682</v>
      </c>
      <c r="J59" s="15">
        <f t="shared" si="14"/>
        <v>182.52460204081635</v>
      </c>
      <c r="K59" s="15">
        <f t="shared" si="14"/>
        <v>148.26330511182107</v>
      </c>
      <c r="L59" s="102">
        <f t="shared" si="14"/>
        <v>265.40489191632702</v>
      </c>
    </row>
    <row r="60" spans="1:12" ht="15.6" x14ac:dyDescent="0.3">
      <c r="A60" s="254" t="s">
        <v>116</v>
      </c>
      <c r="B60" s="255"/>
      <c r="C60" s="5" t="s">
        <v>115</v>
      </c>
      <c r="D60" s="15">
        <f>D58/D22</f>
        <v>215.10705506844266</v>
      </c>
      <c r="E60" s="15">
        <f t="shared" ref="E60:K60" si="15">E58/E22</f>
        <v>615.92675580779087</v>
      </c>
      <c r="F60" s="15">
        <f t="shared" si="15"/>
        <v>527.70973000301842</v>
      </c>
      <c r="G60" s="15">
        <f t="shared" si="15"/>
        <v>845.70684617606275</v>
      </c>
      <c r="H60" s="15">
        <f t="shared" si="15"/>
        <v>285.64737117947635</v>
      </c>
      <c r="I60" s="15">
        <f t="shared" si="15"/>
        <v>269.25623431598353</v>
      </c>
      <c r="J60" s="15">
        <f t="shared" si="15"/>
        <v>228.88078981411178</v>
      </c>
      <c r="K60" s="15">
        <f t="shared" si="15"/>
        <v>192.15611929883752</v>
      </c>
      <c r="L60" s="103">
        <f>L58/L22</f>
        <v>372.24712684887072</v>
      </c>
    </row>
    <row r="61" spans="1:12" ht="15.6" x14ac:dyDescent="0.3">
      <c r="A61" s="237" t="s">
        <v>114</v>
      </c>
      <c r="B61" s="238"/>
      <c r="C61" s="5" t="s">
        <v>3</v>
      </c>
      <c r="D61" s="26">
        <f>Mulanje!F61</f>
        <v>12</v>
      </c>
      <c r="E61" s="26">
        <f>Luchenza!F61</f>
        <v>8</v>
      </c>
      <c r="F61" s="26">
        <f>Thyolo!F61</f>
        <v>10</v>
      </c>
      <c r="G61" s="26">
        <f>Muloza!F61</f>
        <v>6</v>
      </c>
      <c r="H61" s="26">
        <f>MUST!F61</f>
        <v>4</v>
      </c>
      <c r="I61" s="26">
        <f>Phalombe!F61</f>
        <v>4</v>
      </c>
      <c r="J61" s="26">
        <f>Mikolongwe!F61</f>
        <v>0</v>
      </c>
      <c r="K61" s="26">
        <f>Migowi!F61</f>
        <v>1</v>
      </c>
      <c r="L61" s="9">
        <f>SUM(D61:K61)</f>
        <v>45</v>
      </c>
    </row>
    <row r="62" spans="1:12" ht="15.6" customHeight="1" x14ac:dyDescent="0.3">
      <c r="A62" s="254" t="s">
        <v>113</v>
      </c>
      <c r="B62" s="255"/>
      <c r="C62" s="5" t="s">
        <v>112</v>
      </c>
      <c r="D62" s="15">
        <f t="shared" ref="D62:L62" si="16">(D61*1000*31)/D9</f>
        <v>2.9270595640884411</v>
      </c>
      <c r="E62" s="15">
        <f t="shared" si="16"/>
        <v>5.4748554020045033</v>
      </c>
      <c r="F62" s="15">
        <f t="shared" si="16"/>
        <v>4.0586540979313961</v>
      </c>
      <c r="G62" s="15">
        <f t="shared" si="16"/>
        <v>8.6218884717007374</v>
      </c>
      <c r="H62" s="15">
        <f t="shared" si="16"/>
        <v>2.8190787977992997</v>
      </c>
      <c r="I62" s="15">
        <f t="shared" si="16"/>
        <v>3.0731864482391136</v>
      </c>
      <c r="J62" s="15">
        <f t="shared" si="16"/>
        <v>0</v>
      </c>
      <c r="K62" s="15">
        <f t="shared" si="16"/>
        <v>3.6682049461602175</v>
      </c>
      <c r="L62" s="102">
        <f t="shared" si="16"/>
        <v>3.7950302786286745</v>
      </c>
    </row>
    <row r="63" spans="1:12" ht="15.6" x14ac:dyDescent="0.3">
      <c r="A63" s="258" t="s">
        <v>111</v>
      </c>
      <c r="B63" s="259"/>
      <c r="C63" s="38" t="s">
        <v>3</v>
      </c>
      <c r="D63" s="26">
        <f>Mulanje!F63</f>
        <v>27</v>
      </c>
      <c r="E63" s="26">
        <f>Luchenza!F63</f>
        <v>17</v>
      </c>
      <c r="F63" s="26">
        <f>Thyolo!F63</f>
        <v>14</v>
      </c>
      <c r="G63" s="26">
        <f>Muloza!F63</f>
        <v>9</v>
      </c>
      <c r="H63" s="26">
        <f>MUST!F63</f>
        <v>6</v>
      </c>
      <c r="I63" s="26">
        <f>Phalombe!F63</f>
        <v>7</v>
      </c>
      <c r="J63" s="26">
        <f>Mikolongwe!F63</f>
        <v>2</v>
      </c>
      <c r="K63" s="26">
        <f>Migowi!F63</f>
        <v>2</v>
      </c>
      <c r="L63" s="9">
        <f>SUM(D63:K63)</f>
        <v>84</v>
      </c>
    </row>
    <row r="64" spans="1:12" x14ac:dyDescent="0.3">
      <c r="A64" s="260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2"/>
    </row>
    <row r="65" spans="1:12" ht="14.4" customHeight="1" x14ac:dyDescent="0.3">
      <c r="A65" s="251" t="s">
        <v>110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3"/>
    </row>
    <row r="66" spans="1:12" ht="15.6" x14ac:dyDescent="0.3">
      <c r="A66" s="229" t="s">
        <v>109</v>
      </c>
      <c r="B66" s="37" t="s">
        <v>85</v>
      </c>
      <c r="C66" s="5" t="s">
        <v>3</v>
      </c>
      <c r="D66" s="26">
        <f>Mulanje!D66</f>
        <v>589</v>
      </c>
      <c r="E66" s="26">
        <f>Luchenza!D66</f>
        <v>10</v>
      </c>
      <c r="F66" s="26">
        <f>Thyolo!D66</f>
        <v>11</v>
      </c>
      <c r="G66" s="26">
        <f>Muloza!D66</f>
        <v>98</v>
      </c>
      <c r="H66" s="26">
        <f>MUST!D66</f>
        <v>5</v>
      </c>
      <c r="I66" s="26">
        <f>Phalombe!D66</f>
        <v>78</v>
      </c>
      <c r="J66" s="26">
        <f>Mikolongwe!D66</f>
        <v>0</v>
      </c>
      <c r="K66" s="26">
        <f>Migowi!D66</f>
        <v>0</v>
      </c>
      <c r="L66" s="145">
        <f>SUM(D66:K66)</f>
        <v>791</v>
      </c>
    </row>
    <row r="67" spans="1:12" ht="15.6" x14ac:dyDescent="0.3">
      <c r="A67" s="230"/>
      <c r="B67" s="24" t="s">
        <v>104</v>
      </c>
      <c r="C67" s="5" t="s">
        <v>3</v>
      </c>
      <c r="D67" s="26">
        <f>Mulanje!D67+Mulanje!E67+Mulanje!F67</f>
        <v>23</v>
      </c>
      <c r="E67" s="26">
        <f>Luchenza!D67+Luchenza!E67+Luchenza!F67</f>
        <v>43</v>
      </c>
      <c r="F67" s="26">
        <f>Thyolo!D67+Thyolo!E67+Thyolo!F67</f>
        <v>28</v>
      </c>
      <c r="G67" s="26">
        <f>Muloza!D67+Muloza!E67+Muloza!F67</f>
        <v>55</v>
      </c>
      <c r="H67" s="26">
        <f>MUST!D67+MUST!E67+MUST!F67</f>
        <v>21</v>
      </c>
      <c r="I67" s="26">
        <f>Phalombe!D67+Phalombe!E67+Phalombe!F67</f>
        <v>11</v>
      </c>
      <c r="J67" s="26">
        <f>Mikolongwe!D67+Mikolongwe!E67+Mikolongwe!F67</f>
        <v>0</v>
      </c>
      <c r="K67" s="26">
        <f>Migowi!D67+Migowi!E67+Migowi!F67</f>
        <v>0</v>
      </c>
      <c r="L67" s="145">
        <f>SUM(D67:K67)</f>
        <v>181</v>
      </c>
    </row>
    <row r="68" spans="1:12" ht="27" x14ac:dyDescent="0.3">
      <c r="A68" s="230"/>
      <c r="B68" s="24" t="s">
        <v>103</v>
      </c>
      <c r="C68" s="5" t="s">
        <v>3</v>
      </c>
      <c r="D68" s="26">
        <f>Mulanje!D68+Mulanje!E68+Mulanje!F68</f>
        <v>51</v>
      </c>
      <c r="E68" s="26">
        <f>Luchenza!D68+Luchenza!E68+Luchenza!F68</f>
        <v>27</v>
      </c>
      <c r="F68" s="26">
        <f>Thyolo!D68+Thyolo!E68+Thyolo!F68</f>
        <v>22</v>
      </c>
      <c r="G68" s="26">
        <f>Muloza!D68+Muloza!E68+Muloza!F68</f>
        <v>19</v>
      </c>
      <c r="H68" s="26">
        <f>MUST!D68+MUST!E68+MUST!F68</f>
        <v>9</v>
      </c>
      <c r="I68" s="26">
        <f>Phalombe!D68+Phalombe!E68+Phalombe!F68</f>
        <v>12</v>
      </c>
      <c r="J68" s="26">
        <f>Mikolongwe!D68+Mikolongwe!E68+Mikolongwe!F68</f>
        <v>0</v>
      </c>
      <c r="K68" s="26">
        <f>Migowi!D68+Migowi!E68+Migowi!F68</f>
        <v>0</v>
      </c>
      <c r="L68" s="145">
        <f>SUM(D68:K68)</f>
        <v>140</v>
      </c>
    </row>
    <row r="69" spans="1:12" s="2" customFormat="1" ht="27" x14ac:dyDescent="0.3">
      <c r="A69" s="230"/>
      <c r="B69" s="24" t="s">
        <v>102</v>
      </c>
      <c r="C69" s="11" t="s">
        <v>3</v>
      </c>
      <c r="D69" s="26">
        <f>Mulanje!D69+Mulanje!E69+Mulanje!F69</f>
        <v>0</v>
      </c>
      <c r="E69" s="26">
        <f>Luchenza!D69+Luchenza!E69+Luchenza!F69</f>
        <v>0</v>
      </c>
      <c r="F69" s="26">
        <f>Thyolo!D69+Thyolo!E69+Thyolo!F69</f>
        <v>0</v>
      </c>
      <c r="G69" s="26">
        <f>Muloza!D69+Muloza!E69+Muloza!F69</f>
        <v>0</v>
      </c>
      <c r="H69" s="26">
        <f>MUST!D69+MUST!E69+MUST!F69</f>
        <v>8</v>
      </c>
      <c r="I69" s="26">
        <f>Phalombe!D69+Phalombe!E69+Phalombe!F69</f>
        <v>25</v>
      </c>
      <c r="J69" s="26">
        <f>Mikolongwe!D69+Mikolongwe!E69+Mikolongwe!F69</f>
        <v>0</v>
      </c>
      <c r="K69" s="26">
        <f>Migowi!D69+Migowi!E69+Migowi!F69</f>
        <v>0</v>
      </c>
      <c r="L69" s="146">
        <f>SUM(D69:K69)</f>
        <v>33</v>
      </c>
    </row>
    <row r="70" spans="1:12" s="2" customFormat="1" ht="15.6" x14ac:dyDescent="0.3">
      <c r="A70" s="230"/>
      <c r="B70" s="24" t="s">
        <v>188</v>
      </c>
      <c r="C70" s="11" t="s">
        <v>3</v>
      </c>
      <c r="D70" s="4">
        <f>D68+D69</f>
        <v>51</v>
      </c>
      <c r="E70" s="4">
        <f t="shared" ref="E70:L70" si="17">E68+E69</f>
        <v>27</v>
      </c>
      <c r="F70" s="4">
        <f t="shared" si="17"/>
        <v>22</v>
      </c>
      <c r="G70" s="4">
        <f t="shared" si="17"/>
        <v>19</v>
      </c>
      <c r="H70" s="4">
        <f t="shared" si="17"/>
        <v>17</v>
      </c>
      <c r="I70" s="4">
        <f t="shared" si="17"/>
        <v>37</v>
      </c>
      <c r="J70" s="4">
        <f t="shared" si="17"/>
        <v>0</v>
      </c>
      <c r="K70" s="4">
        <f t="shared" si="17"/>
        <v>0</v>
      </c>
      <c r="L70" s="147">
        <f t="shared" si="17"/>
        <v>173</v>
      </c>
    </row>
    <row r="71" spans="1:12" ht="15.6" x14ac:dyDescent="0.3">
      <c r="A71" s="231"/>
      <c r="B71" s="37" t="s">
        <v>81</v>
      </c>
      <c r="C71" s="5" t="s">
        <v>3</v>
      </c>
      <c r="D71" s="26">
        <f>D66+D67-D70</f>
        <v>561</v>
      </c>
      <c r="E71" s="26">
        <f t="shared" ref="E71:K71" si="18">E66+E67-E70</f>
        <v>26</v>
      </c>
      <c r="F71" s="26">
        <f t="shared" si="18"/>
        <v>17</v>
      </c>
      <c r="G71" s="26">
        <f t="shared" si="18"/>
        <v>134</v>
      </c>
      <c r="H71" s="26">
        <f t="shared" si="18"/>
        <v>9</v>
      </c>
      <c r="I71" s="26">
        <f t="shared" si="18"/>
        <v>52</v>
      </c>
      <c r="J71" s="26">
        <f t="shared" si="18"/>
        <v>0</v>
      </c>
      <c r="K71" s="26">
        <f t="shared" si="18"/>
        <v>0</v>
      </c>
      <c r="L71" s="148">
        <f>L66+L67-L70</f>
        <v>799</v>
      </c>
    </row>
    <row r="72" spans="1:12" ht="15.6" x14ac:dyDescent="0.3">
      <c r="A72" s="229" t="s">
        <v>108</v>
      </c>
      <c r="B72" s="37" t="s">
        <v>85</v>
      </c>
      <c r="C72" s="5" t="s">
        <v>3</v>
      </c>
      <c r="D72" s="26">
        <f>Mulanje!D72</f>
        <v>1</v>
      </c>
      <c r="E72" s="26">
        <f>Luchenza!D72</f>
        <v>0</v>
      </c>
      <c r="F72" s="26">
        <f>Thyolo!D72</f>
        <v>0</v>
      </c>
      <c r="G72" s="26">
        <f>Muloza!D72</f>
        <v>0</v>
      </c>
      <c r="H72" s="26">
        <f>MUST!D72</f>
        <v>0</v>
      </c>
      <c r="I72" s="26">
        <f>Phalombe!D72</f>
        <v>0</v>
      </c>
      <c r="J72" s="26">
        <f>Mikolongwe!D72</f>
        <v>0</v>
      </c>
      <c r="K72" s="26">
        <f>Migowi!D72</f>
        <v>0</v>
      </c>
      <c r="L72" s="145">
        <f>SUM(D72:K72)</f>
        <v>1</v>
      </c>
    </row>
    <row r="73" spans="1:12" ht="15.6" x14ac:dyDescent="0.3">
      <c r="A73" s="230"/>
      <c r="B73" s="24" t="s">
        <v>104</v>
      </c>
      <c r="C73" s="5" t="s">
        <v>3</v>
      </c>
      <c r="D73" s="26">
        <f>Mulanje!D73+Mulanje!E73+Mulanje!F73</f>
        <v>0</v>
      </c>
      <c r="E73" s="26">
        <f>Luchenza!D73+Luchenza!E73+Luchenza!F73</f>
        <v>2</v>
      </c>
      <c r="F73" s="26">
        <f>Thyolo!D73+Thyolo!E73+Thyolo!F73</f>
        <v>0</v>
      </c>
      <c r="G73" s="26">
        <f>Muloza!D73+Muloza!E73+Muloza!F73</f>
        <v>1</v>
      </c>
      <c r="H73" s="26">
        <f>MUST!D73+MUST!E73+MUST!F73</f>
        <v>0</v>
      </c>
      <c r="I73" s="26">
        <f>Phalombe!D73+Phalombe!E73+Phalombe!F73</f>
        <v>0</v>
      </c>
      <c r="J73" s="26">
        <f>Mikolongwe!D73+Mikolongwe!E73+Mikolongwe!F73</f>
        <v>0</v>
      </c>
      <c r="K73" s="26">
        <f>Migowi!D73+Migowi!E73+Migowi!F73</f>
        <v>0</v>
      </c>
      <c r="L73" s="145">
        <f>SUM(D73:K73)</f>
        <v>3</v>
      </c>
    </row>
    <row r="74" spans="1:12" ht="27" x14ac:dyDescent="0.3">
      <c r="A74" s="230"/>
      <c r="B74" s="24" t="s">
        <v>103</v>
      </c>
      <c r="C74" s="5" t="s">
        <v>3</v>
      </c>
      <c r="D74" s="26">
        <f>Mulanje!D74+Mulanje!E74+Mulanje!F74</f>
        <v>0</v>
      </c>
      <c r="E74" s="26">
        <f>Luchenza!D74+Luchenza!E74+Luchenza!F74</f>
        <v>1</v>
      </c>
      <c r="F74" s="26">
        <f>Thyolo!D74+Thyolo!E74+Thyolo!F74</f>
        <v>0</v>
      </c>
      <c r="G74" s="26">
        <f>Muloza!D74+Muloza!E74+Muloza!F74</f>
        <v>0</v>
      </c>
      <c r="H74" s="26">
        <f>MUST!D74+MUST!E74+MUST!F74</f>
        <v>0</v>
      </c>
      <c r="I74" s="26">
        <f>Phalombe!D74+Phalombe!E74+Phalombe!F74</f>
        <v>0</v>
      </c>
      <c r="J74" s="26">
        <f>Mikolongwe!D74+Mikolongwe!E74+Mikolongwe!F74</f>
        <v>0</v>
      </c>
      <c r="K74" s="26">
        <f>Migowi!D74+Migowi!E74+Migowi!F74</f>
        <v>0</v>
      </c>
      <c r="L74" s="145">
        <f>SUM(D74:K74)</f>
        <v>1</v>
      </c>
    </row>
    <row r="75" spans="1:12" s="2" customFormat="1" ht="27" x14ac:dyDescent="0.3">
      <c r="A75" s="230"/>
      <c r="B75" s="24" t="s">
        <v>102</v>
      </c>
      <c r="C75" s="11" t="s">
        <v>3</v>
      </c>
      <c r="D75" s="26">
        <f>Mulanje!D75+Mulanje!E75+Mulanje!F75</f>
        <v>0</v>
      </c>
      <c r="E75" s="26">
        <f>Luchenza!D75+Luchenza!E75+Luchenza!F75</f>
        <v>0</v>
      </c>
      <c r="F75" s="26">
        <f>Thyolo!D75+Thyolo!E75+Thyolo!F75</f>
        <v>0</v>
      </c>
      <c r="G75" s="26">
        <f>Muloza!D75+Muloza!E75+Muloza!F75</f>
        <v>0</v>
      </c>
      <c r="H75" s="26">
        <f>MUST!D75+MUST!E75+MUST!F75</f>
        <v>0</v>
      </c>
      <c r="I75" s="26">
        <f>Phalombe!D75+Phalombe!E75+Phalombe!F75</f>
        <v>0</v>
      </c>
      <c r="J75" s="26">
        <f>Mikolongwe!D75+Mikolongwe!E75+Mikolongwe!F75</f>
        <v>0</v>
      </c>
      <c r="K75" s="26">
        <f>Migowi!D75+Migowi!E75+Migowi!F75</f>
        <v>0</v>
      </c>
      <c r="L75" s="145">
        <f>SUM(D75:K75)</f>
        <v>0</v>
      </c>
    </row>
    <row r="76" spans="1:12" s="2" customFormat="1" ht="15.6" x14ac:dyDescent="0.3">
      <c r="A76" s="230"/>
      <c r="B76" s="24" t="s">
        <v>188</v>
      </c>
      <c r="C76" s="11" t="s">
        <v>3</v>
      </c>
      <c r="D76" s="4">
        <f>D74+D75</f>
        <v>0</v>
      </c>
      <c r="E76" s="4">
        <f t="shared" ref="E76:L76" si="19">E74+E75</f>
        <v>1</v>
      </c>
      <c r="F76" s="4">
        <f t="shared" si="19"/>
        <v>0</v>
      </c>
      <c r="G76" s="4">
        <f t="shared" si="19"/>
        <v>0</v>
      </c>
      <c r="H76" s="4">
        <f t="shared" si="19"/>
        <v>0</v>
      </c>
      <c r="I76" s="4">
        <f t="shared" si="19"/>
        <v>0</v>
      </c>
      <c r="J76" s="4">
        <f t="shared" si="19"/>
        <v>0</v>
      </c>
      <c r="K76" s="4">
        <f t="shared" si="19"/>
        <v>0</v>
      </c>
      <c r="L76" s="147">
        <f t="shared" si="19"/>
        <v>1</v>
      </c>
    </row>
    <row r="77" spans="1:12" ht="15.6" x14ac:dyDescent="0.3">
      <c r="A77" s="231"/>
      <c r="B77" s="37" t="s">
        <v>81</v>
      </c>
      <c r="C77" s="5" t="s">
        <v>3</v>
      </c>
      <c r="D77" s="26">
        <f>D73+D74-D76</f>
        <v>0</v>
      </c>
      <c r="E77" s="26">
        <f t="shared" ref="E77:L77" si="20">E73+E74-E76</f>
        <v>2</v>
      </c>
      <c r="F77" s="26">
        <f t="shared" si="20"/>
        <v>0</v>
      </c>
      <c r="G77" s="26">
        <f t="shared" si="20"/>
        <v>1</v>
      </c>
      <c r="H77" s="26">
        <f t="shared" si="20"/>
        <v>0</v>
      </c>
      <c r="I77" s="26">
        <f t="shared" si="20"/>
        <v>0</v>
      </c>
      <c r="J77" s="26">
        <f t="shared" si="20"/>
        <v>0</v>
      </c>
      <c r="K77" s="26">
        <f t="shared" si="20"/>
        <v>0</v>
      </c>
      <c r="L77" s="148">
        <f t="shared" si="20"/>
        <v>3</v>
      </c>
    </row>
    <row r="78" spans="1:12" ht="15.6" customHeight="1" x14ac:dyDescent="0.3">
      <c r="A78" s="229" t="s">
        <v>107</v>
      </c>
      <c r="B78" s="37" t="s">
        <v>85</v>
      </c>
      <c r="C78" s="5" t="s">
        <v>3</v>
      </c>
      <c r="D78" s="26">
        <f>Mulanje!D78</f>
        <v>1</v>
      </c>
      <c r="E78" s="26">
        <f>Luchenza!D78</f>
        <v>0</v>
      </c>
      <c r="F78" s="26">
        <f>Thyolo!D78</f>
        <v>0</v>
      </c>
      <c r="G78" s="26">
        <f>Muloza!D78</f>
        <v>0</v>
      </c>
      <c r="H78" s="26">
        <f>MUST!D78</f>
        <v>0</v>
      </c>
      <c r="I78" s="26">
        <f>Phalombe!D78</f>
        <v>4</v>
      </c>
      <c r="J78" s="26">
        <f>Mikolongwe!D78</f>
        <v>0</v>
      </c>
      <c r="K78" s="26">
        <f>Migowi!D78</f>
        <v>0</v>
      </c>
      <c r="L78" s="145">
        <f>SUM(D78:K78)</f>
        <v>5</v>
      </c>
    </row>
    <row r="79" spans="1:12" ht="15.6" x14ac:dyDescent="0.3">
      <c r="A79" s="230"/>
      <c r="B79" s="24" t="s">
        <v>104</v>
      </c>
      <c r="C79" s="5" t="s">
        <v>3</v>
      </c>
      <c r="D79" s="26">
        <f>Mulanje!D79+Mulanje!E79+Mulanje!F79</f>
        <v>4</v>
      </c>
      <c r="E79" s="26">
        <f>Luchenza!D79+Luchenza!E79+Luchenza!F79</f>
        <v>0</v>
      </c>
      <c r="F79" s="26">
        <f>Thyolo!D79+Thyolo!E79+Thyolo!F79</f>
        <v>1</v>
      </c>
      <c r="G79" s="26">
        <f>Muloza!D79+Muloza!E79+Muloza!F79</f>
        <v>1</v>
      </c>
      <c r="H79" s="26">
        <f>MUST!D79+MUST!E79+MUST!F79</f>
        <v>0</v>
      </c>
      <c r="I79" s="26">
        <f>Phalombe!D79+Phalombe!E79+Phalombe!F79</f>
        <v>0</v>
      </c>
      <c r="J79" s="26">
        <f>Mikolongwe!D79+Mikolongwe!E79+Mikolongwe!F79</f>
        <v>0</v>
      </c>
      <c r="K79" s="26">
        <f>Migowi!D79+Migowi!E79+Migowi!F79</f>
        <v>0</v>
      </c>
      <c r="L79" s="145">
        <f>SUM(D79:K79)</f>
        <v>6</v>
      </c>
    </row>
    <row r="80" spans="1:12" ht="27" x14ac:dyDescent="0.3">
      <c r="A80" s="230"/>
      <c r="B80" s="24" t="s">
        <v>103</v>
      </c>
      <c r="C80" s="5" t="s">
        <v>3</v>
      </c>
      <c r="D80" s="26">
        <f>Mulanje!D80+Mulanje!E80+Mulanje!F80</f>
        <v>0</v>
      </c>
      <c r="E80" s="26">
        <f>Luchenza!D80+Luchenza!E80+Luchenza!F80</f>
        <v>0</v>
      </c>
      <c r="F80" s="26">
        <f>Thyolo!D80+Thyolo!E80+Thyolo!F80</f>
        <v>0</v>
      </c>
      <c r="G80" s="26">
        <f>Muloza!D80+Muloza!E80+Muloza!F80</f>
        <v>1</v>
      </c>
      <c r="H80" s="26">
        <f>MUST!D80+MUST!E80+MUST!F80</f>
        <v>0</v>
      </c>
      <c r="I80" s="26">
        <f>Phalombe!D80+Phalombe!E80+Phalombe!F80</f>
        <v>0</v>
      </c>
      <c r="J80" s="26">
        <f>Mikolongwe!D80+Mikolongwe!E80+Mikolongwe!F80</f>
        <v>0</v>
      </c>
      <c r="K80" s="26">
        <f>Migowi!D80+Migowi!E80+Migowi!F80</f>
        <v>0</v>
      </c>
      <c r="L80" s="145">
        <f>SUM(D80:K80)</f>
        <v>1</v>
      </c>
    </row>
    <row r="81" spans="1:12" s="2" customFormat="1" ht="27" x14ac:dyDescent="0.3">
      <c r="A81" s="230"/>
      <c r="B81" s="24" t="s">
        <v>102</v>
      </c>
      <c r="C81" s="11" t="s">
        <v>3</v>
      </c>
      <c r="D81" s="26">
        <f>Mulanje!D81+Mulanje!E81+Mulanje!F81</f>
        <v>4</v>
      </c>
      <c r="E81" s="26">
        <f>Luchenza!D81+Luchenza!E81+Luchenza!F81</f>
        <v>0</v>
      </c>
      <c r="F81" s="26">
        <f>Thyolo!D81+Thyolo!E81+Thyolo!F81</f>
        <v>1</v>
      </c>
      <c r="G81" s="26">
        <f>Muloza!D81+Muloza!E81+Muloza!F81</f>
        <v>0</v>
      </c>
      <c r="H81" s="26">
        <f>MUST!D81+MUST!E81+MUST!F81</f>
        <v>0</v>
      </c>
      <c r="I81" s="26">
        <f>Phalombe!D81+Phalombe!E81+Phalombe!F81</f>
        <v>0</v>
      </c>
      <c r="J81" s="26">
        <f>Mikolongwe!D81+Mikolongwe!E81+Mikolongwe!F81</f>
        <v>0</v>
      </c>
      <c r="K81" s="26">
        <f>Migowi!D81+Migowi!E81+Migowi!F81</f>
        <v>0</v>
      </c>
      <c r="L81" s="146">
        <f>SUM(D81:K81)</f>
        <v>5</v>
      </c>
    </row>
    <row r="82" spans="1:12" s="2" customFormat="1" ht="15.6" x14ac:dyDescent="0.3">
      <c r="A82" s="230"/>
      <c r="B82" s="24" t="s">
        <v>188</v>
      </c>
      <c r="C82" s="11" t="s">
        <v>3</v>
      </c>
      <c r="D82" s="4">
        <f>D81+D80</f>
        <v>4</v>
      </c>
      <c r="E82" s="4">
        <f t="shared" ref="E82:L82" si="21">E81+E80</f>
        <v>0</v>
      </c>
      <c r="F82" s="4">
        <f t="shared" si="21"/>
        <v>1</v>
      </c>
      <c r="G82" s="4">
        <f t="shared" si="21"/>
        <v>1</v>
      </c>
      <c r="H82" s="4">
        <f t="shared" si="21"/>
        <v>0</v>
      </c>
      <c r="I82" s="4">
        <f t="shared" si="21"/>
        <v>0</v>
      </c>
      <c r="J82" s="4">
        <f t="shared" si="21"/>
        <v>0</v>
      </c>
      <c r="K82" s="4">
        <f t="shared" si="21"/>
        <v>0</v>
      </c>
      <c r="L82" s="147">
        <f t="shared" si="21"/>
        <v>6</v>
      </c>
    </row>
    <row r="83" spans="1:12" ht="15.6" x14ac:dyDescent="0.3">
      <c r="A83" s="231"/>
      <c r="B83" s="37" t="s">
        <v>81</v>
      </c>
      <c r="C83" s="5" t="s">
        <v>3</v>
      </c>
      <c r="D83" s="26">
        <f>D78+D79-D82</f>
        <v>1</v>
      </c>
      <c r="E83" s="26">
        <f t="shared" ref="E83:L83" si="22">E78+E79-E82</f>
        <v>0</v>
      </c>
      <c r="F83" s="26">
        <f t="shared" si="22"/>
        <v>0</v>
      </c>
      <c r="G83" s="26">
        <f t="shared" si="22"/>
        <v>0</v>
      </c>
      <c r="H83" s="26">
        <f t="shared" si="22"/>
        <v>0</v>
      </c>
      <c r="I83" s="26">
        <f t="shared" si="22"/>
        <v>4</v>
      </c>
      <c r="J83" s="26">
        <f t="shared" si="22"/>
        <v>0</v>
      </c>
      <c r="K83" s="26">
        <f t="shared" si="22"/>
        <v>0</v>
      </c>
      <c r="L83" s="148">
        <f t="shared" si="22"/>
        <v>5</v>
      </c>
    </row>
    <row r="84" spans="1:12" ht="15.6" x14ac:dyDescent="0.3">
      <c r="A84" s="265" t="s">
        <v>106</v>
      </c>
      <c r="B84" s="37" t="s">
        <v>85</v>
      </c>
      <c r="C84" s="5" t="s">
        <v>3</v>
      </c>
      <c r="D84" s="26">
        <f>Mulanje!D84</f>
        <v>0</v>
      </c>
      <c r="E84" s="26">
        <f>Luchenza!D84</f>
        <v>0</v>
      </c>
      <c r="F84" s="26">
        <f>Thyolo!D84</f>
        <v>0</v>
      </c>
      <c r="G84" s="26">
        <f>Muloza!D84</f>
        <v>0</v>
      </c>
      <c r="H84" s="26">
        <f>MUST!D84</f>
        <v>0</v>
      </c>
      <c r="I84" s="26">
        <f>Phalombe!D84</f>
        <v>0</v>
      </c>
      <c r="J84" s="26">
        <f>Mikolongwe!D84</f>
        <v>0</v>
      </c>
      <c r="K84" s="26">
        <f>Migowi!D84</f>
        <v>0</v>
      </c>
      <c r="L84" s="145">
        <f>SUM(D84:K84)</f>
        <v>0</v>
      </c>
    </row>
    <row r="85" spans="1:12" ht="15.6" x14ac:dyDescent="0.3">
      <c r="A85" s="266"/>
      <c r="B85" s="37" t="s">
        <v>104</v>
      </c>
      <c r="C85" s="5" t="s">
        <v>3</v>
      </c>
      <c r="D85" s="26">
        <f>Mulanje!D85+Mulanje!E85+Mulanje!F85</f>
        <v>0</v>
      </c>
      <c r="E85" s="26">
        <f>Luchenza!D85+Luchenza!E85+Luchenza!F85</f>
        <v>0</v>
      </c>
      <c r="F85" s="26">
        <f>Thyolo!D85+Thyolo!E85+Thyolo!F85</f>
        <v>0</v>
      </c>
      <c r="G85" s="26">
        <f>Muloza!D85+Muloza!E85+Muloza!F85</f>
        <v>0</v>
      </c>
      <c r="H85" s="26">
        <f>MUST!D85+MUST!E85+MUST!F85</f>
        <v>0</v>
      </c>
      <c r="I85" s="26">
        <f>Phalombe!D85+Phalombe!E85+Phalombe!F85</f>
        <v>0</v>
      </c>
      <c r="J85" s="26">
        <f>Mikolongwe!D85+Mikolongwe!E85+Mikolongwe!F85</f>
        <v>0</v>
      </c>
      <c r="K85" s="26">
        <f>Migowi!D85+Migowi!E85+Migowi!F85</f>
        <v>0</v>
      </c>
      <c r="L85" s="145">
        <f>SUM(D85:K85)</f>
        <v>0</v>
      </c>
    </row>
    <row r="86" spans="1:12" ht="27" x14ac:dyDescent="0.3">
      <c r="A86" s="266"/>
      <c r="B86" s="37" t="s">
        <v>103</v>
      </c>
      <c r="C86" s="5" t="s">
        <v>3</v>
      </c>
      <c r="D86" s="26">
        <f>Mulanje!D86+Mulanje!E86+Mulanje!F86</f>
        <v>0</v>
      </c>
      <c r="E86" s="26">
        <f>Luchenza!D86+Luchenza!E86+Luchenza!F86</f>
        <v>0</v>
      </c>
      <c r="F86" s="26">
        <f>Thyolo!D86+Thyolo!E86+Thyolo!F86</f>
        <v>0</v>
      </c>
      <c r="G86" s="26">
        <f>Muloza!D86+Muloza!E86+Muloza!F86</f>
        <v>0</v>
      </c>
      <c r="H86" s="26">
        <f>MUST!D86+MUST!E86+MUST!F86</f>
        <v>0</v>
      </c>
      <c r="I86" s="26">
        <f>Phalombe!D86+Phalombe!E86+Phalombe!F86</f>
        <v>0</v>
      </c>
      <c r="J86" s="26">
        <f>Mikolongwe!D86+Mikolongwe!E86+Mikolongwe!F86</f>
        <v>0</v>
      </c>
      <c r="K86" s="26">
        <f>Migowi!D86+Migowi!E86+Migowi!F86</f>
        <v>0</v>
      </c>
      <c r="L86" s="145">
        <f>SUM(D86:K86)</f>
        <v>0</v>
      </c>
    </row>
    <row r="87" spans="1:12" s="2" customFormat="1" ht="27" x14ac:dyDescent="0.3">
      <c r="A87" s="266"/>
      <c r="B87" s="24" t="s">
        <v>102</v>
      </c>
      <c r="C87" s="11" t="s">
        <v>3</v>
      </c>
      <c r="D87" s="26">
        <f>Mulanje!D87+Mulanje!E87+Mulanje!F87</f>
        <v>0</v>
      </c>
      <c r="E87" s="26">
        <f>Luchenza!D87+Luchenza!E87+Luchenza!F87</f>
        <v>0</v>
      </c>
      <c r="F87" s="26">
        <f>Thyolo!D87+Thyolo!E87+Thyolo!F87</f>
        <v>0</v>
      </c>
      <c r="G87" s="26">
        <f>Muloza!D87+Muloza!E87+Muloza!F87</f>
        <v>0</v>
      </c>
      <c r="H87" s="26">
        <f>MUST!D87+MUST!E87+MUST!F87</f>
        <v>0</v>
      </c>
      <c r="I87" s="26">
        <f>Phalombe!D87+Phalombe!E87+Phalombe!F87</f>
        <v>0</v>
      </c>
      <c r="J87" s="26">
        <f>Mikolongwe!D87+Mikolongwe!E87+Mikolongwe!F87</f>
        <v>0</v>
      </c>
      <c r="K87" s="26">
        <f>Migowi!D87+Migowi!E87+Migowi!F87</f>
        <v>0</v>
      </c>
      <c r="L87" s="146">
        <f>SUM(D87:K87)</f>
        <v>0</v>
      </c>
    </row>
    <row r="88" spans="1:12" s="2" customFormat="1" ht="15.6" x14ac:dyDescent="0.3">
      <c r="A88" s="266"/>
      <c r="B88" s="24" t="s">
        <v>188</v>
      </c>
      <c r="C88" s="11" t="s">
        <v>3</v>
      </c>
      <c r="D88" s="4">
        <f>D87+D86</f>
        <v>0</v>
      </c>
      <c r="E88" s="4">
        <f t="shared" ref="E88:K88" si="23">E87+E86</f>
        <v>0</v>
      </c>
      <c r="F88" s="4">
        <f t="shared" si="23"/>
        <v>0</v>
      </c>
      <c r="G88" s="4">
        <f t="shared" si="23"/>
        <v>0</v>
      </c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146">
        <f>SUM(D88:K88)</f>
        <v>0</v>
      </c>
    </row>
    <row r="89" spans="1:12" ht="15.6" x14ac:dyDescent="0.3">
      <c r="A89" s="267"/>
      <c r="B89" s="36" t="s">
        <v>81</v>
      </c>
      <c r="C89" s="5" t="s">
        <v>3</v>
      </c>
      <c r="D89" s="26">
        <f>D84+D85-D88</f>
        <v>0</v>
      </c>
      <c r="E89" s="26">
        <f t="shared" ref="E89:K89" si="24">E84+E85-E88</f>
        <v>0</v>
      </c>
      <c r="F89" s="26">
        <f t="shared" si="24"/>
        <v>0</v>
      </c>
      <c r="G89" s="26">
        <f t="shared" si="24"/>
        <v>0</v>
      </c>
      <c r="H89" s="26">
        <f t="shared" si="24"/>
        <v>0</v>
      </c>
      <c r="I89" s="26">
        <f t="shared" si="24"/>
        <v>0</v>
      </c>
      <c r="J89" s="26">
        <f t="shared" si="24"/>
        <v>0</v>
      </c>
      <c r="K89" s="26">
        <f t="shared" si="24"/>
        <v>0</v>
      </c>
      <c r="L89" s="148">
        <f t="shared" ref="L89" si="25">L84+L85-L86-L87</f>
        <v>0</v>
      </c>
    </row>
    <row r="90" spans="1:12" ht="15.6" x14ac:dyDescent="0.3">
      <c r="A90" s="268" t="s">
        <v>105</v>
      </c>
      <c r="B90" s="24" t="s">
        <v>85</v>
      </c>
      <c r="C90" s="11" t="s">
        <v>3</v>
      </c>
      <c r="D90" s="135">
        <f>D66+D72+D78+D84</f>
        <v>591</v>
      </c>
      <c r="E90" s="135">
        <f t="shared" ref="E90:K90" si="26">E66+E72+E78+E84</f>
        <v>10</v>
      </c>
      <c r="F90" s="135">
        <f t="shared" si="26"/>
        <v>11</v>
      </c>
      <c r="G90" s="135">
        <f t="shared" si="26"/>
        <v>98</v>
      </c>
      <c r="H90" s="135">
        <f t="shared" si="26"/>
        <v>5</v>
      </c>
      <c r="I90" s="135">
        <f t="shared" si="26"/>
        <v>82</v>
      </c>
      <c r="J90" s="135">
        <f t="shared" si="26"/>
        <v>0</v>
      </c>
      <c r="K90" s="135">
        <f t="shared" si="26"/>
        <v>0</v>
      </c>
      <c r="L90" s="145">
        <f>SUM(D90:K90)</f>
        <v>797</v>
      </c>
    </row>
    <row r="91" spans="1:12" ht="15.6" x14ac:dyDescent="0.3">
      <c r="A91" s="269"/>
      <c r="B91" s="24" t="s">
        <v>104</v>
      </c>
      <c r="C91" s="11" t="s">
        <v>3</v>
      </c>
      <c r="D91" s="135">
        <f t="shared" ref="D91:K93" si="27">D67+D73+D79+D85</f>
        <v>27</v>
      </c>
      <c r="E91" s="135">
        <f t="shared" si="27"/>
        <v>45</v>
      </c>
      <c r="F91" s="135">
        <f t="shared" si="27"/>
        <v>29</v>
      </c>
      <c r="G91" s="135">
        <f t="shared" si="27"/>
        <v>57</v>
      </c>
      <c r="H91" s="135">
        <f t="shared" si="27"/>
        <v>21</v>
      </c>
      <c r="I91" s="135">
        <f t="shared" si="27"/>
        <v>11</v>
      </c>
      <c r="J91" s="135">
        <f t="shared" si="27"/>
        <v>0</v>
      </c>
      <c r="K91" s="135">
        <f t="shared" si="27"/>
        <v>0</v>
      </c>
      <c r="L91" s="145">
        <f>SUM(D91:K91)</f>
        <v>190</v>
      </c>
    </row>
    <row r="92" spans="1:12" ht="27" x14ac:dyDescent="0.3">
      <c r="A92" s="269"/>
      <c r="B92" s="24" t="s">
        <v>103</v>
      </c>
      <c r="C92" s="11" t="s">
        <v>3</v>
      </c>
      <c r="D92" s="135">
        <f t="shared" si="27"/>
        <v>51</v>
      </c>
      <c r="E92" s="135">
        <f t="shared" si="27"/>
        <v>28</v>
      </c>
      <c r="F92" s="135">
        <f t="shared" si="27"/>
        <v>22</v>
      </c>
      <c r="G92" s="135">
        <f t="shared" si="27"/>
        <v>20</v>
      </c>
      <c r="H92" s="135">
        <f t="shared" si="27"/>
        <v>9</v>
      </c>
      <c r="I92" s="135">
        <f t="shared" si="27"/>
        <v>12</v>
      </c>
      <c r="J92" s="135">
        <f t="shared" si="27"/>
        <v>0</v>
      </c>
      <c r="K92" s="135">
        <f t="shared" si="27"/>
        <v>0</v>
      </c>
      <c r="L92" s="145">
        <f>SUM(D92:K92)</f>
        <v>142</v>
      </c>
    </row>
    <row r="93" spans="1:12" s="2" customFormat="1" ht="27" x14ac:dyDescent="0.3">
      <c r="A93" s="269"/>
      <c r="B93" s="24" t="s">
        <v>102</v>
      </c>
      <c r="C93" s="11"/>
      <c r="D93" s="135">
        <f t="shared" si="27"/>
        <v>4</v>
      </c>
      <c r="E93" s="135">
        <f t="shared" si="27"/>
        <v>0</v>
      </c>
      <c r="F93" s="135">
        <f t="shared" si="27"/>
        <v>1</v>
      </c>
      <c r="G93" s="135">
        <f t="shared" si="27"/>
        <v>0</v>
      </c>
      <c r="H93" s="135">
        <f t="shared" si="27"/>
        <v>8</v>
      </c>
      <c r="I93" s="135">
        <f t="shared" si="27"/>
        <v>25</v>
      </c>
      <c r="J93" s="135">
        <f t="shared" si="27"/>
        <v>0</v>
      </c>
      <c r="K93" s="135">
        <f t="shared" si="27"/>
        <v>0</v>
      </c>
      <c r="L93" s="145">
        <f>SUM(D93:K93)</f>
        <v>38</v>
      </c>
    </row>
    <row r="94" spans="1:12" s="2" customFormat="1" ht="15.6" x14ac:dyDescent="0.3">
      <c r="A94" s="269"/>
      <c r="B94" s="24" t="s">
        <v>188</v>
      </c>
      <c r="C94" s="11" t="s">
        <v>3</v>
      </c>
      <c r="D94" s="136">
        <f>D93+D92</f>
        <v>55</v>
      </c>
      <c r="E94" s="136">
        <f t="shared" ref="E94:K94" si="28">E93+E92</f>
        <v>28</v>
      </c>
      <c r="F94" s="136">
        <f t="shared" si="28"/>
        <v>23</v>
      </c>
      <c r="G94" s="136">
        <f t="shared" si="28"/>
        <v>20</v>
      </c>
      <c r="H94" s="136">
        <f t="shared" si="28"/>
        <v>17</v>
      </c>
      <c r="I94" s="136">
        <f t="shared" si="28"/>
        <v>37</v>
      </c>
      <c r="J94" s="136">
        <f t="shared" si="28"/>
        <v>0</v>
      </c>
      <c r="K94" s="136">
        <f t="shared" si="28"/>
        <v>0</v>
      </c>
      <c r="L94" s="149">
        <f t="shared" ref="L94" si="29">L93+L92</f>
        <v>180</v>
      </c>
    </row>
    <row r="95" spans="1:12" ht="16.2" thickBot="1" x14ac:dyDescent="0.35">
      <c r="A95" s="270"/>
      <c r="B95" s="24" t="s">
        <v>81</v>
      </c>
      <c r="C95" s="11" t="s">
        <v>3</v>
      </c>
      <c r="D95" s="137">
        <f>D90+D91-D94</f>
        <v>563</v>
      </c>
      <c r="E95" s="137">
        <f t="shared" ref="E95:K95" si="30">E90+E91-E94</f>
        <v>27</v>
      </c>
      <c r="F95" s="137">
        <f t="shared" si="30"/>
        <v>17</v>
      </c>
      <c r="G95" s="137">
        <f t="shared" si="30"/>
        <v>135</v>
      </c>
      <c r="H95" s="137">
        <f t="shared" si="30"/>
        <v>9</v>
      </c>
      <c r="I95" s="137">
        <f t="shared" si="30"/>
        <v>56</v>
      </c>
      <c r="J95" s="137">
        <f t="shared" si="30"/>
        <v>0</v>
      </c>
      <c r="K95" s="137">
        <f t="shared" si="30"/>
        <v>0</v>
      </c>
      <c r="L95" s="150">
        <f t="shared" ref="L95" si="31">L90+L91-L94</f>
        <v>807</v>
      </c>
    </row>
    <row r="96" spans="1:12" ht="16.2" customHeight="1" thickBot="1" x14ac:dyDescent="0.35">
      <c r="A96" s="274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6"/>
    </row>
    <row r="97" spans="1:12" s="2" customFormat="1" ht="15.75" customHeight="1" thickBot="1" x14ac:dyDescent="0.35">
      <c r="A97" s="271" t="s">
        <v>189</v>
      </c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3"/>
    </row>
    <row r="98" spans="1:12" ht="15.6" x14ac:dyDescent="0.3">
      <c r="A98" s="88" t="s">
        <v>190</v>
      </c>
      <c r="B98" s="69"/>
      <c r="C98" s="11" t="s">
        <v>3</v>
      </c>
      <c r="D98" s="26">
        <f>Mulanje!D98+Mulanje!E98+Mulanje!F98</f>
        <v>5</v>
      </c>
      <c r="E98" s="26">
        <f>Luchenza!D98+Luchenza!E98+Luchenza!F98</f>
        <v>0</v>
      </c>
      <c r="F98" s="26">
        <f>Thyolo!D98+Thyolo!E98+Thyolo!F98</f>
        <v>3</v>
      </c>
      <c r="G98" s="26">
        <f>Muloza!D98+Muloza!E98+Muloza!F98</f>
        <v>0</v>
      </c>
      <c r="H98" s="26">
        <f>MUST!D98+MUST!E98+MUST!F98</f>
        <v>8</v>
      </c>
      <c r="I98" s="26">
        <f>Phalombe!D98+Phalombe!E98+Phalombe!F98</f>
        <v>31</v>
      </c>
      <c r="J98" s="26">
        <f>Mikolongwe!D98+Mikolongwe!E98+Mikolongwe!F98</f>
        <v>0</v>
      </c>
      <c r="K98" s="26">
        <f>Migowi!D98+Migowi!E98+Migowi!F98</f>
        <v>1</v>
      </c>
      <c r="L98" s="107">
        <f>SUM(D98:K98)</f>
        <v>48</v>
      </c>
    </row>
    <row r="99" spans="1:12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106"/>
    </row>
    <row r="100" spans="1:12" s="2" customFormat="1" x14ac:dyDescent="0.3">
      <c r="A100" s="277" t="s">
        <v>101</v>
      </c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9"/>
    </row>
    <row r="101" spans="1:12" ht="15.6" x14ac:dyDescent="0.3">
      <c r="A101" s="237" t="s">
        <v>100</v>
      </c>
      <c r="B101" s="238"/>
      <c r="C101" s="11" t="s">
        <v>3</v>
      </c>
      <c r="D101" s="26">
        <f>Mulanje!F101</f>
        <v>638</v>
      </c>
      <c r="E101" s="26">
        <f>Luchenza!F101</f>
        <v>941</v>
      </c>
      <c r="F101" s="26">
        <f>Thyolo!F101</f>
        <v>497</v>
      </c>
      <c r="G101" s="26">
        <f>Muloza!F101</f>
        <v>478</v>
      </c>
      <c r="H101" s="26">
        <f>MUST!F101</f>
        <v>17</v>
      </c>
      <c r="I101" s="26">
        <f>Phalombe!F101</f>
        <v>207</v>
      </c>
      <c r="J101" s="26">
        <f>Mikolongwe!F101</f>
        <v>14</v>
      </c>
      <c r="K101" s="26">
        <f>Migowi!F101</f>
        <v>0</v>
      </c>
      <c r="L101" s="55">
        <f>SUM(D101:K101)</f>
        <v>2792</v>
      </c>
    </row>
    <row r="102" spans="1:12" ht="15.6" x14ac:dyDescent="0.3">
      <c r="A102" s="237" t="s">
        <v>99</v>
      </c>
      <c r="B102" s="238"/>
      <c r="C102" s="11" t="s">
        <v>3</v>
      </c>
      <c r="D102" s="26">
        <f>Mulanje!F102</f>
        <v>27</v>
      </c>
      <c r="E102" s="26">
        <f>Luchenza!F102</f>
        <v>12</v>
      </c>
      <c r="F102" s="26">
        <f>Thyolo!F102</f>
        <v>14</v>
      </c>
      <c r="G102" s="26">
        <f>Muloza!F102</f>
        <v>18</v>
      </c>
      <c r="H102" s="26">
        <f>MUST!F102</f>
        <v>1</v>
      </c>
      <c r="I102" s="26">
        <f>Phalombe!F102</f>
        <v>14</v>
      </c>
      <c r="J102" s="26">
        <f>Mikolongwe!F102</f>
        <v>1</v>
      </c>
      <c r="K102" s="26">
        <f>Migowi!F102</f>
        <v>0</v>
      </c>
      <c r="L102" s="55">
        <f>SUM(D102:K102)</f>
        <v>87</v>
      </c>
    </row>
    <row r="103" spans="1:12" ht="15.6" customHeight="1" x14ac:dyDescent="0.3">
      <c r="A103" s="243" t="s">
        <v>98</v>
      </c>
      <c r="B103" s="244"/>
      <c r="C103" s="11" t="s">
        <v>3</v>
      </c>
      <c r="D103" s="26">
        <f>Mulanje!F103</f>
        <v>7</v>
      </c>
      <c r="E103" s="26">
        <f>Luchenza!F103</f>
        <v>29</v>
      </c>
      <c r="F103" s="26">
        <f>Thyolo!F103</f>
        <v>60</v>
      </c>
      <c r="G103" s="26">
        <f>Muloza!F103</f>
        <v>75</v>
      </c>
      <c r="H103" s="26">
        <f>MUST!F103</f>
        <v>11</v>
      </c>
      <c r="I103" s="26">
        <f>Phalombe!F103</f>
        <v>24</v>
      </c>
      <c r="J103" s="26">
        <f>Mikolongwe!F103</f>
        <v>1</v>
      </c>
      <c r="K103" s="26">
        <f>Migowi!F103</f>
        <v>0</v>
      </c>
      <c r="L103" s="55">
        <f>SUM(D103:K103)</f>
        <v>207</v>
      </c>
    </row>
    <row r="104" spans="1:12" ht="15.6" x14ac:dyDescent="0.3">
      <c r="A104" s="243" t="s">
        <v>97</v>
      </c>
      <c r="B104" s="244"/>
      <c r="C104" s="11" t="s">
        <v>3</v>
      </c>
      <c r="D104" s="26">
        <f>Mulanje!F104</f>
        <v>15</v>
      </c>
      <c r="E104" s="26">
        <f>Luchenza!F104</f>
        <v>16</v>
      </c>
      <c r="F104" s="26">
        <f>Thyolo!F104</f>
        <v>16</v>
      </c>
      <c r="G104" s="26">
        <f>Muloza!F104</f>
        <v>0</v>
      </c>
      <c r="H104" s="26">
        <f>MUST!F104</f>
        <v>0</v>
      </c>
      <c r="I104" s="26">
        <f>Phalombe!F104</f>
        <v>0</v>
      </c>
      <c r="J104" s="26">
        <f>Mikolongwe!F104</f>
        <v>0</v>
      </c>
      <c r="K104" s="26">
        <f>Migowi!F104</f>
        <v>0</v>
      </c>
      <c r="L104" s="55">
        <f>SUM(D104:K104)</f>
        <v>47</v>
      </c>
    </row>
    <row r="105" spans="1:12" ht="15.6" x14ac:dyDescent="0.3">
      <c r="A105" s="263" t="s">
        <v>96</v>
      </c>
      <c r="B105" s="264"/>
      <c r="C105" s="11" t="s">
        <v>3</v>
      </c>
      <c r="D105" s="33">
        <f>SUM(D101:D104)</f>
        <v>687</v>
      </c>
      <c r="E105" s="33">
        <f t="shared" ref="E105:K105" si="32">SUM(E101:E104)</f>
        <v>998</v>
      </c>
      <c r="F105" s="33">
        <f t="shared" si="32"/>
        <v>587</v>
      </c>
      <c r="G105" s="33">
        <f t="shared" si="32"/>
        <v>571</v>
      </c>
      <c r="H105" s="33">
        <f t="shared" si="32"/>
        <v>29</v>
      </c>
      <c r="I105" s="33">
        <f t="shared" si="32"/>
        <v>245</v>
      </c>
      <c r="J105" s="33">
        <f t="shared" si="32"/>
        <v>16</v>
      </c>
      <c r="K105" s="33">
        <f t="shared" si="32"/>
        <v>0</v>
      </c>
      <c r="L105" s="55">
        <f>SUM(D105:K105)</f>
        <v>3133</v>
      </c>
    </row>
    <row r="106" spans="1:12" s="2" customFormat="1" ht="15.6" customHeight="1" x14ac:dyDescent="0.3">
      <c r="A106" s="296" t="s">
        <v>210</v>
      </c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8"/>
    </row>
    <row r="107" spans="1:12" ht="15.6" x14ac:dyDescent="0.3">
      <c r="A107" s="237" t="s">
        <v>193</v>
      </c>
      <c r="B107" s="238"/>
      <c r="C107" s="11" t="s">
        <v>3</v>
      </c>
      <c r="D107" s="26">
        <f>Mulanje!F107</f>
        <v>1996</v>
      </c>
      <c r="E107" s="26">
        <f>Luchenza!F107</f>
        <v>1136</v>
      </c>
      <c r="F107" s="26">
        <f>Thyolo!F107</f>
        <v>953</v>
      </c>
      <c r="G107" s="26">
        <f>Muloza!F107</f>
        <v>465</v>
      </c>
      <c r="H107" s="26">
        <f>MUST!F107</f>
        <v>72</v>
      </c>
      <c r="I107" s="26">
        <f>Phalombe!F107</f>
        <v>534</v>
      </c>
      <c r="J107" s="26">
        <f>Mikolongwe!F107</f>
        <v>21</v>
      </c>
      <c r="K107" s="26">
        <f>Migowi!F107</f>
        <v>0</v>
      </c>
      <c r="L107" s="55">
        <f>SUM(D107:K107)</f>
        <v>5177</v>
      </c>
    </row>
    <row r="108" spans="1:12" ht="15.6" x14ac:dyDescent="0.3">
      <c r="A108" s="237" t="s">
        <v>194</v>
      </c>
      <c r="B108" s="238"/>
      <c r="C108" s="11" t="s">
        <v>3</v>
      </c>
      <c r="D108" s="26">
        <f>Mulanje!F108</f>
        <v>27</v>
      </c>
      <c r="E108" s="26">
        <f>Luchenza!F108</f>
        <v>17</v>
      </c>
      <c r="F108" s="26">
        <f>Thyolo!F108</f>
        <v>12</v>
      </c>
      <c r="G108" s="26">
        <f>Muloza!F108</f>
        <v>3</v>
      </c>
      <c r="H108" s="26">
        <f>MUST!F108</f>
        <v>6</v>
      </c>
      <c r="I108" s="26">
        <f>Phalombe!F108</f>
        <v>9</v>
      </c>
      <c r="J108" s="26">
        <f>Mikolongwe!F108</f>
        <v>0</v>
      </c>
      <c r="K108" s="26">
        <f>Migowi!F108</f>
        <v>0</v>
      </c>
      <c r="L108" s="55">
        <f>SUM(D108:K108)</f>
        <v>74</v>
      </c>
    </row>
    <row r="109" spans="1:12" ht="15.6" x14ac:dyDescent="0.3">
      <c r="A109" s="237" t="s">
        <v>195</v>
      </c>
      <c r="B109" s="238"/>
      <c r="C109" s="11" t="s">
        <v>3</v>
      </c>
      <c r="D109" s="26">
        <f>Mulanje!F109</f>
        <v>95</v>
      </c>
      <c r="E109" s="26">
        <f>Luchenza!F109</f>
        <v>33</v>
      </c>
      <c r="F109" s="26">
        <f>Thyolo!F109</f>
        <v>31</v>
      </c>
      <c r="G109" s="26">
        <f>Muloza!F109</f>
        <v>38</v>
      </c>
      <c r="H109" s="26">
        <f>MUST!F109</f>
        <v>2</v>
      </c>
      <c r="I109" s="26">
        <f>Phalombe!F109</f>
        <v>5</v>
      </c>
      <c r="J109" s="26">
        <f>Mikolongwe!F109</f>
        <v>0</v>
      </c>
      <c r="K109" s="26">
        <f>Migowi!F109</f>
        <v>0</v>
      </c>
      <c r="L109" s="55">
        <f>SUM(D109:K109)</f>
        <v>204</v>
      </c>
    </row>
    <row r="110" spans="1:12" ht="15.6" x14ac:dyDescent="0.3">
      <c r="A110" s="237" t="s">
        <v>196</v>
      </c>
      <c r="B110" s="238"/>
      <c r="C110" s="11" t="s">
        <v>3</v>
      </c>
      <c r="D110" s="26">
        <f>Mulanje!F110</f>
        <v>2</v>
      </c>
      <c r="E110" s="26">
        <f>Luchenza!F110</f>
        <v>0</v>
      </c>
      <c r="F110" s="26">
        <f>Thyolo!F110</f>
        <v>2</v>
      </c>
      <c r="G110" s="26">
        <f>Muloza!F110</f>
        <v>1</v>
      </c>
      <c r="H110" s="26">
        <f>MUST!F110</f>
        <v>0</v>
      </c>
      <c r="I110" s="26">
        <f>Phalombe!F110</f>
        <v>0</v>
      </c>
      <c r="J110" s="26">
        <f>Mikolongwe!F110</f>
        <v>0</v>
      </c>
      <c r="K110" s="26">
        <f>Migowi!F110</f>
        <v>0</v>
      </c>
      <c r="L110" s="55">
        <f>SUM(D110:K110)</f>
        <v>5</v>
      </c>
    </row>
    <row r="111" spans="1:12" ht="15.6" x14ac:dyDescent="0.3">
      <c r="A111" s="239" t="s">
        <v>95</v>
      </c>
      <c r="B111" s="240"/>
      <c r="C111" s="11" t="s">
        <v>3</v>
      </c>
      <c r="D111" s="33">
        <f>SUM(D107:D110)</f>
        <v>2120</v>
      </c>
      <c r="E111" s="33">
        <f t="shared" ref="E111:K111" si="33">SUM(E107:E110)</f>
        <v>1186</v>
      </c>
      <c r="F111" s="33">
        <f t="shared" si="33"/>
        <v>998</v>
      </c>
      <c r="G111" s="33">
        <f t="shared" si="33"/>
        <v>507</v>
      </c>
      <c r="H111" s="33">
        <f t="shared" si="33"/>
        <v>80</v>
      </c>
      <c r="I111" s="33">
        <f t="shared" si="33"/>
        <v>548</v>
      </c>
      <c r="J111" s="33">
        <f t="shared" si="33"/>
        <v>21</v>
      </c>
      <c r="K111" s="33">
        <f t="shared" si="33"/>
        <v>0</v>
      </c>
      <c r="L111" s="55">
        <f>SUM(D111:K111)</f>
        <v>5460</v>
      </c>
    </row>
    <row r="112" spans="1:12" s="2" customFormat="1" ht="15.6" customHeight="1" x14ac:dyDescent="0.3">
      <c r="A112" s="277" t="s">
        <v>210</v>
      </c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9"/>
    </row>
    <row r="113" spans="1:12" ht="15.6" x14ac:dyDescent="0.3">
      <c r="A113" s="237" t="s">
        <v>197</v>
      </c>
      <c r="B113" s="238"/>
      <c r="C113" s="11" t="s">
        <v>3</v>
      </c>
      <c r="D113" s="26">
        <f>Mulanje!F113</f>
        <v>535</v>
      </c>
      <c r="E113" s="26">
        <f>Luchenza!F113</f>
        <v>227</v>
      </c>
      <c r="F113" s="26">
        <f>Thyolo!F113</f>
        <v>293</v>
      </c>
      <c r="G113" s="26">
        <f>Muloza!F113</f>
        <v>237</v>
      </c>
      <c r="H113" s="26">
        <f>MUST!F113</f>
        <v>56</v>
      </c>
      <c r="I113" s="26">
        <f>Phalombe!F113</f>
        <v>191</v>
      </c>
      <c r="J113" s="26">
        <f>Mikolongwe!F113</f>
        <v>19</v>
      </c>
      <c r="K113" s="26">
        <f>Migowi!F113</f>
        <v>75</v>
      </c>
      <c r="L113" s="55">
        <f t="shared" ref="L113:L118" si="34">SUM(D113:K113)</f>
        <v>1633</v>
      </c>
    </row>
    <row r="114" spans="1:12" ht="15.6" x14ac:dyDescent="0.3">
      <c r="A114" s="237" t="s">
        <v>198</v>
      </c>
      <c r="B114" s="238"/>
      <c r="C114" s="11" t="s">
        <v>3</v>
      </c>
      <c r="D114" s="26">
        <f>Mulanje!F114</f>
        <v>47</v>
      </c>
      <c r="E114" s="26">
        <f>Luchenza!F114</f>
        <v>12</v>
      </c>
      <c r="F114" s="26">
        <f>Thyolo!F114</f>
        <v>35</v>
      </c>
      <c r="G114" s="26">
        <f>Muloza!F114</f>
        <v>7</v>
      </c>
      <c r="H114" s="26">
        <f>MUST!F114</f>
        <v>1</v>
      </c>
      <c r="I114" s="26">
        <f>Phalombe!F114</f>
        <v>17</v>
      </c>
      <c r="J114" s="26">
        <f>Mikolongwe!F114</f>
        <v>7</v>
      </c>
      <c r="K114" s="26">
        <f>Migowi!F114</f>
        <v>1</v>
      </c>
      <c r="L114" s="55">
        <f t="shared" si="34"/>
        <v>127</v>
      </c>
    </row>
    <row r="115" spans="1:12" ht="15.6" x14ac:dyDescent="0.3">
      <c r="A115" s="237" t="s">
        <v>199</v>
      </c>
      <c r="B115" s="238"/>
      <c r="C115" s="11" t="s">
        <v>3</v>
      </c>
      <c r="D115" s="26">
        <f>Mulanje!F115</f>
        <v>95</v>
      </c>
      <c r="E115" s="26">
        <f>Luchenza!F115</f>
        <v>52</v>
      </c>
      <c r="F115" s="26">
        <f>Thyolo!F115</f>
        <v>20</v>
      </c>
      <c r="G115" s="26">
        <f>Muloza!F115</f>
        <v>23</v>
      </c>
      <c r="H115" s="26">
        <f>MUST!F115</f>
        <v>8</v>
      </c>
      <c r="I115" s="26">
        <f>Phalombe!F115</f>
        <v>14</v>
      </c>
      <c r="J115" s="26">
        <f>Mikolongwe!F115</f>
        <v>0</v>
      </c>
      <c r="K115" s="26">
        <f>Migowi!F115</f>
        <v>0</v>
      </c>
      <c r="L115" s="55">
        <f t="shared" si="34"/>
        <v>212</v>
      </c>
    </row>
    <row r="116" spans="1:12" ht="15.6" x14ac:dyDescent="0.3">
      <c r="A116" s="237" t="s">
        <v>200</v>
      </c>
      <c r="B116" s="238"/>
      <c r="C116" s="11" t="s">
        <v>3</v>
      </c>
      <c r="D116" s="26">
        <f>Mulanje!F116</f>
        <v>2</v>
      </c>
      <c r="E116" s="26">
        <f>Luchenza!F116</f>
        <v>0</v>
      </c>
      <c r="F116" s="26">
        <f>Thyolo!F116</f>
        <v>2</v>
      </c>
      <c r="G116" s="26">
        <f>Muloza!F116</f>
        <v>0</v>
      </c>
      <c r="H116" s="26">
        <f>MUST!F116</f>
        <v>0</v>
      </c>
      <c r="I116" s="26">
        <f>Phalombe!F116</f>
        <v>0</v>
      </c>
      <c r="J116" s="26">
        <f>Mikolongwe!F116</f>
        <v>0</v>
      </c>
      <c r="K116" s="26">
        <f>Migowi!F116</f>
        <v>0</v>
      </c>
      <c r="L116" s="55">
        <f t="shared" si="34"/>
        <v>4</v>
      </c>
    </row>
    <row r="117" spans="1:12" ht="15.6" x14ac:dyDescent="0.3">
      <c r="A117" s="239" t="s">
        <v>94</v>
      </c>
      <c r="B117" s="240"/>
      <c r="C117" s="11" t="s">
        <v>3</v>
      </c>
      <c r="D117" s="33">
        <f>SUM(D113:D116)</f>
        <v>679</v>
      </c>
      <c r="E117" s="33">
        <f t="shared" ref="E117:K117" si="35">SUM(E113:E116)</f>
        <v>291</v>
      </c>
      <c r="F117" s="33">
        <f t="shared" si="35"/>
        <v>350</v>
      </c>
      <c r="G117" s="33">
        <f t="shared" si="35"/>
        <v>267</v>
      </c>
      <c r="H117" s="33">
        <f t="shared" si="35"/>
        <v>65</v>
      </c>
      <c r="I117" s="33">
        <f t="shared" si="35"/>
        <v>222</v>
      </c>
      <c r="J117" s="33">
        <f t="shared" si="35"/>
        <v>26</v>
      </c>
      <c r="K117" s="33">
        <f t="shared" si="35"/>
        <v>76</v>
      </c>
      <c r="L117" s="55">
        <f t="shared" si="34"/>
        <v>1976</v>
      </c>
    </row>
    <row r="118" spans="1:12" s="2" customFormat="1" ht="15.6" x14ac:dyDescent="0.3">
      <c r="A118" s="224" t="s">
        <v>191</v>
      </c>
      <c r="B118" s="225"/>
      <c r="C118" s="11" t="s">
        <v>3</v>
      </c>
      <c r="D118" s="33">
        <f>D117+D111</f>
        <v>2799</v>
      </c>
      <c r="E118" s="33">
        <f t="shared" ref="E118:K118" si="36">E117+E111</f>
        <v>1477</v>
      </c>
      <c r="F118" s="33">
        <f t="shared" si="36"/>
        <v>1348</v>
      </c>
      <c r="G118" s="33">
        <f t="shared" si="36"/>
        <v>774</v>
      </c>
      <c r="H118" s="33">
        <f t="shared" si="36"/>
        <v>145</v>
      </c>
      <c r="I118" s="33">
        <f t="shared" si="36"/>
        <v>770</v>
      </c>
      <c r="J118" s="33">
        <f t="shared" si="36"/>
        <v>47</v>
      </c>
      <c r="K118" s="33">
        <f t="shared" si="36"/>
        <v>76</v>
      </c>
      <c r="L118" s="55">
        <f t="shared" si="34"/>
        <v>7436</v>
      </c>
    </row>
    <row r="119" spans="1:12" ht="15.6" x14ac:dyDescent="0.3">
      <c r="A119" s="239" t="s">
        <v>192</v>
      </c>
      <c r="B119" s="240"/>
      <c r="C119" s="11" t="s">
        <v>3</v>
      </c>
      <c r="D119" s="33">
        <f>D118+D105</f>
        <v>3486</v>
      </c>
      <c r="E119" s="33">
        <f t="shared" ref="E119:K119" si="37">E118+E105</f>
        <v>2475</v>
      </c>
      <c r="F119" s="33">
        <f t="shared" si="37"/>
        <v>1935</v>
      </c>
      <c r="G119" s="33">
        <f t="shared" si="37"/>
        <v>1345</v>
      </c>
      <c r="H119" s="33">
        <f t="shared" si="37"/>
        <v>174</v>
      </c>
      <c r="I119" s="33">
        <f t="shared" si="37"/>
        <v>1015</v>
      </c>
      <c r="J119" s="33">
        <f t="shared" si="37"/>
        <v>63</v>
      </c>
      <c r="K119" s="33">
        <f t="shared" si="37"/>
        <v>76</v>
      </c>
      <c r="L119" s="55">
        <f>SUM(D119:K119)</f>
        <v>10569</v>
      </c>
    </row>
    <row r="120" spans="1:12" x14ac:dyDescent="0.3">
      <c r="A120" s="281" t="s">
        <v>201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3"/>
    </row>
    <row r="121" spans="1:12" ht="15.6" x14ac:dyDescent="0.3">
      <c r="A121" s="237" t="s">
        <v>93</v>
      </c>
      <c r="B121" s="238"/>
      <c r="C121" s="5" t="s">
        <v>3</v>
      </c>
      <c r="D121" s="26">
        <f>Mulanje!F121</f>
        <v>24261</v>
      </c>
      <c r="E121" s="26">
        <f>Luchenza!F121</f>
        <v>17885</v>
      </c>
      <c r="F121" s="26">
        <f>Thyolo!F121</f>
        <v>11737</v>
      </c>
      <c r="G121" s="26">
        <f>Muloza!F121</f>
        <v>9530</v>
      </c>
      <c r="H121" s="26">
        <f>MUST!F121</f>
        <v>4229</v>
      </c>
      <c r="I121" s="26">
        <f>Phalombe!F121</f>
        <v>9933</v>
      </c>
      <c r="J121" s="26">
        <f>Mikolongwe!F121</f>
        <v>1250</v>
      </c>
      <c r="K121" s="26">
        <f>Migowi!F121</f>
        <v>511</v>
      </c>
      <c r="L121" s="55">
        <f>SUM(D121:K121)</f>
        <v>79336</v>
      </c>
    </row>
    <row r="122" spans="1:12" ht="15.6" x14ac:dyDescent="0.3">
      <c r="A122" s="237" t="s">
        <v>92</v>
      </c>
      <c r="B122" s="238"/>
      <c r="C122" s="5" t="s">
        <v>3</v>
      </c>
      <c r="D122" s="26">
        <f>Mulanje!F122</f>
        <v>21844</v>
      </c>
      <c r="E122" s="26">
        <f>Luchenza!F122</f>
        <v>15876</v>
      </c>
      <c r="F122" s="26">
        <f>Thyolo!F122</f>
        <v>10637</v>
      </c>
      <c r="G122" s="26">
        <f>Muloza!F122</f>
        <v>8741</v>
      </c>
      <c r="H122" s="26">
        <f>MUST!F122</f>
        <v>3948</v>
      </c>
      <c r="I122" s="26">
        <f>Phalombe!F122</f>
        <v>7217</v>
      </c>
      <c r="J122" s="26">
        <f>Mikolongwe!F122</f>
        <v>1030</v>
      </c>
      <c r="K122" s="26">
        <f>Migowi!F122</f>
        <v>511</v>
      </c>
      <c r="L122" s="55">
        <f>SUM(D122:K122)</f>
        <v>69804</v>
      </c>
    </row>
    <row r="123" spans="1:12" ht="15.6" x14ac:dyDescent="0.3">
      <c r="A123" s="284" t="s">
        <v>91</v>
      </c>
      <c r="B123" s="285"/>
      <c r="C123" s="30" t="s">
        <v>6</v>
      </c>
      <c r="D123" s="29">
        <f t="shared" ref="D123:L123" si="38">D122/D121</f>
        <v>0.90037508758913487</v>
      </c>
      <c r="E123" s="29">
        <f t="shared" si="38"/>
        <v>0.88767123287671235</v>
      </c>
      <c r="F123" s="29">
        <f t="shared" si="38"/>
        <v>0.9062792877225867</v>
      </c>
      <c r="G123" s="29">
        <f t="shared" si="38"/>
        <v>0.91720881427072398</v>
      </c>
      <c r="H123" s="29">
        <f t="shared" si="38"/>
        <v>0.93355403168597773</v>
      </c>
      <c r="I123" s="29">
        <f t="shared" si="38"/>
        <v>0.72656800563777313</v>
      </c>
      <c r="J123" s="29">
        <f t="shared" si="38"/>
        <v>0.82399999999999995</v>
      </c>
      <c r="K123" s="29">
        <f t="shared" si="38"/>
        <v>1</v>
      </c>
      <c r="L123" s="108">
        <f t="shared" si="38"/>
        <v>0.87985277805788042</v>
      </c>
    </row>
    <row r="124" spans="1:12" x14ac:dyDescent="0.3">
      <c r="A124" s="307" t="s">
        <v>90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9"/>
    </row>
    <row r="125" spans="1:12" ht="15.6" x14ac:dyDescent="0.3">
      <c r="A125" s="247" t="s">
        <v>230</v>
      </c>
      <c r="B125" s="24" t="s">
        <v>85</v>
      </c>
      <c r="C125" s="11" t="s">
        <v>3</v>
      </c>
      <c r="D125" s="26">
        <f>Mulanje!D125</f>
        <v>0</v>
      </c>
      <c r="E125" s="26">
        <f>Luchenza!D125</f>
        <v>0</v>
      </c>
      <c r="F125" s="26">
        <f>Thyolo!D125</f>
        <v>0</v>
      </c>
      <c r="G125" s="26">
        <f>Muloza!D125</f>
        <v>0</v>
      </c>
      <c r="H125" s="26">
        <f>MUST!D125</f>
        <v>0</v>
      </c>
      <c r="I125" s="26">
        <f>Phalombe!D125</f>
        <v>0</v>
      </c>
      <c r="J125" s="26">
        <f>Mikolongwe!D125</f>
        <v>0</v>
      </c>
      <c r="K125" s="26">
        <f>Migowi!D125</f>
        <v>0</v>
      </c>
      <c r="L125" s="32">
        <f>D125</f>
        <v>0</v>
      </c>
    </row>
    <row r="126" spans="1:12" ht="15.6" x14ac:dyDescent="0.3">
      <c r="A126" s="280"/>
      <c r="B126" s="24" t="s">
        <v>84</v>
      </c>
      <c r="C126" s="11" t="s">
        <v>3</v>
      </c>
      <c r="D126" s="26">
        <f>Mulanje!D126+Mulanje!E126+Mulanje!F126</f>
        <v>0</v>
      </c>
      <c r="E126" s="26">
        <f>Luchenza!D126+Luchenza!E126+Luchenza!F126</f>
        <v>0</v>
      </c>
      <c r="F126" s="26">
        <f>Thyolo!D126+Thyolo!E126+Thyolo!F126</f>
        <v>0</v>
      </c>
      <c r="G126" s="26">
        <f>Muloza!D126+Muloza!E126+Muloza!F126</f>
        <v>5</v>
      </c>
      <c r="H126" s="26">
        <f>MUST!D126+MUST!E126+MUST!F126</f>
        <v>1</v>
      </c>
      <c r="I126" s="26">
        <f>Phalombe!D126+Phalombe!E126+Phalombe!F126</f>
        <v>1</v>
      </c>
      <c r="J126" s="26">
        <f>Mikolongwe!D126+Mikolongwe!E126+Mikolongwe!F126</f>
        <v>0</v>
      </c>
      <c r="K126" s="26">
        <f>Migowi!D126+Migowi!E126+Migowi!F126</f>
        <v>0</v>
      </c>
      <c r="L126" s="55">
        <f>SUM(D126:K126)</f>
        <v>7</v>
      </c>
    </row>
    <row r="127" spans="1:12" ht="15.6" x14ac:dyDescent="0.3">
      <c r="A127" s="280"/>
      <c r="B127" s="82" t="s">
        <v>88</v>
      </c>
      <c r="C127" s="11" t="s">
        <v>3</v>
      </c>
      <c r="D127" s="26">
        <f>Mulanje!D127+Mulanje!E127+Mulanje!F127</f>
        <v>0</v>
      </c>
      <c r="E127" s="26">
        <f>Luchenza!D127+Luchenza!E127+Luchenza!F127</f>
        <v>0</v>
      </c>
      <c r="F127" s="26">
        <f>Thyolo!D127+Thyolo!E127+Thyolo!F127</f>
        <v>0</v>
      </c>
      <c r="G127" s="26">
        <f>Muloza!D127+Muloza!E127+Muloza!F127</f>
        <v>5</v>
      </c>
      <c r="H127" s="26">
        <f>MUST!D127+MUST!E127+MUST!F127</f>
        <v>1</v>
      </c>
      <c r="I127" s="26">
        <f>Phalombe!D127+Phalombe!E127+Phalombe!F127</f>
        <v>1</v>
      </c>
      <c r="J127" s="26">
        <f>Mikolongwe!D127+Mikolongwe!E127+Mikolongwe!F127</f>
        <v>0</v>
      </c>
      <c r="K127" s="26">
        <f>Migowi!D127+Migowi!E127+Migowi!F127</f>
        <v>0</v>
      </c>
      <c r="L127" s="55">
        <f>SUM(D127:K127)</f>
        <v>7</v>
      </c>
    </row>
    <row r="128" spans="1:12" ht="15.6" x14ac:dyDescent="0.3">
      <c r="A128" s="280"/>
      <c r="B128" s="24" t="s">
        <v>82</v>
      </c>
      <c r="C128" s="11" t="s">
        <v>3</v>
      </c>
      <c r="D128" s="26">
        <f>Mulanje!D128+Mulanje!E128+Mulanje!F128</f>
        <v>0</v>
      </c>
      <c r="E128" s="26">
        <f>Luchenza!D128+Luchenza!E128+Luchenza!F128</f>
        <v>0</v>
      </c>
      <c r="F128" s="26">
        <f>Thyolo!D128+Thyolo!E128+Thyolo!F128</f>
        <v>0</v>
      </c>
      <c r="G128" s="26">
        <f>Muloza!D128+Muloza!E128+Muloza!F128</f>
        <v>0</v>
      </c>
      <c r="H128" s="26">
        <f>MUST!D128+MUST!E128+MUST!F128</f>
        <v>0</v>
      </c>
      <c r="I128" s="26">
        <f>Phalombe!D128+Phalombe!E128+Phalombe!F128</f>
        <v>0</v>
      </c>
      <c r="J128" s="26">
        <f>Mikolongwe!D128+Mikolongwe!E128+Mikolongwe!F128</f>
        <v>0</v>
      </c>
      <c r="K128" s="26">
        <f>Migowi!D128+Migowi!E128+Migowi!F128</f>
        <v>0</v>
      </c>
      <c r="L128" s="55">
        <f>SUM(D128:K128)</f>
        <v>0</v>
      </c>
    </row>
    <row r="129" spans="1:12" ht="15.6" x14ac:dyDescent="0.3">
      <c r="A129" s="248"/>
      <c r="B129" s="24" t="s">
        <v>81</v>
      </c>
      <c r="C129" s="11" t="s">
        <v>3</v>
      </c>
      <c r="D129" s="139">
        <f t="shared" ref="D129:L129" si="39">D125+D126-D127-D128</f>
        <v>0</v>
      </c>
      <c r="E129" s="139">
        <f t="shared" si="39"/>
        <v>0</v>
      </c>
      <c r="F129" s="139">
        <f t="shared" si="39"/>
        <v>0</v>
      </c>
      <c r="G129" s="139">
        <f t="shared" si="39"/>
        <v>0</v>
      </c>
      <c r="H129" s="139">
        <f t="shared" si="39"/>
        <v>0</v>
      </c>
      <c r="I129" s="139">
        <f t="shared" si="39"/>
        <v>0</v>
      </c>
      <c r="J129" s="139">
        <f t="shared" si="39"/>
        <v>0</v>
      </c>
      <c r="K129" s="139">
        <f t="shared" si="39"/>
        <v>0</v>
      </c>
      <c r="L129" s="32">
        <f t="shared" si="39"/>
        <v>0</v>
      </c>
    </row>
    <row r="130" spans="1:12" ht="15.6" x14ac:dyDescent="0.3">
      <c r="A130" s="247" t="s">
        <v>231</v>
      </c>
      <c r="B130" s="28" t="s">
        <v>85</v>
      </c>
      <c r="C130" s="27" t="s">
        <v>3</v>
      </c>
      <c r="D130" s="26">
        <f>Mulanje!D130</f>
        <v>0</v>
      </c>
      <c r="E130" s="26">
        <f>Luchenza!D130</f>
        <v>0</v>
      </c>
      <c r="F130" s="26">
        <f>Thyolo!D130</f>
        <v>2</v>
      </c>
      <c r="G130" s="26">
        <f>Muloza!D130</f>
        <v>0</v>
      </c>
      <c r="H130" s="26">
        <f>MUST!D130</f>
        <v>0</v>
      </c>
      <c r="I130" s="26">
        <f>Phalombe!D130</f>
        <v>0</v>
      </c>
      <c r="J130" s="26">
        <f>Mikolongwe!D130</f>
        <v>0</v>
      </c>
      <c r="K130" s="26">
        <f>Migowi!D130</f>
        <v>0</v>
      </c>
      <c r="L130" s="32">
        <f>D130</f>
        <v>0</v>
      </c>
    </row>
    <row r="131" spans="1:12" ht="15.6" x14ac:dyDescent="0.3">
      <c r="A131" s="280"/>
      <c r="B131" s="24" t="s">
        <v>84</v>
      </c>
      <c r="C131" s="11" t="s">
        <v>3</v>
      </c>
      <c r="D131" s="26">
        <f>Mulanje!D131+Mulanje!E131+Mulanje!F131</f>
        <v>0</v>
      </c>
      <c r="E131" s="26">
        <f>Luchenza!D131+Luchenza!E131+Luchenza!F131</f>
        <v>0</v>
      </c>
      <c r="F131" s="26">
        <f>Thyolo!D131+Thyolo!E131+Thyolo!F131</f>
        <v>0</v>
      </c>
      <c r="G131" s="26">
        <f>Muloza!D131+Muloza!E131+Muloza!F131</f>
        <v>0</v>
      </c>
      <c r="H131" s="26">
        <f>MUST!D131+MUST!E131+MUST!F131</f>
        <v>0</v>
      </c>
      <c r="I131" s="26">
        <f>Phalombe!D131+Phalombe!E131+Phalombe!F131</f>
        <v>0</v>
      </c>
      <c r="J131" s="26">
        <f>Mikolongwe!D131+Mikolongwe!E131+Mikolongwe!F131</f>
        <v>0</v>
      </c>
      <c r="K131" s="26">
        <f>Migowi!D131+Migowi!E131+Migowi!F131</f>
        <v>0</v>
      </c>
      <c r="L131" s="55">
        <f>SUM(D131:K131)</f>
        <v>0</v>
      </c>
    </row>
    <row r="132" spans="1:12" ht="15.6" x14ac:dyDescent="0.3">
      <c r="A132" s="280"/>
      <c r="B132" s="82" t="s">
        <v>88</v>
      </c>
      <c r="C132" s="11" t="s">
        <v>3</v>
      </c>
      <c r="D132" s="26">
        <f>Mulanje!D132+Mulanje!E132+Mulanje!F132</f>
        <v>0</v>
      </c>
      <c r="E132" s="26">
        <f>Luchenza!D132+Luchenza!E132+Luchenza!F132</f>
        <v>0</v>
      </c>
      <c r="F132" s="26">
        <f>Thyolo!D132+Thyolo!E132+Thyolo!F132</f>
        <v>1</v>
      </c>
      <c r="G132" s="26">
        <f>Muloza!D132+Muloza!E132+Muloza!F132</f>
        <v>0</v>
      </c>
      <c r="H132" s="26">
        <f>MUST!D132+MUST!E132+MUST!F132</f>
        <v>0</v>
      </c>
      <c r="I132" s="26">
        <f>Phalombe!D132+Phalombe!E132+Phalombe!F132</f>
        <v>0</v>
      </c>
      <c r="J132" s="26">
        <f>Mikolongwe!D132+Mikolongwe!E132+Mikolongwe!F132</f>
        <v>0</v>
      </c>
      <c r="K132" s="26">
        <f>Migowi!D132+Migowi!E132+Migowi!F132</f>
        <v>0</v>
      </c>
      <c r="L132" s="55">
        <f>SUM(D132:K132)</f>
        <v>1</v>
      </c>
    </row>
    <row r="133" spans="1:12" ht="15.6" x14ac:dyDescent="0.3">
      <c r="A133" s="280"/>
      <c r="B133" s="24" t="s">
        <v>82</v>
      </c>
      <c r="C133" s="11" t="s">
        <v>3</v>
      </c>
      <c r="D133" s="26">
        <f>Mulanje!D133+Mulanje!E133+Mulanje!F133</f>
        <v>0</v>
      </c>
      <c r="E133" s="26">
        <f>Luchenza!D133+Luchenza!E133+Luchenza!F133</f>
        <v>0</v>
      </c>
      <c r="F133" s="26">
        <f>Thyolo!D133+Thyolo!E133+Thyolo!F133</f>
        <v>1</v>
      </c>
      <c r="G133" s="26">
        <f>Muloza!D133+Muloza!E133+Muloza!F133</f>
        <v>0</v>
      </c>
      <c r="H133" s="26">
        <f>MUST!D133+MUST!E133+MUST!F133</f>
        <v>0</v>
      </c>
      <c r="I133" s="26">
        <f>Phalombe!D133+Phalombe!E133+Phalombe!F133</f>
        <v>0</v>
      </c>
      <c r="J133" s="26">
        <f>Mikolongwe!D133+Mikolongwe!E133+Mikolongwe!F133</f>
        <v>0</v>
      </c>
      <c r="K133" s="26">
        <f>Migowi!D133+Migowi!E133+Migowi!F133</f>
        <v>0</v>
      </c>
      <c r="L133" s="55">
        <f>SUM(D133:K133)</f>
        <v>1</v>
      </c>
    </row>
    <row r="134" spans="1:12" ht="15.6" x14ac:dyDescent="0.3">
      <c r="A134" s="248"/>
      <c r="B134" s="24" t="s">
        <v>81</v>
      </c>
      <c r="C134" s="11" t="s">
        <v>3</v>
      </c>
      <c r="D134" s="139">
        <f t="shared" ref="D134:L134" si="40">D130+D131-D132-D133</f>
        <v>0</v>
      </c>
      <c r="E134" s="139">
        <f t="shared" si="40"/>
        <v>0</v>
      </c>
      <c r="F134" s="139">
        <f t="shared" si="40"/>
        <v>0</v>
      </c>
      <c r="G134" s="139">
        <f t="shared" si="40"/>
        <v>0</v>
      </c>
      <c r="H134" s="139">
        <f t="shared" si="40"/>
        <v>0</v>
      </c>
      <c r="I134" s="139">
        <f t="shared" si="40"/>
        <v>0</v>
      </c>
      <c r="J134" s="139">
        <f t="shared" si="40"/>
        <v>0</v>
      </c>
      <c r="K134" s="139">
        <f t="shared" si="40"/>
        <v>0</v>
      </c>
      <c r="L134" s="32">
        <f t="shared" si="40"/>
        <v>-2</v>
      </c>
    </row>
    <row r="135" spans="1:12" ht="15.6" x14ac:dyDescent="0.3">
      <c r="A135" s="247" t="s">
        <v>89</v>
      </c>
      <c r="B135" s="24" t="s">
        <v>85</v>
      </c>
      <c r="C135" s="11" t="s">
        <v>3</v>
      </c>
      <c r="D135" s="26">
        <f>Mulanje!D135</f>
        <v>0</v>
      </c>
      <c r="E135" s="26">
        <f>Luchenza!D135</f>
        <v>0</v>
      </c>
      <c r="F135" s="26">
        <f>Thyolo!D135</f>
        <v>0</v>
      </c>
      <c r="G135" s="26">
        <f>Muloza!D135</f>
        <v>0</v>
      </c>
      <c r="H135" s="26">
        <f>MUST!D135</f>
        <v>0</v>
      </c>
      <c r="I135" s="26">
        <f>Phalombe!D135</f>
        <v>0</v>
      </c>
      <c r="J135" s="26">
        <f>Mikolongwe!D135</f>
        <v>0</v>
      </c>
      <c r="K135" s="26">
        <f>Migowi!D135</f>
        <v>0</v>
      </c>
      <c r="L135" s="32">
        <f>D135</f>
        <v>0</v>
      </c>
    </row>
    <row r="136" spans="1:12" ht="15.6" x14ac:dyDescent="0.3">
      <c r="A136" s="280"/>
      <c r="B136" s="24" t="s">
        <v>84</v>
      </c>
      <c r="C136" s="11" t="s">
        <v>3</v>
      </c>
      <c r="D136" s="26">
        <f>Mulanje!D136+Mulanje!E136+Mulanje!F136</f>
        <v>1</v>
      </c>
      <c r="E136" s="26">
        <f>Luchenza!D136+Luchenza!E136+Luchenza!F136</f>
        <v>0</v>
      </c>
      <c r="F136" s="26">
        <f>Thyolo!D136+Thyolo!E136+Thyolo!F136</f>
        <v>0</v>
      </c>
      <c r="G136" s="26">
        <f>Muloza!D136+Muloza!E136+Muloza!F136</f>
        <v>0</v>
      </c>
      <c r="H136" s="26">
        <f>MUST!D136+MUST!E136+MUST!F136</f>
        <v>0</v>
      </c>
      <c r="I136" s="26">
        <f>Phalombe!D136+Phalombe!E136+Phalombe!F136</f>
        <v>0</v>
      </c>
      <c r="J136" s="26">
        <f>Mikolongwe!D136+Mikolongwe!E136+Mikolongwe!F136</f>
        <v>0</v>
      </c>
      <c r="K136" s="26">
        <f>Migowi!D136+Migowi!E136+Migowi!F136</f>
        <v>0</v>
      </c>
      <c r="L136" s="55">
        <f>SUM(D136:K136)</f>
        <v>1</v>
      </c>
    </row>
    <row r="137" spans="1:12" ht="15.6" x14ac:dyDescent="0.3">
      <c r="A137" s="280"/>
      <c r="B137" s="82" t="s">
        <v>88</v>
      </c>
      <c r="C137" s="11" t="s">
        <v>3</v>
      </c>
      <c r="D137" s="26">
        <f>Mulanje!D137+Mulanje!E137+Mulanje!F137</f>
        <v>1</v>
      </c>
      <c r="E137" s="26">
        <f>Luchenza!D137+Luchenza!E137+Luchenza!F137</f>
        <v>0</v>
      </c>
      <c r="F137" s="26">
        <f>Thyolo!D137+Thyolo!E137+Thyolo!F137</f>
        <v>0</v>
      </c>
      <c r="G137" s="26">
        <f>Muloza!D137+Muloza!E137+Muloza!F137</f>
        <v>0</v>
      </c>
      <c r="H137" s="26">
        <f>MUST!D137+MUST!E137+MUST!F137</f>
        <v>0</v>
      </c>
      <c r="I137" s="26">
        <f>Phalombe!D137+Phalombe!E137+Phalombe!F137</f>
        <v>0</v>
      </c>
      <c r="J137" s="26">
        <f>Mikolongwe!D137+Mikolongwe!E137+Mikolongwe!F137</f>
        <v>0</v>
      </c>
      <c r="K137" s="26">
        <f>Migowi!D137+Migowi!E137+Migowi!F137</f>
        <v>0</v>
      </c>
      <c r="L137" s="55">
        <f>SUM(D137:K137)</f>
        <v>1</v>
      </c>
    </row>
    <row r="138" spans="1:12" ht="15.6" x14ac:dyDescent="0.3">
      <c r="A138" s="280"/>
      <c r="B138" s="24" t="s">
        <v>82</v>
      </c>
      <c r="C138" s="11" t="s">
        <v>3</v>
      </c>
      <c r="D138" s="26">
        <f>Mulanje!D138+Mulanje!E138+Mulanje!F138</f>
        <v>0</v>
      </c>
      <c r="E138" s="26">
        <f>Luchenza!D138+Luchenza!E138+Luchenza!F138</f>
        <v>0</v>
      </c>
      <c r="F138" s="26">
        <f>Thyolo!D138+Thyolo!E138+Thyolo!F138</f>
        <v>0</v>
      </c>
      <c r="G138" s="26">
        <f>Muloza!D138+Muloza!E138+Muloza!F138</f>
        <v>0</v>
      </c>
      <c r="H138" s="26">
        <f>MUST!D138+MUST!E138+MUST!F138</f>
        <v>0</v>
      </c>
      <c r="I138" s="26">
        <f>Phalombe!D138+Phalombe!E138+Phalombe!F138</f>
        <v>0</v>
      </c>
      <c r="J138" s="26">
        <f>Mikolongwe!D138+Mikolongwe!E138+Mikolongwe!F138</f>
        <v>0</v>
      </c>
      <c r="K138" s="26">
        <f>Migowi!D138+Migowi!E138+Migowi!F138</f>
        <v>0</v>
      </c>
      <c r="L138" s="55">
        <f>SUM(D138:K138)</f>
        <v>0</v>
      </c>
    </row>
    <row r="139" spans="1:12" ht="15.6" x14ac:dyDescent="0.3">
      <c r="A139" s="248"/>
      <c r="B139" s="24" t="s">
        <v>81</v>
      </c>
      <c r="C139" s="11" t="s">
        <v>3</v>
      </c>
      <c r="D139" s="139">
        <f t="shared" ref="D139:L139" si="41">D135+D136-D137-D138</f>
        <v>0</v>
      </c>
      <c r="E139" s="139">
        <f t="shared" si="41"/>
        <v>0</v>
      </c>
      <c r="F139" s="139">
        <f t="shared" si="41"/>
        <v>0</v>
      </c>
      <c r="G139" s="139">
        <f t="shared" si="41"/>
        <v>0</v>
      </c>
      <c r="H139" s="139">
        <f t="shared" si="41"/>
        <v>0</v>
      </c>
      <c r="I139" s="139">
        <f t="shared" si="41"/>
        <v>0</v>
      </c>
      <c r="J139" s="139">
        <f t="shared" si="41"/>
        <v>0</v>
      </c>
      <c r="K139" s="139">
        <f t="shared" si="41"/>
        <v>0</v>
      </c>
      <c r="L139" s="32">
        <f t="shared" si="41"/>
        <v>0</v>
      </c>
    </row>
    <row r="140" spans="1:12" ht="15.6" x14ac:dyDescent="0.3">
      <c r="A140" s="247" t="s">
        <v>87</v>
      </c>
      <c r="B140" s="24" t="s">
        <v>85</v>
      </c>
      <c r="C140" s="11" t="s">
        <v>3</v>
      </c>
      <c r="D140" s="26">
        <f>Mulanje!D140</f>
        <v>218</v>
      </c>
      <c r="E140" s="26">
        <f>Luchenza!D140</f>
        <v>19</v>
      </c>
      <c r="F140" s="26">
        <f>Thyolo!D140</f>
        <v>36</v>
      </c>
      <c r="G140" s="26">
        <f>Muloza!D140</f>
        <v>0</v>
      </c>
      <c r="H140" s="26">
        <f>MUST!D140</f>
        <v>0</v>
      </c>
      <c r="I140" s="26">
        <f>Phalombe!D140</f>
        <v>15</v>
      </c>
      <c r="J140" s="26">
        <f>Mikolongwe!D140</f>
        <v>0</v>
      </c>
      <c r="K140" s="26">
        <f>Migowi!D140</f>
        <v>0</v>
      </c>
      <c r="L140" s="32">
        <f>D140</f>
        <v>218</v>
      </c>
    </row>
    <row r="141" spans="1:12" ht="15.6" x14ac:dyDescent="0.3">
      <c r="A141" s="280"/>
      <c r="B141" s="24" t="s">
        <v>84</v>
      </c>
      <c r="C141" s="11" t="s">
        <v>3</v>
      </c>
      <c r="D141" s="26">
        <f>Mulanje!D141+Mulanje!E141+Mulanje!F141</f>
        <v>0</v>
      </c>
      <c r="E141" s="26">
        <f>Luchenza!D141+Luchenza!E141+Luchenza!F141</f>
        <v>49</v>
      </c>
      <c r="F141" s="26">
        <f>Thyolo!D141+Thyolo!E141+Thyolo!F141</f>
        <v>54</v>
      </c>
      <c r="G141" s="26">
        <f>Muloza!D141+Muloza!E141+Muloza!F141</f>
        <v>16</v>
      </c>
      <c r="H141" s="26">
        <f>MUST!D141+MUST!E141+MUST!F141</f>
        <v>1</v>
      </c>
      <c r="I141" s="26">
        <f>Phalombe!D141+Phalombe!E141+Phalombe!F141</f>
        <v>86</v>
      </c>
      <c r="J141" s="26">
        <f>Mikolongwe!D141+Mikolongwe!E141+Mikolongwe!F141</f>
        <v>0</v>
      </c>
      <c r="K141" s="26">
        <f>Migowi!D141+Migowi!E141+Migowi!F141</f>
        <v>0</v>
      </c>
      <c r="L141" s="55">
        <f>SUM(D141:K141)</f>
        <v>206</v>
      </c>
    </row>
    <row r="142" spans="1:12" ht="15.6" x14ac:dyDescent="0.3">
      <c r="A142" s="280"/>
      <c r="B142" s="24" t="s">
        <v>83</v>
      </c>
      <c r="C142" s="11" t="s">
        <v>3</v>
      </c>
      <c r="D142" s="26">
        <f>Mulanje!D142+Mulanje!E142+Mulanje!F142</f>
        <v>115</v>
      </c>
      <c r="E142" s="26">
        <f>Luchenza!D142+Luchenza!E142+Luchenza!F142</f>
        <v>32</v>
      </c>
      <c r="F142" s="26">
        <f>Thyolo!D142+Thyolo!E142+Thyolo!F142</f>
        <v>40</v>
      </c>
      <c r="G142" s="26">
        <f>Muloza!D142+Muloza!E142+Muloza!F142</f>
        <v>16</v>
      </c>
      <c r="H142" s="26">
        <f>MUST!D142+MUST!E142+MUST!F142</f>
        <v>0</v>
      </c>
      <c r="I142" s="26">
        <f>Phalombe!D142+Phalombe!E142+Phalombe!F142</f>
        <v>55</v>
      </c>
      <c r="J142" s="26">
        <f>Mikolongwe!D142+Mikolongwe!E142+Mikolongwe!F142</f>
        <v>0</v>
      </c>
      <c r="K142" s="26">
        <f>Migowi!D142+Migowi!E142+Migowi!F142</f>
        <v>0</v>
      </c>
      <c r="L142" s="55">
        <f>SUM(D142:K142)</f>
        <v>258</v>
      </c>
    </row>
    <row r="143" spans="1:12" ht="15.6" x14ac:dyDescent="0.3">
      <c r="A143" s="280"/>
      <c r="B143" s="24" t="s">
        <v>82</v>
      </c>
      <c r="C143" s="11" t="s">
        <v>3</v>
      </c>
      <c r="D143" s="26">
        <f>Mulanje!D143+Mulanje!E143+Mulanje!F143</f>
        <v>4</v>
      </c>
      <c r="E143" s="26">
        <f>Luchenza!D143+Luchenza!E143+Luchenza!F143</f>
        <v>12</v>
      </c>
      <c r="F143" s="26">
        <f>Thyolo!D143+Thyolo!E143+Thyolo!F143</f>
        <v>3</v>
      </c>
      <c r="G143" s="26">
        <f>Muloza!D143+Muloza!E143+Muloza!F143</f>
        <v>0</v>
      </c>
      <c r="H143" s="26">
        <f>MUST!D143+MUST!E143+MUST!F143</f>
        <v>1</v>
      </c>
      <c r="I143" s="26">
        <f>Phalombe!D143+Phalombe!E143+Phalombe!F143</f>
        <v>11</v>
      </c>
      <c r="J143" s="26">
        <f>Mikolongwe!D143+Mikolongwe!E143+Mikolongwe!F143</f>
        <v>0</v>
      </c>
      <c r="K143" s="26">
        <f>Migowi!D143+Migowi!E143+Migowi!F143</f>
        <v>0</v>
      </c>
      <c r="L143" s="55">
        <f>SUM(D143:K143)</f>
        <v>31</v>
      </c>
    </row>
    <row r="144" spans="1:12" ht="15.6" x14ac:dyDescent="0.3">
      <c r="A144" s="248"/>
      <c r="B144" s="24" t="s">
        <v>81</v>
      </c>
      <c r="C144" s="11" t="s">
        <v>3</v>
      </c>
      <c r="D144" s="139">
        <f t="shared" ref="D144:L144" si="42">D140+D141-D142-D143</f>
        <v>99</v>
      </c>
      <c r="E144" s="139">
        <f t="shared" si="42"/>
        <v>24</v>
      </c>
      <c r="F144" s="139">
        <f t="shared" si="42"/>
        <v>47</v>
      </c>
      <c r="G144" s="139">
        <f t="shared" si="42"/>
        <v>0</v>
      </c>
      <c r="H144" s="139">
        <f t="shared" si="42"/>
        <v>0</v>
      </c>
      <c r="I144" s="139">
        <f t="shared" si="42"/>
        <v>35</v>
      </c>
      <c r="J144" s="139">
        <f t="shared" si="42"/>
        <v>0</v>
      </c>
      <c r="K144" s="139">
        <f t="shared" si="42"/>
        <v>0</v>
      </c>
      <c r="L144" s="32">
        <f t="shared" si="42"/>
        <v>135</v>
      </c>
    </row>
    <row r="145" spans="1:12" s="2" customFormat="1" ht="15.6" x14ac:dyDescent="0.3">
      <c r="A145" s="247" t="s">
        <v>86</v>
      </c>
      <c r="B145" s="24" t="s">
        <v>85</v>
      </c>
      <c r="C145" s="11" t="s">
        <v>3</v>
      </c>
      <c r="D145" s="140">
        <f>D125+D130+D135+D140</f>
        <v>218</v>
      </c>
      <c r="E145" s="140">
        <f t="shared" ref="E145:K145" si="43">E125+E130+E135+E140</f>
        <v>19</v>
      </c>
      <c r="F145" s="140">
        <f t="shared" si="43"/>
        <v>38</v>
      </c>
      <c r="G145" s="140">
        <f t="shared" si="43"/>
        <v>0</v>
      </c>
      <c r="H145" s="140">
        <f t="shared" si="43"/>
        <v>0</v>
      </c>
      <c r="I145" s="140">
        <f t="shared" si="43"/>
        <v>15</v>
      </c>
      <c r="J145" s="140">
        <f t="shared" si="43"/>
        <v>0</v>
      </c>
      <c r="K145" s="140">
        <f t="shared" si="43"/>
        <v>0</v>
      </c>
      <c r="L145" s="55">
        <f t="shared" ref="L145:L149" si="44">L125+L130+L135+L140</f>
        <v>218</v>
      </c>
    </row>
    <row r="146" spans="1:12" ht="15.6" x14ac:dyDescent="0.3">
      <c r="A146" s="280"/>
      <c r="B146" s="24" t="s">
        <v>84</v>
      </c>
      <c r="C146" s="11" t="s">
        <v>3</v>
      </c>
      <c r="D146" s="140">
        <f t="shared" ref="D146:K148" si="45">D126+D131+D136+D141</f>
        <v>1</v>
      </c>
      <c r="E146" s="140">
        <f t="shared" si="45"/>
        <v>49</v>
      </c>
      <c r="F146" s="140">
        <f t="shared" si="45"/>
        <v>54</v>
      </c>
      <c r="G146" s="140">
        <f t="shared" si="45"/>
        <v>21</v>
      </c>
      <c r="H146" s="140">
        <f t="shared" si="45"/>
        <v>2</v>
      </c>
      <c r="I146" s="140">
        <f t="shared" si="45"/>
        <v>87</v>
      </c>
      <c r="J146" s="140">
        <f t="shared" si="45"/>
        <v>0</v>
      </c>
      <c r="K146" s="140">
        <f t="shared" si="45"/>
        <v>0</v>
      </c>
      <c r="L146" s="55">
        <f t="shared" si="44"/>
        <v>214</v>
      </c>
    </row>
    <row r="147" spans="1:12" ht="15.6" x14ac:dyDescent="0.3">
      <c r="A147" s="280"/>
      <c r="B147" s="24" t="s">
        <v>83</v>
      </c>
      <c r="C147" s="11" t="s">
        <v>3</v>
      </c>
      <c r="D147" s="140">
        <f t="shared" si="45"/>
        <v>116</v>
      </c>
      <c r="E147" s="140">
        <f t="shared" si="45"/>
        <v>32</v>
      </c>
      <c r="F147" s="140">
        <f t="shared" si="45"/>
        <v>41</v>
      </c>
      <c r="G147" s="140">
        <f t="shared" si="45"/>
        <v>21</v>
      </c>
      <c r="H147" s="140">
        <f t="shared" si="45"/>
        <v>1</v>
      </c>
      <c r="I147" s="140">
        <f t="shared" si="45"/>
        <v>56</v>
      </c>
      <c r="J147" s="140">
        <f t="shared" si="45"/>
        <v>0</v>
      </c>
      <c r="K147" s="140">
        <f t="shared" si="45"/>
        <v>0</v>
      </c>
      <c r="L147" s="55">
        <f t="shared" si="44"/>
        <v>267</v>
      </c>
    </row>
    <row r="148" spans="1:12" ht="15.6" x14ac:dyDescent="0.3">
      <c r="A148" s="280"/>
      <c r="B148" s="24" t="s">
        <v>82</v>
      </c>
      <c r="C148" s="11" t="s">
        <v>3</v>
      </c>
      <c r="D148" s="140">
        <f t="shared" si="45"/>
        <v>4</v>
      </c>
      <c r="E148" s="140">
        <f t="shared" si="45"/>
        <v>12</v>
      </c>
      <c r="F148" s="140">
        <f t="shared" si="45"/>
        <v>4</v>
      </c>
      <c r="G148" s="140">
        <f t="shared" si="45"/>
        <v>0</v>
      </c>
      <c r="H148" s="140">
        <f t="shared" si="45"/>
        <v>1</v>
      </c>
      <c r="I148" s="140">
        <f t="shared" si="45"/>
        <v>11</v>
      </c>
      <c r="J148" s="140">
        <f t="shared" si="45"/>
        <v>0</v>
      </c>
      <c r="K148" s="140">
        <f t="shared" si="45"/>
        <v>0</v>
      </c>
      <c r="L148" s="55">
        <f t="shared" si="44"/>
        <v>32</v>
      </c>
    </row>
    <row r="149" spans="1:12" ht="15.6" x14ac:dyDescent="0.3">
      <c r="A149" s="248"/>
      <c r="B149" s="24" t="s">
        <v>81</v>
      </c>
      <c r="C149" s="11" t="s">
        <v>3</v>
      </c>
      <c r="D149" s="139">
        <f>D145+D146-D147-D148</f>
        <v>99</v>
      </c>
      <c r="E149" s="139">
        <f t="shared" ref="E149:K149" si="46">E145+E146-E147-E148</f>
        <v>24</v>
      </c>
      <c r="F149" s="139">
        <f t="shared" si="46"/>
        <v>47</v>
      </c>
      <c r="G149" s="139">
        <f t="shared" si="46"/>
        <v>0</v>
      </c>
      <c r="H149" s="139">
        <f t="shared" si="46"/>
        <v>0</v>
      </c>
      <c r="I149" s="139">
        <f t="shared" si="46"/>
        <v>35</v>
      </c>
      <c r="J149" s="139">
        <f t="shared" si="46"/>
        <v>0</v>
      </c>
      <c r="K149" s="139">
        <f t="shared" si="46"/>
        <v>0</v>
      </c>
      <c r="L149" s="55">
        <f t="shared" si="44"/>
        <v>133</v>
      </c>
    </row>
    <row r="150" spans="1:12" x14ac:dyDescent="0.3">
      <c r="A150" s="281" t="s">
        <v>80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3"/>
    </row>
    <row r="151" spans="1:12" ht="15.6" customHeight="1" x14ac:dyDescent="0.3">
      <c r="A151" s="310" t="s">
        <v>79</v>
      </c>
      <c r="B151" s="311"/>
      <c r="C151" s="311"/>
      <c r="D151" s="311"/>
      <c r="E151" s="311"/>
      <c r="F151" s="311"/>
      <c r="G151" s="311"/>
      <c r="H151" s="311"/>
      <c r="I151" s="311"/>
      <c r="J151" s="311"/>
      <c r="K151" s="311"/>
      <c r="L151" s="312"/>
    </row>
    <row r="152" spans="1:12" ht="15.6" x14ac:dyDescent="0.3">
      <c r="A152" s="291" t="s">
        <v>78</v>
      </c>
      <c r="B152" s="91" t="s">
        <v>63</v>
      </c>
      <c r="C152" s="11"/>
      <c r="D152" s="141"/>
      <c r="E152" s="141"/>
      <c r="F152" s="141"/>
      <c r="G152" s="141"/>
      <c r="H152" s="141"/>
      <c r="I152" s="141"/>
      <c r="J152" s="133"/>
      <c r="K152" s="133"/>
      <c r="L152" s="9"/>
    </row>
    <row r="153" spans="1:12" ht="15.6" x14ac:dyDescent="0.3">
      <c r="A153" s="292"/>
      <c r="B153" s="19" t="s">
        <v>73</v>
      </c>
      <c r="C153" s="11" t="s">
        <v>57</v>
      </c>
      <c r="D153" s="141">
        <f>Mulanje!D153+Mulanje!E153+Mulanje!F153</f>
        <v>67</v>
      </c>
      <c r="E153" s="141">
        <f>Luchenza!D153+Luchenza!E153+Luchenza!F153</f>
        <v>210</v>
      </c>
      <c r="F153" s="141">
        <f>Thyolo!D153+Thyolo!E153+Thyolo!F153</f>
        <v>150</v>
      </c>
      <c r="G153" s="141">
        <f>Muloza!D153+Muloza!E153+Muloza!F153</f>
        <v>38</v>
      </c>
      <c r="H153" s="141">
        <f>MUST!D153+MUST!E153+MUST!F153</f>
        <v>4</v>
      </c>
      <c r="I153" s="141">
        <f>Phalombe!D153+Phalombe!E153+Phalombe!F153</f>
        <v>31</v>
      </c>
      <c r="J153" s="141">
        <f>Mikolongwe!D153+Mikolongwe!E153+Mikolongwe!F153</f>
        <v>1</v>
      </c>
      <c r="K153" s="141">
        <f>Migowi!D153+Migowi!E153+Migowi!F153</f>
        <v>0</v>
      </c>
      <c r="L153" s="74">
        <f t="shared" ref="L153:L165" si="47">SUM(D153:K153)</f>
        <v>501</v>
      </c>
    </row>
    <row r="154" spans="1:12" ht="15.6" x14ac:dyDescent="0.3">
      <c r="A154" s="292"/>
      <c r="B154" s="19" t="s">
        <v>72</v>
      </c>
      <c r="C154" s="11" t="s">
        <v>57</v>
      </c>
      <c r="D154" s="141">
        <f>Mulanje!D154+Mulanje!E154+Mulanje!F154</f>
        <v>34</v>
      </c>
      <c r="E154" s="141">
        <f>Luchenza!D154+Luchenza!E154+Luchenza!F154</f>
        <v>95</v>
      </c>
      <c r="F154" s="141">
        <f>Thyolo!D154+Thyolo!E154+Thyolo!F154</f>
        <v>91</v>
      </c>
      <c r="G154" s="141">
        <f>Muloza!D154+Muloza!E154+Muloza!F154</f>
        <v>15</v>
      </c>
      <c r="H154" s="141">
        <f>MUST!D154+MUST!E154+MUST!F154</f>
        <v>3</v>
      </c>
      <c r="I154" s="141">
        <f>Phalombe!D154+Phalombe!E154+Phalombe!F154</f>
        <v>17</v>
      </c>
      <c r="J154" s="141">
        <f>Mikolongwe!D154+Mikolongwe!E154+Mikolongwe!F154</f>
        <v>0</v>
      </c>
      <c r="K154" s="141">
        <f>Migowi!D154+Migowi!E154+Migowi!F154</f>
        <v>0</v>
      </c>
      <c r="L154" s="74">
        <f t="shared" si="47"/>
        <v>255</v>
      </c>
    </row>
    <row r="155" spans="1:12" ht="15.6" x14ac:dyDescent="0.3">
      <c r="A155" s="292"/>
      <c r="B155" s="19" t="s">
        <v>53</v>
      </c>
      <c r="C155" s="11" t="s">
        <v>57</v>
      </c>
      <c r="D155" s="141">
        <f>Mulanje!D155+Mulanje!E155+Mulanje!F155</f>
        <v>11</v>
      </c>
      <c r="E155" s="141">
        <f>Luchenza!D155+Luchenza!E155+Luchenza!F155</f>
        <v>28</v>
      </c>
      <c r="F155" s="141">
        <f>Thyolo!D155+Thyolo!E155+Thyolo!F155</f>
        <v>68</v>
      </c>
      <c r="G155" s="141">
        <f>Muloza!D155+Muloza!E155+Muloza!F155</f>
        <v>9</v>
      </c>
      <c r="H155" s="141">
        <f>MUST!D155+MUST!E155+MUST!F155</f>
        <v>0</v>
      </c>
      <c r="I155" s="141">
        <f>Phalombe!D155+Phalombe!E155+Phalombe!F155</f>
        <v>18</v>
      </c>
      <c r="J155" s="141">
        <f>Mikolongwe!D155+Mikolongwe!E155+Mikolongwe!F155</f>
        <v>0</v>
      </c>
      <c r="K155" s="141">
        <f>Migowi!D155+Migowi!E155+Migowi!F155</f>
        <v>0</v>
      </c>
      <c r="L155" s="74">
        <f t="shared" si="47"/>
        <v>134</v>
      </c>
    </row>
    <row r="156" spans="1:12" ht="15.6" x14ac:dyDescent="0.3">
      <c r="A156" s="292"/>
      <c r="B156" s="19" t="s">
        <v>71</v>
      </c>
      <c r="C156" s="11" t="s">
        <v>57</v>
      </c>
      <c r="D156" s="141">
        <f>Mulanje!D156+Mulanje!E156+Mulanje!F156</f>
        <v>3</v>
      </c>
      <c r="E156" s="141">
        <f>Luchenza!D156+Luchenza!E156+Luchenza!F156</f>
        <v>5</v>
      </c>
      <c r="F156" s="141">
        <f>Thyolo!D156+Thyolo!E156+Thyolo!F156</f>
        <v>7</v>
      </c>
      <c r="G156" s="141">
        <f>Muloza!D156+Muloza!E156+Muloza!F156</f>
        <v>4</v>
      </c>
      <c r="H156" s="141">
        <f>MUST!D156+MUST!E156+MUST!F156</f>
        <v>1</v>
      </c>
      <c r="I156" s="141">
        <f>Phalombe!D156+Phalombe!E156+Phalombe!F156</f>
        <v>2</v>
      </c>
      <c r="J156" s="141">
        <f>Mikolongwe!D156+Mikolongwe!E156+Mikolongwe!F156</f>
        <v>0</v>
      </c>
      <c r="K156" s="141">
        <f>Migowi!D156+Migowi!E156+Migowi!F156</f>
        <v>0</v>
      </c>
      <c r="L156" s="74">
        <f t="shared" si="47"/>
        <v>22</v>
      </c>
    </row>
    <row r="157" spans="1:12" ht="15.6" x14ac:dyDescent="0.3">
      <c r="A157" s="292"/>
      <c r="B157" s="19" t="s">
        <v>52</v>
      </c>
      <c r="C157" s="11" t="s">
        <v>57</v>
      </c>
      <c r="D157" s="141">
        <f>Mulanje!D157+Mulanje!E157+Mulanje!F157</f>
        <v>7</v>
      </c>
      <c r="E157" s="141">
        <f>Luchenza!D157+Luchenza!E157+Luchenza!F157</f>
        <v>6</v>
      </c>
      <c r="F157" s="141">
        <f>Thyolo!D157+Thyolo!E157+Thyolo!F157</f>
        <v>8</v>
      </c>
      <c r="G157" s="141">
        <f>Muloza!D157+Muloza!E157+Muloza!F157</f>
        <v>1</v>
      </c>
      <c r="H157" s="141">
        <f>MUST!D157+MUST!E157+MUST!F157</f>
        <v>0</v>
      </c>
      <c r="I157" s="141">
        <f>Phalombe!D157+Phalombe!E157+Phalombe!F157</f>
        <v>6</v>
      </c>
      <c r="J157" s="141">
        <f>Mikolongwe!D157+Mikolongwe!E157+Mikolongwe!F157</f>
        <v>1</v>
      </c>
      <c r="K157" s="141">
        <f>Migowi!D157+Migowi!E157+Migowi!F157</f>
        <v>0</v>
      </c>
      <c r="L157" s="74">
        <f t="shared" si="47"/>
        <v>29</v>
      </c>
    </row>
    <row r="158" spans="1:12" ht="15.6" x14ac:dyDescent="0.3">
      <c r="A158" s="292"/>
      <c r="B158" s="19" t="s">
        <v>51</v>
      </c>
      <c r="C158" s="11" t="s">
        <v>57</v>
      </c>
      <c r="D158" s="141">
        <f>Mulanje!D158+Mulanje!E158+Mulanje!F158</f>
        <v>3</v>
      </c>
      <c r="E158" s="141">
        <f>Luchenza!D158+Luchenza!E158+Luchenza!F158</f>
        <v>5</v>
      </c>
      <c r="F158" s="141">
        <f>Thyolo!D158+Thyolo!E158+Thyolo!F158</f>
        <v>5</v>
      </c>
      <c r="G158" s="141">
        <f>Muloza!D158+Muloza!E158+Muloza!F158</f>
        <v>2</v>
      </c>
      <c r="H158" s="141">
        <f>MUST!D158+MUST!E158+MUST!F158</f>
        <v>1</v>
      </c>
      <c r="I158" s="141">
        <f>Phalombe!D158+Phalombe!E158+Phalombe!F158</f>
        <v>5</v>
      </c>
      <c r="J158" s="141">
        <f>Mikolongwe!D158+Mikolongwe!E158+Mikolongwe!F158</f>
        <v>2</v>
      </c>
      <c r="K158" s="141">
        <f>Migowi!D158+Migowi!E158+Migowi!F158</f>
        <v>0</v>
      </c>
      <c r="L158" s="74">
        <f t="shared" si="47"/>
        <v>23</v>
      </c>
    </row>
    <row r="159" spans="1:12" ht="15.6" x14ac:dyDescent="0.3">
      <c r="A159" s="292"/>
      <c r="B159" s="19" t="s">
        <v>62</v>
      </c>
      <c r="C159" s="11" t="s">
        <v>57</v>
      </c>
      <c r="D159" s="141">
        <f>Mulanje!D159+Mulanje!E159+Mulanje!F159</f>
        <v>0</v>
      </c>
      <c r="E159" s="141">
        <f>Luchenza!D159+Luchenza!E159+Luchenza!F159</f>
        <v>0</v>
      </c>
      <c r="F159" s="141">
        <f>Thyolo!D159+Thyolo!E159+Thyolo!F159</f>
        <v>0</v>
      </c>
      <c r="G159" s="141">
        <f>Muloza!D159+Muloza!E159+Muloza!F159</f>
        <v>0</v>
      </c>
      <c r="H159" s="141">
        <f>MUST!D159+MUST!E159+MUST!F159</f>
        <v>0</v>
      </c>
      <c r="I159" s="141">
        <f>Phalombe!D159+Phalombe!E159+Phalombe!F159</f>
        <v>0</v>
      </c>
      <c r="J159" s="141">
        <f>Mikolongwe!D159+Mikolongwe!E159+Mikolongwe!F159</f>
        <v>0</v>
      </c>
      <c r="K159" s="141">
        <f>Migowi!D159+Migowi!E159+Migowi!F159</f>
        <v>0</v>
      </c>
      <c r="L159" s="74">
        <f t="shared" si="47"/>
        <v>0</v>
      </c>
    </row>
    <row r="160" spans="1:12" ht="15.6" x14ac:dyDescent="0.3">
      <c r="A160" s="292"/>
      <c r="B160" s="19" t="s">
        <v>50</v>
      </c>
      <c r="C160" s="11" t="s">
        <v>57</v>
      </c>
      <c r="D160" s="141">
        <f>Mulanje!D160+Mulanje!E160+Mulanje!F160</f>
        <v>0</v>
      </c>
      <c r="E160" s="141">
        <f>Luchenza!D160+Luchenza!E160+Luchenza!F160</f>
        <v>1</v>
      </c>
      <c r="F160" s="141">
        <f>Thyolo!D160+Thyolo!E160+Thyolo!F160</f>
        <v>6</v>
      </c>
      <c r="G160" s="141">
        <f>Muloza!D160+Muloza!E160+Muloza!F160</f>
        <v>0</v>
      </c>
      <c r="H160" s="141">
        <f>MUST!D160+MUST!E160+MUST!F160</f>
        <v>1</v>
      </c>
      <c r="I160" s="141">
        <f>Phalombe!D160+Phalombe!E160+Phalombe!F160</f>
        <v>3</v>
      </c>
      <c r="J160" s="141">
        <f>Mikolongwe!D160+Mikolongwe!E160+Mikolongwe!F160</f>
        <v>0</v>
      </c>
      <c r="K160" s="141">
        <f>Migowi!D160+Migowi!E160+Migowi!F160</f>
        <v>0</v>
      </c>
      <c r="L160" s="74">
        <f t="shared" si="47"/>
        <v>11</v>
      </c>
    </row>
    <row r="161" spans="1:12" ht="15.6" x14ac:dyDescent="0.3">
      <c r="A161" s="292"/>
      <c r="B161" s="19" t="s">
        <v>49</v>
      </c>
      <c r="C161" s="11" t="s">
        <v>57</v>
      </c>
      <c r="D161" s="141">
        <f>Mulanje!D161+Mulanje!E161+Mulanje!F161</f>
        <v>0</v>
      </c>
      <c r="E161" s="141">
        <f>Luchenza!D161+Luchenza!E161+Luchenza!F161</f>
        <v>5</v>
      </c>
      <c r="F161" s="141">
        <f>Thyolo!D161+Thyolo!E161+Thyolo!F161</f>
        <v>9</v>
      </c>
      <c r="G161" s="141">
        <f>Muloza!D161+Muloza!E161+Muloza!F161</f>
        <v>0</v>
      </c>
      <c r="H161" s="141">
        <f>MUST!D161+MUST!E161+MUST!F161</f>
        <v>1</v>
      </c>
      <c r="I161" s="141">
        <f>Phalombe!D161+Phalombe!E161+Phalombe!F161</f>
        <v>3</v>
      </c>
      <c r="J161" s="141">
        <f>Mikolongwe!D161+Mikolongwe!E161+Mikolongwe!F161</f>
        <v>0</v>
      </c>
      <c r="K161" s="141">
        <f>Migowi!D161+Migowi!E161+Migowi!F161</f>
        <v>0</v>
      </c>
      <c r="L161" s="74">
        <f t="shared" si="47"/>
        <v>18</v>
      </c>
    </row>
    <row r="162" spans="1:12" ht="15.6" x14ac:dyDescent="0.3">
      <c r="A162" s="292"/>
      <c r="B162" s="19" t="s">
        <v>77</v>
      </c>
      <c r="C162" s="11" t="s">
        <v>57</v>
      </c>
      <c r="D162" s="141">
        <f>Mulanje!D162+Mulanje!E162+Mulanje!F162</f>
        <v>7</v>
      </c>
      <c r="E162" s="141">
        <f>Luchenza!D162+Luchenza!E162+Luchenza!F162</f>
        <v>6</v>
      </c>
      <c r="F162" s="141">
        <f>Thyolo!D162+Thyolo!E162+Thyolo!F162</f>
        <v>8</v>
      </c>
      <c r="G162" s="141">
        <f>Muloza!D162+Muloza!E162+Muloza!F162</f>
        <v>1</v>
      </c>
      <c r="H162" s="141">
        <f>MUST!D162+MUST!E162+MUST!F162</f>
        <v>1</v>
      </c>
      <c r="I162" s="141">
        <f>Phalombe!D162+Phalombe!E162+Phalombe!F162</f>
        <v>0</v>
      </c>
      <c r="J162" s="141">
        <f>Mikolongwe!D162+Mikolongwe!E162+Mikolongwe!F162</f>
        <v>0</v>
      </c>
      <c r="K162" s="141">
        <f>Migowi!D162+Migowi!E162+Migowi!F162</f>
        <v>0</v>
      </c>
      <c r="L162" s="74">
        <f t="shared" si="47"/>
        <v>23</v>
      </c>
    </row>
    <row r="163" spans="1:12" ht="15.6" x14ac:dyDescent="0.3">
      <c r="A163" s="292"/>
      <c r="B163" s="19" t="s">
        <v>69</v>
      </c>
      <c r="C163" s="11" t="s">
        <v>57</v>
      </c>
      <c r="D163" s="141">
        <f>Mulanje!D163+Mulanje!E163+Mulanje!F163</f>
        <v>0</v>
      </c>
      <c r="E163" s="141">
        <f>Luchenza!D163+Luchenza!E163+Luchenza!F163</f>
        <v>1</v>
      </c>
      <c r="F163" s="141">
        <f>Thyolo!D163+Thyolo!E163+Thyolo!F163</f>
        <v>0</v>
      </c>
      <c r="G163" s="141">
        <f>Muloza!D163+Muloza!E163+Muloza!F163</f>
        <v>0</v>
      </c>
      <c r="H163" s="141">
        <f>MUST!D163+MUST!E163+MUST!F163</f>
        <v>0</v>
      </c>
      <c r="I163" s="141">
        <f>Phalombe!D163+Phalombe!E163+Phalombe!F163</f>
        <v>0</v>
      </c>
      <c r="J163" s="141">
        <f>Mikolongwe!D163+Mikolongwe!E163+Mikolongwe!F163</f>
        <v>0</v>
      </c>
      <c r="K163" s="141">
        <f>Migowi!D163+Migowi!E163+Migowi!F163</f>
        <v>0</v>
      </c>
      <c r="L163" s="74">
        <f t="shared" si="47"/>
        <v>1</v>
      </c>
    </row>
    <row r="164" spans="1:12" ht="15.6" x14ac:dyDescent="0.3">
      <c r="A164" s="292"/>
      <c r="B164" s="19" t="s">
        <v>68</v>
      </c>
      <c r="C164" s="11" t="s">
        <v>57</v>
      </c>
      <c r="D164" s="141">
        <f>Mulanje!D164+Mulanje!E164+Mulanje!F164</f>
        <v>0</v>
      </c>
      <c r="E164" s="141">
        <f>Luchenza!D164+Luchenza!E164+Luchenza!F164</f>
        <v>0</v>
      </c>
      <c r="F164" s="141">
        <f>Thyolo!D164+Thyolo!E164+Thyolo!F164</f>
        <v>0</v>
      </c>
      <c r="G164" s="141">
        <f>Muloza!D164+Muloza!E164+Muloza!F164</f>
        <v>0</v>
      </c>
      <c r="H164" s="141">
        <f>MUST!D164+MUST!E164+MUST!F164</f>
        <v>0</v>
      </c>
      <c r="I164" s="141">
        <f>Phalombe!D164+Phalombe!E164+Phalombe!F164</f>
        <v>0</v>
      </c>
      <c r="J164" s="141">
        <f>Mikolongwe!D164+Mikolongwe!E164+Mikolongwe!F164</f>
        <v>0</v>
      </c>
      <c r="K164" s="141">
        <f>Migowi!D164+Migowi!E164+Migowi!F164</f>
        <v>0</v>
      </c>
      <c r="L164" s="74">
        <f t="shared" si="47"/>
        <v>0</v>
      </c>
    </row>
    <row r="165" spans="1:12" ht="15.6" x14ac:dyDescent="0.3">
      <c r="A165" s="293"/>
      <c r="B165" s="19" t="s">
        <v>76</v>
      </c>
      <c r="C165" s="11" t="s">
        <v>57</v>
      </c>
      <c r="D165" s="141">
        <f>Mulanje!D165+Mulanje!E165+Mulanje!F165</f>
        <v>0</v>
      </c>
      <c r="E165" s="141">
        <f>Luchenza!D165+Luchenza!E165+Luchenza!F165</f>
        <v>0</v>
      </c>
      <c r="F165" s="141">
        <f>Thyolo!D165+Thyolo!E165+Thyolo!F165</f>
        <v>0</v>
      </c>
      <c r="G165" s="141">
        <f>Muloza!D165+Muloza!E165+Muloza!F165</f>
        <v>0</v>
      </c>
      <c r="H165" s="141">
        <f>MUST!D165+MUST!E165+MUST!F165</f>
        <v>0</v>
      </c>
      <c r="I165" s="141">
        <f>Phalombe!D165+Phalombe!E165+Phalombe!F165</f>
        <v>0</v>
      </c>
      <c r="J165" s="141">
        <f>Mikolongwe!D165+Mikolongwe!E165+Mikolongwe!F165</f>
        <v>0</v>
      </c>
      <c r="K165" s="141">
        <f>Migowi!D165+Migowi!E165+Migowi!F165</f>
        <v>0</v>
      </c>
      <c r="L165" s="74">
        <f t="shared" si="47"/>
        <v>0</v>
      </c>
    </row>
    <row r="166" spans="1:12" ht="15.6" x14ac:dyDescent="0.3">
      <c r="A166" s="291" t="s">
        <v>75</v>
      </c>
      <c r="B166" s="21" t="s">
        <v>63</v>
      </c>
      <c r="C166" s="11"/>
      <c r="D166" s="132"/>
      <c r="E166" s="132"/>
      <c r="F166" s="132"/>
      <c r="G166" s="132"/>
      <c r="H166" s="132"/>
      <c r="I166" s="132"/>
      <c r="J166" s="132"/>
      <c r="K166" s="132"/>
      <c r="L166" s="74"/>
    </row>
    <row r="167" spans="1:12" ht="15.6" x14ac:dyDescent="0.3">
      <c r="A167" s="292"/>
      <c r="B167" s="19" t="s">
        <v>74</v>
      </c>
      <c r="C167" s="11" t="s">
        <v>57</v>
      </c>
      <c r="D167" s="141">
        <f>Mulanje!D167+Mulanje!E167+Mulanje!F167</f>
        <v>0</v>
      </c>
      <c r="E167" s="141">
        <f>Luchenza!D167+Luchenza!E167+Luchenza!F167</f>
        <v>0</v>
      </c>
      <c r="F167" s="141">
        <f>Thyolo!D167+Thyolo!E167+Thyolo!F167</f>
        <v>8</v>
      </c>
      <c r="G167" s="141">
        <f>Muloza!D167+Muloza!E167+Muloza!F167</f>
        <v>0</v>
      </c>
      <c r="H167" s="141">
        <f>MUST!D167+MUST!E167+MUST!F167</f>
        <v>0</v>
      </c>
      <c r="I167" s="141">
        <f>Phalombe!D167+Phalombe!E167+Phalombe!F167</f>
        <v>1</v>
      </c>
      <c r="J167" s="141">
        <f>Mikolongwe!D167+Mikolongwe!E167+Mikolongwe!F167</f>
        <v>1</v>
      </c>
      <c r="K167" s="141">
        <f>Migowi!D167+Migowi!E167+Migowi!F167</f>
        <v>0</v>
      </c>
      <c r="L167" s="74">
        <f t="shared" ref="L167:L175" si="48">SUM(D167:K167)</f>
        <v>10</v>
      </c>
    </row>
    <row r="168" spans="1:12" ht="15.6" x14ac:dyDescent="0.3">
      <c r="A168" s="292"/>
      <c r="B168" s="19" t="s">
        <v>73</v>
      </c>
      <c r="C168" s="11" t="s">
        <v>57</v>
      </c>
      <c r="D168" s="141">
        <f>Mulanje!D168+Mulanje!E168+Mulanje!F168</f>
        <v>1</v>
      </c>
      <c r="E168" s="141">
        <f>Luchenza!D168+Luchenza!E168+Luchenza!F168</f>
        <v>0</v>
      </c>
      <c r="F168" s="141">
        <f>Thyolo!D168+Thyolo!E168+Thyolo!F168</f>
        <v>3</v>
      </c>
      <c r="G168" s="141">
        <f>Muloza!D168+Muloza!E168+Muloza!F168</f>
        <v>0</v>
      </c>
      <c r="H168" s="141">
        <f>MUST!D168+MUST!E168+MUST!F168</f>
        <v>0</v>
      </c>
      <c r="I168" s="141">
        <f>Phalombe!D168+Phalombe!E168+Phalombe!F168</f>
        <v>1</v>
      </c>
      <c r="J168" s="141">
        <f>Mikolongwe!D168+Mikolongwe!E168+Mikolongwe!F168</f>
        <v>0</v>
      </c>
      <c r="K168" s="141">
        <f>Migowi!D168+Migowi!E168+Migowi!F168</f>
        <v>0</v>
      </c>
      <c r="L168" s="74">
        <f t="shared" si="48"/>
        <v>5</v>
      </c>
    </row>
    <row r="169" spans="1:12" ht="15.6" x14ac:dyDescent="0.3">
      <c r="A169" s="292"/>
      <c r="B169" s="19" t="s">
        <v>72</v>
      </c>
      <c r="C169" s="11" t="s">
        <v>57</v>
      </c>
      <c r="D169" s="141">
        <f>Mulanje!D169+Mulanje!E169+Mulanje!F169</f>
        <v>0</v>
      </c>
      <c r="E169" s="141">
        <f>Luchenza!D169+Luchenza!E169+Luchenza!F169</f>
        <v>0</v>
      </c>
      <c r="F169" s="141">
        <f>Thyolo!D169+Thyolo!E169+Thyolo!F169</f>
        <v>0</v>
      </c>
      <c r="G169" s="141">
        <f>Muloza!D169+Muloza!E169+Muloza!F169</f>
        <v>0</v>
      </c>
      <c r="H169" s="141">
        <f>MUST!D169+MUST!E169+MUST!F169</f>
        <v>0</v>
      </c>
      <c r="I169" s="141">
        <f>Phalombe!D169+Phalombe!E169+Phalombe!F169</f>
        <v>0</v>
      </c>
      <c r="J169" s="141">
        <f>Mikolongwe!D169+Mikolongwe!E169+Mikolongwe!F169</f>
        <v>0</v>
      </c>
      <c r="K169" s="141">
        <f>Migowi!D169+Migowi!E169+Migowi!F169</f>
        <v>0</v>
      </c>
      <c r="L169" s="74">
        <f t="shared" si="48"/>
        <v>0</v>
      </c>
    </row>
    <row r="170" spans="1:12" ht="15.6" x14ac:dyDescent="0.3">
      <c r="A170" s="292"/>
      <c r="B170" s="19" t="s">
        <v>71</v>
      </c>
      <c r="C170" s="11" t="s">
        <v>57</v>
      </c>
      <c r="D170" s="141">
        <f>Mulanje!D170+Mulanje!E170+Mulanje!F170</f>
        <v>0</v>
      </c>
      <c r="E170" s="141">
        <f>Luchenza!D170+Luchenza!E170+Luchenza!F170</f>
        <v>0</v>
      </c>
      <c r="F170" s="141">
        <f>Thyolo!D170+Thyolo!E170+Thyolo!F170</f>
        <v>0</v>
      </c>
      <c r="G170" s="141">
        <f>Muloza!D170+Muloza!E170+Muloza!F170</f>
        <v>0</v>
      </c>
      <c r="H170" s="141">
        <f>MUST!D170+MUST!E170+MUST!F170</f>
        <v>0</v>
      </c>
      <c r="I170" s="141">
        <f>Phalombe!D170+Phalombe!E170+Phalombe!F170</f>
        <v>0</v>
      </c>
      <c r="J170" s="141">
        <f>Mikolongwe!D170+Mikolongwe!E170+Mikolongwe!F170</f>
        <v>0</v>
      </c>
      <c r="K170" s="141">
        <f>Migowi!D170+Migowi!E170+Migowi!F170</f>
        <v>0</v>
      </c>
      <c r="L170" s="74">
        <f t="shared" si="48"/>
        <v>0</v>
      </c>
    </row>
    <row r="171" spans="1:12" ht="15.6" x14ac:dyDescent="0.3">
      <c r="A171" s="292"/>
      <c r="B171" s="19" t="s">
        <v>52</v>
      </c>
      <c r="C171" s="11" t="s">
        <v>57</v>
      </c>
      <c r="D171" s="141">
        <f>Mulanje!D171+Mulanje!E171+Mulanje!F171</f>
        <v>0</v>
      </c>
      <c r="E171" s="141">
        <f>Luchenza!D171+Luchenza!E171+Luchenza!F171</f>
        <v>0</v>
      </c>
      <c r="F171" s="141">
        <f>Thyolo!D171+Thyolo!E171+Thyolo!F171</f>
        <v>0</v>
      </c>
      <c r="G171" s="141">
        <f>Muloza!D171+Muloza!E171+Muloza!F171</f>
        <v>0</v>
      </c>
      <c r="H171" s="141">
        <f>MUST!D171+MUST!E171+MUST!F171</f>
        <v>0</v>
      </c>
      <c r="I171" s="141">
        <f>Phalombe!D171+Phalombe!E171+Phalombe!F171</f>
        <v>0</v>
      </c>
      <c r="J171" s="141">
        <f>Mikolongwe!D171+Mikolongwe!E171+Mikolongwe!F171</f>
        <v>0</v>
      </c>
      <c r="K171" s="141">
        <f>Migowi!D171+Migowi!E171+Migowi!F171</f>
        <v>0</v>
      </c>
      <c r="L171" s="74">
        <f t="shared" si="48"/>
        <v>0</v>
      </c>
    </row>
    <row r="172" spans="1:12" ht="15.6" x14ac:dyDescent="0.3">
      <c r="A172" s="292"/>
      <c r="B172" s="19" t="s">
        <v>62</v>
      </c>
      <c r="C172" s="11" t="s">
        <v>57</v>
      </c>
      <c r="D172" s="141">
        <f>Mulanje!D172+Mulanje!E172+Mulanje!F172</f>
        <v>0</v>
      </c>
      <c r="E172" s="141">
        <f>Luchenza!D172+Luchenza!E172+Luchenza!F172</f>
        <v>0</v>
      </c>
      <c r="F172" s="141">
        <f>Thyolo!D172+Thyolo!E172+Thyolo!F172</f>
        <v>0</v>
      </c>
      <c r="G172" s="141">
        <f>Muloza!D172+Muloza!E172+Muloza!F172</f>
        <v>0</v>
      </c>
      <c r="H172" s="141">
        <f>MUST!D172+MUST!E172+MUST!F172</f>
        <v>0</v>
      </c>
      <c r="I172" s="141">
        <f>Phalombe!D172+Phalombe!E172+Phalombe!F172</f>
        <v>0</v>
      </c>
      <c r="J172" s="141">
        <f>Mikolongwe!D172+Mikolongwe!E172+Mikolongwe!F172</f>
        <v>0</v>
      </c>
      <c r="K172" s="141">
        <f>Migowi!D172+Migowi!E172+Migowi!F172</f>
        <v>0</v>
      </c>
      <c r="L172" s="74">
        <f t="shared" si="48"/>
        <v>0</v>
      </c>
    </row>
    <row r="173" spans="1:12" ht="15.6" x14ac:dyDescent="0.3">
      <c r="A173" s="292"/>
      <c r="B173" s="19" t="s">
        <v>61</v>
      </c>
      <c r="C173" s="11" t="s">
        <v>57</v>
      </c>
      <c r="D173" s="141">
        <f>Mulanje!D173+Mulanje!E173+Mulanje!F173</f>
        <v>0</v>
      </c>
      <c r="E173" s="141">
        <f>Luchenza!D173+Luchenza!E173+Luchenza!F173</f>
        <v>0</v>
      </c>
      <c r="F173" s="141">
        <f>Thyolo!D173+Thyolo!E173+Thyolo!F173</f>
        <v>0</v>
      </c>
      <c r="G173" s="141">
        <f>Muloza!D173+Muloza!E173+Muloza!F173</f>
        <v>0</v>
      </c>
      <c r="H173" s="141">
        <f>MUST!D173+MUST!E173+MUST!F173</f>
        <v>0</v>
      </c>
      <c r="I173" s="141">
        <f>Phalombe!D173+Phalombe!E173+Phalombe!F173</f>
        <v>0</v>
      </c>
      <c r="J173" s="141">
        <f>Mikolongwe!D173+Mikolongwe!E173+Mikolongwe!F173</f>
        <v>0</v>
      </c>
      <c r="K173" s="141">
        <f>Migowi!D173+Migowi!E173+Migowi!F173</f>
        <v>0</v>
      </c>
      <c r="L173" s="74">
        <f t="shared" si="48"/>
        <v>0</v>
      </c>
    </row>
    <row r="174" spans="1:12" ht="15.6" x14ac:dyDescent="0.3">
      <c r="A174" s="292"/>
      <c r="B174" s="19" t="s">
        <v>60</v>
      </c>
      <c r="C174" s="11" t="s">
        <v>57</v>
      </c>
      <c r="D174" s="141">
        <f>Mulanje!D174+Mulanje!E174+Mulanje!F174</f>
        <v>0</v>
      </c>
      <c r="E174" s="141">
        <f>Luchenza!D174+Luchenza!E174+Luchenza!F174</f>
        <v>0</v>
      </c>
      <c r="F174" s="141">
        <f>Thyolo!D174+Thyolo!E174+Thyolo!F174</f>
        <v>0</v>
      </c>
      <c r="G174" s="141">
        <f>Muloza!D174+Muloza!E174+Muloza!F174</f>
        <v>0</v>
      </c>
      <c r="H174" s="141">
        <f>MUST!D174+MUST!E174+MUST!F174</f>
        <v>0</v>
      </c>
      <c r="I174" s="141">
        <f>Phalombe!D174+Phalombe!E174+Phalombe!F174</f>
        <v>0</v>
      </c>
      <c r="J174" s="141">
        <f>Mikolongwe!D174+Mikolongwe!E174+Mikolongwe!F174</f>
        <v>0</v>
      </c>
      <c r="K174" s="141">
        <f>Migowi!D174+Migowi!E174+Migowi!F174</f>
        <v>0</v>
      </c>
      <c r="L174" s="74">
        <f t="shared" si="48"/>
        <v>0</v>
      </c>
    </row>
    <row r="175" spans="1:12" ht="15.6" x14ac:dyDescent="0.3">
      <c r="A175" s="293"/>
      <c r="B175" s="19" t="s">
        <v>69</v>
      </c>
      <c r="C175" s="11" t="s">
        <v>57</v>
      </c>
      <c r="D175" s="141">
        <f>Mulanje!D175+Mulanje!E175+Mulanje!F175</f>
        <v>0</v>
      </c>
      <c r="E175" s="141">
        <f>Luchenza!D175+Luchenza!E175+Luchenza!F175</f>
        <v>0</v>
      </c>
      <c r="F175" s="141">
        <f>Thyolo!D175+Thyolo!E175+Thyolo!F175</f>
        <v>0</v>
      </c>
      <c r="G175" s="141">
        <f>Muloza!D175+Muloza!E175+Muloza!F175</f>
        <v>0</v>
      </c>
      <c r="H175" s="141">
        <f>MUST!D175+MUST!E175+MUST!F175</f>
        <v>0</v>
      </c>
      <c r="I175" s="141">
        <f>Phalombe!D175+Phalombe!E175+Phalombe!F175</f>
        <v>0</v>
      </c>
      <c r="J175" s="141">
        <f>Mikolongwe!D175+Mikolongwe!E175+Mikolongwe!F175</f>
        <v>0</v>
      </c>
      <c r="K175" s="141">
        <f>Migowi!D175+Migowi!E175+Migowi!F175</f>
        <v>0</v>
      </c>
      <c r="L175" s="74">
        <f t="shared" si="48"/>
        <v>0</v>
      </c>
    </row>
    <row r="176" spans="1:12" ht="15.6" x14ac:dyDescent="0.3">
      <c r="A176" s="291" t="s">
        <v>70</v>
      </c>
      <c r="B176" s="21" t="s">
        <v>63</v>
      </c>
      <c r="C176" s="11"/>
      <c r="D176" s="132"/>
      <c r="E176" s="132"/>
      <c r="F176" s="132"/>
      <c r="G176" s="132"/>
      <c r="H176" s="132"/>
      <c r="I176" s="132"/>
      <c r="J176" s="132"/>
      <c r="K176" s="132"/>
      <c r="L176" s="74"/>
    </row>
    <row r="177" spans="1:12" ht="15.6" x14ac:dyDescent="0.3">
      <c r="A177" s="292"/>
      <c r="B177" s="19" t="s">
        <v>60</v>
      </c>
      <c r="C177" s="11" t="s">
        <v>57</v>
      </c>
      <c r="D177" s="141">
        <f>Mulanje!D177+Mulanje!E177+Mulanje!F177</f>
        <v>0</v>
      </c>
      <c r="E177" s="141">
        <f>Luchenza!D177+Luchenza!E177+Luchenza!F177</f>
        <v>0</v>
      </c>
      <c r="F177" s="141">
        <f>Thyolo!D177+Thyolo!E177+Thyolo!F177</f>
        <v>0</v>
      </c>
      <c r="G177" s="141">
        <f>Muloza!D177+Muloza!E177+Muloza!F177</f>
        <v>0</v>
      </c>
      <c r="H177" s="141">
        <f>MUST!D177+MUST!E177+MUST!F177</f>
        <v>0</v>
      </c>
      <c r="I177" s="141">
        <f>Phalombe!D177+Phalombe!E177+Phalombe!F177</f>
        <v>0</v>
      </c>
      <c r="J177" s="141">
        <f>Mikolongwe!D177+Mikolongwe!E177+Mikolongwe!F177</f>
        <v>0</v>
      </c>
      <c r="K177" s="141">
        <f>Migowi!D177+Migowi!E177+Migowi!F177</f>
        <v>0</v>
      </c>
      <c r="L177" s="74">
        <f t="shared" ref="L177:L182" si="49">SUM(D177:K177)</f>
        <v>0</v>
      </c>
    </row>
    <row r="178" spans="1:12" ht="15.6" x14ac:dyDescent="0.3">
      <c r="A178" s="292"/>
      <c r="B178" s="19" t="s">
        <v>69</v>
      </c>
      <c r="C178" s="11" t="s">
        <v>57</v>
      </c>
      <c r="D178" s="141">
        <f>Mulanje!D178+Mulanje!E178+Mulanje!F178</f>
        <v>0</v>
      </c>
      <c r="E178" s="141">
        <f>Luchenza!D178+Luchenza!E178+Luchenza!F178</f>
        <v>0</v>
      </c>
      <c r="F178" s="141">
        <f>Thyolo!D178+Thyolo!E178+Thyolo!F178</f>
        <v>0</v>
      </c>
      <c r="G178" s="141">
        <f>Muloza!D178+Muloza!E178+Muloza!F178</f>
        <v>0</v>
      </c>
      <c r="H178" s="141">
        <f>MUST!D178+MUST!E178+MUST!F178</f>
        <v>0</v>
      </c>
      <c r="I178" s="141">
        <f>Phalombe!D178+Phalombe!E178+Phalombe!F178</f>
        <v>0</v>
      </c>
      <c r="J178" s="141">
        <f>Mikolongwe!D178+Mikolongwe!E178+Mikolongwe!F178</f>
        <v>0</v>
      </c>
      <c r="K178" s="141">
        <f>Migowi!D178+Migowi!E178+Migowi!F178</f>
        <v>0</v>
      </c>
      <c r="L178" s="74">
        <f t="shared" si="49"/>
        <v>0</v>
      </c>
    </row>
    <row r="179" spans="1:12" ht="15.6" x14ac:dyDescent="0.3">
      <c r="A179" s="292"/>
      <c r="B179" s="19" t="s">
        <v>68</v>
      </c>
      <c r="C179" s="11" t="s">
        <v>57</v>
      </c>
      <c r="D179" s="141">
        <f>Mulanje!D179+Mulanje!E179+Mulanje!F179</f>
        <v>0</v>
      </c>
      <c r="E179" s="141">
        <f>Luchenza!D179+Luchenza!E179+Luchenza!F179</f>
        <v>0</v>
      </c>
      <c r="F179" s="141">
        <f>Thyolo!D179+Thyolo!E179+Thyolo!F179</f>
        <v>0</v>
      </c>
      <c r="G179" s="141">
        <f>Muloza!D179+Muloza!E179+Muloza!F179</f>
        <v>0</v>
      </c>
      <c r="H179" s="141">
        <f>MUST!D179+MUST!E179+MUST!F179</f>
        <v>0</v>
      </c>
      <c r="I179" s="141">
        <f>Phalombe!D179+Phalombe!E179+Phalombe!F179</f>
        <v>0</v>
      </c>
      <c r="J179" s="141">
        <f>Mikolongwe!D179+Mikolongwe!E179+Mikolongwe!F179</f>
        <v>0</v>
      </c>
      <c r="K179" s="141">
        <f>Migowi!D179+Migowi!E179+Migowi!F179</f>
        <v>0</v>
      </c>
      <c r="L179" s="74">
        <f t="shared" si="49"/>
        <v>0</v>
      </c>
    </row>
    <row r="180" spans="1:12" ht="15.6" x14ac:dyDescent="0.3">
      <c r="A180" s="292"/>
      <c r="B180" s="19" t="s">
        <v>67</v>
      </c>
      <c r="C180" s="11" t="s">
        <v>57</v>
      </c>
      <c r="D180" s="141">
        <f>Mulanje!D180+Mulanje!E180+Mulanje!F180</f>
        <v>0</v>
      </c>
      <c r="E180" s="141">
        <f>Luchenza!D180+Luchenza!E180+Luchenza!F180</f>
        <v>0</v>
      </c>
      <c r="F180" s="141">
        <f>Thyolo!D180+Thyolo!E180+Thyolo!F180</f>
        <v>0</v>
      </c>
      <c r="G180" s="141">
        <f>Muloza!D180+Muloza!E180+Muloza!F180</f>
        <v>0</v>
      </c>
      <c r="H180" s="141">
        <f>MUST!D180+MUST!E180+MUST!F180</f>
        <v>0</v>
      </c>
      <c r="I180" s="141">
        <f>Phalombe!D180+Phalombe!E180+Phalombe!F180</f>
        <v>0</v>
      </c>
      <c r="J180" s="141">
        <f>Mikolongwe!D180+Mikolongwe!E180+Mikolongwe!F180</f>
        <v>0</v>
      </c>
      <c r="K180" s="141">
        <f>Migowi!D180+Migowi!E180+Migowi!F180</f>
        <v>0</v>
      </c>
      <c r="L180" s="74">
        <f t="shared" si="49"/>
        <v>0</v>
      </c>
    </row>
    <row r="181" spans="1:12" ht="15.6" x14ac:dyDescent="0.3">
      <c r="A181" s="292"/>
      <c r="B181" s="19" t="s">
        <v>66</v>
      </c>
      <c r="C181" s="11" t="s">
        <v>57</v>
      </c>
      <c r="D181" s="141">
        <f>Mulanje!D181+Mulanje!E181+Mulanje!F181</f>
        <v>0</v>
      </c>
      <c r="E181" s="141">
        <f>Luchenza!D181+Luchenza!E181+Luchenza!F181</f>
        <v>0</v>
      </c>
      <c r="F181" s="141">
        <f>Thyolo!D181+Thyolo!E181+Thyolo!F181</f>
        <v>0</v>
      </c>
      <c r="G181" s="141">
        <f>Muloza!D181+Muloza!E181+Muloza!F181</f>
        <v>0</v>
      </c>
      <c r="H181" s="141">
        <f>MUST!D181+MUST!E181+MUST!F181</f>
        <v>0</v>
      </c>
      <c r="I181" s="141">
        <f>Phalombe!D181+Phalombe!E181+Phalombe!F181</f>
        <v>0</v>
      </c>
      <c r="J181" s="141">
        <f>Mikolongwe!D181+Mikolongwe!E181+Mikolongwe!F181</f>
        <v>0</v>
      </c>
      <c r="K181" s="141">
        <f>Migowi!D181+Migowi!E181+Migowi!F181</f>
        <v>0</v>
      </c>
      <c r="L181" s="74">
        <f t="shared" si="49"/>
        <v>0</v>
      </c>
    </row>
    <row r="182" spans="1:12" ht="15.6" x14ac:dyDescent="0.3">
      <c r="A182" s="293"/>
      <c r="B182" s="19" t="s">
        <v>65</v>
      </c>
      <c r="C182" s="11" t="s">
        <v>57</v>
      </c>
      <c r="D182" s="141">
        <f>Mulanje!D182+Mulanje!E182+Mulanje!F182</f>
        <v>0</v>
      </c>
      <c r="E182" s="141">
        <f>Luchenza!D182+Luchenza!E182+Luchenza!F182</f>
        <v>0</v>
      </c>
      <c r="F182" s="141">
        <f>Thyolo!D182+Thyolo!E182+Thyolo!F182</f>
        <v>0</v>
      </c>
      <c r="G182" s="141">
        <f>Muloza!D182+Muloza!E182+Muloza!F182</f>
        <v>0</v>
      </c>
      <c r="H182" s="141">
        <f>MUST!D182+MUST!E182+MUST!F182</f>
        <v>0</v>
      </c>
      <c r="I182" s="141">
        <f>Phalombe!D182+Phalombe!E182+Phalombe!F182</f>
        <v>0</v>
      </c>
      <c r="J182" s="141">
        <f>Mikolongwe!D182+Mikolongwe!E182+Mikolongwe!F182</f>
        <v>0</v>
      </c>
      <c r="K182" s="141">
        <f>Migowi!D182+Migowi!E182+Migowi!F182</f>
        <v>0</v>
      </c>
      <c r="L182" s="74">
        <f t="shared" si="49"/>
        <v>0</v>
      </c>
    </row>
    <row r="183" spans="1:12" ht="15.6" x14ac:dyDescent="0.3">
      <c r="A183" s="291" t="s">
        <v>209</v>
      </c>
      <c r="B183" s="21" t="s">
        <v>63</v>
      </c>
      <c r="C183" s="11"/>
      <c r="D183" s="132"/>
      <c r="E183" s="132"/>
      <c r="F183" s="132"/>
      <c r="G183" s="132"/>
      <c r="H183" s="132"/>
      <c r="I183" s="132"/>
      <c r="J183" s="132"/>
      <c r="K183" s="132"/>
      <c r="L183" s="74"/>
    </row>
    <row r="184" spans="1:12" ht="15.6" x14ac:dyDescent="0.3">
      <c r="A184" s="292"/>
      <c r="B184" s="19" t="s">
        <v>73</v>
      </c>
      <c r="C184" s="11" t="s">
        <v>57</v>
      </c>
      <c r="D184" s="141">
        <f>Mulanje!D184+Mulanje!E184+Mulanje!F184</f>
        <v>0</v>
      </c>
      <c r="E184" s="141">
        <f>Luchenza!D184+Luchenza!E184+Luchenza!F184</f>
        <v>0</v>
      </c>
      <c r="F184" s="141">
        <f>Thyolo!D184+Thyolo!E184+Thyolo!F184</f>
        <v>0</v>
      </c>
      <c r="G184" s="141">
        <f>Muloza!D184+Muloza!E184+Muloza!F184</f>
        <v>0</v>
      </c>
      <c r="H184" s="141">
        <f>MUST!D184+MUST!E184+MUST!F184</f>
        <v>0</v>
      </c>
      <c r="I184" s="141">
        <f>Phalombe!D184+Phalombe!E184+Phalombe!F184</f>
        <v>0</v>
      </c>
      <c r="J184" s="141">
        <f>Mikolongwe!D184+Mikolongwe!E184+Mikolongwe!F184</f>
        <v>0</v>
      </c>
      <c r="K184" s="141">
        <f>Migowi!D184+Migowi!E184+Migowi!F184</f>
        <v>0</v>
      </c>
      <c r="L184" s="74">
        <f>SUM(D184:K184)</f>
        <v>0</v>
      </c>
    </row>
    <row r="185" spans="1:12" ht="15.6" x14ac:dyDescent="0.3">
      <c r="A185" s="292"/>
      <c r="B185" s="19" t="s">
        <v>72</v>
      </c>
      <c r="C185" s="11" t="s">
        <v>57</v>
      </c>
      <c r="D185" s="141">
        <f>Mulanje!D185+Mulanje!E185+Mulanje!F185</f>
        <v>0</v>
      </c>
      <c r="E185" s="141">
        <f>Luchenza!D185+Luchenza!E185+Luchenza!F185</f>
        <v>0</v>
      </c>
      <c r="F185" s="141">
        <f>Thyolo!D185+Thyolo!E185+Thyolo!F185</f>
        <v>0</v>
      </c>
      <c r="G185" s="141">
        <f>Muloza!D185+Muloza!E185+Muloza!F185</f>
        <v>0</v>
      </c>
      <c r="H185" s="141">
        <f>MUST!D185+MUST!E185+MUST!F185</f>
        <v>0</v>
      </c>
      <c r="I185" s="141">
        <f>Phalombe!D185+Phalombe!E185+Phalombe!F185</f>
        <v>0</v>
      </c>
      <c r="J185" s="141">
        <f>Mikolongwe!D185+Mikolongwe!E185+Mikolongwe!F185</f>
        <v>0</v>
      </c>
      <c r="K185" s="141">
        <f>Migowi!D185+Migowi!E185+Migowi!F185</f>
        <v>0</v>
      </c>
      <c r="L185" s="74">
        <f>SUM(D185:K185)</f>
        <v>0</v>
      </c>
    </row>
    <row r="186" spans="1:12" ht="15.6" x14ac:dyDescent="0.3">
      <c r="A186" s="292"/>
      <c r="B186" s="19" t="s">
        <v>53</v>
      </c>
      <c r="C186" s="11" t="s">
        <v>57</v>
      </c>
      <c r="D186" s="141">
        <f>Mulanje!D186+Mulanje!E186+Mulanje!F186</f>
        <v>0</v>
      </c>
      <c r="E186" s="141">
        <f>Luchenza!D186+Luchenza!E186+Luchenza!F186</f>
        <v>0</v>
      </c>
      <c r="F186" s="141">
        <f>Thyolo!D186+Thyolo!E186+Thyolo!F186</f>
        <v>0</v>
      </c>
      <c r="G186" s="141">
        <f>Muloza!D186+Muloza!E186+Muloza!F186</f>
        <v>0</v>
      </c>
      <c r="H186" s="141">
        <f>MUST!D186+MUST!E186+MUST!F186</f>
        <v>0</v>
      </c>
      <c r="I186" s="141">
        <f>Phalombe!D186+Phalombe!E186+Phalombe!F186</f>
        <v>0</v>
      </c>
      <c r="J186" s="141">
        <f>Mikolongwe!D186+Mikolongwe!E186+Mikolongwe!F186</f>
        <v>0</v>
      </c>
      <c r="K186" s="141">
        <f>Migowi!D186+Migowi!E186+Migowi!F186</f>
        <v>0</v>
      </c>
      <c r="L186" s="74">
        <f>SUM(D186:K186)</f>
        <v>0</v>
      </c>
    </row>
    <row r="187" spans="1:12" ht="15.6" x14ac:dyDescent="0.3">
      <c r="A187" s="293"/>
      <c r="B187" s="19" t="s">
        <v>52</v>
      </c>
      <c r="C187" s="11" t="s">
        <v>57</v>
      </c>
      <c r="D187" s="141">
        <f>Mulanje!D187+Mulanje!E187+Mulanje!F187</f>
        <v>0</v>
      </c>
      <c r="E187" s="141">
        <f>Luchenza!D187+Luchenza!E187+Luchenza!F187</f>
        <v>0</v>
      </c>
      <c r="F187" s="141">
        <f>Thyolo!D187+Thyolo!E187+Thyolo!F187</f>
        <v>0</v>
      </c>
      <c r="G187" s="141">
        <f>Muloza!D187+Muloza!E187+Muloza!F187</f>
        <v>0</v>
      </c>
      <c r="H187" s="141">
        <f>MUST!D187+MUST!E187+MUST!F187</f>
        <v>0</v>
      </c>
      <c r="I187" s="141">
        <f>Phalombe!D187+Phalombe!E187+Phalombe!F187</f>
        <v>0</v>
      </c>
      <c r="J187" s="141">
        <f>Mikolongwe!D187+Mikolongwe!E187+Mikolongwe!F187</f>
        <v>0</v>
      </c>
      <c r="K187" s="141">
        <f>Migowi!D187+Migowi!E187+Migowi!F187</f>
        <v>0</v>
      </c>
      <c r="L187" s="74">
        <f>SUM(D187:K187)</f>
        <v>0</v>
      </c>
    </row>
    <row r="188" spans="1:12" ht="15.6" x14ac:dyDescent="0.3">
      <c r="A188" s="291" t="s">
        <v>64</v>
      </c>
      <c r="B188" s="21" t="s">
        <v>63</v>
      </c>
      <c r="C188" s="11"/>
      <c r="D188" s="132"/>
      <c r="E188" s="132"/>
      <c r="F188" s="132"/>
      <c r="G188" s="132"/>
      <c r="H188" s="132"/>
      <c r="I188" s="132"/>
      <c r="J188" s="132"/>
      <c r="K188" s="132"/>
      <c r="L188" s="74"/>
    </row>
    <row r="189" spans="1:12" ht="15.6" x14ac:dyDescent="0.3">
      <c r="A189" s="292"/>
      <c r="B189" s="20" t="s">
        <v>52</v>
      </c>
      <c r="C189" s="11" t="s">
        <v>57</v>
      </c>
      <c r="D189" s="141">
        <f>Mulanje!D189+Mulanje!E189+Mulanje!F189</f>
        <v>0</v>
      </c>
      <c r="E189" s="141">
        <f>Luchenza!D189+Luchenza!E189+Luchenza!F189</f>
        <v>0</v>
      </c>
      <c r="F189" s="141">
        <f>Thyolo!D189+Thyolo!E189+Thyolo!F189</f>
        <v>0</v>
      </c>
      <c r="G189" s="141">
        <f>Muloza!D189+Muloza!E189+Muloza!F189</f>
        <v>0</v>
      </c>
      <c r="H189" s="141">
        <f>MUST!D189+MUST!E189+MUST!F189</f>
        <v>0</v>
      </c>
      <c r="I189" s="141">
        <f>Phalombe!D189+Phalombe!E189+Phalombe!F189</f>
        <v>0</v>
      </c>
      <c r="J189" s="141">
        <f>Mikolongwe!D189+Mikolongwe!E189+Mikolongwe!F189</f>
        <v>0</v>
      </c>
      <c r="K189" s="141">
        <f>Migowi!D189+Migowi!E189+Migowi!F189</f>
        <v>0</v>
      </c>
      <c r="L189" s="74">
        <f>SUM(D189:K189)</f>
        <v>0</v>
      </c>
    </row>
    <row r="190" spans="1:12" ht="15.6" x14ac:dyDescent="0.3">
      <c r="A190" s="292"/>
      <c r="B190" s="19" t="s">
        <v>62</v>
      </c>
      <c r="C190" s="11" t="s">
        <v>57</v>
      </c>
      <c r="D190" s="141">
        <f>Mulanje!D190+Mulanje!E190+Mulanje!F190</f>
        <v>0</v>
      </c>
      <c r="E190" s="141">
        <f>Luchenza!D190+Luchenza!E190+Luchenza!F190</f>
        <v>0</v>
      </c>
      <c r="F190" s="141">
        <f>Thyolo!D190+Thyolo!E190+Thyolo!F190</f>
        <v>5</v>
      </c>
      <c r="G190" s="141">
        <f>Muloza!D190+Muloza!E190+Muloza!F190</f>
        <v>0</v>
      </c>
      <c r="H190" s="141">
        <f>MUST!D190+MUST!E190+MUST!F190</f>
        <v>0</v>
      </c>
      <c r="I190" s="141">
        <f>Phalombe!D190+Phalombe!E190+Phalombe!F190</f>
        <v>0</v>
      </c>
      <c r="J190" s="141">
        <f>Mikolongwe!D190+Mikolongwe!E190+Mikolongwe!F190</f>
        <v>0</v>
      </c>
      <c r="K190" s="141">
        <f>Migowi!D190+Migowi!E190+Migowi!F190</f>
        <v>0</v>
      </c>
      <c r="L190" s="74">
        <f>SUM(D190:K190)</f>
        <v>5</v>
      </c>
    </row>
    <row r="191" spans="1:12" ht="15.6" x14ac:dyDescent="0.3">
      <c r="A191" s="292"/>
      <c r="B191" s="19" t="s">
        <v>61</v>
      </c>
      <c r="C191" s="11" t="s">
        <v>57</v>
      </c>
      <c r="D191" s="141">
        <f>Mulanje!D191+Mulanje!E191+Mulanje!F191</f>
        <v>0</v>
      </c>
      <c r="E191" s="141">
        <f>Luchenza!D191+Luchenza!E191+Luchenza!F191</f>
        <v>0</v>
      </c>
      <c r="F191" s="141">
        <f>Thyolo!D191+Thyolo!E191+Thyolo!F191</f>
        <v>4</v>
      </c>
      <c r="G191" s="141">
        <f>Muloza!D191+Muloza!E191+Muloza!F191</f>
        <v>0</v>
      </c>
      <c r="H191" s="141">
        <f>MUST!D191+MUST!E191+MUST!F191</f>
        <v>0</v>
      </c>
      <c r="I191" s="141">
        <f>Phalombe!D191+Phalombe!E191+Phalombe!F191</f>
        <v>0</v>
      </c>
      <c r="J191" s="141">
        <f>Mikolongwe!D191+Mikolongwe!E191+Mikolongwe!F191</f>
        <v>0</v>
      </c>
      <c r="K191" s="141">
        <f>Migowi!D191+Migowi!E191+Migowi!F191</f>
        <v>0</v>
      </c>
      <c r="L191" s="74">
        <f>SUM(D191:K191)</f>
        <v>4</v>
      </c>
    </row>
    <row r="192" spans="1:12" ht="15.6" x14ac:dyDescent="0.3">
      <c r="A192" s="293"/>
      <c r="B192" s="19" t="s">
        <v>60</v>
      </c>
      <c r="C192" s="11" t="s">
        <v>57</v>
      </c>
      <c r="D192" s="141">
        <f>Mulanje!D192+Mulanje!E192+Mulanje!F192</f>
        <v>0</v>
      </c>
      <c r="E192" s="141">
        <f>Luchenza!D192+Luchenza!E192+Luchenza!F192</f>
        <v>0</v>
      </c>
      <c r="F192" s="141">
        <f>Thyolo!D192+Thyolo!E192+Thyolo!F192</f>
        <v>1</v>
      </c>
      <c r="G192" s="141">
        <f>Muloza!D192+Muloza!E192+Muloza!F192</f>
        <v>0</v>
      </c>
      <c r="H192" s="141">
        <f>MUST!D192+MUST!E192+MUST!F192</f>
        <v>0</v>
      </c>
      <c r="I192" s="141">
        <f>Phalombe!D192+Phalombe!E192+Phalombe!F192</f>
        <v>0</v>
      </c>
      <c r="J192" s="141">
        <f>Mikolongwe!D192+Mikolongwe!E192+Mikolongwe!F192</f>
        <v>0</v>
      </c>
      <c r="K192" s="141">
        <f>Migowi!D192+Migowi!E192+Migowi!F192</f>
        <v>0</v>
      </c>
      <c r="L192" s="74">
        <f>SUM(D192:K192)</f>
        <v>1</v>
      </c>
    </row>
    <row r="193" spans="1:12" ht="15.6" x14ac:dyDescent="0.3">
      <c r="A193" s="313" t="s">
        <v>59</v>
      </c>
      <c r="B193" s="314"/>
      <c r="C193" s="11"/>
      <c r="D193" s="140">
        <f>SUM(D153:D192)</f>
        <v>133</v>
      </c>
      <c r="E193" s="140">
        <f t="shared" ref="E193:K193" si="50">SUM(E153:E192)</f>
        <v>362</v>
      </c>
      <c r="F193" s="140">
        <f t="shared" si="50"/>
        <v>373</v>
      </c>
      <c r="G193" s="140">
        <f t="shared" si="50"/>
        <v>70</v>
      </c>
      <c r="H193" s="140">
        <f t="shared" si="50"/>
        <v>12</v>
      </c>
      <c r="I193" s="140">
        <f t="shared" si="50"/>
        <v>87</v>
      </c>
      <c r="J193" s="140">
        <f t="shared" si="50"/>
        <v>5</v>
      </c>
      <c r="K193" s="140">
        <f t="shared" si="50"/>
        <v>0</v>
      </c>
      <c r="L193" s="55">
        <f>SUM(L153:L192)</f>
        <v>1042</v>
      </c>
    </row>
    <row r="194" spans="1:12" ht="15.6" x14ac:dyDescent="0.3">
      <c r="A194" s="286" t="s">
        <v>58</v>
      </c>
      <c r="B194" s="287"/>
      <c r="C194" s="11" t="s">
        <v>57</v>
      </c>
      <c r="D194" s="141">
        <f>Mulanje!D194+Mulanje!E194+Mulanje!F194</f>
        <v>0</v>
      </c>
      <c r="E194" s="141">
        <f>Luchenza!D194+Luchenza!E194+Luchenza!F194</f>
        <v>0</v>
      </c>
      <c r="F194" s="141">
        <f>Thyolo!D194+Thyolo!E194+Thyolo!F194</f>
        <v>1</v>
      </c>
      <c r="G194" s="141">
        <f>Muloza!D194+Muloza!E194+Muloza!F194</f>
        <v>1</v>
      </c>
      <c r="H194" s="141">
        <f>MUST!D194+MUST!E194+MUST!F194</f>
        <v>8</v>
      </c>
      <c r="I194" s="141">
        <f>Phalombe!D194+Phalombe!E194+Phalombe!F194</f>
        <v>0</v>
      </c>
      <c r="J194" s="141">
        <f>Mikolongwe!D194+Mikolongwe!E194+Mikolongwe!F194</f>
        <v>0</v>
      </c>
      <c r="K194" s="141">
        <f>Migowi!D194+Migowi!E194+Migowi!F194</f>
        <v>0</v>
      </c>
      <c r="L194" s="167">
        <f>SUM(D194:K194)</f>
        <v>10</v>
      </c>
    </row>
    <row r="195" spans="1:12" ht="15.6" x14ac:dyDescent="0.3">
      <c r="A195" s="288"/>
      <c r="B195" s="289"/>
      <c r="C195" s="16" t="s">
        <v>55</v>
      </c>
      <c r="D195" s="141">
        <f>Mulanje!D195+Mulanje!E195+Mulanje!F195</f>
        <v>0</v>
      </c>
      <c r="E195" s="141">
        <f>Luchenza!D195+Luchenza!E195+Luchenza!F195</f>
        <v>0</v>
      </c>
      <c r="F195" s="141">
        <f>Thyolo!D195+Thyolo!E195+Thyolo!F195</f>
        <v>96</v>
      </c>
      <c r="G195" s="141">
        <f>Muloza!D195+Muloza!E195+Muloza!F195</f>
        <v>216</v>
      </c>
      <c r="H195" s="141">
        <f>MUST!D195+MUST!E195+MUST!F195</f>
        <v>356</v>
      </c>
      <c r="I195" s="141">
        <f>Phalombe!D195+Phalombe!E195+Phalombe!F195</f>
        <v>0</v>
      </c>
      <c r="J195" s="141">
        <f>Mikolongwe!D195+Mikolongwe!E195+Mikolongwe!F195</f>
        <v>0</v>
      </c>
      <c r="K195" s="141">
        <f>Migowi!D195+Migowi!E195+Migowi!F195</f>
        <v>0</v>
      </c>
      <c r="L195" s="167">
        <f>SUM(D195:K195)</f>
        <v>668</v>
      </c>
    </row>
    <row r="196" spans="1:12" ht="15.6" x14ac:dyDescent="0.3">
      <c r="A196" s="232" t="s">
        <v>202</v>
      </c>
      <c r="B196" s="233"/>
      <c r="C196" s="16" t="s">
        <v>55</v>
      </c>
      <c r="D196" s="141">
        <f>Mulanje!D196+Mulanje!E196+Mulanje!F196</f>
        <v>72</v>
      </c>
      <c r="E196" s="141">
        <f>Mulanje!E196+Mulanje!F196+Mulanje!G196</f>
        <v>72</v>
      </c>
      <c r="F196" s="141">
        <f>Mulanje!F196+Mulanje!G196+Mulanje!H196</f>
        <v>72</v>
      </c>
      <c r="G196" s="141">
        <f>Mulanje!G196+Mulanje!H196+Mulanje!I196</f>
        <v>72</v>
      </c>
      <c r="H196" s="141">
        <f>Mulanje!H196+Mulanje!I196+Mulanje!J196</f>
        <v>72</v>
      </c>
      <c r="I196" s="141">
        <f>Mulanje!I196+Mulanje!J196+Mulanje!K196</f>
        <v>72</v>
      </c>
      <c r="J196" s="141">
        <f>Mulanje!J196+Mulanje!K196+Mulanje!L196</f>
        <v>72</v>
      </c>
      <c r="K196" s="141">
        <f>Mulanje!K196+Mulanje!L196+Mulanje!M196</f>
        <v>72</v>
      </c>
      <c r="L196" s="167">
        <f>SUM(D196:K196)/10</f>
        <v>57.6</v>
      </c>
    </row>
    <row r="197" spans="1:12" ht="15.6" x14ac:dyDescent="0.3">
      <c r="A197" s="237" t="s">
        <v>56</v>
      </c>
      <c r="B197" s="238"/>
      <c r="C197" s="16" t="s">
        <v>55</v>
      </c>
      <c r="D197" s="168">
        <f>Mulanje!D197+Mulanje!E197+Mulanje!F197</f>
        <v>0</v>
      </c>
      <c r="E197" s="168">
        <f>Luchenza!D197+Luchenza!E197+Luchenza!F197</f>
        <v>99</v>
      </c>
      <c r="F197" s="168">
        <f>Thyolo!D197+Thyolo!E197+Thyolo!F197</f>
        <v>123</v>
      </c>
      <c r="G197" s="168">
        <f>Muloza!D197+Muloza!E197+Muloza!F197</f>
        <v>59</v>
      </c>
      <c r="H197" s="168">
        <f>MUST!D197+MUST!E197+MUST!F197</f>
        <v>180</v>
      </c>
      <c r="I197" s="168">
        <f>Phalombe!D197+Phalombe!E197+Phalombe!F197</f>
        <v>0</v>
      </c>
      <c r="J197" s="168">
        <f>Mikolongwe!D197+Mikolongwe!E197+Mikolongwe!F197</f>
        <v>45</v>
      </c>
      <c r="K197" s="168">
        <f>Migowi!D197+Migowi!E197+Migowi!F197</f>
        <v>78</v>
      </c>
      <c r="L197" s="167">
        <f>SUM(D197:K197)</f>
        <v>584</v>
      </c>
    </row>
    <row r="198" spans="1:12" x14ac:dyDescent="0.3">
      <c r="A198" s="281" t="s">
        <v>203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3"/>
    </row>
    <row r="199" spans="1:12" ht="15.6" x14ac:dyDescent="0.3">
      <c r="A199" s="286" t="s">
        <v>54</v>
      </c>
      <c r="B199" s="223" t="s">
        <v>53</v>
      </c>
      <c r="C199" s="11" t="s">
        <v>47</v>
      </c>
      <c r="D199" s="141">
        <f>Mulanje!D199+Mulanje!E199+Mulanje!F199</f>
        <v>0</v>
      </c>
      <c r="E199" s="141">
        <f>Luchenza!D199+Luchenza!E199+Luchenza!F199</f>
        <v>0</v>
      </c>
      <c r="F199" s="141">
        <f>Thyolo!D199+Thyolo!E199+Thyolo!F199</f>
        <v>144</v>
      </c>
      <c r="G199" s="141">
        <f>Muloza!D199+Muloza!E199+Muloza!F199</f>
        <v>14</v>
      </c>
      <c r="H199" s="141">
        <f>MUST!D199+MUST!E199+MUST!F199</f>
        <v>180</v>
      </c>
      <c r="I199" s="141">
        <f>Phalombe!D199+Phalombe!E199+Phalombe!F199</f>
        <v>0</v>
      </c>
      <c r="J199" s="141">
        <f>Mikolongwe!D199+Mikolongwe!E199+Mikolongwe!F199</f>
        <v>0</v>
      </c>
      <c r="K199" s="141">
        <f>Migowi!D199+Migowi!E199+Migowi!F199</f>
        <v>0</v>
      </c>
      <c r="L199" s="9">
        <f t="shared" ref="L199:L204" si="51">SUM(D199:K199)</f>
        <v>338</v>
      </c>
    </row>
    <row r="200" spans="1:12" ht="15.6" x14ac:dyDescent="0.3">
      <c r="A200" s="290"/>
      <c r="B200" s="223" t="s">
        <v>52</v>
      </c>
      <c r="C200" s="11" t="s">
        <v>47</v>
      </c>
      <c r="D200" s="141">
        <f>Mulanje!D200+Mulanje!E200+Mulanje!F200</f>
        <v>0</v>
      </c>
      <c r="E200" s="141">
        <f>Luchenza!D200+Luchenza!E200+Luchenza!F200</f>
        <v>0</v>
      </c>
      <c r="F200" s="141">
        <f>Thyolo!D200+Thyolo!E200+Thyolo!F200</f>
        <v>0</v>
      </c>
      <c r="G200" s="141">
        <f>Muloza!D200+Muloza!E200+Muloza!F200</f>
        <v>0</v>
      </c>
      <c r="H200" s="141">
        <f>MUST!D200+MUST!E200+MUST!F200</f>
        <v>240</v>
      </c>
      <c r="I200" s="141">
        <f>Phalombe!D200+Phalombe!E200+Phalombe!F200</f>
        <v>0</v>
      </c>
      <c r="J200" s="141">
        <f>Mikolongwe!D200+Mikolongwe!E200+Mikolongwe!F200</f>
        <v>0</v>
      </c>
      <c r="K200" s="141">
        <f>Migowi!D200+Migowi!E200+Migowi!F200</f>
        <v>0</v>
      </c>
      <c r="L200" s="9">
        <f t="shared" si="51"/>
        <v>240</v>
      </c>
    </row>
    <row r="201" spans="1:12" ht="15.6" x14ac:dyDescent="0.3">
      <c r="A201" s="290"/>
      <c r="B201" s="223" t="s">
        <v>51</v>
      </c>
      <c r="C201" s="11" t="s">
        <v>47</v>
      </c>
      <c r="D201" s="141">
        <f>Mulanje!D201+Mulanje!E201+Mulanje!F201</f>
        <v>0</v>
      </c>
      <c r="E201" s="141">
        <f>Luchenza!D201+Luchenza!E201+Luchenza!F201</f>
        <v>0</v>
      </c>
      <c r="F201" s="141">
        <f>Thyolo!D201+Thyolo!E201+Thyolo!F201</f>
        <v>0</v>
      </c>
      <c r="G201" s="141">
        <f>Muloza!D201+Muloza!E201+Muloza!F201</f>
        <v>18</v>
      </c>
      <c r="H201" s="141">
        <f>MUST!D201+MUST!E201+MUST!F201</f>
        <v>0</v>
      </c>
      <c r="I201" s="141">
        <f>Phalombe!D201+Phalombe!E201+Phalombe!F201</f>
        <v>0</v>
      </c>
      <c r="J201" s="141">
        <f>Mikolongwe!D201+Mikolongwe!E201+Mikolongwe!F201</f>
        <v>0</v>
      </c>
      <c r="K201" s="141">
        <f>Migowi!D201+Migowi!E201+Migowi!F201</f>
        <v>0</v>
      </c>
      <c r="L201" s="9">
        <f t="shared" si="51"/>
        <v>18</v>
      </c>
    </row>
    <row r="202" spans="1:12" ht="15.6" x14ac:dyDescent="0.3">
      <c r="A202" s="290"/>
      <c r="B202" s="223" t="s">
        <v>50</v>
      </c>
      <c r="C202" s="11" t="s">
        <v>47</v>
      </c>
      <c r="D202" s="141">
        <f>Mulanje!D202+Mulanje!E202+Mulanje!F202</f>
        <v>0</v>
      </c>
      <c r="E202" s="141">
        <f>Luchenza!D202+Luchenza!E202+Luchenza!F202</f>
        <v>0</v>
      </c>
      <c r="F202" s="141">
        <f>Thyolo!D202+Thyolo!E202+Thyolo!F202</f>
        <v>0</v>
      </c>
      <c r="G202" s="141">
        <f>Muloza!D202+Muloza!E202+Muloza!F202</f>
        <v>0</v>
      </c>
      <c r="H202" s="141">
        <f>MUST!D202+MUST!E202+MUST!F202</f>
        <v>0</v>
      </c>
      <c r="I202" s="141">
        <f>Phalombe!D202+Phalombe!E202+Phalombe!F202</f>
        <v>0</v>
      </c>
      <c r="J202" s="141">
        <f>Mikolongwe!D202+Mikolongwe!E202+Mikolongwe!F202</f>
        <v>0</v>
      </c>
      <c r="K202" s="141">
        <f>Migowi!D202+Migowi!E202+Migowi!F202</f>
        <v>0</v>
      </c>
      <c r="L202" s="9">
        <f t="shared" si="51"/>
        <v>0</v>
      </c>
    </row>
    <row r="203" spans="1:12" ht="15.6" x14ac:dyDescent="0.3">
      <c r="A203" s="288"/>
      <c r="B203" s="223" t="s">
        <v>49</v>
      </c>
      <c r="C203" s="11" t="s">
        <v>47</v>
      </c>
      <c r="D203" s="141">
        <f>Mulanje!D203+Mulanje!E203+Mulanje!F203</f>
        <v>0</v>
      </c>
      <c r="E203" s="141">
        <f>Luchenza!D203+Luchenza!E203+Luchenza!F203</f>
        <v>0</v>
      </c>
      <c r="F203" s="141">
        <f>Thyolo!D203+Thyolo!E203+Thyolo!F203</f>
        <v>0</v>
      </c>
      <c r="G203" s="141">
        <f>Muloza!D203+Muloza!E203+Muloza!F203</f>
        <v>0</v>
      </c>
      <c r="H203" s="141">
        <f>MUST!D203+MUST!E203+MUST!F203</f>
        <v>0</v>
      </c>
      <c r="I203" s="141">
        <f>Phalombe!D203+Phalombe!E203+Phalombe!F203</f>
        <v>0</v>
      </c>
      <c r="J203" s="141">
        <f>Mikolongwe!D203+Mikolongwe!E203+Mikolongwe!F203</f>
        <v>0</v>
      </c>
      <c r="K203" s="141">
        <f>Migowi!D203+Migowi!E203+Migowi!F203</f>
        <v>0</v>
      </c>
      <c r="L203" s="9">
        <f t="shared" si="51"/>
        <v>0</v>
      </c>
    </row>
    <row r="204" spans="1:12" ht="15.6" x14ac:dyDescent="0.3">
      <c r="A204" s="83" t="s">
        <v>48</v>
      </c>
      <c r="B204" s="223"/>
      <c r="C204" s="11" t="s">
        <v>47</v>
      </c>
      <c r="D204" s="15">
        <f t="shared" ref="D204:K204" si="52">SUM(D199:D203)</f>
        <v>0</v>
      </c>
      <c r="E204" s="15">
        <f t="shared" si="52"/>
        <v>0</v>
      </c>
      <c r="F204" s="15">
        <f t="shared" si="52"/>
        <v>144</v>
      </c>
      <c r="G204" s="15">
        <f t="shared" si="52"/>
        <v>32</v>
      </c>
      <c r="H204" s="15">
        <f t="shared" si="52"/>
        <v>420</v>
      </c>
      <c r="I204" s="15">
        <f t="shared" si="52"/>
        <v>0</v>
      </c>
      <c r="J204" s="15">
        <f t="shared" si="52"/>
        <v>0</v>
      </c>
      <c r="K204" s="15">
        <f t="shared" si="52"/>
        <v>0</v>
      </c>
      <c r="L204" s="110">
        <f t="shared" si="51"/>
        <v>596</v>
      </c>
    </row>
    <row r="205" spans="1:12" s="2" customFormat="1" x14ac:dyDescent="0.3">
      <c r="A205" s="281" t="s">
        <v>46</v>
      </c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3"/>
    </row>
    <row r="206" spans="1:12" ht="15.6" x14ac:dyDescent="0.3">
      <c r="A206" s="237" t="s">
        <v>43</v>
      </c>
      <c r="B206" s="238"/>
      <c r="C206" s="11" t="s">
        <v>31</v>
      </c>
      <c r="D206" s="15">
        <f>Mulanje!D206+Mulanje!E206+Mulanje!F206</f>
        <v>38039880.660000004</v>
      </c>
      <c r="E206" s="15">
        <f>Luchenza!D206+Luchenza!E206+Luchenza!F206</f>
        <v>14436398.039999999</v>
      </c>
      <c r="F206" s="15">
        <f>Thyolo!D206+Thyolo!E206+Thyolo!F206</f>
        <v>12481506.23</v>
      </c>
      <c r="G206" s="15">
        <f>Muloza!D206+Muloza!E206+Muloza!F206</f>
        <v>8073200</v>
      </c>
      <c r="H206" s="15">
        <f>MUST!D206+MUST!E206+MUST!F206</f>
        <v>828724.99</v>
      </c>
      <c r="I206" s="15">
        <f>Phalombe!D206+Phalombe!E206+Phalombe!F206</f>
        <v>7707529.2800000012</v>
      </c>
      <c r="J206" s="15">
        <f>Mikolongwe!D206+Mikolongwe!E206+Mikolongwe!F206</f>
        <v>355517.41000000003</v>
      </c>
      <c r="K206" s="15">
        <f>Migowi!D206+Migowi!E206+Migowi!F206</f>
        <v>0</v>
      </c>
      <c r="L206" s="39">
        <f>SUM(D206:K206)</f>
        <v>81922756.609999999</v>
      </c>
    </row>
    <row r="207" spans="1:12" ht="15.6" x14ac:dyDescent="0.3">
      <c r="A207" s="237" t="s">
        <v>42</v>
      </c>
      <c r="B207" s="238"/>
      <c r="C207" s="11" t="s">
        <v>31</v>
      </c>
      <c r="D207" s="15">
        <f>Mulanje!D207+Mulanje!E207+Mulanje!F207</f>
        <v>537800</v>
      </c>
      <c r="E207" s="15">
        <f>Luchenza!D207+Luchenza!E207+Luchenza!F207</f>
        <v>4000</v>
      </c>
      <c r="F207" s="15">
        <f>Thyolo!D207+Thyolo!E207+Thyolo!F207</f>
        <v>51000</v>
      </c>
      <c r="G207" s="15">
        <f>Muloza!D207+Muloza!E207+Muloza!F207</f>
        <v>7600</v>
      </c>
      <c r="H207" s="15">
        <f>MUST!D207+MUST!E207+MUST!F207</f>
        <v>0</v>
      </c>
      <c r="I207" s="15">
        <f>Phalombe!D207+Phalombe!E207+Phalombe!F207</f>
        <v>0</v>
      </c>
      <c r="J207" s="15">
        <f>Mikolongwe!D207+Mikolongwe!E207+Mikolongwe!F207</f>
        <v>0</v>
      </c>
      <c r="K207" s="15">
        <f>Migowi!D207+Migowi!E207+Migowi!F207</f>
        <v>0</v>
      </c>
      <c r="L207" s="39">
        <f>SUM(D207:K207)</f>
        <v>600400</v>
      </c>
    </row>
    <row r="208" spans="1:12" ht="15.6" x14ac:dyDescent="0.3">
      <c r="A208" s="243" t="s">
        <v>41</v>
      </c>
      <c r="B208" s="244"/>
      <c r="C208" s="11" t="s">
        <v>31</v>
      </c>
      <c r="D208" s="15">
        <f>Mulanje!D208+Mulanje!E208+Mulanje!F208</f>
        <v>122400</v>
      </c>
      <c r="E208" s="15">
        <f>Luchenza!D208+Luchenza!E208+Luchenza!F208</f>
        <v>1107917.58</v>
      </c>
      <c r="F208" s="15">
        <f>Thyolo!D208+Thyolo!E208+Thyolo!F208</f>
        <v>1390309.29</v>
      </c>
      <c r="G208" s="15">
        <f>Muloza!D208+Muloza!E208+Muloza!F208</f>
        <v>508600</v>
      </c>
      <c r="H208" s="15">
        <f>MUST!D208+MUST!E208+MUST!F208</f>
        <v>510000</v>
      </c>
      <c r="I208" s="15">
        <f>Phalombe!D208+Phalombe!E208+Phalombe!F208</f>
        <v>963792.55</v>
      </c>
      <c r="J208" s="15">
        <f>Mikolongwe!D208+Mikolongwe!E208+Mikolongwe!F208</f>
        <v>0</v>
      </c>
      <c r="K208" s="15">
        <f>Migowi!D208+Migowi!E208+Migowi!F208</f>
        <v>0</v>
      </c>
      <c r="L208" s="39">
        <f>SUM(D208:K208)</f>
        <v>4603019.42</v>
      </c>
    </row>
    <row r="209" spans="1:12" ht="15.6" x14ac:dyDescent="0.3">
      <c r="A209" s="237" t="s">
        <v>40</v>
      </c>
      <c r="B209" s="238"/>
      <c r="C209" s="11" t="s">
        <v>31</v>
      </c>
      <c r="D209" s="15">
        <f>Mulanje!D209+Mulanje!E209+Mulanje!F209</f>
        <v>8060848.0500000007</v>
      </c>
      <c r="E209" s="15">
        <f>Luchenza!D209+Luchenza!E209+Luchenza!F209</f>
        <v>4631569.76</v>
      </c>
      <c r="F209" s="15">
        <f>Thyolo!D209+Thyolo!E209+Thyolo!F209</f>
        <v>527916.15999999992</v>
      </c>
      <c r="G209" s="15">
        <f>Muloza!D209+Muloza!E209+Muloza!F209</f>
        <v>119142.93</v>
      </c>
      <c r="H209" s="15">
        <f>MUST!D209+MUST!E209+MUST!F209</f>
        <v>32829239.789999999</v>
      </c>
      <c r="I209" s="15">
        <f>Phalombe!D209+Phalombe!E209+Phalombe!F209</f>
        <v>1223250</v>
      </c>
      <c r="J209" s="15">
        <f>Mikolongwe!D209+Mikolongwe!E209+Mikolongwe!F209</f>
        <v>0</v>
      </c>
      <c r="K209" s="15">
        <f>Migowi!D209+Migowi!E209+Migowi!F209</f>
        <v>0</v>
      </c>
      <c r="L209" s="39">
        <f>SUM(D209:K209)</f>
        <v>47391966.689999998</v>
      </c>
    </row>
    <row r="210" spans="1:12" ht="15.6" x14ac:dyDescent="0.3">
      <c r="A210" s="294" t="s">
        <v>45</v>
      </c>
      <c r="B210" s="295"/>
      <c r="C210" s="11" t="s">
        <v>31</v>
      </c>
      <c r="D210" s="10">
        <f t="shared" ref="D210:K210" si="53">SUM(D206:D209)</f>
        <v>46760928.710000008</v>
      </c>
      <c r="E210" s="10">
        <f t="shared" si="53"/>
        <v>20179885.379999999</v>
      </c>
      <c r="F210" s="10">
        <f t="shared" si="53"/>
        <v>14450731.68</v>
      </c>
      <c r="G210" s="10">
        <f t="shared" si="53"/>
        <v>8708542.9299999997</v>
      </c>
      <c r="H210" s="10">
        <f t="shared" si="53"/>
        <v>34167964.780000001</v>
      </c>
      <c r="I210" s="10">
        <f t="shared" si="53"/>
        <v>9894571.8300000019</v>
      </c>
      <c r="J210" s="10">
        <f t="shared" si="53"/>
        <v>355517.41000000003</v>
      </c>
      <c r="K210" s="10">
        <f t="shared" si="53"/>
        <v>0</v>
      </c>
      <c r="L210" s="39">
        <f>SUM(D210:K210)</f>
        <v>134518142.72000003</v>
      </c>
    </row>
    <row r="211" spans="1:12" s="2" customFormat="1" x14ac:dyDescent="0.3">
      <c r="A211" s="281" t="s">
        <v>44</v>
      </c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3"/>
    </row>
    <row r="212" spans="1:12" ht="15.6" x14ac:dyDescent="0.3">
      <c r="A212" s="237" t="s">
        <v>43</v>
      </c>
      <c r="B212" s="238"/>
      <c r="C212" s="11" t="s">
        <v>31</v>
      </c>
      <c r="D212" s="15">
        <f>Mulanje!D212+Mulanje!E212+Mulanje!F212</f>
        <v>12964876.6</v>
      </c>
      <c r="E212" s="15">
        <f>Luchenza!D212+Luchenza!E212+Luchenza!F212</f>
        <v>4047411</v>
      </c>
      <c r="F212" s="15">
        <f>Thyolo!D212+Thyolo!E212+Thyolo!F212</f>
        <v>4718702.24</v>
      </c>
      <c r="G212" s="15">
        <f>Muloza!D212+Muloza!E212+Muloza!F212</f>
        <v>3120834</v>
      </c>
      <c r="H212" s="15">
        <f>MUST!D212+MUST!E212+MUST!F212</f>
        <v>602918.27</v>
      </c>
      <c r="I212" s="15">
        <f>Phalombe!D212+Phalombe!E212+Phalombe!F212</f>
        <v>1737189.85</v>
      </c>
      <c r="J212" s="15">
        <f>Mikolongwe!D212+Mikolongwe!E212+Mikolongwe!F212</f>
        <v>582600</v>
      </c>
      <c r="K212" s="15">
        <f>Migowi!D212+Migowi!E212+Migowi!F212</f>
        <v>2018190.54</v>
      </c>
      <c r="L212" s="40">
        <f>SUM(D212:K212)</f>
        <v>29792722.500000004</v>
      </c>
    </row>
    <row r="213" spans="1:12" ht="15.6" x14ac:dyDescent="0.3">
      <c r="A213" s="237" t="s">
        <v>42</v>
      </c>
      <c r="B213" s="238"/>
      <c r="C213" s="11" t="s">
        <v>31</v>
      </c>
      <c r="D213" s="15">
        <f>Mulanje!D213+Mulanje!E213+Mulanje!F213</f>
        <v>441140</v>
      </c>
      <c r="E213" s="15">
        <f>Luchenza!D213+Luchenza!E213+Luchenza!F213</f>
        <v>0</v>
      </c>
      <c r="F213" s="15">
        <f>Thyolo!D213+Thyolo!E213+Thyolo!F213</f>
        <v>0</v>
      </c>
      <c r="G213" s="15">
        <f>Muloza!D213+Muloza!E213+Muloza!F213</f>
        <v>0</v>
      </c>
      <c r="H213" s="15">
        <f>MUST!D213+MUST!E213+MUST!F213</f>
        <v>0</v>
      </c>
      <c r="I213" s="15">
        <f>Phalombe!D213+Phalombe!E213+Phalombe!F213</f>
        <v>0</v>
      </c>
      <c r="J213" s="15">
        <f>Mikolongwe!D213+Mikolongwe!E213+Mikolongwe!F213</f>
        <v>0</v>
      </c>
      <c r="K213" s="15">
        <f>Migowi!D213+Migowi!E213+Migowi!F213</f>
        <v>0</v>
      </c>
      <c r="L213" s="40">
        <f>SUM(D213:K213)</f>
        <v>441140</v>
      </c>
    </row>
    <row r="214" spans="1:12" ht="15.6" x14ac:dyDescent="0.3">
      <c r="A214" s="243" t="s">
        <v>41</v>
      </c>
      <c r="B214" s="244"/>
      <c r="C214" s="11" t="s">
        <v>31</v>
      </c>
      <c r="D214" s="15">
        <f>Mulanje!D214+Mulanje!E214+Mulanje!F214</f>
        <v>3341671</v>
      </c>
      <c r="E214" s="15">
        <f>Luchenza!D214+Luchenza!E214+Luchenza!F214</f>
        <v>1939330</v>
      </c>
      <c r="F214" s="15">
        <f>Thyolo!D214+Thyolo!E214+Thyolo!F214</f>
        <v>1451511</v>
      </c>
      <c r="G214" s="15">
        <f>Muloza!D214+Muloza!E214+Muloza!F214</f>
        <v>984522</v>
      </c>
      <c r="H214" s="15">
        <f>MUST!D214+MUST!E214+MUST!F214</f>
        <v>7063800</v>
      </c>
      <c r="I214" s="15">
        <f>Phalombe!D214+Phalombe!E214+Phalombe!F214</f>
        <v>1086800</v>
      </c>
      <c r="J214" s="15">
        <f>Mikolongwe!D214+Mikolongwe!E214+Mikolongwe!F214</f>
        <v>0</v>
      </c>
      <c r="K214" s="15">
        <f>Migowi!D214+Migowi!E214+Migowi!F214</f>
        <v>0</v>
      </c>
      <c r="L214" s="40">
        <f>SUM(D214:K214)</f>
        <v>15867634</v>
      </c>
    </row>
    <row r="215" spans="1:12" ht="15.6" x14ac:dyDescent="0.3">
      <c r="A215" s="237" t="s">
        <v>40</v>
      </c>
      <c r="B215" s="238"/>
      <c r="C215" s="11" t="s">
        <v>31</v>
      </c>
      <c r="D215" s="15">
        <f>Mulanje!D215+Mulanje!E215+Mulanje!F215</f>
        <v>21629714.210000001</v>
      </c>
      <c r="E215" s="15">
        <f>Luchenza!D215+Luchenza!E215+Luchenza!F215</f>
        <v>2982294</v>
      </c>
      <c r="F215" s="15">
        <f>Thyolo!D215+Thyolo!E215+Thyolo!F215</f>
        <v>11284434.120000001</v>
      </c>
      <c r="G215" s="15">
        <f>Muloza!D215+Muloza!E215+Muloza!F215</f>
        <v>812671.41999999993</v>
      </c>
      <c r="H215" s="15">
        <f>MUST!D215+MUST!E215+MUST!F215</f>
        <v>0</v>
      </c>
      <c r="I215" s="15">
        <f>Phalombe!D215+Phalombe!E215+Phalombe!F215</f>
        <v>6315750.54</v>
      </c>
      <c r="J215" s="15">
        <f>Mikolongwe!D215+Mikolongwe!E215+Mikolongwe!F215</f>
        <v>3518400</v>
      </c>
      <c r="K215" s="15">
        <f>Migowi!D215+Migowi!E215+Migowi!F215</f>
        <v>7501842.0600000005</v>
      </c>
      <c r="L215" s="40">
        <f>SUM(D215:K215)</f>
        <v>54045106.350000001</v>
      </c>
    </row>
    <row r="216" spans="1:12" ht="15.6" x14ac:dyDescent="0.3">
      <c r="A216" s="294" t="s">
        <v>39</v>
      </c>
      <c r="B216" s="295"/>
      <c r="C216" s="11" t="s">
        <v>31</v>
      </c>
      <c r="D216" s="10">
        <f t="shared" ref="D216:K216" si="54">SUM(D212:D215)</f>
        <v>38377401.810000002</v>
      </c>
      <c r="E216" s="10">
        <f t="shared" si="54"/>
        <v>8969035</v>
      </c>
      <c r="F216" s="10">
        <f t="shared" si="54"/>
        <v>17454647.359999999</v>
      </c>
      <c r="G216" s="10">
        <f t="shared" si="54"/>
        <v>4918027.42</v>
      </c>
      <c r="H216" s="10">
        <f>SUM(H212:H215)</f>
        <v>7666718.2699999996</v>
      </c>
      <c r="I216" s="10">
        <f t="shared" si="54"/>
        <v>9139740.3900000006</v>
      </c>
      <c r="J216" s="10">
        <f t="shared" si="54"/>
        <v>4101000</v>
      </c>
      <c r="K216" s="10">
        <f t="shared" si="54"/>
        <v>9520032.6000000015</v>
      </c>
      <c r="L216" s="40">
        <f>SUM(D216:K216)</f>
        <v>100146602.84999999</v>
      </c>
    </row>
    <row r="217" spans="1:12" s="2" customFormat="1" ht="15.6" x14ac:dyDescent="0.3">
      <c r="A217" s="234" t="s">
        <v>38</v>
      </c>
      <c r="B217" s="235"/>
      <c r="C217" s="11" t="s">
        <v>31</v>
      </c>
      <c r="D217" s="10">
        <f>D210+D216</f>
        <v>85138330.520000011</v>
      </c>
      <c r="E217" s="10">
        <f t="shared" ref="E217:L217" si="55">E210+E216</f>
        <v>29148920.379999999</v>
      </c>
      <c r="F217" s="10">
        <f t="shared" si="55"/>
        <v>31905379.039999999</v>
      </c>
      <c r="G217" s="10">
        <f t="shared" si="55"/>
        <v>13626570.35</v>
      </c>
      <c r="H217" s="10">
        <f t="shared" si="55"/>
        <v>41834683.049999997</v>
      </c>
      <c r="I217" s="10">
        <f t="shared" si="55"/>
        <v>19034312.220000003</v>
      </c>
      <c r="J217" s="10">
        <f t="shared" si="55"/>
        <v>4456517.41</v>
      </c>
      <c r="K217" s="10">
        <f t="shared" si="55"/>
        <v>9520032.6000000015</v>
      </c>
      <c r="L217" s="40">
        <f t="shared" si="55"/>
        <v>234664745.57000002</v>
      </c>
    </row>
    <row r="218" spans="1:12" s="2" customFormat="1" x14ac:dyDescent="0.3">
      <c r="A218" s="281" t="s">
        <v>37</v>
      </c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3"/>
    </row>
    <row r="219" spans="1:12" ht="15.6" x14ac:dyDescent="0.3">
      <c r="A219" s="237" t="s">
        <v>35</v>
      </c>
      <c r="B219" s="238"/>
      <c r="C219" s="11" t="s">
        <v>31</v>
      </c>
      <c r="D219" s="15">
        <f>Mulanje!D219+Mulanje!E219+Mulanje!F219</f>
        <v>43588753.25</v>
      </c>
      <c r="E219" s="15">
        <f>Luchenza!D219+Luchenza!E219+Luchenza!F219</f>
        <v>15064234.539999999</v>
      </c>
      <c r="F219" s="15">
        <f>Thyolo!D219+Thyolo!E219+Thyolo!F219</f>
        <v>16991712.039999999</v>
      </c>
      <c r="G219" s="15">
        <f>Muloza!D219+Muloza!E219+Muloza!F219</f>
        <v>8403501.5599999987</v>
      </c>
      <c r="H219" s="15">
        <f>MUST!D219+MUST!E219+MUST!F219</f>
        <v>1900802.52</v>
      </c>
      <c r="I219" s="15">
        <f>Phalombe!D219+Phalombe!E219+Phalombe!F219</f>
        <v>17945816.450000003</v>
      </c>
      <c r="J219" s="15">
        <f>Mikolongwe!D219+Mikolongwe!E219+Mikolongwe!F219</f>
        <v>278485.52</v>
      </c>
      <c r="K219" s="15">
        <f>Migowi!D219+Migowi!E219+Migowi!F219</f>
        <v>0</v>
      </c>
      <c r="L219" s="40">
        <f>SUM(D219:K219)</f>
        <v>104173305.88</v>
      </c>
    </row>
    <row r="220" spans="1:12" ht="15.6" x14ac:dyDescent="0.3">
      <c r="A220" s="237" t="s">
        <v>34</v>
      </c>
      <c r="B220" s="238"/>
      <c r="C220" s="11" t="s">
        <v>31</v>
      </c>
      <c r="D220" s="15">
        <f>Mulanje!D220+Mulanje!E220+Mulanje!F220</f>
        <v>579053.69999999995</v>
      </c>
      <c r="E220" s="15">
        <f>Luchenza!D220+Luchenza!E220+Luchenza!F220</f>
        <v>11476.74</v>
      </c>
      <c r="F220" s="15">
        <f>Thyolo!D220+Thyolo!E220+Thyolo!F220</f>
        <v>9563.9500000000007</v>
      </c>
      <c r="G220" s="15">
        <f>Muloza!D220+Muloza!E220+Muloza!F220</f>
        <v>4347.25</v>
      </c>
      <c r="H220" s="15">
        <f>MUST!D220+MUST!E220+MUST!F220</f>
        <v>0</v>
      </c>
      <c r="I220" s="15">
        <f>Phalombe!D220+Phalombe!E220+Phalombe!F220</f>
        <v>0</v>
      </c>
      <c r="J220" s="15">
        <f>Mikolongwe!D220+Mikolongwe!E220+Mikolongwe!F220</f>
        <v>0</v>
      </c>
      <c r="K220" s="15">
        <f>Migowi!D220+Migowi!E220+Migowi!F220</f>
        <v>0</v>
      </c>
      <c r="L220" s="40">
        <f>SUM(D220:K220)</f>
        <v>604441.6399999999</v>
      </c>
    </row>
    <row r="221" spans="1:12" ht="15.6" x14ac:dyDescent="0.3">
      <c r="A221" s="237" t="s">
        <v>33</v>
      </c>
      <c r="B221" s="238"/>
      <c r="C221" s="11" t="s">
        <v>31</v>
      </c>
      <c r="D221" s="15">
        <f>Mulanje!D221+Mulanje!E221+Mulanje!F221</f>
        <v>9446343.4500000011</v>
      </c>
      <c r="E221" s="15">
        <f>Luchenza!D221+Luchenza!E221+Luchenza!F221</f>
        <v>18502132.57</v>
      </c>
      <c r="F221" s="15">
        <f>Thyolo!D221+Thyolo!E221+Thyolo!F221</f>
        <v>13951929.629999999</v>
      </c>
      <c r="G221" s="15">
        <f>Muloza!D221+Muloza!E221+Muloza!F221</f>
        <v>3921808.81</v>
      </c>
      <c r="H221" s="15">
        <f>MUST!D221+MUST!E221+MUST!F221</f>
        <v>83250762.269999996</v>
      </c>
      <c r="I221" s="15">
        <f>Phalombe!D221+Phalombe!E221+Phalombe!F221</f>
        <v>3283537.09</v>
      </c>
      <c r="J221" s="15">
        <f>Mikolongwe!D221+Mikolongwe!E221+Mikolongwe!F221</f>
        <v>0</v>
      </c>
      <c r="K221" s="15">
        <f>Migowi!D221+Migowi!E221+Migowi!F221</f>
        <v>0</v>
      </c>
      <c r="L221" s="40">
        <f>SUM(D221:K221)</f>
        <v>132356513.82000001</v>
      </c>
    </row>
    <row r="222" spans="1:12" ht="15.6" x14ac:dyDescent="0.3">
      <c r="A222" s="237" t="s">
        <v>32</v>
      </c>
      <c r="B222" s="238"/>
      <c r="C222" s="11" t="s">
        <v>31</v>
      </c>
      <c r="D222" s="15">
        <f>Mulanje!D222+Mulanje!E222+Mulanje!F222</f>
        <v>326783.51</v>
      </c>
      <c r="E222" s="15">
        <f>Luchenza!D222+Luchenza!E222+Luchenza!F222</f>
        <v>791858.1</v>
      </c>
      <c r="F222" s="15">
        <f>Thyolo!D222+Thyolo!E222+Thyolo!F222</f>
        <v>3057688.55</v>
      </c>
      <c r="G222" s="15">
        <f>Muloza!D222+Muloza!E222+Muloza!F222</f>
        <v>946882.58000000007</v>
      </c>
      <c r="H222" s="15">
        <f>MUST!D222+MUST!E222+MUST!F222</f>
        <v>626203.78</v>
      </c>
      <c r="I222" s="15">
        <f>Phalombe!D222+Phalombe!E222+Phalombe!F222</f>
        <v>334660.53999999998</v>
      </c>
      <c r="J222" s="15">
        <f>Mikolongwe!D222+Mikolongwe!E222+Mikolongwe!F222</f>
        <v>0</v>
      </c>
      <c r="K222" s="15">
        <f>Migowi!D222+Migowi!E222+Migowi!F222</f>
        <v>0</v>
      </c>
      <c r="L222" s="40">
        <f>SUM(D222:K222)</f>
        <v>6084077.0600000005</v>
      </c>
    </row>
    <row r="223" spans="1:12" ht="15.6" x14ac:dyDescent="0.3">
      <c r="A223" s="294" t="s">
        <v>36</v>
      </c>
      <c r="B223" s="295"/>
      <c r="C223" s="11" t="s">
        <v>31</v>
      </c>
      <c r="D223" s="12">
        <f t="shared" ref="D223:K223" si="56">SUM(D219:D222)</f>
        <v>53940933.910000004</v>
      </c>
      <c r="E223" s="10">
        <f t="shared" si="56"/>
        <v>34369701.950000003</v>
      </c>
      <c r="F223" s="10">
        <f t="shared" si="56"/>
        <v>34010894.169999994</v>
      </c>
      <c r="G223" s="10">
        <f t="shared" si="56"/>
        <v>13276540.199999999</v>
      </c>
      <c r="H223" s="10">
        <f t="shared" si="56"/>
        <v>85777768.569999993</v>
      </c>
      <c r="I223" s="10">
        <f t="shared" si="56"/>
        <v>21564014.080000002</v>
      </c>
      <c r="J223" s="14">
        <f t="shared" si="56"/>
        <v>278485.52</v>
      </c>
      <c r="K223" s="14">
        <f t="shared" si="56"/>
        <v>0</v>
      </c>
      <c r="L223" s="40">
        <f>SUM(D223:K223)</f>
        <v>243218338.40000001</v>
      </c>
    </row>
    <row r="224" spans="1:12" x14ac:dyDescent="0.3">
      <c r="A224" s="281" t="s">
        <v>211</v>
      </c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3"/>
    </row>
    <row r="225" spans="1:12" ht="15.6" x14ac:dyDescent="0.3">
      <c r="A225" s="237" t="s">
        <v>35</v>
      </c>
      <c r="B225" s="238"/>
      <c r="C225" s="11" t="s">
        <v>31</v>
      </c>
      <c r="D225" s="15">
        <f>Mulanje!D225+Mulanje!E225+Mulanje!F225</f>
        <v>0</v>
      </c>
      <c r="E225" s="15">
        <f>Luchenza!D225+Luchenza!E225+Luchenza!F225</f>
        <v>0</v>
      </c>
      <c r="F225" s="15">
        <f>Thyolo!D225+Thyolo!E225+Thyolo!F225</f>
        <v>0</v>
      </c>
      <c r="G225" s="15">
        <f>Muloza!D225+Muloza!E225+Muloza!F225</f>
        <v>0</v>
      </c>
      <c r="H225" s="15">
        <f>MUST!D225+MUST!E225+MUST!F225</f>
        <v>0</v>
      </c>
      <c r="I225" s="15">
        <f>Phalombe!D225+Phalombe!E225+Phalombe!F225</f>
        <v>0</v>
      </c>
      <c r="J225" s="15">
        <f>Mikolongwe!D225+Mikolongwe!E225+Mikolongwe!F225</f>
        <v>0</v>
      </c>
      <c r="K225" s="15">
        <f>Migowi!D225+Migowi!E225+Migowi!F225</f>
        <v>0</v>
      </c>
      <c r="L225" s="39">
        <f t="shared" ref="L225:L230" si="57">SUM(D225:K225)</f>
        <v>0</v>
      </c>
    </row>
    <row r="226" spans="1:12" ht="15.6" x14ac:dyDescent="0.3">
      <c r="A226" s="237" t="s">
        <v>34</v>
      </c>
      <c r="B226" s="238"/>
      <c r="C226" s="11" t="s">
        <v>31</v>
      </c>
      <c r="D226" s="15">
        <f>Mulanje!D226+Mulanje!E226+Mulanje!F226</f>
        <v>0</v>
      </c>
      <c r="E226" s="15">
        <f>Luchenza!D226+Luchenza!E226+Luchenza!F226</f>
        <v>0</v>
      </c>
      <c r="F226" s="15">
        <f>Thyolo!D226+Thyolo!E226+Thyolo!F226</f>
        <v>0</v>
      </c>
      <c r="G226" s="15">
        <f>Muloza!D226+Muloza!E226+Muloza!F226</f>
        <v>0</v>
      </c>
      <c r="H226" s="15">
        <f>MUST!D226+MUST!E226+MUST!F226</f>
        <v>0</v>
      </c>
      <c r="I226" s="15">
        <f>Phalombe!D226+Phalombe!E226+Phalombe!F226</f>
        <v>0</v>
      </c>
      <c r="J226" s="15">
        <f>Mikolongwe!D226+Mikolongwe!E226+Mikolongwe!F226</f>
        <v>0</v>
      </c>
      <c r="K226" s="15">
        <f>Migowi!D226+Migowi!E226+Migowi!F226</f>
        <v>0</v>
      </c>
      <c r="L226" s="39">
        <f t="shared" si="57"/>
        <v>0</v>
      </c>
    </row>
    <row r="227" spans="1:12" ht="15.6" x14ac:dyDescent="0.3">
      <c r="A227" s="237" t="s">
        <v>33</v>
      </c>
      <c r="B227" s="238"/>
      <c r="C227" s="11" t="s">
        <v>31</v>
      </c>
      <c r="D227" s="15">
        <f>Mulanje!D227+Mulanje!E227+Mulanje!F227</f>
        <v>0</v>
      </c>
      <c r="E227" s="15">
        <f>Luchenza!D227+Luchenza!E227+Luchenza!F227</f>
        <v>0</v>
      </c>
      <c r="F227" s="15">
        <f>Thyolo!D227+Thyolo!E227+Thyolo!F227</f>
        <v>0</v>
      </c>
      <c r="G227" s="15">
        <f>Muloza!D227+Muloza!E227+Muloza!F227</f>
        <v>0</v>
      </c>
      <c r="H227" s="15">
        <f>MUST!D227+MUST!E227+MUST!F227</f>
        <v>0</v>
      </c>
      <c r="I227" s="15">
        <f>Phalombe!D227+Phalombe!E227+Phalombe!F227</f>
        <v>0</v>
      </c>
      <c r="J227" s="15">
        <f>Mikolongwe!D227+Mikolongwe!E227+Mikolongwe!F227</f>
        <v>0</v>
      </c>
      <c r="K227" s="15">
        <f>Migowi!D227+Migowi!E227+Migowi!F227</f>
        <v>0</v>
      </c>
      <c r="L227" s="39">
        <f t="shared" si="57"/>
        <v>0</v>
      </c>
    </row>
    <row r="228" spans="1:12" ht="15.6" x14ac:dyDescent="0.3">
      <c r="A228" s="237" t="s">
        <v>32</v>
      </c>
      <c r="B228" s="238"/>
      <c r="C228" s="11" t="s">
        <v>31</v>
      </c>
      <c r="D228" s="15">
        <f>Mulanje!D228+Mulanje!E228+Mulanje!F228</f>
        <v>0</v>
      </c>
      <c r="E228" s="15">
        <f>Luchenza!D228+Luchenza!E228+Luchenza!F228</f>
        <v>0</v>
      </c>
      <c r="F228" s="15">
        <f>Thyolo!D228+Thyolo!E228+Thyolo!F228</f>
        <v>0</v>
      </c>
      <c r="G228" s="15">
        <f>Muloza!D228+Muloza!E228+Muloza!F228</f>
        <v>0</v>
      </c>
      <c r="H228" s="15">
        <f>MUST!D228+MUST!E228+MUST!F228</f>
        <v>0</v>
      </c>
      <c r="I228" s="15">
        <f>Phalombe!D228+Phalombe!E228+Phalombe!F228</f>
        <v>0</v>
      </c>
      <c r="J228" s="15">
        <f>Mikolongwe!D228+Mikolongwe!E228+Mikolongwe!F228</f>
        <v>0</v>
      </c>
      <c r="K228" s="15">
        <f>Migowi!D228+Migowi!E228+Migowi!F228</f>
        <v>0</v>
      </c>
      <c r="L228" s="39">
        <f t="shared" si="57"/>
        <v>0</v>
      </c>
    </row>
    <row r="229" spans="1:12" ht="15.6" x14ac:dyDescent="0.3">
      <c r="A229" s="294" t="s">
        <v>212</v>
      </c>
      <c r="B229" s="295"/>
      <c r="C229" s="11" t="s">
        <v>31</v>
      </c>
      <c r="D229" s="12">
        <f t="shared" ref="D229:K229" si="58">SUM(D225:D228)</f>
        <v>0</v>
      </c>
      <c r="E229" s="10">
        <f t="shared" si="58"/>
        <v>0</v>
      </c>
      <c r="F229" s="10">
        <f t="shared" si="58"/>
        <v>0</v>
      </c>
      <c r="G229" s="10">
        <f t="shared" si="58"/>
        <v>0</v>
      </c>
      <c r="H229" s="10">
        <f t="shared" si="58"/>
        <v>0</v>
      </c>
      <c r="I229" s="10">
        <f t="shared" si="58"/>
        <v>0</v>
      </c>
      <c r="J229" s="14">
        <f t="shared" si="58"/>
        <v>0</v>
      </c>
      <c r="K229" s="14">
        <f t="shared" si="58"/>
        <v>0</v>
      </c>
      <c r="L229" s="39">
        <f t="shared" si="57"/>
        <v>0</v>
      </c>
    </row>
    <row r="230" spans="1:12" ht="15.6" x14ac:dyDescent="0.3">
      <c r="A230" s="234" t="s">
        <v>213</v>
      </c>
      <c r="B230" s="119"/>
      <c r="C230" s="11" t="s">
        <v>31</v>
      </c>
      <c r="D230" s="12">
        <f>D223+D229</f>
        <v>53940933.910000004</v>
      </c>
      <c r="E230" s="12">
        <f t="shared" ref="E230:K230" si="59">E223+E229</f>
        <v>34369701.950000003</v>
      </c>
      <c r="F230" s="12">
        <f t="shared" si="59"/>
        <v>34010894.169999994</v>
      </c>
      <c r="G230" s="12">
        <f t="shared" si="59"/>
        <v>13276540.199999999</v>
      </c>
      <c r="H230" s="12">
        <f t="shared" si="59"/>
        <v>85777768.569999993</v>
      </c>
      <c r="I230" s="12">
        <f t="shared" si="59"/>
        <v>21564014.080000002</v>
      </c>
      <c r="J230" s="12">
        <f t="shared" si="59"/>
        <v>278485.52</v>
      </c>
      <c r="K230" s="12">
        <f t="shared" si="59"/>
        <v>0</v>
      </c>
      <c r="L230" s="39">
        <f t="shared" si="57"/>
        <v>243218338.40000001</v>
      </c>
    </row>
    <row r="231" spans="1:12" x14ac:dyDescent="0.3">
      <c r="A231" s="281" t="s">
        <v>30</v>
      </c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3"/>
    </row>
    <row r="232" spans="1:12" ht="15.6" x14ac:dyDescent="0.3">
      <c r="A232" s="237" t="s">
        <v>29</v>
      </c>
      <c r="B232" s="238"/>
      <c r="C232" s="11" t="s">
        <v>18</v>
      </c>
      <c r="D232" s="15">
        <f>Mulanje!D232+Mulanje!E232+Mulanje!F232</f>
        <v>2684686.32</v>
      </c>
      <c r="E232" s="15">
        <f>Luchenza!D232+Luchenza!E232+Luchenza!F232</f>
        <v>1275311.83</v>
      </c>
      <c r="F232" s="15">
        <f>Thyolo!D232+Thyolo!E232+Thyolo!F232</f>
        <v>1127691.2199999997</v>
      </c>
      <c r="G232" s="15">
        <f>Muloza!D232+Muloza!E232+Muloza!F232</f>
        <v>600146.53</v>
      </c>
      <c r="H232" s="15">
        <f>MUST!D232+MUST!E232+MUST!F232</f>
        <v>97858.329999999987</v>
      </c>
      <c r="I232" s="15">
        <f>Phalombe!D232+Phalombe!E232+Phalombe!F232</f>
        <v>713528.95</v>
      </c>
      <c r="J232" s="15">
        <f>Mikolongwe!D232+Mikolongwe!E232+Mikolongwe!F232</f>
        <v>32139.62</v>
      </c>
      <c r="K232" s="15">
        <f>Migowi!D232+Migowi!E232+Migowi!F232</f>
        <v>0</v>
      </c>
      <c r="L232" s="40">
        <f>SUM(D232:K232)</f>
        <v>6531362.7999999998</v>
      </c>
    </row>
    <row r="233" spans="1:12" ht="15.6" x14ac:dyDescent="0.3">
      <c r="A233" s="237" t="s">
        <v>28</v>
      </c>
      <c r="B233" s="238"/>
      <c r="C233" s="11" t="s">
        <v>18</v>
      </c>
      <c r="D233" s="15">
        <f>Mulanje!D233+Mulanje!E233+Mulanje!F233</f>
        <v>8172.83</v>
      </c>
      <c r="E233" s="15">
        <f>Luchenza!D233+Luchenza!E233+Luchenza!F233</f>
        <v>1391.12</v>
      </c>
      <c r="F233" s="15">
        <f>Thyolo!D233+Thyolo!E233+Thyolo!F233</f>
        <v>1043.3399999999999</v>
      </c>
      <c r="G233" s="15">
        <f>Muloza!D233+Muloza!E233+Muloza!F233</f>
        <v>521.66999999999996</v>
      </c>
      <c r="H233" s="15">
        <f>MUST!D233+MUST!E233+MUST!F233</f>
        <v>0</v>
      </c>
      <c r="I233" s="15">
        <f>Phalombe!D233+Phalombe!E233+Phalombe!F233</f>
        <v>0</v>
      </c>
      <c r="J233" s="15">
        <f>Mikolongwe!D233+Mikolongwe!E233+Mikolongwe!F233</f>
        <v>0</v>
      </c>
      <c r="K233" s="15">
        <f>Migowi!D233+Migowi!E233+Migowi!F233</f>
        <v>0</v>
      </c>
      <c r="L233" s="40">
        <f>SUM(D233:K233)</f>
        <v>11128.960000000001</v>
      </c>
    </row>
    <row r="234" spans="1:12" ht="15.6" x14ac:dyDescent="0.3">
      <c r="A234" s="237" t="s">
        <v>27</v>
      </c>
      <c r="B234" s="238"/>
      <c r="C234" s="11" t="s">
        <v>18</v>
      </c>
      <c r="D234" s="15">
        <f>Mulanje!D234+Mulanje!E234+Mulanje!F234</f>
        <v>231384.65000000002</v>
      </c>
      <c r="E234" s="15">
        <f>Luchenza!D234+Luchenza!E234+Luchenza!F234</f>
        <v>75071.47</v>
      </c>
      <c r="F234" s="15">
        <f>Thyolo!D234+Thyolo!E234+Thyolo!F234</f>
        <v>115178.14000000001</v>
      </c>
      <c r="G234" s="15">
        <f>Muloza!D234+Muloza!E234+Muloza!F234</f>
        <v>32908.04</v>
      </c>
      <c r="H234" s="15">
        <f>MUST!D234+MUST!E234+MUST!F234</f>
        <v>57589.070000000007</v>
      </c>
      <c r="I234" s="15">
        <f>Phalombe!D234+Phalombe!E234+Phalombe!F234</f>
        <v>90497.11</v>
      </c>
      <c r="J234" s="15">
        <f>Mikolongwe!D234+Mikolongwe!E234+Mikolongwe!F234</f>
        <v>0</v>
      </c>
      <c r="K234" s="15">
        <f>Migowi!D234+Migowi!E234+Migowi!F234</f>
        <v>0</v>
      </c>
      <c r="L234" s="40">
        <f>SUM(D234:K234)</f>
        <v>602628.48</v>
      </c>
    </row>
    <row r="235" spans="1:12" ht="15.6" x14ac:dyDescent="0.3">
      <c r="A235" s="237" t="s">
        <v>26</v>
      </c>
      <c r="B235" s="238"/>
      <c r="C235" s="11" t="s">
        <v>18</v>
      </c>
      <c r="D235" s="15">
        <f>Mulanje!D235+Mulanje!E235+Mulanje!F235</f>
        <v>85720.63</v>
      </c>
      <c r="E235" s="15">
        <f>Luchenza!D235+Luchenza!E235+Luchenza!F235</f>
        <v>185493.83000000002</v>
      </c>
      <c r="F235" s="15">
        <f>Thyolo!D235+Thyolo!E235+Thyolo!F235</f>
        <v>133574.32</v>
      </c>
      <c r="G235" s="15">
        <f>Muloza!D235+Muloza!E235+Muloza!F235</f>
        <v>127878.32</v>
      </c>
      <c r="H235" s="15">
        <f>MUST!D235+MUST!E235+MUST!F235</f>
        <v>11242.050000000001</v>
      </c>
      <c r="I235" s="15">
        <f>Phalombe!D235+Phalombe!E235+Phalombe!F235</f>
        <v>60426.02</v>
      </c>
      <c r="J235" s="15">
        <f>Mikolongwe!D235+Mikolongwe!E235+Mikolongwe!F235</f>
        <v>0</v>
      </c>
      <c r="K235" s="15">
        <f>Migowi!D235+Migowi!E235+Migowi!F235</f>
        <v>0</v>
      </c>
      <c r="L235" s="40">
        <f>SUM(D235:K235)</f>
        <v>604335.17000000016</v>
      </c>
    </row>
    <row r="236" spans="1:12" ht="15.6" x14ac:dyDescent="0.3">
      <c r="A236" s="294" t="s">
        <v>25</v>
      </c>
      <c r="B236" s="295"/>
      <c r="C236" s="11" t="s">
        <v>18</v>
      </c>
      <c r="D236" s="12">
        <f t="shared" ref="D236:K236" si="60">SUM(D232:D235)</f>
        <v>3009964.4299999997</v>
      </c>
      <c r="E236" s="12">
        <f t="shared" si="60"/>
        <v>1537268.2500000002</v>
      </c>
      <c r="F236" s="12">
        <f t="shared" si="60"/>
        <v>1377487.0199999998</v>
      </c>
      <c r="G236" s="12">
        <f t="shared" si="60"/>
        <v>761454.56</v>
      </c>
      <c r="H236" s="12">
        <f t="shared" si="60"/>
        <v>166689.44999999998</v>
      </c>
      <c r="I236" s="12">
        <f t="shared" si="60"/>
        <v>864452.08</v>
      </c>
      <c r="J236" s="12">
        <f t="shared" si="60"/>
        <v>32139.62</v>
      </c>
      <c r="K236" s="12">
        <f t="shared" si="60"/>
        <v>0</v>
      </c>
      <c r="L236" s="40">
        <f>SUM(L232:L235)</f>
        <v>7749455.4100000001</v>
      </c>
    </row>
    <row r="237" spans="1:12" x14ac:dyDescent="0.3">
      <c r="A237" s="281" t="s">
        <v>24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3"/>
    </row>
    <row r="238" spans="1:12" ht="15.6" x14ac:dyDescent="0.3">
      <c r="A238" s="237" t="s">
        <v>23</v>
      </c>
      <c r="B238" s="238"/>
      <c r="C238" s="11" t="s">
        <v>18</v>
      </c>
      <c r="D238" s="15">
        <f>Mulanje!D238+Mulanje!E238+Mulanje!F238</f>
        <v>5241017</v>
      </c>
      <c r="E238" s="15">
        <f>Luchenza!D238+Luchenza!E238+Luchenza!F238</f>
        <v>2478968</v>
      </c>
      <c r="F238" s="15">
        <f>Thyolo!D238+Thyolo!E238+Thyolo!F238</f>
        <v>2325372</v>
      </c>
      <c r="G238" s="15">
        <f>Muloza!D238+Muloza!E238+Muloza!F238</f>
        <v>1274311</v>
      </c>
      <c r="H238" s="15">
        <f>MUST!D238+MUST!E238+MUST!F238</f>
        <v>183065</v>
      </c>
      <c r="I238" s="15">
        <f>Phalombe!D238+Phalombe!E238+Phalombe!F238</f>
        <v>1381471</v>
      </c>
      <c r="J238" s="15">
        <f>Mikolongwe!D238+Mikolongwe!E238+Mikolongwe!F238</f>
        <v>58938</v>
      </c>
      <c r="K238" s="15">
        <f>Migowi!D238+Migowi!E238+Migowi!F238</f>
        <v>0</v>
      </c>
      <c r="L238" s="40">
        <f>SUM(D238:K238)</f>
        <v>12943142</v>
      </c>
    </row>
    <row r="239" spans="1:12" ht="15.6" x14ac:dyDescent="0.3">
      <c r="A239" s="237" t="s">
        <v>22</v>
      </c>
      <c r="B239" s="238"/>
      <c r="C239" s="11" t="s">
        <v>18</v>
      </c>
      <c r="D239" s="15">
        <f>Mulanje!D239+Mulanje!E239+Mulanje!F239</f>
        <v>41971</v>
      </c>
      <c r="E239" s="15">
        <f>Luchenza!D239+Luchenza!E239+Luchenza!F239</f>
        <v>7144</v>
      </c>
      <c r="F239" s="15">
        <f>Thyolo!D239+Thyolo!E239+Thyolo!F239</f>
        <v>5358</v>
      </c>
      <c r="G239" s="15">
        <f>Muloza!D239+Muloza!E239+Muloza!F239</f>
        <v>2679</v>
      </c>
      <c r="H239" s="15">
        <f>MUST!D239+MUST!E239+MUST!F239</f>
        <v>0</v>
      </c>
      <c r="I239" s="15">
        <f>Phalombe!D239+Phalombe!E239+Phalombe!F239</f>
        <v>0</v>
      </c>
      <c r="J239" s="15">
        <f>Mikolongwe!D239+Mikolongwe!E239+Mikolongwe!F239</f>
        <v>0</v>
      </c>
      <c r="K239" s="15">
        <f>Migowi!D239+Migowi!E239+Migowi!F239</f>
        <v>0</v>
      </c>
      <c r="L239" s="40">
        <f>SUM(D239:K239)</f>
        <v>57152</v>
      </c>
    </row>
    <row r="240" spans="1:12" ht="15.6" x14ac:dyDescent="0.3">
      <c r="A240" s="237" t="s">
        <v>21</v>
      </c>
      <c r="B240" s="238"/>
      <c r="C240" s="11" t="s">
        <v>18</v>
      </c>
      <c r="D240" s="15">
        <f>Mulanje!D240+Mulanje!E240+Mulanje!F240</f>
        <v>75905</v>
      </c>
      <c r="E240" s="15">
        <f>Luchenza!D240+Luchenza!E240+Luchenza!F240</f>
        <v>24111</v>
      </c>
      <c r="F240" s="15">
        <f>Thyolo!D240+Thyolo!E240+Thyolo!F240</f>
        <v>37506</v>
      </c>
      <c r="G240" s="15">
        <f>Muloza!D240+Muloza!E240+Muloza!F240</f>
        <v>10716</v>
      </c>
      <c r="H240" s="15">
        <f>MUST!D240+MUST!E240+MUST!F240</f>
        <v>18753</v>
      </c>
      <c r="I240" s="15">
        <f>Phalombe!D240+Phalombe!E240+Phalombe!F240</f>
        <v>29469</v>
      </c>
      <c r="J240" s="15">
        <f>Mikolongwe!D240+Mikolongwe!E240+Mikolongwe!F240</f>
        <v>0</v>
      </c>
      <c r="K240" s="15">
        <f>Migowi!D240+Migowi!E240+Migowi!F240</f>
        <v>0</v>
      </c>
      <c r="L240" s="40">
        <f>SUM(D240:K240)</f>
        <v>196460</v>
      </c>
    </row>
    <row r="241" spans="1:12" ht="15.6" x14ac:dyDescent="0.3">
      <c r="A241" s="237" t="s">
        <v>20</v>
      </c>
      <c r="B241" s="238"/>
      <c r="C241" s="11" t="s">
        <v>18</v>
      </c>
      <c r="D241" s="15">
        <f>Mulanje!D241+Mulanje!E241+Mulanje!F241</f>
        <v>20539</v>
      </c>
      <c r="E241" s="15">
        <f>Luchenza!D241+Luchenza!E241+Luchenza!F241</f>
        <v>392697.62</v>
      </c>
      <c r="F241" s="15">
        <f>Thyolo!D241+Thyolo!E241+Thyolo!F241</f>
        <v>50008</v>
      </c>
      <c r="G241" s="15">
        <f>Muloza!D241+Muloza!E241+Muloza!F241</f>
        <v>30362</v>
      </c>
      <c r="H241" s="15">
        <f>MUST!D241+MUST!E241+MUST!F241</f>
        <v>2679</v>
      </c>
      <c r="I241" s="15">
        <f>Phalombe!D241+Phalombe!E241+Phalombe!F241</f>
        <v>14288</v>
      </c>
      <c r="J241" s="15">
        <f>Mikolongwe!D241+Mikolongwe!E241+Mikolongwe!F241</f>
        <v>0</v>
      </c>
      <c r="K241" s="15">
        <f>Migowi!D241+Migowi!E241+Migowi!F241</f>
        <v>0</v>
      </c>
      <c r="L241" s="40">
        <f>SUM(D241:K241)</f>
        <v>510573.62</v>
      </c>
    </row>
    <row r="242" spans="1:12" ht="15.6" x14ac:dyDescent="0.3">
      <c r="A242" s="294" t="s">
        <v>19</v>
      </c>
      <c r="B242" s="295"/>
      <c r="C242" s="11" t="s">
        <v>18</v>
      </c>
      <c r="D242" s="12">
        <f t="shared" ref="D242:L242" si="61">SUM(D238:D241)</f>
        <v>5379432</v>
      </c>
      <c r="E242" s="12">
        <f t="shared" si="61"/>
        <v>2902920.62</v>
      </c>
      <c r="F242" s="12">
        <f t="shared" si="61"/>
        <v>2418244</v>
      </c>
      <c r="G242" s="12">
        <f t="shared" si="61"/>
        <v>1318068</v>
      </c>
      <c r="H242" s="12">
        <f t="shared" si="61"/>
        <v>204497</v>
      </c>
      <c r="I242" s="12">
        <f t="shared" si="61"/>
        <v>1425228</v>
      </c>
      <c r="J242" s="12">
        <f t="shared" si="61"/>
        <v>58938</v>
      </c>
      <c r="K242" s="12">
        <f t="shared" si="61"/>
        <v>0</v>
      </c>
      <c r="L242" s="40">
        <f t="shared" si="61"/>
        <v>13707327.619999999</v>
      </c>
    </row>
    <row r="243" spans="1:12" ht="15.6" x14ac:dyDescent="0.3">
      <c r="A243" s="294" t="s">
        <v>214</v>
      </c>
      <c r="B243" s="295"/>
      <c r="C243" s="11" t="s">
        <v>18</v>
      </c>
      <c r="D243" s="10">
        <f>D230+D236+D242</f>
        <v>62330330.340000004</v>
      </c>
      <c r="E243" s="10">
        <f t="shared" ref="E243:K243" si="62">E230+E236+E242</f>
        <v>38809890.82</v>
      </c>
      <c r="F243" s="10">
        <f t="shared" si="62"/>
        <v>37806625.189999998</v>
      </c>
      <c r="G243" s="10">
        <f t="shared" si="62"/>
        <v>15356062.76</v>
      </c>
      <c r="H243" s="10">
        <f t="shared" si="62"/>
        <v>86148955.019999996</v>
      </c>
      <c r="I243" s="10">
        <f t="shared" si="62"/>
        <v>23853694.16</v>
      </c>
      <c r="J243" s="10">
        <f t="shared" si="62"/>
        <v>369563.14</v>
      </c>
      <c r="K243" s="10">
        <f t="shared" si="62"/>
        <v>0</v>
      </c>
      <c r="L243" s="40">
        <f t="shared" ref="L243" si="63">L216+L223+L236+L242</f>
        <v>364821724.28000003</v>
      </c>
    </row>
    <row r="244" spans="1:12" x14ac:dyDescent="0.3">
      <c r="A244" s="281" t="s">
        <v>204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3"/>
    </row>
    <row r="245" spans="1:12" ht="15.6" x14ac:dyDescent="0.3">
      <c r="A245" s="315" t="s">
        <v>205</v>
      </c>
      <c r="B245" s="316"/>
      <c r="C245" s="11" t="s">
        <v>18</v>
      </c>
      <c r="D245" s="154">
        <f>Mulanje!F245</f>
        <v>65938681.460000001</v>
      </c>
      <c r="E245" s="154">
        <f>Luchenza!F245</f>
        <v>29313956.829999998</v>
      </c>
      <c r="F245" s="154">
        <f>Thyolo!F245</f>
        <v>25801878.559999999</v>
      </c>
      <c r="G245" s="154">
        <f>Muloza!F245</f>
        <v>15742114.82</v>
      </c>
      <c r="H245" s="154">
        <f>MUST!F245</f>
        <v>2181784.0499999998</v>
      </c>
      <c r="I245" s="154">
        <f>Phalombe!F245</f>
        <v>23480970.719999999</v>
      </c>
      <c r="J245" s="154">
        <f>Mikolongwe!F245</f>
        <v>799121.3</v>
      </c>
      <c r="K245" s="154">
        <f>Migowi!F245</f>
        <v>0</v>
      </c>
      <c r="L245" s="40">
        <f>SUM(D245:K245)</f>
        <v>163258507.74000001</v>
      </c>
    </row>
    <row r="246" spans="1:12" ht="15.6" x14ac:dyDescent="0.3">
      <c r="A246" s="315" t="s">
        <v>206</v>
      </c>
      <c r="B246" s="316"/>
      <c r="C246" s="11" t="s">
        <v>18</v>
      </c>
      <c r="D246" s="154">
        <f>Mulanje!F246</f>
        <v>7781207.0199999996</v>
      </c>
      <c r="E246" s="154">
        <f>Luchenza!F246</f>
        <v>50880748.700000003</v>
      </c>
      <c r="F246" s="154">
        <f>Thyolo!F246</f>
        <v>53245477.82</v>
      </c>
      <c r="G246" s="154">
        <f>Muloza!F246</f>
        <v>39347012.229999997</v>
      </c>
      <c r="H246" s="154">
        <f>MUST!F246</f>
        <v>162141524.88</v>
      </c>
      <c r="I246" s="154">
        <f>Phalombe!F246</f>
        <v>23826321.530000001</v>
      </c>
      <c r="J246" s="154">
        <f>Mikolongwe!F246</f>
        <v>0</v>
      </c>
      <c r="K246" s="154">
        <f>Migowi!F246</f>
        <v>0</v>
      </c>
      <c r="L246" s="40">
        <f>SUM(D246:K246)</f>
        <v>337222292.17999995</v>
      </c>
    </row>
    <row r="247" spans="1:12" ht="15.6" x14ac:dyDescent="0.3">
      <c r="A247" s="317" t="s">
        <v>207</v>
      </c>
      <c r="B247" s="318"/>
      <c r="C247" s="11" t="s">
        <v>18</v>
      </c>
      <c r="D247" s="142">
        <f>D245+D246</f>
        <v>73719888.480000004</v>
      </c>
      <c r="E247" s="142">
        <f t="shared" ref="E247:L247" si="64">E245+E246</f>
        <v>80194705.530000001</v>
      </c>
      <c r="F247" s="142">
        <f t="shared" si="64"/>
        <v>79047356.379999995</v>
      </c>
      <c r="G247" s="142">
        <f t="shared" si="64"/>
        <v>55089127.049999997</v>
      </c>
      <c r="H247" s="142">
        <f t="shared" si="64"/>
        <v>164323308.93000001</v>
      </c>
      <c r="I247" s="142">
        <f t="shared" si="64"/>
        <v>47307292.25</v>
      </c>
      <c r="J247" s="142">
        <f t="shared" si="64"/>
        <v>799121.3</v>
      </c>
      <c r="K247" s="142">
        <f t="shared" si="64"/>
        <v>0</v>
      </c>
      <c r="L247" s="165">
        <f t="shared" si="64"/>
        <v>500480799.91999996</v>
      </c>
    </row>
    <row r="248" spans="1:12" x14ac:dyDescent="0.3">
      <c r="A248" s="281" t="s">
        <v>17</v>
      </c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3"/>
    </row>
    <row r="249" spans="1:12" ht="15.6" x14ac:dyDescent="0.3">
      <c r="A249" s="254" t="s">
        <v>16</v>
      </c>
      <c r="B249" s="255"/>
      <c r="C249" s="5" t="s">
        <v>6</v>
      </c>
      <c r="D249" s="8">
        <f>D58/D243%</f>
        <v>31.84209443739007</v>
      </c>
      <c r="E249" s="8">
        <f t="shared" ref="E249:L249" si="65">E58/E243%</f>
        <v>53.900487647648582</v>
      </c>
      <c r="F249" s="8">
        <f t="shared" si="65"/>
        <v>55.491935396416167</v>
      </c>
      <c r="G249" s="8">
        <f t="shared" si="65"/>
        <v>95.34264837167153</v>
      </c>
      <c r="H249" s="8">
        <f t="shared" si="65"/>
        <v>12.257653711584162</v>
      </c>
      <c r="I249" s="8">
        <f t="shared" si="65"/>
        <v>35.82641566389146</v>
      </c>
      <c r="J249" s="8">
        <f t="shared" si="65"/>
        <v>220.22683336330564</v>
      </c>
      <c r="K249" s="8" t="e">
        <f t="shared" si="65"/>
        <v>#DIV/0!</v>
      </c>
      <c r="L249" s="111">
        <f t="shared" si="65"/>
        <v>26.741588043446267</v>
      </c>
    </row>
    <row r="250" spans="1:12" ht="15.6" x14ac:dyDescent="0.3">
      <c r="A250" s="254" t="s">
        <v>208</v>
      </c>
      <c r="B250" s="255"/>
      <c r="C250" s="5" t="s">
        <v>6</v>
      </c>
      <c r="D250" s="29">
        <f>D210/(D223+D245)%</f>
        <v>39.00657218967185</v>
      </c>
      <c r="E250" s="29">
        <f t="shared" ref="E250:L250" si="66">E210/(E223+E245)%</f>
        <v>31.687697859372268</v>
      </c>
      <c r="F250" s="29">
        <f t="shared" si="66"/>
        <v>24.159942802236987</v>
      </c>
      <c r="G250" s="29">
        <f t="shared" si="66"/>
        <v>30.010153551217204</v>
      </c>
      <c r="H250" s="29">
        <f t="shared" si="66"/>
        <v>38.845087045418865</v>
      </c>
      <c r="I250" s="29">
        <f t="shared" si="66"/>
        <v>21.965978840778746</v>
      </c>
      <c r="J250" s="29">
        <f t="shared" si="66"/>
        <v>32.991384557124462</v>
      </c>
      <c r="K250" s="29" t="e">
        <f t="shared" si="66"/>
        <v>#DIV/0!</v>
      </c>
      <c r="L250" s="108">
        <f t="shared" si="66"/>
        <v>33.093679012080528</v>
      </c>
    </row>
    <row r="251" spans="1:12" ht="16.2" thickBot="1" x14ac:dyDescent="0.35">
      <c r="A251" s="305" t="s">
        <v>15</v>
      </c>
      <c r="B251" s="306"/>
      <c r="C251" s="5" t="s">
        <v>6</v>
      </c>
      <c r="D251" s="7">
        <f>D210/D223%</f>
        <v>86.68913442993076</v>
      </c>
      <c r="E251" s="7">
        <f t="shared" ref="E251:L251" si="67">E210/E223%</f>
        <v>58.714170432310063</v>
      </c>
      <c r="F251" s="7">
        <f t="shared" si="67"/>
        <v>42.488537960129733</v>
      </c>
      <c r="G251" s="7">
        <f t="shared" si="67"/>
        <v>65.593466361062951</v>
      </c>
      <c r="H251" s="7">
        <f t="shared" si="67"/>
        <v>39.833123838045303</v>
      </c>
      <c r="I251" s="7">
        <f t="shared" si="67"/>
        <v>45.884647419039347</v>
      </c>
      <c r="J251" s="7">
        <f t="shared" si="67"/>
        <v>127.66100370317281</v>
      </c>
      <c r="K251" s="7" t="e">
        <f t="shared" si="67"/>
        <v>#DIV/0!</v>
      </c>
      <c r="L251" s="112">
        <f t="shared" si="67"/>
        <v>55.307565870616941</v>
      </c>
    </row>
    <row r="252" spans="1:12" x14ac:dyDescent="0.3">
      <c r="A252" s="307" t="s">
        <v>14</v>
      </c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9"/>
    </row>
    <row r="253" spans="1:12" s="2" customFormat="1" ht="15" customHeight="1" x14ac:dyDescent="0.3">
      <c r="A253" s="254" t="s">
        <v>13</v>
      </c>
      <c r="B253" s="255"/>
      <c r="C253" s="5" t="s">
        <v>3</v>
      </c>
      <c r="D253" s="141">
        <f>Mulanje!D253+Mulanje!E253+Mulanje!F253</f>
        <v>171</v>
      </c>
      <c r="E253" s="141">
        <f>Luchenza!D253+Luchenza!E253+Luchenza!F253</f>
        <v>87</v>
      </c>
      <c r="F253" s="141">
        <f>Thyolo!D253+Thyolo!E253+Thyolo!F253</f>
        <v>184</v>
      </c>
      <c r="G253" s="141">
        <f>Muloza!D253+Muloza!E253+Muloza!F253</f>
        <v>54</v>
      </c>
      <c r="H253" s="141">
        <f>MUST!D253+MUST!E253+MUST!F253</f>
        <v>21</v>
      </c>
      <c r="I253" s="141">
        <f>Phalombe!D253+Phalombe!E253+Phalombe!F253</f>
        <v>89</v>
      </c>
      <c r="J253" s="141">
        <f>Mikolongwe!D253+Mikolongwe!E253+Mikolongwe!F253</f>
        <v>0</v>
      </c>
      <c r="K253" s="141">
        <f>Migowi!D253+Migowi!E253+Migowi!F253</f>
        <v>0</v>
      </c>
      <c r="L253" s="113">
        <f>SUM(D253:K253)</f>
        <v>606</v>
      </c>
    </row>
    <row r="254" spans="1:12" s="2" customFormat="1" ht="15.6" x14ac:dyDescent="0.3">
      <c r="A254" s="254" t="s">
        <v>12</v>
      </c>
      <c r="B254" s="255"/>
      <c r="C254" s="5" t="s">
        <v>3</v>
      </c>
      <c r="D254" s="141">
        <f>Mulanje!D254+Mulanje!E254+Mulanje!F254</f>
        <v>16</v>
      </c>
      <c r="E254" s="141">
        <f>Luchenza!D254+Luchenza!E254+Luchenza!F254</f>
        <v>11</v>
      </c>
      <c r="F254" s="141">
        <f>Thyolo!D254+Thyolo!E254+Thyolo!F254</f>
        <v>15</v>
      </c>
      <c r="G254" s="141">
        <f>Muloza!D254+Muloza!E254+Muloza!F254</f>
        <v>24</v>
      </c>
      <c r="H254" s="141">
        <f>MUST!D254+MUST!E254+MUST!F254</f>
        <v>13</v>
      </c>
      <c r="I254" s="141">
        <f>Phalombe!D254+Phalombe!E254+Phalombe!F254</f>
        <v>9</v>
      </c>
      <c r="J254" s="141">
        <f>Mikolongwe!D254+Mikolongwe!E254+Mikolongwe!F254</f>
        <v>0</v>
      </c>
      <c r="K254" s="141">
        <f>Migowi!D254+Migowi!E254+Migowi!F254</f>
        <v>0</v>
      </c>
      <c r="L254" s="113">
        <f>SUM(D254:K254)</f>
        <v>88</v>
      </c>
    </row>
    <row r="255" spans="1:12" ht="15.75" customHeight="1" x14ac:dyDescent="0.3">
      <c r="A255" s="254" t="s">
        <v>11</v>
      </c>
      <c r="B255" s="255"/>
      <c r="C255" s="5" t="s">
        <v>3</v>
      </c>
      <c r="D255" s="4">
        <f>D95</f>
        <v>563</v>
      </c>
      <c r="E255" s="4">
        <f t="shared" ref="E255:K255" si="68">E95</f>
        <v>27</v>
      </c>
      <c r="F255" s="4">
        <f t="shared" si="68"/>
        <v>17</v>
      </c>
      <c r="G255" s="4">
        <f t="shared" si="68"/>
        <v>135</v>
      </c>
      <c r="H255" s="4">
        <f t="shared" si="68"/>
        <v>9</v>
      </c>
      <c r="I255" s="4">
        <f t="shared" si="68"/>
        <v>56</v>
      </c>
      <c r="J255" s="4">
        <f t="shared" si="68"/>
        <v>0</v>
      </c>
      <c r="K255" s="4">
        <f t="shared" si="68"/>
        <v>0</v>
      </c>
      <c r="L255" s="113">
        <f>SUM(D255:K255)</f>
        <v>807</v>
      </c>
    </row>
    <row r="256" spans="1:12" ht="15.6" x14ac:dyDescent="0.3">
      <c r="A256" s="254" t="s">
        <v>10</v>
      </c>
      <c r="B256" s="255"/>
      <c r="C256" s="5" t="s">
        <v>3</v>
      </c>
      <c r="D256" s="4">
        <f>D91</f>
        <v>27</v>
      </c>
      <c r="E256" s="4">
        <f t="shared" ref="E256:K256" si="69">E91</f>
        <v>45</v>
      </c>
      <c r="F256" s="4">
        <f t="shared" si="69"/>
        <v>29</v>
      </c>
      <c r="G256" s="4">
        <f t="shared" si="69"/>
        <v>57</v>
      </c>
      <c r="H256" s="4">
        <f t="shared" si="69"/>
        <v>21</v>
      </c>
      <c r="I256" s="4">
        <f t="shared" si="69"/>
        <v>11</v>
      </c>
      <c r="J256" s="4">
        <f t="shared" si="69"/>
        <v>0</v>
      </c>
      <c r="K256" s="4">
        <f t="shared" si="69"/>
        <v>0</v>
      </c>
      <c r="L256" s="113">
        <f>SUM(D256:K256)</f>
        <v>190</v>
      </c>
    </row>
    <row r="257" spans="1:12" ht="15.6" customHeight="1" x14ac:dyDescent="0.3">
      <c r="A257" s="254" t="s">
        <v>9</v>
      </c>
      <c r="B257" s="255"/>
      <c r="C257" s="5" t="s">
        <v>3</v>
      </c>
      <c r="D257" s="141">
        <f>Mulanje!D257+Mulanje!E257+Mulanje!F257</f>
        <v>90</v>
      </c>
      <c r="E257" s="141">
        <f>Luchenza!D257+Luchenza!E257+Luchenza!F257</f>
        <v>36</v>
      </c>
      <c r="F257" s="141">
        <f>Thyolo!D257+Thyolo!E257+Thyolo!F257</f>
        <v>70</v>
      </c>
      <c r="G257" s="141">
        <f>Muloza!D257+Muloza!E257+Muloza!F257</f>
        <v>18</v>
      </c>
      <c r="H257" s="141">
        <f>MUST!D257+MUST!E257+MUST!F257</f>
        <v>41</v>
      </c>
      <c r="I257" s="141">
        <f>Phalombe!D257+Phalombe!E257+Phalombe!F257</f>
        <v>26</v>
      </c>
      <c r="J257" s="141">
        <f>Mikolongwe!D257+Mikolongwe!E257+Mikolongwe!F257</f>
        <v>0</v>
      </c>
      <c r="K257" s="141">
        <f>Migowi!D257+Migowi!E257+Migowi!F257</f>
        <v>0</v>
      </c>
      <c r="L257" s="113">
        <f>SUM(D257:K257)</f>
        <v>281</v>
      </c>
    </row>
    <row r="258" spans="1:12" ht="15.6" x14ac:dyDescent="0.3">
      <c r="A258" s="294" t="s">
        <v>8</v>
      </c>
      <c r="B258" s="295"/>
      <c r="C258" s="5" t="s">
        <v>3</v>
      </c>
      <c r="D258" s="1">
        <f t="shared" ref="D258:L258" si="70">D257/D256</f>
        <v>3.3333333333333335</v>
      </c>
      <c r="E258" s="1">
        <f t="shared" si="70"/>
        <v>0.8</v>
      </c>
      <c r="F258" s="1">
        <f t="shared" si="70"/>
        <v>2.4137931034482758</v>
      </c>
      <c r="G258" s="3">
        <f t="shared" si="70"/>
        <v>0.31578947368421051</v>
      </c>
      <c r="H258" s="3">
        <f t="shared" si="70"/>
        <v>1.9523809523809523</v>
      </c>
      <c r="I258" s="3">
        <f t="shared" si="70"/>
        <v>2.3636363636363638</v>
      </c>
      <c r="J258" s="3" t="e">
        <f t="shared" si="70"/>
        <v>#DIV/0!</v>
      </c>
      <c r="K258" s="3" t="e">
        <f t="shared" si="70"/>
        <v>#DIV/0!</v>
      </c>
      <c r="L258" s="113">
        <f t="shared" si="70"/>
        <v>1.4789473684210526</v>
      </c>
    </row>
    <row r="259" spans="1:12" ht="15.6" x14ac:dyDescent="0.3">
      <c r="A259" s="294" t="s">
        <v>7</v>
      </c>
      <c r="B259" s="295"/>
      <c r="C259" s="5" t="s">
        <v>6</v>
      </c>
      <c r="D259" s="1">
        <f t="shared" ref="D259:L259" si="71">D92/D255*100</f>
        <v>9.0586145648312613</v>
      </c>
      <c r="E259" s="1">
        <f t="shared" si="71"/>
        <v>103.7037037037037</v>
      </c>
      <c r="F259" s="1">
        <f t="shared" si="71"/>
        <v>129.41176470588235</v>
      </c>
      <c r="G259" s="6">
        <f t="shared" si="71"/>
        <v>14.814814814814813</v>
      </c>
      <c r="H259" s="6">
        <f t="shared" si="71"/>
        <v>100</v>
      </c>
      <c r="I259" s="6">
        <f t="shared" si="71"/>
        <v>21.428571428571427</v>
      </c>
      <c r="J259" s="6" t="e">
        <f t="shared" si="71"/>
        <v>#DIV/0!</v>
      </c>
      <c r="K259" s="6" t="e">
        <f t="shared" si="71"/>
        <v>#DIV/0!</v>
      </c>
      <c r="L259" s="114">
        <f t="shared" si="71"/>
        <v>17.596034696406441</v>
      </c>
    </row>
    <row r="260" spans="1:12" x14ac:dyDescent="0.3">
      <c r="A260" s="281" t="s">
        <v>5</v>
      </c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3"/>
    </row>
    <row r="261" spans="1:12" s="2" customFormat="1" ht="15" customHeight="1" x14ac:dyDescent="0.3">
      <c r="A261" s="254" t="s">
        <v>4</v>
      </c>
      <c r="B261" s="255"/>
      <c r="C261" s="5" t="s">
        <v>3</v>
      </c>
      <c r="D261" s="141">
        <f>Mulanje!D261+Mulanje!E261+Mulanje!F261</f>
        <v>92</v>
      </c>
      <c r="E261" s="141">
        <f>Luchenza!D261+Luchenza!E261+Luchenza!F261</f>
        <v>39</v>
      </c>
      <c r="F261" s="141">
        <f>Thyolo!D261+Thyolo!E261+Thyolo!F261</f>
        <v>23</v>
      </c>
      <c r="G261" s="141">
        <f>Muloza!D261+Muloza!E261+Muloza!F261</f>
        <v>5</v>
      </c>
      <c r="H261" s="141">
        <f>MUST!D261+MUST!E261+MUST!F261</f>
        <v>0</v>
      </c>
      <c r="I261" s="141">
        <f>Phalombe!D261+Phalombe!E261+Phalombe!F261</f>
        <v>61</v>
      </c>
      <c r="J261" s="141">
        <f>Mikolongwe!D261+Mikolongwe!E261+Mikolongwe!F261</f>
        <v>0</v>
      </c>
      <c r="K261" s="141">
        <f>Migowi!D261+Migowi!E261+Migowi!F261</f>
        <v>0</v>
      </c>
      <c r="L261" s="113">
        <f>SUM(D261:K261)</f>
        <v>220</v>
      </c>
    </row>
    <row r="262" spans="1:12" s="2" customFormat="1" ht="15.75" customHeight="1" x14ac:dyDescent="0.3">
      <c r="A262" s="254" t="s">
        <v>2</v>
      </c>
      <c r="B262" s="255"/>
      <c r="C262" s="5" t="s">
        <v>0</v>
      </c>
      <c r="D262" s="141">
        <f>Mulanje!D262+Mulanje!E262+Mulanje!F262</f>
        <v>8</v>
      </c>
      <c r="E262" s="141">
        <f>Luchenza!D262+Luchenza!E262+Luchenza!F262</f>
        <v>90</v>
      </c>
      <c r="F262" s="141">
        <f>Thyolo!D262+Thyolo!E262+Thyolo!F262</f>
        <v>15</v>
      </c>
      <c r="G262" s="141">
        <f>Muloza!D262+Muloza!E262+Muloza!F262</f>
        <v>3</v>
      </c>
      <c r="H262" s="141">
        <f>MUST!D262+MUST!E262+MUST!F262</f>
        <v>0</v>
      </c>
      <c r="I262" s="141">
        <f>Phalombe!D262+Phalombe!E262+Phalombe!F262</f>
        <v>23</v>
      </c>
      <c r="J262" s="141">
        <f>Mikolongwe!D262+Mikolongwe!E262+Mikolongwe!F262</f>
        <v>0</v>
      </c>
      <c r="K262" s="141">
        <f>Migowi!D262+Migowi!E262+Migowi!F262</f>
        <v>0</v>
      </c>
      <c r="L262" s="113">
        <f>SUM(D262:K262)</f>
        <v>139</v>
      </c>
    </row>
    <row r="263" spans="1:12" ht="16.2" thickBot="1" x14ac:dyDescent="0.35">
      <c r="A263" s="299" t="s">
        <v>1</v>
      </c>
      <c r="B263" s="300"/>
      <c r="C263" s="115" t="s">
        <v>0</v>
      </c>
      <c r="D263" s="151">
        <f>D261/D262</f>
        <v>11.5</v>
      </c>
      <c r="E263" s="151">
        <f t="shared" ref="E263:L263" si="72">E261/E262</f>
        <v>0.43333333333333335</v>
      </c>
      <c r="F263" s="151">
        <f t="shared" si="72"/>
        <v>1.5333333333333334</v>
      </c>
      <c r="G263" s="151">
        <f t="shared" si="72"/>
        <v>1.6666666666666667</v>
      </c>
      <c r="H263" s="151" t="e">
        <f t="shared" si="72"/>
        <v>#DIV/0!</v>
      </c>
      <c r="I263" s="151">
        <f t="shared" si="72"/>
        <v>2.652173913043478</v>
      </c>
      <c r="J263" s="151" t="e">
        <f t="shared" si="72"/>
        <v>#DIV/0!</v>
      </c>
      <c r="K263" s="151" t="e">
        <f t="shared" si="72"/>
        <v>#DIV/0!</v>
      </c>
      <c r="L263" s="166">
        <f t="shared" si="72"/>
        <v>1.5827338129496402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L263"/>
  <sheetViews>
    <sheetView workbookViewId="0">
      <pane xSplit="3" ySplit="8" topLeftCell="G108" activePane="bottomRight" state="frozen"/>
      <selection pane="topRight" activeCell="D1" sqref="D1"/>
      <selection pane="bottomLeft" activeCell="A9" sqref="A9"/>
      <selection pane="bottomRight" activeCell="L119" sqref="L11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0.109375" style="621" bestFit="1" customWidth="1"/>
  </cols>
  <sheetData>
    <row r="1" spans="1:12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606"/>
    </row>
    <row r="2" spans="1:12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607"/>
    </row>
    <row r="3" spans="1:12" ht="18" thickBot="1" x14ac:dyDescent="0.35">
      <c r="A3" s="89" t="s">
        <v>217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608"/>
    </row>
    <row r="4" spans="1:12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609"/>
    </row>
    <row r="5" spans="1:12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610"/>
    </row>
    <row r="6" spans="1:12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611"/>
    </row>
    <row r="7" spans="1:12" ht="16.2" thickBot="1" x14ac:dyDescent="0.35">
      <c r="A7" s="720" t="s">
        <v>174</v>
      </c>
      <c r="B7" s="72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60" t="s">
        <v>225</v>
      </c>
      <c r="K7" s="60" t="s">
        <v>226</v>
      </c>
      <c r="L7" s="612" t="s">
        <v>160</v>
      </c>
    </row>
    <row r="8" spans="1:12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4"/>
    </row>
    <row r="9" spans="1:12" ht="15.6" x14ac:dyDescent="0.3">
      <c r="A9" s="725" t="s">
        <v>176</v>
      </c>
      <c r="B9" s="726"/>
      <c r="C9" s="58" t="s">
        <v>152</v>
      </c>
      <c r="D9" s="57">
        <f>Mulanje!G9+Mulanje!H9+Mulanje!I9</f>
        <v>135236</v>
      </c>
      <c r="E9" s="57">
        <f>Luchenza!G9+Luchenza!H9+Luchenza!I9</f>
        <v>51919</v>
      </c>
      <c r="F9" s="57">
        <f>Thyolo!G9+Thyolo!H9+Thyolo!I9</f>
        <v>67310</v>
      </c>
      <c r="G9" s="57">
        <f>Muloza!G9+Muloza!H9+Muloza!I9</f>
        <v>23093</v>
      </c>
      <c r="H9" s="57">
        <f>MUST!G9+MUST!H9+MUST!I9</f>
        <v>53839</v>
      </c>
      <c r="I9" s="57">
        <f>Phalombe!G9+Phalombe!H9+Phalombe!I9</f>
        <v>31258</v>
      </c>
      <c r="J9" s="57">
        <f>Mikolongwe!G9+Mikolongwe!H9+Mikolongwe!I9</f>
        <v>2021</v>
      </c>
      <c r="K9" s="57">
        <f>Migowi!G9+Migowi!H9+Migowi!I9</f>
        <v>10114</v>
      </c>
      <c r="L9" s="152">
        <f>SUM(D9:K9)</f>
        <v>374790</v>
      </c>
    </row>
    <row r="10" spans="1:12" x14ac:dyDescent="0.3">
      <c r="A10" s="649" t="s">
        <v>177</v>
      </c>
      <c r="B10" s="650"/>
      <c r="C10" s="650"/>
      <c r="D10" s="741"/>
      <c r="E10" s="741"/>
      <c r="F10" s="741"/>
      <c r="G10" s="741"/>
      <c r="H10" s="741"/>
      <c r="I10" s="741"/>
      <c r="J10" s="741"/>
      <c r="K10" s="741"/>
      <c r="L10" s="651"/>
    </row>
    <row r="11" spans="1:12" ht="15.6" x14ac:dyDescent="0.3">
      <c r="A11" s="663" t="s">
        <v>157</v>
      </c>
      <c r="B11" s="664"/>
      <c r="C11" s="11" t="s">
        <v>152</v>
      </c>
      <c r="D11" s="26">
        <f>Mulanje!G11+Mulanje!H11+Mulanje!I11</f>
        <v>62363</v>
      </c>
      <c r="E11" s="26">
        <f>Luchenza!G11+Luchenza!H11+Luchenza!I11</f>
        <v>20460</v>
      </c>
      <c r="F11" s="26">
        <f>Thyolo!G11+Thyolo!H11+Thyolo!I11</f>
        <v>23869</v>
      </c>
      <c r="G11" s="26">
        <f>Muloza!G11+Muloza!H11+Muloza!I11</f>
        <v>11769</v>
      </c>
      <c r="H11" s="26">
        <f>MUST!G11+MUST!H11+MUST!I11</f>
        <v>2879</v>
      </c>
      <c r="I11" s="26">
        <f>Phalombe!G11+Phalombe!H11+Phalombe!I11</f>
        <v>15636</v>
      </c>
      <c r="J11" s="26">
        <f>Mikolongwe!G11+Mikolongwe!H11+Mikolongwe!I11</f>
        <v>318</v>
      </c>
      <c r="K11" s="26">
        <f>Migowi!G11+Migowi!H11+Migowi!I11</f>
        <v>0</v>
      </c>
      <c r="L11" s="55">
        <f>SUM(D11:K11)</f>
        <v>137294</v>
      </c>
    </row>
    <row r="12" spans="1:12" ht="15.6" x14ac:dyDescent="0.3">
      <c r="A12" s="663" t="s">
        <v>156</v>
      </c>
      <c r="B12" s="664"/>
      <c r="C12" s="11" t="s">
        <v>152</v>
      </c>
      <c r="D12" s="26">
        <f>Mulanje!G12+Mulanje!H12+Mulanje!I12</f>
        <v>3159</v>
      </c>
      <c r="E12" s="26">
        <f>Luchenza!G12+Luchenza!H12+Luchenza!I12</f>
        <v>53</v>
      </c>
      <c r="F12" s="26">
        <f>Thyolo!G12+Thyolo!H12+Thyolo!I12</f>
        <v>67</v>
      </c>
      <c r="G12" s="26">
        <f>Muloza!G12+Muloza!H12+Muloza!I12</f>
        <v>38</v>
      </c>
      <c r="H12" s="26">
        <f>MUST!G12+MUST!H12+MUST!I12</f>
        <v>0</v>
      </c>
      <c r="I12" s="26">
        <f>Phalombe!G12+Phalombe!H12+Phalombe!I12</f>
        <v>0</v>
      </c>
      <c r="J12" s="26">
        <f>Mikolongwe!G12+Mikolongwe!H12+Mikolongwe!I12</f>
        <v>0</v>
      </c>
      <c r="K12" s="26">
        <f>Migowi!G12+Migowi!H12+Migowi!I12</f>
        <v>0</v>
      </c>
      <c r="L12" s="55">
        <f>SUM(D12:K12)</f>
        <v>3317</v>
      </c>
    </row>
    <row r="13" spans="1:12" ht="15.6" x14ac:dyDescent="0.3">
      <c r="A13" s="663" t="s">
        <v>155</v>
      </c>
      <c r="B13" s="664"/>
      <c r="C13" s="11" t="s">
        <v>152</v>
      </c>
      <c r="D13" s="26">
        <f>Mulanje!G13+Mulanje!H13+Mulanje!I13</f>
        <v>610</v>
      </c>
      <c r="E13" s="26">
        <f>Luchenza!G13+Luchenza!H13+Luchenza!I13</f>
        <v>10737</v>
      </c>
      <c r="F13" s="26">
        <f>Thyolo!G13+Thyolo!H13+Thyolo!I13</f>
        <v>1261</v>
      </c>
      <c r="G13" s="26">
        <f>Muloza!G13+Muloza!H13+Muloza!I13</f>
        <v>1167</v>
      </c>
      <c r="H13" s="26">
        <f>MUST!G13+MUST!H13+MUST!I13</f>
        <v>17886</v>
      </c>
      <c r="I13" s="26">
        <f>Phalombe!G13+Phalombe!H13+Phalombe!I13</f>
        <v>122</v>
      </c>
      <c r="J13" s="26">
        <f>Mikolongwe!G13+Mikolongwe!H13+Mikolongwe!I13</f>
        <v>0</v>
      </c>
      <c r="K13" s="26">
        <f>Migowi!G13+Migowi!H13+Migowi!I13</f>
        <v>0</v>
      </c>
      <c r="L13" s="55">
        <f>SUM(D13:K13)</f>
        <v>31783</v>
      </c>
    </row>
    <row r="14" spans="1:12" ht="15.6" x14ac:dyDescent="0.3">
      <c r="A14" s="661" t="s">
        <v>154</v>
      </c>
      <c r="B14" s="662"/>
      <c r="C14" s="11" t="s">
        <v>152</v>
      </c>
      <c r="D14" s="26">
        <f>Mulanje!G14+Mulanje!H14+Mulanje!I14</f>
        <v>185</v>
      </c>
      <c r="E14" s="26">
        <f>Luchenza!G14+Luchenza!H14+Luchenza!I14</f>
        <v>618</v>
      </c>
      <c r="F14" s="26">
        <f>Thyolo!G14+Thyolo!H14+Thyolo!I14</f>
        <v>731</v>
      </c>
      <c r="G14" s="26">
        <f>Muloza!G14+Muloza!H14+Muloza!I14</f>
        <v>310</v>
      </c>
      <c r="H14" s="26">
        <f>MUST!G14+MUST!H14+MUST!I14</f>
        <v>181</v>
      </c>
      <c r="I14" s="26">
        <f>Phalombe!G14+Phalombe!H14+Phalombe!I14</f>
        <v>129</v>
      </c>
      <c r="J14" s="26">
        <f>Mikolongwe!G14+Mikolongwe!H14+Mikolongwe!I14</f>
        <v>0</v>
      </c>
      <c r="K14" s="26">
        <f>Migowi!G14+Migowi!H14+Migowi!I14</f>
        <v>0</v>
      </c>
      <c r="L14" s="55">
        <f>SUM(D14:K14)</f>
        <v>2154</v>
      </c>
    </row>
    <row r="15" spans="1:12" s="63" customFormat="1" ht="15.6" x14ac:dyDescent="0.3">
      <c r="A15" s="676" t="s">
        <v>158</v>
      </c>
      <c r="B15" s="677"/>
      <c r="C15" s="62" t="s">
        <v>152</v>
      </c>
      <c r="D15" s="34">
        <f t="shared" ref="D15:L15" si="0">SUM(D11:D14)</f>
        <v>66317</v>
      </c>
      <c r="E15" s="34">
        <f t="shared" si="0"/>
        <v>31868</v>
      </c>
      <c r="F15" s="34">
        <f t="shared" si="0"/>
        <v>25928</v>
      </c>
      <c r="G15" s="34">
        <f t="shared" si="0"/>
        <v>13284</v>
      </c>
      <c r="H15" s="34">
        <f t="shared" si="0"/>
        <v>20946</v>
      </c>
      <c r="I15" s="34">
        <f t="shared" si="0"/>
        <v>15887</v>
      </c>
      <c r="J15" s="34">
        <f t="shared" si="0"/>
        <v>318</v>
      </c>
      <c r="K15" s="34">
        <f t="shared" si="0"/>
        <v>0</v>
      </c>
      <c r="L15" s="55">
        <f t="shared" si="0"/>
        <v>174548</v>
      </c>
    </row>
    <row r="16" spans="1:12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1"/>
    </row>
    <row r="17" spans="1:12" s="2" customFormat="1" ht="15.6" x14ac:dyDescent="0.3">
      <c r="A17" s="663" t="s">
        <v>180</v>
      </c>
      <c r="B17" s="664"/>
      <c r="C17" s="11" t="s">
        <v>152</v>
      </c>
      <c r="D17" s="26">
        <f>Mulanje!G17+Mulanje!H17+Mulanje!I17</f>
        <v>13122.1</v>
      </c>
      <c r="E17" s="26">
        <f>Luchenza!G17+Luchenza!H17+Luchenza!I17</f>
        <v>2774</v>
      </c>
      <c r="F17" s="26">
        <f>Thyolo!G17+Thyolo!H17+Thyolo!I17</f>
        <v>4707</v>
      </c>
      <c r="G17" s="26">
        <f>Muloza!G17+Muloza!H17+Muloza!I17</f>
        <v>2564</v>
      </c>
      <c r="H17" s="26">
        <f>MUST!G17+MUST!H17+MUST!I17</f>
        <v>929</v>
      </c>
      <c r="I17" s="26">
        <f>Phalombe!G17+Phalombe!H17+Phalombe!I17</f>
        <v>3006.4</v>
      </c>
      <c r="J17" s="26">
        <f>Mikolongwe!G17+Mikolongwe!H17+Mikolongwe!I17</f>
        <v>157</v>
      </c>
      <c r="K17" s="26">
        <f>Migowi!G17+Migowi!H17+Migowi!I17</f>
        <v>2769.6</v>
      </c>
      <c r="L17" s="55">
        <f>SUM(D17:K17)</f>
        <v>30029.1</v>
      </c>
    </row>
    <row r="18" spans="1:12" s="2" customFormat="1" ht="15.6" x14ac:dyDescent="0.3">
      <c r="A18" s="663" t="s">
        <v>181</v>
      </c>
      <c r="B18" s="664"/>
      <c r="C18" s="11" t="s">
        <v>152</v>
      </c>
      <c r="D18" s="26">
        <f>Mulanje!G18+Mulanje!H18+Mulanje!I18</f>
        <v>333</v>
      </c>
      <c r="E18" s="26">
        <f>Luchenza!G18+Luchenza!H18+Luchenza!I18</f>
        <v>0</v>
      </c>
      <c r="F18" s="26">
        <f>Thyolo!G18+Thyolo!H18+Thyolo!I18</f>
        <v>0</v>
      </c>
      <c r="G18" s="26">
        <f>Muloza!G18+Muloza!H18+Muloza!I18</f>
        <v>0</v>
      </c>
      <c r="H18" s="26">
        <f>MUST!G18+MUST!H18+MUST!I18</f>
        <v>0</v>
      </c>
      <c r="I18" s="26">
        <f>Phalombe!G18+Phalombe!H18+Phalombe!I18</f>
        <v>0</v>
      </c>
      <c r="J18" s="26">
        <f>Mikolongwe!G18+Mikolongwe!H18+Mikolongwe!I18</f>
        <v>0</v>
      </c>
      <c r="K18" s="26">
        <f>Migowi!G18+Migowi!H18+Migowi!I18</f>
        <v>0</v>
      </c>
      <c r="L18" s="55">
        <f>SUM(D18:K18)</f>
        <v>333</v>
      </c>
    </row>
    <row r="19" spans="1:12" s="2" customFormat="1" ht="15.6" x14ac:dyDescent="0.3">
      <c r="A19" s="663" t="s">
        <v>182</v>
      </c>
      <c r="B19" s="664"/>
      <c r="C19" s="11" t="s">
        <v>152</v>
      </c>
      <c r="D19" s="26">
        <f>Mulanje!G19+Mulanje!H19+Mulanje!I19</f>
        <v>14591</v>
      </c>
      <c r="E19" s="26">
        <f>Luchenza!G19+Luchenza!H19+Luchenza!I19</f>
        <v>3015</v>
      </c>
      <c r="F19" s="26">
        <f>Thyolo!G19+Thyolo!H19+Thyolo!I19</f>
        <v>3109</v>
      </c>
      <c r="G19" s="26">
        <f>Muloza!G19+Muloza!H19+Muloza!I19</f>
        <v>464</v>
      </c>
      <c r="H19" s="26">
        <f>MUST!G19+MUST!H19+MUST!I19</f>
        <v>22328</v>
      </c>
      <c r="I19" s="26">
        <f>Phalombe!G19+Phalombe!H19+Phalombe!I19</f>
        <v>1218</v>
      </c>
      <c r="J19" s="26">
        <f>Mikolongwe!G19+Mikolongwe!H19+Mikolongwe!I19</f>
        <v>1038</v>
      </c>
      <c r="K19" s="26">
        <f>Migowi!G19+Migowi!H19+Migowi!I19</f>
        <v>5820</v>
      </c>
      <c r="L19" s="55">
        <f>SUM(D19:K19)</f>
        <v>51583</v>
      </c>
    </row>
    <row r="20" spans="1:12" s="2" customFormat="1" ht="15.6" x14ac:dyDescent="0.3">
      <c r="A20" s="661" t="s">
        <v>183</v>
      </c>
      <c r="B20" s="662"/>
      <c r="C20" s="11" t="s">
        <v>152</v>
      </c>
      <c r="D20" s="26">
        <f>Mulanje!G20+Mulanje!H20+Mulanje!I20</f>
        <v>3213</v>
      </c>
      <c r="E20" s="26">
        <f>Luchenza!G20+Luchenza!H20+Luchenza!I20</f>
        <v>900</v>
      </c>
      <c r="F20" s="26">
        <f>Thyolo!G20+Thyolo!H20+Thyolo!I20</f>
        <v>895</v>
      </c>
      <c r="G20" s="26">
        <f>Muloza!G20+Muloza!H20+Muloza!I20</f>
        <v>696</v>
      </c>
      <c r="H20" s="26">
        <f>MUST!G20+MUST!H20+MUST!I20</f>
        <v>2195</v>
      </c>
      <c r="I20" s="26">
        <f>Phalombe!G20+Phalombe!H20+Phalombe!I20</f>
        <v>141.6</v>
      </c>
      <c r="J20" s="26">
        <f>Mikolongwe!G20+Mikolongwe!H20+Mikolongwe!I20</f>
        <v>0</v>
      </c>
      <c r="K20" s="26">
        <f>Migowi!G20+Migowi!H20+Migowi!I20</f>
        <v>0</v>
      </c>
      <c r="L20" s="55">
        <f>SUM(D20:K20)</f>
        <v>8040.6</v>
      </c>
    </row>
    <row r="21" spans="1:12" s="73" customFormat="1" ht="15.6" x14ac:dyDescent="0.3">
      <c r="A21" s="676" t="s">
        <v>184</v>
      </c>
      <c r="B21" s="677"/>
      <c r="C21" s="62" t="s">
        <v>152</v>
      </c>
      <c r="D21" s="34">
        <f>SUM(D17:D20)</f>
        <v>31259.1</v>
      </c>
      <c r="E21" s="34">
        <f t="shared" ref="E21:L21" si="1">SUM(E17:E20)</f>
        <v>6689</v>
      </c>
      <c r="F21" s="34">
        <f t="shared" si="1"/>
        <v>8711</v>
      </c>
      <c r="G21" s="34">
        <f t="shared" si="1"/>
        <v>3724</v>
      </c>
      <c r="H21" s="34">
        <f t="shared" si="1"/>
        <v>25452</v>
      </c>
      <c r="I21" s="34">
        <f t="shared" si="1"/>
        <v>4366</v>
      </c>
      <c r="J21" s="34">
        <f t="shared" si="1"/>
        <v>1195</v>
      </c>
      <c r="K21" s="34">
        <f t="shared" si="1"/>
        <v>8589.6</v>
      </c>
      <c r="L21" s="55">
        <f t="shared" si="1"/>
        <v>89985.700000000012</v>
      </c>
    </row>
    <row r="22" spans="1:12" s="2" customFormat="1" ht="15.6" x14ac:dyDescent="0.3">
      <c r="A22" s="75" t="s">
        <v>185</v>
      </c>
      <c r="B22" s="79"/>
      <c r="C22" s="11" t="s">
        <v>152</v>
      </c>
      <c r="D22" s="34">
        <f>D21+D15</f>
        <v>97576.1</v>
      </c>
      <c r="E22" s="34">
        <f t="shared" ref="E22:L22" si="2">E21+E15</f>
        <v>38557</v>
      </c>
      <c r="F22" s="34">
        <f t="shared" si="2"/>
        <v>34639</v>
      </c>
      <c r="G22" s="34">
        <f t="shared" si="2"/>
        <v>17008</v>
      </c>
      <c r="H22" s="34">
        <f t="shared" si="2"/>
        <v>46398</v>
      </c>
      <c r="I22" s="34">
        <f t="shared" si="2"/>
        <v>20253</v>
      </c>
      <c r="J22" s="34">
        <f t="shared" si="2"/>
        <v>1513</v>
      </c>
      <c r="K22" s="34">
        <f t="shared" si="2"/>
        <v>8589.6</v>
      </c>
      <c r="L22" s="55">
        <f t="shared" si="2"/>
        <v>264533.7</v>
      </c>
    </row>
    <row r="23" spans="1:12" x14ac:dyDescent="0.3">
      <c r="A23" s="649" t="s">
        <v>215</v>
      </c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1"/>
    </row>
    <row r="24" spans="1:12" ht="15.6" x14ac:dyDescent="0.3">
      <c r="A24" s="715" t="s">
        <v>179</v>
      </c>
      <c r="B24" s="37" t="s">
        <v>153</v>
      </c>
      <c r="C24" s="5" t="s">
        <v>152</v>
      </c>
      <c r="D24" s="54">
        <f>D9-D22</f>
        <v>37659.899999999994</v>
      </c>
      <c r="E24" s="54">
        <f t="shared" ref="E24:L24" si="3">E9-E22</f>
        <v>13362</v>
      </c>
      <c r="F24" s="54">
        <f t="shared" si="3"/>
        <v>32671</v>
      </c>
      <c r="G24" s="54">
        <f t="shared" si="3"/>
        <v>6085</v>
      </c>
      <c r="H24" s="54">
        <f t="shared" si="3"/>
        <v>7441</v>
      </c>
      <c r="I24" s="54">
        <f t="shared" si="3"/>
        <v>11005</v>
      </c>
      <c r="J24" s="54">
        <f t="shared" si="3"/>
        <v>508</v>
      </c>
      <c r="K24" s="54">
        <f t="shared" si="3"/>
        <v>1524.3999999999996</v>
      </c>
      <c r="L24" s="613">
        <f t="shared" si="3"/>
        <v>110256.29999999999</v>
      </c>
    </row>
    <row r="25" spans="1:12" ht="15.6" x14ac:dyDescent="0.3">
      <c r="A25" s="716"/>
      <c r="B25" s="53" t="s">
        <v>151</v>
      </c>
      <c r="C25" s="52" t="s">
        <v>6</v>
      </c>
      <c r="D25" s="51">
        <f t="shared" ref="D25:L25" si="4">D24/D9</f>
        <v>0.27847540595699366</v>
      </c>
      <c r="E25" s="51">
        <f t="shared" si="4"/>
        <v>0.25736242993894337</v>
      </c>
      <c r="F25" s="51">
        <f t="shared" si="4"/>
        <v>0.48538107264893776</v>
      </c>
      <c r="G25" s="51">
        <f t="shared" si="4"/>
        <v>0.26349976183258994</v>
      </c>
      <c r="H25" s="51">
        <f t="shared" si="4"/>
        <v>0.13820836196809005</v>
      </c>
      <c r="I25" s="51">
        <f t="shared" si="4"/>
        <v>0.35206987011325103</v>
      </c>
      <c r="J25" s="51">
        <f t="shared" si="4"/>
        <v>0.25136071251855518</v>
      </c>
      <c r="K25" s="51">
        <f t="shared" si="4"/>
        <v>0.15072177180146329</v>
      </c>
      <c r="L25" s="32">
        <f t="shared" si="4"/>
        <v>0.29418154166333144</v>
      </c>
    </row>
    <row r="26" spans="1:12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1"/>
    </row>
    <row r="27" spans="1:12" x14ac:dyDescent="0.3">
      <c r="A27" s="738" t="s">
        <v>149</v>
      </c>
      <c r="B27" s="739"/>
      <c r="C27" s="739"/>
      <c r="D27" s="739"/>
      <c r="E27" s="739"/>
      <c r="F27" s="739"/>
      <c r="G27" s="739"/>
      <c r="H27" s="739"/>
      <c r="I27" s="739"/>
      <c r="J27" s="739"/>
      <c r="K27" s="739"/>
      <c r="L27" s="740"/>
    </row>
    <row r="28" spans="1:12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614"/>
    </row>
    <row r="29" spans="1:12" ht="15.6" x14ac:dyDescent="0.3">
      <c r="A29" s="710" t="s">
        <v>146</v>
      </c>
      <c r="B29" s="642">
        <v>5111.67</v>
      </c>
      <c r="C29" s="5" t="s">
        <v>140</v>
      </c>
      <c r="D29" s="26">
        <f>Mulanje!G29+Mulanje!H29+Mulanje!I29</f>
        <v>279</v>
      </c>
      <c r="E29" s="26">
        <f>Luchenza!G29+Luchenza!H29+Luchenza!I29</f>
        <v>123</v>
      </c>
      <c r="F29" s="26">
        <f>Thyolo!G29+Thyolo!H29+Thyolo!I29</f>
        <v>288</v>
      </c>
      <c r="G29" s="26">
        <f>Muloza!G29+Muloza!H29+Muloza!I29</f>
        <v>31</v>
      </c>
      <c r="H29" s="26">
        <f>MUST!G29+MUST!H29+MUST!I29</f>
        <v>47</v>
      </c>
      <c r="I29" s="26">
        <f>Phalombe!G29+Phalombe!H29+Phalombe!I29</f>
        <v>79</v>
      </c>
      <c r="J29" s="26">
        <f>Mikolongwe!G29+Mikolongwe!H29+Mikolongwe!I29</f>
        <v>8</v>
      </c>
      <c r="K29" s="26">
        <f>Migowi!G29+Migowi!H29+Migowi!I29</f>
        <v>12</v>
      </c>
      <c r="L29" s="32">
        <f>SUM(D29:K29)</f>
        <v>867</v>
      </c>
    </row>
    <row r="30" spans="1:12" ht="15.6" x14ac:dyDescent="0.3">
      <c r="A30" s="711"/>
      <c r="B30" s="642"/>
      <c r="C30" s="42" t="s">
        <v>139</v>
      </c>
      <c r="D30" s="15">
        <f t="shared" ref="D30:L30" si="5">D29/(D9/1000)</f>
        <v>2.063060131917537</v>
      </c>
      <c r="E30" s="15">
        <f t="shared" si="5"/>
        <v>2.3690749051407001</v>
      </c>
      <c r="F30" s="15">
        <f t="shared" si="5"/>
        <v>4.278710444213341</v>
      </c>
      <c r="G30" s="15">
        <f t="shared" si="5"/>
        <v>1.3423981293032521</v>
      </c>
      <c r="H30" s="15">
        <f t="shared" si="5"/>
        <v>0.87297312357213175</v>
      </c>
      <c r="I30" s="15">
        <f t="shared" si="5"/>
        <v>2.5273529976326063</v>
      </c>
      <c r="J30" s="15">
        <f t="shared" si="5"/>
        <v>3.9584364176150424</v>
      </c>
      <c r="K30" s="15">
        <f t="shared" si="5"/>
        <v>1.1864741941862764</v>
      </c>
      <c r="L30" s="105">
        <f t="shared" si="5"/>
        <v>2.3132954454494516</v>
      </c>
    </row>
    <row r="31" spans="1:12" ht="15.6" x14ac:dyDescent="0.3">
      <c r="A31" s="673" t="s">
        <v>145</v>
      </c>
      <c r="B31" s="642">
        <v>1537</v>
      </c>
      <c r="C31" s="5" t="s">
        <v>140</v>
      </c>
      <c r="D31" s="26">
        <f>Mulanje!G31+Mulanje!H31+Mulanje!I31</f>
        <v>0</v>
      </c>
      <c r="E31" s="26">
        <f>Luchenza!G31+Luchenza!H31+Luchenza!I31</f>
        <v>0</v>
      </c>
      <c r="F31" s="26">
        <f>Thyolo!G31+Thyolo!H31+Thyolo!I31</f>
        <v>0</v>
      </c>
      <c r="G31" s="26">
        <f>Muloza!G31+Muloza!H31+Muloza!I31</f>
        <v>0</v>
      </c>
      <c r="H31" s="26">
        <f>MUST!G31+MUST!H31+MUST!I31</f>
        <v>0</v>
      </c>
      <c r="I31" s="26">
        <f>Phalombe!G31+Phalombe!H31+Phalombe!I31</f>
        <v>0</v>
      </c>
      <c r="J31" s="26">
        <f>Mikolongwe!G31+Mikolongwe!H31+Mikolongwe!I31</f>
        <v>0</v>
      </c>
      <c r="K31" s="26">
        <f>Migowi!G31+Migowi!H31+Migowi!I31</f>
        <v>0</v>
      </c>
      <c r="L31" s="32">
        <f>SUM(D31:K31)</f>
        <v>0</v>
      </c>
    </row>
    <row r="32" spans="1:12" ht="15.6" x14ac:dyDescent="0.3">
      <c r="A32" s="675"/>
      <c r="B32" s="642"/>
      <c r="C32" s="42" t="s">
        <v>139</v>
      </c>
      <c r="D32" s="15">
        <f t="shared" ref="D32:L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05">
        <f t="shared" si="6"/>
        <v>0</v>
      </c>
    </row>
    <row r="33" spans="1:12" ht="15.6" x14ac:dyDescent="0.3">
      <c r="A33" s="673" t="s">
        <v>144</v>
      </c>
      <c r="B33" s="642">
        <v>1781.02</v>
      </c>
      <c r="C33" s="5" t="s">
        <v>140</v>
      </c>
      <c r="D33" s="26">
        <f>Mulanje!G33+Mulanje!H33+Mulanje!I33</f>
        <v>0</v>
      </c>
      <c r="E33" s="26">
        <f>Luchenza!G33+Luchenza!H33+Luchenza!I33</f>
        <v>0</v>
      </c>
      <c r="F33" s="26">
        <f>Thyolo!G33+Thyolo!H33+Thyolo!I33</f>
        <v>0</v>
      </c>
      <c r="G33" s="26">
        <f>Muloza!G33+Muloza!H33+Muloza!I33</f>
        <v>0</v>
      </c>
      <c r="H33" s="26">
        <f>MUST!G33+MUST!H33+MUST!I33</f>
        <v>0</v>
      </c>
      <c r="I33" s="26">
        <f>Phalombe!G33+Phalombe!H33+Phalombe!I33</f>
        <v>0</v>
      </c>
      <c r="J33" s="26">
        <f>Mikolongwe!G33+Mikolongwe!H33+Mikolongwe!I33</f>
        <v>0</v>
      </c>
      <c r="K33" s="26">
        <f>Migowi!G33+Migowi!H33+Migowi!I33</f>
        <v>0</v>
      </c>
      <c r="L33" s="32">
        <f>SUM(D33:K33)</f>
        <v>0</v>
      </c>
    </row>
    <row r="34" spans="1:12" ht="15.6" x14ac:dyDescent="0.3">
      <c r="A34" s="675"/>
      <c r="B34" s="642"/>
      <c r="C34" s="42" t="s">
        <v>139</v>
      </c>
      <c r="D34" s="15">
        <f t="shared" ref="D34:L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05">
        <f t="shared" si="7"/>
        <v>0</v>
      </c>
    </row>
    <row r="35" spans="1:12" ht="15.6" x14ac:dyDescent="0.3">
      <c r="A35" s="673" t="s">
        <v>143</v>
      </c>
      <c r="B35" s="642">
        <v>5979.95</v>
      </c>
      <c r="C35" s="5" t="s">
        <v>126</v>
      </c>
      <c r="D35" s="26">
        <f>Mulanje!G35+Mulanje!H35+Mulanje!I35</f>
        <v>0</v>
      </c>
      <c r="E35" s="26">
        <f>Luchenza!G35+Luchenza!H35+Luchenza!I35</f>
        <v>0</v>
      </c>
      <c r="F35" s="26">
        <f>Thyolo!G35+Thyolo!H35+Thyolo!I35</f>
        <v>235</v>
      </c>
      <c r="G35" s="26">
        <f>Muloza!G35+Muloza!H35+Muloza!I35</f>
        <v>0</v>
      </c>
      <c r="H35" s="26">
        <f>MUST!G35+MUST!H35+MUST!I35</f>
        <v>0</v>
      </c>
      <c r="I35" s="26">
        <f>Phalombe!G35+Phalombe!H35+Phalombe!I35</f>
        <v>0</v>
      </c>
      <c r="J35" s="26">
        <f>Mikolongwe!G35+Mikolongwe!H35+Mikolongwe!I35</f>
        <v>0</v>
      </c>
      <c r="K35" s="26">
        <f>Migowi!G35+Migowi!H35+Migowi!I35</f>
        <v>0</v>
      </c>
      <c r="L35" s="105">
        <f>SUM(D35:K35)</f>
        <v>235</v>
      </c>
    </row>
    <row r="36" spans="1:12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05">
        <f t="shared" si="7"/>
        <v>1.7116552799102653</v>
      </c>
    </row>
    <row r="37" spans="1:12" ht="15.6" x14ac:dyDescent="0.3">
      <c r="A37" s="673" t="s">
        <v>186</v>
      </c>
      <c r="B37" s="642">
        <v>5403.75</v>
      </c>
      <c r="C37" s="5" t="s">
        <v>126</v>
      </c>
      <c r="D37" s="26">
        <f>Mulanje!G37+Mulanje!H37+Mulanje!I37</f>
        <v>0</v>
      </c>
      <c r="E37" s="26">
        <f>Luchenza!G37+Luchenza!H37+Luchenza!I37</f>
        <v>0</v>
      </c>
      <c r="F37" s="26">
        <f>Thyolo!G37+Thyolo!H37+Thyolo!I37</f>
        <v>0</v>
      </c>
      <c r="G37" s="26">
        <f>Muloza!G37+Muloza!H37+Muloza!I37</f>
        <v>0</v>
      </c>
      <c r="H37" s="26">
        <f>MUST!G37+MUST!H37+MUST!I37</f>
        <v>0</v>
      </c>
      <c r="I37" s="26">
        <f>Phalombe!G37+Phalombe!H37+Phalombe!I37</f>
        <v>0</v>
      </c>
      <c r="J37" s="26">
        <f>Mikolongwe!G37+Mikolongwe!H37+Mikolongwe!I37</f>
        <v>0</v>
      </c>
      <c r="K37" s="26">
        <f>Migowi!G37+Migowi!H37+Migowi!I37</f>
        <v>0</v>
      </c>
      <c r="L37" s="32">
        <f>SUM(D37:K37)</f>
        <v>0</v>
      </c>
    </row>
    <row r="38" spans="1:12" ht="15.6" x14ac:dyDescent="0.3">
      <c r="A38" s="675"/>
      <c r="B38" s="642"/>
      <c r="C38" s="5" t="s">
        <v>142</v>
      </c>
      <c r="D38" s="15">
        <f t="shared" ref="D38:K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05">
        <f t="shared" si="7"/>
        <v>0</v>
      </c>
    </row>
    <row r="39" spans="1:12" ht="15.6" x14ac:dyDescent="0.3">
      <c r="A39" s="673" t="s">
        <v>141</v>
      </c>
      <c r="B39" s="642">
        <v>1950</v>
      </c>
      <c r="C39" s="5" t="s">
        <v>140</v>
      </c>
      <c r="D39" s="26">
        <f>Mulanje!G39+Mulanje!H39+Mulanje!I39</f>
        <v>0</v>
      </c>
      <c r="E39" s="26">
        <f>Luchenza!G39+Luchenza!H39+Luchenza!I39</f>
        <v>0</v>
      </c>
      <c r="F39" s="26">
        <f>Thyolo!G39+Thyolo!H39+Thyolo!I39</f>
        <v>0</v>
      </c>
      <c r="G39" s="26">
        <f>Muloza!G39+Muloza!H39+Muloza!I39</f>
        <v>0</v>
      </c>
      <c r="H39" s="26">
        <f>MUST!G39+MUST!H39+MUST!I39</f>
        <v>0</v>
      </c>
      <c r="I39" s="26">
        <f>Phalombe!G39+Phalombe!H39+Phalombe!I39</f>
        <v>0</v>
      </c>
      <c r="J39" s="26">
        <f>Mikolongwe!G39+Mikolongwe!H39+Mikolongwe!I39</f>
        <v>0</v>
      </c>
      <c r="K39" s="26">
        <f>Migowi!G39+Migowi!H39+Migowi!I39</f>
        <v>0</v>
      </c>
      <c r="L39" s="32">
        <f>SUM(D39:K39)</f>
        <v>0</v>
      </c>
    </row>
    <row r="40" spans="1:12" ht="15.6" x14ac:dyDescent="0.3">
      <c r="A40" s="675"/>
      <c r="B40" s="642"/>
      <c r="C40" s="42" t="s">
        <v>139</v>
      </c>
      <c r="D40" s="15">
        <f t="shared" ref="D40:L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05">
        <f t="shared" si="9"/>
        <v>0</v>
      </c>
    </row>
    <row r="41" spans="1:12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1426155.93</v>
      </c>
      <c r="E41" s="41">
        <f t="shared" ref="E41:K41" si="10">(E29*$B29)+(E31*$B31)+(E33*$B33)+(E35*$B35)+(E37*$B37)+(E39*$B39)</f>
        <v>628735.41</v>
      </c>
      <c r="F41" s="41">
        <f t="shared" si="10"/>
        <v>2877449.21</v>
      </c>
      <c r="G41" s="41">
        <f t="shared" si="10"/>
        <v>158461.76999999999</v>
      </c>
      <c r="H41" s="41">
        <f t="shared" si="10"/>
        <v>240248.49</v>
      </c>
      <c r="I41" s="41">
        <f t="shared" si="10"/>
        <v>403821.93</v>
      </c>
      <c r="J41" s="41">
        <f t="shared" si="10"/>
        <v>40893.360000000001</v>
      </c>
      <c r="K41" s="41">
        <f t="shared" si="10"/>
        <v>61340.04</v>
      </c>
      <c r="L41" s="55">
        <f>SUM(D41:K41)</f>
        <v>5837106.1399999997</v>
      </c>
    </row>
    <row r="42" spans="1:12" ht="15.6" x14ac:dyDescent="0.3">
      <c r="A42" s="708" t="s">
        <v>137</v>
      </c>
      <c r="B42" s="709"/>
      <c r="C42" s="42" t="s">
        <v>115</v>
      </c>
      <c r="D42" s="15">
        <f t="shared" ref="D42:L42" si="11">D41/D9</f>
        <v>10.545682584518914</v>
      </c>
      <c r="E42" s="15">
        <f t="shared" si="11"/>
        <v>12.109929120360562</v>
      </c>
      <c r="F42" s="15">
        <f t="shared" si="11"/>
        <v>42.749208290001484</v>
      </c>
      <c r="G42" s="15">
        <f t="shared" si="11"/>
        <v>6.8618962456155543</v>
      </c>
      <c r="H42" s="15">
        <f t="shared" si="11"/>
        <v>4.4623505265699581</v>
      </c>
      <c r="I42" s="15">
        <f t="shared" si="11"/>
        <v>12.918994497408663</v>
      </c>
      <c r="J42" s="15">
        <f t="shared" si="11"/>
        <v>20.234220682830284</v>
      </c>
      <c r="K42" s="15">
        <f t="shared" si="11"/>
        <v>6.0648645441961637</v>
      </c>
      <c r="L42" s="613">
        <f t="shared" si="11"/>
        <v>15.574338002614796</v>
      </c>
    </row>
    <row r="43" spans="1:12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7"/>
    </row>
    <row r="44" spans="1:12" ht="15.6" x14ac:dyDescent="0.3">
      <c r="A44" s="661" t="s">
        <v>135</v>
      </c>
      <c r="B44" s="662"/>
      <c r="C44" s="11" t="s">
        <v>134</v>
      </c>
      <c r="D44" s="26">
        <f>Mulanje!G44+Mulanje!H44+Mulanje!I44</f>
        <v>86</v>
      </c>
      <c r="E44" s="26">
        <f>Luchenza!G44+Luchenza!H44+Luchenza!I44</f>
        <v>22676</v>
      </c>
      <c r="F44" s="26">
        <f>Thyolo!G44+Thyolo!H44+Thyolo!I44</f>
        <v>16509</v>
      </c>
      <c r="G44" s="26">
        <f>Muloza!G44+Muloza!H44+Muloza!I44</f>
        <v>24827</v>
      </c>
      <c r="H44" s="26">
        <f>MUST!G44+MUST!H44+MUST!I44</f>
        <v>18285</v>
      </c>
      <c r="I44" s="26">
        <f>Phalombe!G44+Phalombe!H44+Phalombe!I44</f>
        <v>0</v>
      </c>
      <c r="J44" s="26">
        <f>Mikolongwe!G44+Mikolongwe!H44+Mikolongwe!I44</f>
        <v>953</v>
      </c>
      <c r="K44" s="26">
        <f>Migowi!G44+Migowi!H44+Migowi!I44</f>
        <v>5034</v>
      </c>
      <c r="L44" s="55">
        <f>SUM(D44:K44)</f>
        <v>88370</v>
      </c>
    </row>
    <row r="45" spans="1:12" ht="15.6" x14ac:dyDescent="0.3">
      <c r="A45" s="708" t="s">
        <v>133</v>
      </c>
      <c r="B45" s="709"/>
      <c r="C45" s="42" t="s">
        <v>132</v>
      </c>
      <c r="D45" s="15">
        <f t="shared" ref="D45:L45" si="12">D44/D9</f>
        <v>6.3592534532225145E-4</v>
      </c>
      <c r="E45" s="15">
        <f t="shared" si="12"/>
        <v>0.43675725649569525</v>
      </c>
      <c r="F45" s="15">
        <f t="shared" si="12"/>
        <v>0.24526816223443768</v>
      </c>
      <c r="G45" s="15">
        <f t="shared" si="12"/>
        <v>1.0750876889100593</v>
      </c>
      <c r="H45" s="15">
        <f t="shared" si="12"/>
        <v>0.33962369286205168</v>
      </c>
      <c r="I45" s="15">
        <f t="shared" si="12"/>
        <v>0</v>
      </c>
      <c r="J45" s="15">
        <f t="shared" si="12"/>
        <v>0.47154873824839189</v>
      </c>
      <c r="K45" s="15">
        <f t="shared" si="12"/>
        <v>0.49772592446114294</v>
      </c>
      <c r="L45" s="105">
        <f t="shared" si="12"/>
        <v>0.23578537314229303</v>
      </c>
    </row>
    <row r="46" spans="1:12" ht="15.6" x14ac:dyDescent="0.3">
      <c r="A46" s="643" t="s">
        <v>131</v>
      </c>
      <c r="B46" s="644"/>
      <c r="C46" s="5" t="s">
        <v>31</v>
      </c>
      <c r="D46" s="26">
        <f>Mulanje!G46+Mulanje!H46+Mulanje!I46</f>
        <v>10571.12</v>
      </c>
      <c r="E46" s="26">
        <f>Luchenza!G46+Luchenza!H46+Luchenza!I46</f>
        <v>3064387.8075000001</v>
      </c>
      <c r="F46" s="26">
        <f>Thyolo!G46+Thyolo!H46+Thyolo!I46</f>
        <v>2339928.0134999999</v>
      </c>
      <c r="G46" s="26">
        <f>Muloza!G46+Muloza!H46+Muloza!I46</f>
        <v>3494062.9905000003</v>
      </c>
      <c r="H46" s="26">
        <f>MUST!G46+MUST!H46+MUST!I46</f>
        <v>2586350.6775000002</v>
      </c>
      <c r="I46" s="26">
        <f>Phalombe!G46+Phalombe!H46+Phalombe!I46</f>
        <v>16426.5</v>
      </c>
      <c r="J46" s="26">
        <f>Mikolongwe!G46+Mikolongwe!H46+Mikolongwe!I46</f>
        <v>181509.6795</v>
      </c>
      <c r="K46" s="26">
        <f>Migowi!G46+Migowi!H46+Migowi!I46</f>
        <v>618779.28</v>
      </c>
      <c r="L46" s="55">
        <f>SUM(D46:K46)</f>
        <v>12312016.068499999</v>
      </c>
    </row>
    <row r="47" spans="1:12" s="2" customFormat="1" ht="15.6" x14ac:dyDescent="0.3">
      <c r="A47" s="661" t="s">
        <v>130</v>
      </c>
      <c r="B47" s="662"/>
      <c r="C47" s="11" t="s">
        <v>115</v>
      </c>
      <c r="D47" s="15">
        <f t="shared" ref="D47:L47" si="13">D46/D9</f>
        <v>7.8167943447011154E-2</v>
      </c>
      <c r="E47" s="15">
        <f t="shared" si="13"/>
        <v>59.022473612742928</v>
      </c>
      <c r="F47" s="15">
        <f t="shared" si="13"/>
        <v>34.763452882186897</v>
      </c>
      <c r="G47" s="15">
        <f t="shared" si="13"/>
        <v>151.30398781015893</v>
      </c>
      <c r="H47" s="15">
        <f t="shared" si="13"/>
        <v>48.038609140214348</v>
      </c>
      <c r="I47" s="15">
        <f t="shared" si="13"/>
        <v>0.52551346855205072</v>
      </c>
      <c r="J47" s="15">
        <f t="shared" si="13"/>
        <v>89.81181568530431</v>
      </c>
      <c r="K47" s="15">
        <f t="shared" si="13"/>
        <v>61.180470634763694</v>
      </c>
      <c r="L47" s="105">
        <f t="shared" si="13"/>
        <v>32.850439095226655</v>
      </c>
    </row>
    <row r="48" spans="1:12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7"/>
    </row>
    <row r="49" spans="1:12" ht="15.6" x14ac:dyDescent="0.3">
      <c r="A49" s="661" t="s">
        <v>128</v>
      </c>
      <c r="B49" s="662"/>
      <c r="C49" s="5" t="s">
        <v>127</v>
      </c>
      <c r="D49" s="26">
        <f>Mulanje!G49+Mulanje!H49+Mulanje!I49</f>
        <v>6087</v>
      </c>
      <c r="E49" s="26">
        <f>Luchenza!G49+Luchenza!H49+Luchenza!I49</f>
        <v>0</v>
      </c>
      <c r="F49" s="26">
        <f>Thyolo!G49+Thyolo!H49+Thyolo!I49</f>
        <v>3865</v>
      </c>
      <c r="G49" s="26">
        <f>Muloza!G49+Muloza!H49+Muloza!I49</f>
        <v>4798</v>
      </c>
      <c r="H49" s="26">
        <f>MUST!G49+MUST!H49+MUST!I49</f>
        <v>5720</v>
      </c>
      <c r="I49" s="26">
        <f>Phalombe!G49+Phalombe!H49+Phalombe!I49</f>
        <v>0</v>
      </c>
      <c r="J49" s="26">
        <f>Mikolongwe!G49+Mikolongwe!H49+Mikolongwe!I49</f>
        <v>0</v>
      </c>
      <c r="K49" s="26">
        <f>Migowi!G49+Migowi!H49+Migowi!I49</f>
        <v>0</v>
      </c>
      <c r="L49" s="55">
        <f>SUM(D49:K49)</f>
        <v>20470</v>
      </c>
    </row>
    <row r="50" spans="1:12" ht="15.6" x14ac:dyDescent="0.3">
      <c r="A50" s="661" t="s">
        <v>187</v>
      </c>
      <c r="B50" s="662"/>
      <c r="C50" s="5" t="s">
        <v>126</v>
      </c>
      <c r="D50" s="26">
        <f>Mulanje!G50+Mulanje!H50+Mulanje!I50</f>
        <v>495</v>
      </c>
      <c r="E50" s="26">
        <f>Luchenza!G50+Luchenza!H50+Luchenza!I50</f>
        <v>0</v>
      </c>
      <c r="F50" s="26">
        <f>Thyolo!G50+Thyolo!H50+Thyolo!I50</f>
        <v>431</v>
      </c>
      <c r="G50" s="26">
        <f>Muloza!G50+Muloza!H50+Muloza!I50</f>
        <v>441.07</v>
      </c>
      <c r="H50" s="26">
        <f>MUST!G50+MUST!H50+MUST!I50</f>
        <v>363</v>
      </c>
      <c r="I50" s="26">
        <f>Phalombe!G50+Phalombe!H50+Phalombe!I50</f>
        <v>0</v>
      </c>
      <c r="J50" s="26">
        <f>Mikolongwe!G50+Mikolongwe!H50+Mikolongwe!I50</f>
        <v>0</v>
      </c>
      <c r="K50" s="26">
        <f>Migowi!G50+Migowi!H50+Migowi!I50</f>
        <v>0</v>
      </c>
      <c r="L50" s="55">
        <f>SUM(D50:K50)</f>
        <v>1730.07</v>
      </c>
    </row>
    <row r="51" spans="1:12" ht="15.6" x14ac:dyDescent="0.3">
      <c r="A51" s="643" t="s">
        <v>125</v>
      </c>
      <c r="B51" s="644"/>
      <c r="C51" s="5" t="s">
        <v>31</v>
      </c>
      <c r="D51" s="26">
        <f>Mulanje!G51+Mulanje!H51+Mulanje!I51</f>
        <v>949747.19999999995</v>
      </c>
      <c r="E51" s="26">
        <f>Luchenza!G51+Luchenza!H51+Luchenza!I51</f>
        <v>0</v>
      </c>
      <c r="F51" s="26">
        <f>Thyolo!G51+Thyolo!H51+Thyolo!I51</f>
        <v>827520</v>
      </c>
      <c r="G51" s="26">
        <f>Muloza!G51+Muloza!H51+Muloza!I51</f>
        <v>846105.59999999998</v>
      </c>
      <c r="H51" s="26">
        <f>MUST!G51+MUST!H51+MUST!I51</f>
        <v>705000</v>
      </c>
      <c r="I51" s="26">
        <f>Phalombe!G51+Phalombe!H51+Phalombe!I51</f>
        <v>0</v>
      </c>
      <c r="J51" s="26">
        <f>Mikolongwe!G51+Mikolongwe!H51+Mikolongwe!I51</f>
        <v>0</v>
      </c>
      <c r="K51" s="26">
        <f>Migowi!G51+Migowi!H51+Migowi!I51</f>
        <v>0</v>
      </c>
      <c r="L51" s="55">
        <f>SUM(D51:K51)</f>
        <v>3328372.8</v>
      </c>
    </row>
    <row r="52" spans="1:12" ht="15.6" x14ac:dyDescent="0.3">
      <c r="A52" s="661" t="s">
        <v>124</v>
      </c>
      <c r="B52" s="662"/>
      <c r="C52" s="5" t="s">
        <v>31</v>
      </c>
      <c r="D52" s="26">
        <f>Mulanje!G52+Mulanje!H52+Mulanje!I52</f>
        <v>0</v>
      </c>
      <c r="E52" s="26">
        <f>Luchenza!G52+Luchenza!H52+Luchenza!I52</f>
        <v>0</v>
      </c>
      <c r="F52" s="26">
        <f>Thyolo!G52+Thyolo!H52+Thyolo!I52</f>
        <v>526075</v>
      </c>
      <c r="G52" s="26">
        <f>Muloza!G52+Muloza!H52+Muloza!I52</f>
        <v>0</v>
      </c>
      <c r="H52" s="26">
        <f>MUST!G52+MUST!H52+MUST!I52</f>
        <v>0</v>
      </c>
      <c r="I52" s="26">
        <f>Phalombe!G52+Phalombe!H52+Phalombe!I52</f>
        <v>0</v>
      </c>
      <c r="J52" s="26">
        <f>Mikolongwe!G52+Mikolongwe!H52+Mikolongwe!I52</f>
        <v>0</v>
      </c>
      <c r="K52" s="26">
        <f>Migowi!G52+Migowi!H52+Migowi!I52</f>
        <v>0</v>
      </c>
      <c r="L52" s="55">
        <f>SUM(D52:K52)</f>
        <v>526075</v>
      </c>
    </row>
    <row r="53" spans="1:12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7"/>
    </row>
    <row r="54" spans="1:12" ht="15.6" x14ac:dyDescent="0.3">
      <c r="A54" s="661" t="s">
        <v>122</v>
      </c>
      <c r="B54" s="662"/>
      <c r="C54" s="11" t="s">
        <v>18</v>
      </c>
      <c r="D54" s="26">
        <f>Mulanje!G54+Mulanje!H54+Mulanje!I54</f>
        <v>13052449.049999999</v>
      </c>
      <c r="E54" s="26">
        <f>Luchenza!G54+Luchenza!H54+Luchenza!I54</f>
        <v>10840047.522</v>
      </c>
      <c r="F54" s="26">
        <f>Thyolo!G54+Thyolo!H54+Thyolo!I54</f>
        <v>12977551.899999999</v>
      </c>
      <c r="G54" s="26">
        <f>Muloza!G54+Muloza!H54+Muloza!I54</f>
        <v>7282084.5839999989</v>
      </c>
      <c r="H54" s="26">
        <f>MUST!G54+MUST!H54+MUST!I54</f>
        <v>5198170.9560000002</v>
      </c>
      <c r="I54" s="26">
        <f>Phalombe!G54+Phalombe!H54+Phalombe!I54</f>
        <v>5500970.4179999996</v>
      </c>
      <c r="J54" s="26">
        <f>Mikolongwe!G54+Mikolongwe!H54+Mikolongwe!I54</f>
        <v>0</v>
      </c>
      <c r="K54" s="26">
        <f>Migowi!G54+Migowi!H54+Migowi!I54</f>
        <v>0</v>
      </c>
      <c r="L54" s="55">
        <f>SUM(D54:K54)</f>
        <v>54851274.429999992</v>
      </c>
    </row>
    <row r="55" spans="1:12" ht="15.6" x14ac:dyDescent="0.3">
      <c r="A55" s="78" t="s">
        <v>121</v>
      </c>
      <c r="B55" s="79"/>
      <c r="C55" s="11" t="s">
        <v>18</v>
      </c>
      <c r="D55" s="26">
        <f>Mulanje!G55+Mulanje!H55+Mulanje!I55</f>
        <v>3655440.5999999996</v>
      </c>
      <c r="E55" s="26">
        <f>Luchenza!G55+Luchenza!H55+Luchenza!I55</f>
        <v>3676764.15</v>
      </c>
      <c r="F55" s="26">
        <f>Thyolo!G55+Thyolo!H55+Thyolo!I55</f>
        <v>3813201.48</v>
      </c>
      <c r="G55" s="26">
        <f>Muloza!G55+Muloza!H55+Muloza!I55</f>
        <v>1779211.53</v>
      </c>
      <c r="H55" s="26">
        <f>MUST!G55+MUST!H55+MUST!I55</f>
        <v>1173529.3500000001</v>
      </c>
      <c r="I55" s="26">
        <f>Phalombe!G55+Phalombe!H55+Phalombe!I55</f>
        <v>1267035.4620000001</v>
      </c>
      <c r="J55" s="26">
        <f>Mikolongwe!G55+Mikolongwe!H55+Mikolongwe!I55</f>
        <v>394851.48</v>
      </c>
      <c r="K55" s="26">
        <f>Migowi!G55+Migowi!H55+Migowi!I55</f>
        <v>309272.72666666668</v>
      </c>
      <c r="L55" s="55">
        <f>SUM(D55:K55)</f>
        <v>16069306.778666666</v>
      </c>
    </row>
    <row r="56" spans="1:12" ht="15.6" x14ac:dyDescent="0.3">
      <c r="A56" s="661" t="s">
        <v>120</v>
      </c>
      <c r="B56" s="662"/>
      <c r="C56" s="5" t="s">
        <v>18</v>
      </c>
      <c r="D56" s="26">
        <f>Mulanje!G56+Mulanje!H56+Mulanje!I56</f>
        <v>1709520</v>
      </c>
      <c r="E56" s="26">
        <f>Luchenza!G56+Luchenza!H56+Luchenza!I56</f>
        <v>1372226.165</v>
      </c>
      <c r="F56" s="26">
        <f>Thyolo!G56+Thyolo!H56+Thyolo!I56</f>
        <v>1191661.5566666666</v>
      </c>
      <c r="G56" s="26">
        <f>Muloza!G56+Muloza!H56+Muloza!I56</f>
        <v>1284290.4600000002</v>
      </c>
      <c r="H56" s="26">
        <f>MUST!G56+MUST!H56+MUST!I56</f>
        <v>192000</v>
      </c>
      <c r="I56" s="26">
        <f>Phalombe!G56+Phalombe!H56+Phalombe!I56</f>
        <v>504786.07199999999</v>
      </c>
      <c r="J56" s="26">
        <f>Mikolongwe!G56+Mikolongwe!H56+Mikolongwe!I56</f>
        <v>66666.666666666657</v>
      </c>
      <c r="K56" s="26">
        <f>Migowi!G56+Migowi!H56+Migowi!I56</f>
        <v>212391.27333333335</v>
      </c>
      <c r="L56" s="55">
        <f>SUM(D56:K56)</f>
        <v>6533542.1936666667</v>
      </c>
    </row>
    <row r="57" spans="1:12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7"/>
    </row>
    <row r="58" spans="1:12" ht="15.6" x14ac:dyDescent="0.3">
      <c r="A58" s="643" t="s">
        <v>118</v>
      </c>
      <c r="B58" s="644"/>
      <c r="C58" s="5" t="s">
        <v>18</v>
      </c>
      <c r="D58" s="13">
        <f>D41+D46+D51+D52+D54+D55+D56</f>
        <v>20803883.899999999</v>
      </c>
      <c r="E58" s="13">
        <f t="shared" ref="E58:K58" si="14">E41+E46+E51+E52+E54+E55+E56</f>
        <v>19582161.054499999</v>
      </c>
      <c r="F58" s="13">
        <f t="shared" si="14"/>
        <v>24553387.160166666</v>
      </c>
      <c r="G58" s="13">
        <f t="shared" si="14"/>
        <v>14844216.9345</v>
      </c>
      <c r="H58" s="13">
        <f t="shared" si="14"/>
        <v>10095299.4735</v>
      </c>
      <c r="I58" s="13">
        <f t="shared" si="14"/>
        <v>7693040.3819999993</v>
      </c>
      <c r="J58" s="13">
        <f t="shared" si="14"/>
        <v>683921.18616666656</v>
      </c>
      <c r="K58" s="13">
        <f t="shared" si="14"/>
        <v>1201783.32</v>
      </c>
      <c r="L58" s="55">
        <f>SUM(D58:K58)</f>
        <v>99457693.410833329</v>
      </c>
    </row>
    <row r="59" spans="1:12" ht="15.6" x14ac:dyDescent="0.3">
      <c r="A59" s="643" t="s">
        <v>117</v>
      </c>
      <c r="B59" s="644"/>
      <c r="C59" s="5" t="s">
        <v>115</v>
      </c>
      <c r="D59" s="15">
        <f t="shared" ref="D59:L59" si="15">D58/D9</f>
        <v>153.83391922269217</v>
      </c>
      <c r="E59" s="15">
        <f t="shared" si="15"/>
        <v>377.16753124097147</v>
      </c>
      <c r="F59" s="15">
        <f t="shared" si="15"/>
        <v>364.78067389937104</v>
      </c>
      <c r="G59" s="15">
        <f t="shared" si="15"/>
        <v>642.80158205949851</v>
      </c>
      <c r="H59" s="15">
        <f t="shared" si="15"/>
        <v>187.50904499526365</v>
      </c>
      <c r="I59" s="15">
        <f t="shared" si="15"/>
        <v>246.11428696653655</v>
      </c>
      <c r="J59" s="15">
        <f t="shared" si="15"/>
        <v>338.40731626257622</v>
      </c>
      <c r="K59" s="15">
        <f t="shared" si="15"/>
        <v>118.82374134862567</v>
      </c>
      <c r="L59" s="55">
        <f t="shared" si="15"/>
        <v>265.36912247080585</v>
      </c>
    </row>
    <row r="60" spans="1:12" ht="15.6" x14ac:dyDescent="0.3">
      <c r="A60" s="643" t="s">
        <v>116</v>
      </c>
      <c r="B60" s="644"/>
      <c r="C60" s="5" t="s">
        <v>115</v>
      </c>
      <c r="D60" s="15">
        <f>D58/D22</f>
        <v>213.20675759740342</v>
      </c>
      <c r="E60" s="15">
        <f t="shared" ref="E60:K60" si="16">E58/E22</f>
        <v>507.87564007832555</v>
      </c>
      <c r="F60" s="15">
        <f t="shared" si="16"/>
        <v>708.83648951085956</v>
      </c>
      <c r="G60" s="15">
        <f t="shared" si="16"/>
        <v>872.77851214134523</v>
      </c>
      <c r="H60" s="15">
        <f t="shared" si="16"/>
        <v>217.58048781197465</v>
      </c>
      <c r="I60" s="15">
        <f t="shared" si="16"/>
        <v>379.84695511776027</v>
      </c>
      <c r="J60" s="15">
        <f t="shared" si="16"/>
        <v>452.02986527869569</v>
      </c>
      <c r="K60" s="15">
        <f t="shared" si="16"/>
        <v>139.91144174350379</v>
      </c>
      <c r="L60" s="55">
        <f>L58/L22</f>
        <v>375.97362230533702</v>
      </c>
    </row>
    <row r="61" spans="1:12" ht="15.6" x14ac:dyDescent="0.3">
      <c r="A61" s="661" t="s">
        <v>114</v>
      </c>
      <c r="B61" s="662"/>
      <c r="C61" s="5" t="s">
        <v>3</v>
      </c>
      <c r="D61" s="26">
        <f>Mulanje!I61</f>
        <v>12</v>
      </c>
      <c r="E61" s="26">
        <f>Luchenza!I61</f>
        <v>8</v>
      </c>
      <c r="F61" s="26">
        <f>Thyolo!I61</f>
        <v>10</v>
      </c>
      <c r="G61" s="26">
        <f>Muloza!I61</f>
        <v>6</v>
      </c>
      <c r="H61" s="26">
        <f>MUST!I61</f>
        <v>4</v>
      </c>
      <c r="I61" s="26">
        <f>Phalombe!I61</f>
        <v>4</v>
      </c>
      <c r="J61" s="26">
        <f>Mikolongwe!I61</f>
        <v>0</v>
      </c>
      <c r="K61" s="26">
        <f>Migowi!I61</f>
        <v>1</v>
      </c>
      <c r="L61" s="55">
        <f>SUM(D61:K61)</f>
        <v>45</v>
      </c>
    </row>
    <row r="62" spans="1:12" ht="15.6" customHeight="1" x14ac:dyDescent="0.3">
      <c r="A62" s="643" t="s">
        <v>113</v>
      </c>
      <c r="B62" s="644"/>
      <c r="C62" s="5" t="s">
        <v>112</v>
      </c>
      <c r="D62" s="15">
        <f t="shared" ref="D62:L62" si="17">(D61*1000*31)/D9</f>
        <v>2.7507468425567159</v>
      </c>
      <c r="E62" s="15">
        <f t="shared" si="17"/>
        <v>4.776671353454419</v>
      </c>
      <c r="F62" s="15">
        <f t="shared" si="17"/>
        <v>4.6055563809240825</v>
      </c>
      <c r="G62" s="15">
        <f t="shared" si="17"/>
        <v>8.054388775819513</v>
      </c>
      <c r="H62" s="15">
        <f t="shared" si="17"/>
        <v>2.3031631345307306</v>
      </c>
      <c r="I62" s="15">
        <f t="shared" si="17"/>
        <v>3.9669844519802933</v>
      </c>
      <c r="J62" s="15">
        <f t="shared" si="17"/>
        <v>0</v>
      </c>
      <c r="K62" s="15">
        <f t="shared" si="17"/>
        <v>3.0650583349812139</v>
      </c>
      <c r="L62" s="55">
        <f t="shared" si="17"/>
        <v>3.7220843672456576</v>
      </c>
    </row>
    <row r="63" spans="1:12" ht="15.6" x14ac:dyDescent="0.3">
      <c r="A63" s="700" t="s">
        <v>111</v>
      </c>
      <c r="B63" s="701"/>
      <c r="C63" s="38" t="s">
        <v>3</v>
      </c>
      <c r="D63" s="26">
        <f>Mulanje!G63+Mulanje!H63+Mulanje!I63</f>
        <v>81</v>
      </c>
      <c r="E63" s="26">
        <f>Luchenza!G63+Luchenza!H63+Luchenza!I63</f>
        <v>51</v>
      </c>
      <c r="F63" s="26">
        <f>Thyolo!G63+Thyolo!H63+Thyolo!I63</f>
        <v>44</v>
      </c>
      <c r="G63" s="26">
        <f>Muloza!G63+Muloza!H63+Muloza!I63</f>
        <v>29</v>
      </c>
      <c r="H63" s="26">
        <f>MUST!G63+MUST!H63+MUST!I63</f>
        <v>17</v>
      </c>
      <c r="I63" s="26">
        <f>Phalombe!G63+Phalombe!H63+Phalombe!I63</f>
        <v>21</v>
      </c>
      <c r="J63" s="26">
        <f>Mikolongwe!G63+Mikolongwe!H63+Mikolongwe!I63</f>
        <v>6</v>
      </c>
      <c r="K63" s="26">
        <f>Migowi!G63+Migowi!H63+Migowi!I63</f>
        <v>6</v>
      </c>
      <c r="L63" s="55">
        <f>SUM(D63:K63)</f>
        <v>255</v>
      </c>
    </row>
    <row r="64" spans="1:12" x14ac:dyDescent="0.3">
      <c r="A64" s="735"/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7"/>
    </row>
    <row r="65" spans="1:12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7"/>
    </row>
    <row r="66" spans="1:12" ht="15.6" x14ac:dyDescent="0.3">
      <c r="A66" s="688" t="s">
        <v>109</v>
      </c>
      <c r="B66" s="37" t="s">
        <v>85</v>
      </c>
      <c r="C66" s="5" t="s">
        <v>3</v>
      </c>
      <c r="D66" s="26">
        <f>Mulanje!G66</f>
        <v>561</v>
      </c>
      <c r="E66" s="26">
        <f>Luchenza!G66</f>
        <v>26</v>
      </c>
      <c r="F66" s="26">
        <f>Thyolo!G66</f>
        <v>17</v>
      </c>
      <c r="G66" s="26">
        <f>Muloza!G66</f>
        <v>134</v>
      </c>
      <c r="H66" s="26">
        <f>MUST!G66</f>
        <v>9</v>
      </c>
      <c r="I66" s="26">
        <f>Phalombe!G66</f>
        <v>52</v>
      </c>
      <c r="J66" s="26">
        <f>Mikolongwe!G66</f>
        <v>0</v>
      </c>
      <c r="K66" s="26">
        <f>Migowi!G66</f>
        <v>0</v>
      </c>
      <c r="L66" s="32">
        <f>SUM(D66:K66)</f>
        <v>799</v>
      </c>
    </row>
    <row r="67" spans="1:12" ht="15.6" x14ac:dyDescent="0.3">
      <c r="A67" s="689"/>
      <c r="B67" s="24" t="s">
        <v>104</v>
      </c>
      <c r="C67" s="5" t="s">
        <v>3</v>
      </c>
      <c r="D67" s="26">
        <f>Mulanje!G67+Mulanje!H67+Mulanje!I67</f>
        <v>20</v>
      </c>
      <c r="E67" s="26">
        <f>Luchenza!G67+Luchenza!H67+Luchenza!I67</f>
        <v>70</v>
      </c>
      <c r="F67" s="26">
        <f>Thyolo!G67+Thyolo!H67+Thyolo!I67</f>
        <v>24</v>
      </c>
      <c r="G67" s="26">
        <f>Muloza!G67+Muloza!H67+Muloza!I67</f>
        <v>44</v>
      </c>
      <c r="H67" s="26">
        <f>MUST!G67+MUST!H67+MUST!I67</f>
        <v>7</v>
      </c>
      <c r="I67" s="26">
        <f>Phalombe!G67+Phalombe!H67+Phalombe!I67</f>
        <v>3</v>
      </c>
      <c r="J67" s="26">
        <f>Mikolongwe!G67+Mikolongwe!H67+Mikolongwe!I67</f>
        <v>0</v>
      </c>
      <c r="K67" s="26">
        <f>Migowi!G67+Migowi!H67+Migowi!I67</f>
        <v>0</v>
      </c>
      <c r="L67" s="32">
        <f>SUM(D67:K67)</f>
        <v>168</v>
      </c>
    </row>
    <row r="68" spans="1:12" ht="27" x14ac:dyDescent="0.3">
      <c r="A68" s="689"/>
      <c r="B68" s="24" t="s">
        <v>103</v>
      </c>
      <c r="C68" s="5" t="s">
        <v>3</v>
      </c>
      <c r="D68" s="26">
        <f>Mulanje!G68+Mulanje!H68+Mulanje!I68</f>
        <v>80</v>
      </c>
      <c r="E68" s="26">
        <f>Luchenza!G68+Luchenza!H68+Luchenza!I68</f>
        <v>58</v>
      </c>
      <c r="F68" s="26">
        <f>Thyolo!G68+Thyolo!H68+Thyolo!I68</f>
        <v>34</v>
      </c>
      <c r="G68" s="26">
        <f>Muloza!G68+Muloza!H68+Muloza!I68</f>
        <v>59</v>
      </c>
      <c r="H68" s="26">
        <f>MUST!G68+MUST!H68+MUST!I68</f>
        <v>7</v>
      </c>
      <c r="I68" s="26">
        <f>Phalombe!G68+Phalombe!H68+Phalombe!I68</f>
        <v>19</v>
      </c>
      <c r="J68" s="26">
        <f>Mikolongwe!G68+Mikolongwe!H68+Mikolongwe!I68</f>
        <v>0</v>
      </c>
      <c r="K68" s="26">
        <f>Migowi!G68+Migowi!H68+Migowi!I68</f>
        <v>0</v>
      </c>
      <c r="L68" s="32">
        <f>SUM(D68:K68)</f>
        <v>257</v>
      </c>
    </row>
    <row r="69" spans="1:12" s="2" customFormat="1" ht="27" x14ac:dyDescent="0.3">
      <c r="A69" s="689"/>
      <c r="B69" s="24" t="s">
        <v>102</v>
      </c>
      <c r="C69" s="11" t="s">
        <v>3</v>
      </c>
      <c r="D69" s="26">
        <f>Mulanje!G69+Mulanje!H69+Mulanje!I69</f>
        <v>0</v>
      </c>
      <c r="E69" s="26">
        <f>Luchenza!G69+Luchenza!H69+Luchenza!I69</f>
        <v>0</v>
      </c>
      <c r="F69" s="26">
        <f>Thyolo!G69+Thyolo!H69+Thyolo!I69</f>
        <v>0</v>
      </c>
      <c r="G69" s="26">
        <f>Muloza!G69+Muloza!H69+Muloza!I69</f>
        <v>0</v>
      </c>
      <c r="H69" s="26">
        <f>MUST!G69+MUST!H69+MUST!I69</f>
        <v>0</v>
      </c>
      <c r="I69" s="26">
        <f>Phalombe!G69+Phalombe!H69+Phalombe!I69</f>
        <v>7</v>
      </c>
      <c r="J69" s="26">
        <f>Mikolongwe!G69+Mikolongwe!H69+Mikolongwe!I69</f>
        <v>0</v>
      </c>
      <c r="K69" s="26">
        <f>Migowi!G69+Migowi!H69+Migowi!I69</f>
        <v>0</v>
      </c>
      <c r="L69" s="55">
        <f>SUM(D69:K69)</f>
        <v>7</v>
      </c>
    </row>
    <row r="70" spans="1:12" s="2" customFormat="1" ht="15.6" x14ac:dyDescent="0.3">
      <c r="A70" s="689"/>
      <c r="B70" s="24" t="s">
        <v>188</v>
      </c>
      <c r="C70" s="11" t="s">
        <v>3</v>
      </c>
      <c r="D70" s="4">
        <f>D68+D69</f>
        <v>80</v>
      </c>
      <c r="E70" s="4">
        <f t="shared" ref="E70:L70" si="18">E68+E69</f>
        <v>58</v>
      </c>
      <c r="F70" s="4">
        <f t="shared" si="18"/>
        <v>34</v>
      </c>
      <c r="G70" s="4">
        <f t="shared" si="18"/>
        <v>59</v>
      </c>
      <c r="H70" s="4">
        <f t="shared" si="18"/>
        <v>7</v>
      </c>
      <c r="I70" s="4">
        <f t="shared" si="18"/>
        <v>26</v>
      </c>
      <c r="J70" s="4">
        <f t="shared" si="18"/>
        <v>0</v>
      </c>
      <c r="K70" s="4">
        <f t="shared" si="18"/>
        <v>0</v>
      </c>
      <c r="L70" s="170">
        <f t="shared" si="18"/>
        <v>264</v>
      </c>
    </row>
    <row r="71" spans="1:12" ht="15.6" x14ac:dyDescent="0.3">
      <c r="A71" s="690"/>
      <c r="B71" s="37" t="s">
        <v>81</v>
      </c>
      <c r="C71" s="5" t="s">
        <v>3</v>
      </c>
      <c r="D71" s="26">
        <f>D66+D67-D70</f>
        <v>501</v>
      </c>
      <c r="E71" s="26">
        <f t="shared" ref="E71:K71" si="19">E66+E67-E70</f>
        <v>38</v>
      </c>
      <c r="F71" s="26">
        <f t="shared" si="19"/>
        <v>7</v>
      </c>
      <c r="G71" s="26">
        <f t="shared" si="19"/>
        <v>119</v>
      </c>
      <c r="H71" s="26">
        <f t="shared" si="19"/>
        <v>9</v>
      </c>
      <c r="I71" s="26">
        <f t="shared" si="19"/>
        <v>29</v>
      </c>
      <c r="J71" s="26">
        <f t="shared" si="19"/>
        <v>0</v>
      </c>
      <c r="K71" s="26">
        <f t="shared" si="19"/>
        <v>0</v>
      </c>
      <c r="L71" s="55">
        <f>L66+L67-L70</f>
        <v>703</v>
      </c>
    </row>
    <row r="72" spans="1:12" ht="15.6" x14ac:dyDescent="0.3">
      <c r="A72" s="688" t="s">
        <v>108</v>
      </c>
      <c r="B72" s="37" t="s">
        <v>85</v>
      </c>
      <c r="C72" s="5" t="s">
        <v>3</v>
      </c>
      <c r="D72" s="26">
        <f>Mulanje!G72</f>
        <v>1</v>
      </c>
      <c r="E72" s="26">
        <f>Luchenza!G72</f>
        <v>1</v>
      </c>
      <c r="F72" s="26">
        <f>Thyolo!G72</f>
        <v>0</v>
      </c>
      <c r="G72" s="26">
        <f>Muloza!G72</f>
        <v>0</v>
      </c>
      <c r="H72" s="26">
        <f>MUST!G72</f>
        <v>0</v>
      </c>
      <c r="I72" s="26">
        <f>Phalombe!G72</f>
        <v>0</v>
      </c>
      <c r="J72" s="26">
        <f>Mikolongwe!G72</f>
        <v>0</v>
      </c>
      <c r="K72" s="26">
        <f>Migowi!G72</f>
        <v>0</v>
      </c>
      <c r="L72" s="32">
        <f>SUM(D72:K72)</f>
        <v>2</v>
      </c>
    </row>
    <row r="73" spans="1:12" ht="15.6" x14ac:dyDescent="0.3">
      <c r="A73" s="689"/>
      <c r="B73" s="24" t="s">
        <v>104</v>
      </c>
      <c r="C73" s="5" t="s">
        <v>3</v>
      </c>
      <c r="D73" s="26">
        <f>Mulanje!G73+Mulanje!H73+Mulanje!I73</f>
        <v>0</v>
      </c>
      <c r="E73" s="26">
        <f>Luchenza!G73+Luchenza!H73+Luchenza!I73</f>
        <v>1</v>
      </c>
      <c r="F73" s="26">
        <f>Thyolo!G73+Thyolo!H73+Thyolo!I73</f>
        <v>0</v>
      </c>
      <c r="G73" s="26">
        <f>Muloza!G73+Muloza!H73+Muloza!I73</f>
        <v>0</v>
      </c>
      <c r="H73" s="26">
        <f>MUST!G73+MUST!H73+MUST!I73</f>
        <v>0</v>
      </c>
      <c r="I73" s="26">
        <f>Phalombe!G73+Phalombe!H73+Phalombe!I73</f>
        <v>0</v>
      </c>
      <c r="J73" s="26">
        <f>Mikolongwe!G73+Mikolongwe!H73+Mikolongwe!I73</f>
        <v>0</v>
      </c>
      <c r="K73" s="26">
        <f>Migowi!G73+Migowi!H73+Migowi!I73</f>
        <v>0</v>
      </c>
      <c r="L73" s="32">
        <f>SUM(D73:K73)</f>
        <v>1</v>
      </c>
    </row>
    <row r="74" spans="1:12" ht="27" x14ac:dyDescent="0.3">
      <c r="A74" s="689"/>
      <c r="B74" s="24" t="s">
        <v>103</v>
      </c>
      <c r="C74" s="5" t="s">
        <v>3</v>
      </c>
      <c r="D74" s="26">
        <f>Mulanje!G74+Mulanje!H74+Mulanje!I74</f>
        <v>0</v>
      </c>
      <c r="E74" s="26">
        <f>Luchenza!G74+Luchenza!H74+Luchenza!I74</f>
        <v>0</v>
      </c>
      <c r="F74" s="26">
        <f>Thyolo!G74+Thyolo!H74+Thyolo!I74</f>
        <v>0</v>
      </c>
      <c r="G74" s="26">
        <f>Muloza!G74+Muloza!H74+Muloza!I74</f>
        <v>0</v>
      </c>
      <c r="H74" s="26">
        <f>MUST!G74+MUST!H74+MUST!I74</f>
        <v>0</v>
      </c>
      <c r="I74" s="26">
        <f>Phalombe!G74+Phalombe!H74+Phalombe!I74</f>
        <v>0</v>
      </c>
      <c r="J74" s="26">
        <f>Mikolongwe!G74+Mikolongwe!H74+Mikolongwe!I74</f>
        <v>0</v>
      </c>
      <c r="K74" s="26">
        <f>Migowi!G74+Migowi!H74+Migowi!I74</f>
        <v>0</v>
      </c>
      <c r="L74" s="32">
        <f>SUM(D74:K74)</f>
        <v>0</v>
      </c>
    </row>
    <row r="75" spans="1:12" s="2" customFormat="1" ht="27" x14ac:dyDescent="0.3">
      <c r="A75" s="689"/>
      <c r="B75" s="24" t="s">
        <v>102</v>
      </c>
      <c r="C75" s="11" t="s">
        <v>3</v>
      </c>
      <c r="D75" s="26">
        <f>Mulanje!G75+Mulanje!H75+Mulanje!I75</f>
        <v>0</v>
      </c>
      <c r="E75" s="26">
        <f>Luchenza!G75+Luchenza!H75+Luchenza!I75</f>
        <v>1</v>
      </c>
      <c r="F75" s="26">
        <f>Thyolo!G75+Thyolo!H75+Thyolo!I75</f>
        <v>0</v>
      </c>
      <c r="G75" s="26">
        <f>Muloza!G75+Muloza!H75+Muloza!I75</f>
        <v>0</v>
      </c>
      <c r="H75" s="26">
        <f>MUST!G75+MUST!H75+MUST!I75</f>
        <v>0</v>
      </c>
      <c r="I75" s="26">
        <f>Phalombe!G75+Phalombe!H75+Phalombe!I75</f>
        <v>0</v>
      </c>
      <c r="J75" s="26">
        <f>Mikolongwe!G75+Mikolongwe!H75+Mikolongwe!I75</f>
        <v>0</v>
      </c>
      <c r="K75" s="26">
        <f>Migowi!G75+Migowi!H75+Migowi!I75</f>
        <v>0</v>
      </c>
      <c r="L75" s="32">
        <f>SUM(D75:K75)</f>
        <v>1</v>
      </c>
    </row>
    <row r="76" spans="1:12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L76" si="20">E74+E75</f>
        <v>1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170">
        <f t="shared" si="20"/>
        <v>1</v>
      </c>
    </row>
    <row r="77" spans="1:12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L77" si="21">E73+E74-E76</f>
        <v>0</v>
      </c>
      <c r="F77" s="26">
        <f t="shared" si="21"/>
        <v>0</v>
      </c>
      <c r="G77" s="26">
        <f t="shared" si="21"/>
        <v>0</v>
      </c>
      <c r="H77" s="26">
        <f t="shared" si="21"/>
        <v>0</v>
      </c>
      <c r="I77" s="26">
        <f t="shared" si="21"/>
        <v>0</v>
      </c>
      <c r="J77" s="26">
        <f t="shared" si="21"/>
        <v>0</v>
      </c>
      <c r="K77" s="26">
        <f t="shared" si="21"/>
        <v>0</v>
      </c>
      <c r="L77" s="55">
        <f t="shared" si="21"/>
        <v>0</v>
      </c>
    </row>
    <row r="78" spans="1:12" ht="15.6" customHeight="1" x14ac:dyDescent="0.3">
      <c r="A78" s="688" t="s">
        <v>107</v>
      </c>
      <c r="B78" s="37" t="s">
        <v>85</v>
      </c>
      <c r="C78" s="5" t="s">
        <v>3</v>
      </c>
      <c r="D78" s="26">
        <f>Mulanje!G78</f>
        <v>1</v>
      </c>
      <c r="E78" s="26">
        <f>Luchenza!G78</f>
        <v>0</v>
      </c>
      <c r="F78" s="26">
        <f>Thyolo!G78</f>
        <v>0</v>
      </c>
      <c r="G78" s="26">
        <f>Muloza!G78</f>
        <v>0</v>
      </c>
      <c r="H78" s="26">
        <f>MUST!G78</f>
        <v>0</v>
      </c>
      <c r="I78" s="26">
        <f>Phalombe!G78</f>
        <v>4</v>
      </c>
      <c r="J78" s="26">
        <f>Mikolongwe!G78</f>
        <v>0</v>
      </c>
      <c r="K78" s="26">
        <f>Migowi!G78</f>
        <v>0</v>
      </c>
      <c r="L78" s="32">
        <f>SUM(D78:K78)</f>
        <v>5</v>
      </c>
    </row>
    <row r="79" spans="1:12" ht="15.6" x14ac:dyDescent="0.3">
      <c r="A79" s="689"/>
      <c r="B79" s="24" t="s">
        <v>104</v>
      </c>
      <c r="C79" s="5" t="s">
        <v>3</v>
      </c>
      <c r="D79" s="26">
        <f>Mulanje!G79+Mulanje!H79+Mulanje!I79</f>
        <v>8</v>
      </c>
      <c r="E79" s="26">
        <f>Luchenza!G79+Luchenza!H79+Luchenza!I79</f>
        <v>0</v>
      </c>
      <c r="F79" s="26">
        <f>Thyolo!G79+Thyolo!H79+Thyolo!I79</f>
        <v>0</v>
      </c>
      <c r="G79" s="26">
        <f>Muloza!G79+Muloza!H79+Muloza!I79</f>
        <v>0</v>
      </c>
      <c r="H79" s="26">
        <f>MUST!G79+MUST!H79+MUST!I79</f>
        <v>0</v>
      </c>
      <c r="I79" s="26">
        <f>Phalombe!G79+Phalombe!H79+Phalombe!I79</f>
        <v>0</v>
      </c>
      <c r="J79" s="26">
        <f>Mikolongwe!G79+Mikolongwe!H79+Mikolongwe!I79</f>
        <v>0</v>
      </c>
      <c r="K79" s="26">
        <f>Migowi!G79+Migowi!H79+Migowi!I79</f>
        <v>0</v>
      </c>
      <c r="L79" s="32">
        <f>SUM(D79:K79)</f>
        <v>8</v>
      </c>
    </row>
    <row r="80" spans="1:12" ht="27" x14ac:dyDescent="0.3">
      <c r="A80" s="689"/>
      <c r="B80" s="24" t="s">
        <v>103</v>
      </c>
      <c r="C80" s="5" t="s">
        <v>3</v>
      </c>
      <c r="D80" s="26">
        <f>Mulanje!G80+Mulanje!H80+Mulanje!I80</f>
        <v>8</v>
      </c>
      <c r="E80" s="26">
        <f>Luchenza!G80+Luchenza!H80+Luchenza!I80</f>
        <v>0</v>
      </c>
      <c r="F80" s="26">
        <f>Thyolo!G80+Thyolo!H80+Thyolo!I80</f>
        <v>0</v>
      </c>
      <c r="G80" s="26">
        <f>Muloza!G80+Muloza!H80+Muloza!I80</f>
        <v>0</v>
      </c>
      <c r="H80" s="26">
        <f>MUST!G80+MUST!H80+MUST!I80</f>
        <v>0</v>
      </c>
      <c r="I80" s="26">
        <f>Phalombe!G80+Phalombe!H80+Phalombe!I80</f>
        <v>0</v>
      </c>
      <c r="J80" s="26">
        <f>Mikolongwe!G80+Mikolongwe!H80+Mikolongwe!I80</f>
        <v>0</v>
      </c>
      <c r="K80" s="26">
        <f>Migowi!G80+Migowi!H80+Migowi!I80</f>
        <v>0</v>
      </c>
      <c r="L80" s="32">
        <f>SUM(D80:K80)</f>
        <v>8</v>
      </c>
    </row>
    <row r="81" spans="1:12" s="2" customFormat="1" ht="27" x14ac:dyDescent="0.3">
      <c r="A81" s="689"/>
      <c r="B81" s="24" t="s">
        <v>102</v>
      </c>
      <c r="C81" s="11" t="s">
        <v>3</v>
      </c>
      <c r="D81" s="26">
        <f>Mulanje!G81+Mulanje!H81+Mulanje!I81</f>
        <v>0</v>
      </c>
      <c r="E81" s="26">
        <f>Luchenza!G81+Luchenza!H81+Luchenza!I81</f>
        <v>0</v>
      </c>
      <c r="F81" s="26">
        <f>Thyolo!G81+Thyolo!H81+Thyolo!I81</f>
        <v>0</v>
      </c>
      <c r="G81" s="26">
        <f>Muloza!G81+Muloza!H81+Muloza!I81</f>
        <v>0</v>
      </c>
      <c r="H81" s="26">
        <f>MUST!G81+MUST!H81+MUST!I81</f>
        <v>0</v>
      </c>
      <c r="I81" s="26">
        <f>Phalombe!G81+Phalombe!H81+Phalombe!I81</f>
        <v>0</v>
      </c>
      <c r="J81" s="26">
        <f>Mikolongwe!G81+Mikolongwe!H81+Mikolongwe!I81</f>
        <v>0</v>
      </c>
      <c r="K81" s="26">
        <f>Migowi!G81+Migowi!H81+Migowi!I81</f>
        <v>0</v>
      </c>
      <c r="L81" s="55">
        <f>SUM(D81:K81)</f>
        <v>0</v>
      </c>
    </row>
    <row r="82" spans="1:12" s="2" customFormat="1" ht="15.6" x14ac:dyDescent="0.3">
      <c r="A82" s="689"/>
      <c r="B82" s="24" t="s">
        <v>188</v>
      </c>
      <c r="C82" s="11" t="s">
        <v>3</v>
      </c>
      <c r="D82" s="4">
        <f>D81+D80</f>
        <v>8</v>
      </c>
      <c r="E82" s="4">
        <f t="shared" ref="E82:L82" si="22">E81+E80</f>
        <v>0</v>
      </c>
      <c r="F82" s="4">
        <f t="shared" si="22"/>
        <v>0</v>
      </c>
      <c r="G82" s="4">
        <f t="shared" si="22"/>
        <v>0</v>
      </c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170">
        <f t="shared" si="22"/>
        <v>8</v>
      </c>
    </row>
    <row r="83" spans="1:12" ht="15.6" x14ac:dyDescent="0.3">
      <c r="A83" s="690"/>
      <c r="B83" s="37" t="s">
        <v>81</v>
      </c>
      <c r="C83" s="5" t="s">
        <v>3</v>
      </c>
      <c r="D83" s="26">
        <f>D78+D79-D82</f>
        <v>1</v>
      </c>
      <c r="E83" s="26">
        <f t="shared" ref="E83:L83" si="23">E78+E79-E82</f>
        <v>0</v>
      </c>
      <c r="F83" s="26">
        <f t="shared" si="23"/>
        <v>0</v>
      </c>
      <c r="G83" s="26">
        <f t="shared" si="23"/>
        <v>0</v>
      </c>
      <c r="H83" s="26">
        <f t="shared" si="23"/>
        <v>0</v>
      </c>
      <c r="I83" s="26">
        <f t="shared" si="23"/>
        <v>4</v>
      </c>
      <c r="J83" s="26">
        <f t="shared" si="23"/>
        <v>0</v>
      </c>
      <c r="K83" s="26">
        <f t="shared" si="23"/>
        <v>0</v>
      </c>
      <c r="L83" s="55">
        <f t="shared" si="23"/>
        <v>5</v>
      </c>
    </row>
    <row r="84" spans="1:12" ht="15.6" x14ac:dyDescent="0.3">
      <c r="A84" s="691" t="s">
        <v>106</v>
      </c>
      <c r="B84" s="37" t="s">
        <v>85</v>
      </c>
      <c r="C84" s="5" t="s">
        <v>3</v>
      </c>
      <c r="D84" s="26">
        <f>Mulanje!G84</f>
        <v>0</v>
      </c>
      <c r="E84" s="26">
        <f>Luchenza!G84</f>
        <v>0</v>
      </c>
      <c r="F84" s="26">
        <f>Thyolo!G84</f>
        <v>0</v>
      </c>
      <c r="G84" s="26">
        <f>Muloza!G84</f>
        <v>0</v>
      </c>
      <c r="H84" s="26">
        <f>MUST!G84</f>
        <v>0</v>
      </c>
      <c r="I84" s="26">
        <f>Phalombe!G84</f>
        <v>0</v>
      </c>
      <c r="J84" s="26">
        <f>Mikolongwe!G84</f>
        <v>0</v>
      </c>
      <c r="K84" s="26">
        <f>Migowi!G84</f>
        <v>0</v>
      </c>
      <c r="L84" s="32">
        <f>SUM(D84:K84)</f>
        <v>0</v>
      </c>
    </row>
    <row r="85" spans="1:12" ht="15.6" x14ac:dyDescent="0.3">
      <c r="A85" s="692"/>
      <c r="B85" s="37" t="s">
        <v>104</v>
      </c>
      <c r="C85" s="5" t="s">
        <v>3</v>
      </c>
      <c r="D85" s="26">
        <f>Mulanje!G85+Mulanje!H85+Mulanje!I85</f>
        <v>0</v>
      </c>
      <c r="E85" s="26">
        <f>Luchenza!G85+Luchenza!H85+Luchenza!I85</f>
        <v>0</v>
      </c>
      <c r="F85" s="26">
        <f>Thyolo!G85+Thyolo!H85+Thyolo!I85</f>
        <v>0</v>
      </c>
      <c r="G85" s="26">
        <f>Muloza!G85+Muloza!H85+Muloza!I85</f>
        <v>0</v>
      </c>
      <c r="H85" s="26">
        <f>MUST!G85+MUST!H85+MUST!I85</f>
        <v>0</v>
      </c>
      <c r="I85" s="26">
        <f>Phalombe!G85+Phalombe!H85+Phalombe!I85</f>
        <v>0</v>
      </c>
      <c r="J85" s="26">
        <f>Mikolongwe!G85+Mikolongwe!H85+Mikolongwe!I85</f>
        <v>0</v>
      </c>
      <c r="K85" s="26">
        <f>Migowi!G85+Migowi!H85+Migowi!I85</f>
        <v>0</v>
      </c>
      <c r="L85" s="32">
        <f>SUM(D85:K85)</f>
        <v>0</v>
      </c>
    </row>
    <row r="86" spans="1:12" ht="27" x14ac:dyDescent="0.3">
      <c r="A86" s="692"/>
      <c r="B86" s="37" t="s">
        <v>103</v>
      </c>
      <c r="C86" s="5" t="s">
        <v>3</v>
      </c>
      <c r="D86" s="26">
        <f>Mulanje!G86+Mulanje!H86+Mulanje!I86</f>
        <v>0</v>
      </c>
      <c r="E86" s="26">
        <f>Luchenza!G86+Luchenza!H86+Luchenza!I86</f>
        <v>0</v>
      </c>
      <c r="F86" s="26">
        <f>Thyolo!G86+Thyolo!H86+Thyolo!I86</f>
        <v>0</v>
      </c>
      <c r="G86" s="26">
        <f>Muloza!G86+Muloza!H86+Muloza!I86</f>
        <v>0</v>
      </c>
      <c r="H86" s="26">
        <f>MUST!G86+MUST!H86+MUST!I86</f>
        <v>0</v>
      </c>
      <c r="I86" s="26">
        <f>Phalombe!G86+Phalombe!H86+Phalombe!I86</f>
        <v>0</v>
      </c>
      <c r="J86" s="26">
        <f>Mikolongwe!G86+Mikolongwe!H86+Mikolongwe!I86</f>
        <v>0</v>
      </c>
      <c r="K86" s="26">
        <f>Migowi!G86+Migowi!H86+Migowi!I86</f>
        <v>0</v>
      </c>
      <c r="L86" s="32">
        <f>SUM(D86:K86)</f>
        <v>0</v>
      </c>
    </row>
    <row r="87" spans="1:12" s="2" customFormat="1" ht="27" x14ac:dyDescent="0.3">
      <c r="A87" s="692"/>
      <c r="B87" s="24" t="s">
        <v>102</v>
      </c>
      <c r="C87" s="11" t="s">
        <v>3</v>
      </c>
      <c r="D87" s="26">
        <f>Mulanje!G87+Mulanje!H87+Mulanje!I87</f>
        <v>0</v>
      </c>
      <c r="E87" s="26">
        <f>Luchenza!G87+Luchenza!H87+Luchenza!I87</f>
        <v>0</v>
      </c>
      <c r="F87" s="26">
        <f>Thyolo!G87+Thyolo!H87+Thyolo!I87</f>
        <v>0</v>
      </c>
      <c r="G87" s="26">
        <f>Muloza!G87+Muloza!H87+Muloza!I87</f>
        <v>0</v>
      </c>
      <c r="H87" s="26">
        <f>MUST!G87+MUST!H87+MUST!I87</f>
        <v>0</v>
      </c>
      <c r="I87" s="26">
        <f>Phalombe!G87+Phalombe!H87+Phalombe!I87</f>
        <v>0</v>
      </c>
      <c r="J87" s="26">
        <f>Mikolongwe!G87+Mikolongwe!H87+Mikolongwe!I87</f>
        <v>0</v>
      </c>
      <c r="K87" s="26">
        <f>Migowi!G87+Migowi!H87+Migowi!I87</f>
        <v>0</v>
      </c>
      <c r="L87" s="55">
        <f>SUM(D87:K87)</f>
        <v>0</v>
      </c>
    </row>
    <row r="88" spans="1:12" s="2" customFormat="1" ht="15.6" x14ac:dyDescent="0.3">
      <c r="A88" s="692"/>
      <c r="B88" s="24" t="s">
        <v>188</v>
      </c>
      <c r="C88" s="11" t="s">
        <v>3</v>
      </c>
      <c r="D88" s="4">
        <f>D87+D86</f>
        <v>0</v>
      </c>
      <c r="E88" s="4">
        <f t="shared" ref="E88:K88" si="24">E87+E86</f>
        <v>0</v>
      </c>
      <c r="F88" s="4">
        <f t="shared" si="24"/>
        <v>0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4">
        <f t="shared" si="24"/>
        <v>0</v>
      </c>
      <c r="K88" s="4">
        <f t="shared" si="24"/>
        <v>0</v>
      </c>
      <c r="L88" s="55">
        <f>SUM(D88:K88)</f>
        <v>0</v>
      </c>
    </row>
    <row r="89" spans="1:12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f t="shared" ref="E89:K89" si="25">E84+E85-E88</f>
        <v>0</v>
      </c>
      <c r="F89" s="26">
        <f t="shared" si="25"/>
        <v>0</v>
      </c>
      <c r="G89" s="26">
        <f t="shared" si="25"/>
        <v>0</v>
      </c>
      <c r="H89" s="26">
        <f t="shared" si="25"/>
        <v>0</v>
      </c>
      <c r="I89" s="26">
        <f t="shared" si="25"/>
        <v>0</v>
      </c>
      <c r="J89" s="26">
        <f t="shared" si="25"/>
        <v>0</v>
      </c>
      <c r="K89" s="26">
        <f t="shared" si="25"/>
        <v>0</v>
      </c>
      <c r="L89" s="55">
        <f t="shared" ref="L89" si="26">L84+L85-L86-L87</f>
        <v>0</v>
      </c>
    </row>
    <row r="90" spans="1:12" ht="15.6" x14ac:dyDescent="0.3">
      <c r="A90" s="694" t="s">
        <v>105</v>
      </c>
      <c r="B90" s="24" t="s">
        <v>85</v>
      </c>
      <c r="C90" s="11" t="s">
        <v>3</v>
      </c>
      <c r="D90" s="135">
        <f>D66+D72+D78+D84</f>
        <v>563</v>
      </c>
      <c r="E90" s="135">
        <f t="shared" ref="E90:K90" si="27">E66+E72+E78+E84</f>
        <v>27</v>
      </c>
      <c r="F90" s="135">
        <f t="shared" si="27"/>
        <v>17</v>
      </c>
      <c r="G90" s="135">
        <f t="shared" si="27"/>
        <v>134</v>
      </c>
      <c r="H90" s="135">
        <f t="shared" si="27"/>
        <v>9</v>
      </c>
      <c r="I90" s="135">
        <f t="shared" si="27"/>
        <v>56</v>
      </c>
      <c r="J90" s="135">
        <f t="shared" si="27"/>
        <v>0</v>
      </c>
      <c r="K90" s="135">
        <f t="shared" si="27"/>
        <v>0</v>
      </c>
      <c r="L90" s="32">
        <f>SUM(D90:K90)</f>
        <v>806</v>
      </c>
    </row>
    <row r="91" spans="1:12" ht="15.6" x14ac:dyDescent="0.3">
      <c r="A91" s="695"/>
      <c r="B91" s="24" t="s">
        <v>104</v>
      </c>
      <c r="C91" s="11" t="s">
        <v>3</v>
      </c>
      <c r="D91" s="135">
        <f t="shared" ref="D91:K93" si="28">D67+D73+D79+D85</f>
        <v>28</v>
      </c>
      <c r="E91" s="135">
        <f t="shared" si="28"/>
        <v>71</v>
      </c>
      <c r="F91" s="135">
        <f t="shared" si="28"/>
        <v>24</v>
      </c>
      <c r="G91" s="135">
        <f t="shared" si="28"/>
        <v>44</v>
      </c>
      <c r="H91" s="135">
        <f t="shared" si="28"/>
        <v>7</v>
      </c>
      <c r="I91" s="135">
        <f t="shared" si="28"/>
        <v>3</v>
      </c>
      <c r="J91" s="135">
        <f t="shared" si="28"/>
        <v>0</v>
      </c>
      <c r="K91" s="135">
        <f t="shared" si="28"/>
        <v>0</v>
      </c>
      <c r="L91" s="32">
        <f>SUM(D91:K91)</f>
        <v>177</v>
      </c>
    </row>
    <row r="92" spans="1:12" ht="27" x14ac:dyDescent="0.3">
      <c r="A92" s="695"/>
      <c r="B92" s="24" t="s">
        <v>103</v>
      </c>
      <c r="C92" s="11" t="s">
        <v>3</v>
      </c>
      <c r="D92" s="135">
        <f t="shared" si="28"/>
        <v>88</v>
      </c>
      <c r="E92" s="135">
        <f t="shared" si="28"/>
        <v>58</v>
      </c>
      <c r="F92" s="135">
        <f t="shared" si="28"/>
        <v>34</v>
      </c>
      <c r="G92" s="135">
        <f t="shared" si="28"/>
        <v>59</v>
      </c>
      <c r="H92" s="135">
        <f t="shared" si="28"/>
        <v>7</v>
      </c>
      <c r="I92" s="135">
        <f t="shared" si="28"/>
        <v>19</v>
      </c>
      <c r="J92" s="135">
        <f t="shared" si="28"/>
        <v>0</v>
      </c>
      <c r="K92" s="135">
        <f t="shared" si="28"/>
        <v>0</v>
      </c>
      <c r="L92" s="32">
        <f>SUM(D92:K92)</f>
        <v>265</v>
      </c>
    </row>
    <row r="93" spans="1:12" s="2" customFormat="1" ht="27" x14ac:dyDescent="0.3">
      <c r="A93" s="695"/>
      <c r="B93" s="24" t="s">
        <v>102</v>
      </c>
      <c r="C93" s="11"/>
      <c r="D93" s="135">
        <f t="shared" si="28"/>
        <v>0</v>
      </c>
      <c r="E93" s="135">
        <f t="shared" si="28"/>
        <v>1</v>
      </c>
      <c r="F93" s="135">
        <f t="shared" si="28"/>
        <v>0</v>
      </c>
      <c r="G93" s="135">
        <f t="shared" si="28"/>
        <v>0</v>
      </c>
      <c r="H93" s="135">
        <f t="shared" si="28"/>
        <v>0</v>
      </c>
      <c r="I93" s="135">
        <f t="shared" si="28"/>
        <v>7</v>
      </c>
      <c r="J93" s="135">
        <f t="shared" si="28"/>
        <v>0</v>
      </c>
      <c r="K93" s="135">
        <f t="shared" si="28"/>
        <v>0</v>
      </c>
      <c r="L93" s="32">
        <f>SUM(D93:K93)</f>
        <v>8</v>
      </c>
    </row>
    <row r="94" spans="1:12" s="2" customFormat="1" ht="15.6" x14ac:dyDescent="0.3">
      <c r="A94" s="695"/>
      <c r="B94" s="24" t="s">
        <v>188</v>
      </c>
      <c r="C94" s="11" t="s">
        <v>3</v>
      </c>
      <c r="D94" s="136">
        <f>D93+D92</f>
        <v>88</v>
      </c>
      <c r="E94" s="136">
        <f t="shared" ref="E94:L94" si="29">E93+E92</f>
        <v>59</v>
      </c>
      <c r="F94" s="136">
        <f t="shared" si="29"/>
        <v>34</v>
      </c>
      <c r="G94" s="136">
        <f t="shared" si="29"/>
        <v>59</v>
      </c>
      <c r="H94" s="136">
        <f t="shared" si="29"/>
        <v>7</v>
      </c>
      <c r="I94" s="136">
        <f t="shared" si="29"/>
        <v>26</v>
      </c>
      <c r="J94" s="136">
        <f t="shared" si="29"/>
        <v>0</v>
      </c>
      <c r="K94" s="136">
        <f t="shared" si="29"/>
        <v>0</v>
      </c>
      <c r="L94" s="615">
        <f t="shared" si="29"/>
        <v>273</v>
      </c>
    </row>
    <row r="95" spans="1:12" ht="16.2" thickBot="1" x14ac:dyDescent="0.35">
      <c r="A95" s="696"/>
      <c r="B95" s="24" t="s">
        <v>81</v>
      </c>
      <c r="C95" s="11" t="s">
        <v>3</v>
      </c>
      <c r="D95" s="137">
        <f>D90+D91-D94</f>
        <v>503</v>
      </c>
      <c r="E95" s="137">
        <f t="shared" ref="E95:L95" si="30">E90+E91-E94</f>
        <v>39</v>
      </c>
      <c r="F95" s="137">
        <f t="shared" si="30"/>
        <v>7</v>
      </c>
      <c r="G95" s="137">
        <f t="shared" si="30"/>
        <v>119</v>
      </c>
      <c r="H95" s="137">
        <f t="shared" si="30"/>
        <v>9</v>
      </c>
      <c r="I95" s="137">
        <f t="shared" si="30"/>
        <v>33</v>
      </c>
      <c r="J95" s="137">
        <f t="shared" si="30"/>
        <v>0</v>
      </c>
      <c r="K95" s="137">
        <f t="shared" si="30"/>
        <v>0</v>
      </c>
      <c r="L95" s="616">
        <f t="shared" si="30"/>
        <v>710</v>
      </c>
    </row>
    <row r="96" spans="1:12" ht="16.2" customHeight="1" thickBot="1" x14ac:dyDescent="0.35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4"/>
    </row>
    <row r="97" spans="1:12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9"/>
    </row>
    <row r="98" spans="1:12" ht="15.6" x14ac:dyDescent="0.3">
      <c r="A98" s="88" t="s">
        <v>190</v>
      </c>
      <c r="B98" s="69"/>
      <c r="C98" s="11" t="s">
        <v>3</v>
      </c>
      <c r="D98" s="26">
        <f>Mulanje!G98+Mulanje!H98+Mulanje!I98</f>
        <v>3</v>
      </c>
      <c r="E98" s="26">
        <f>Luchenza!G98+Luchenza!H98+Luchenza!I98</f>
        <v>11</v>
      </c>
      <c r="F98" s="26">
        <f>Thyolo!G98+Thyolo!H98+Thyolo!I98</f>
        <v>46</v>
      </c>
      <c r="G98" s="26">
        <f>Muloza!G98+Muloza!H98+Muloza!I98</f>
        <v>0</v>
      </c>
      <c r="H98" s="26">
        <f>MUST!G98+MUST!H98+MUST!I98</f>
        <v>6</v>
      </c>
      <c r="I98" s="26">
        <f>Phalombe!G98+Phalombe!H98+Phalombe!I98</f>
        <v>10</v>
      </c>
      <c r="J98" s="26">
        <f>Mikolongwe!G98+Mikolongwe!H98+Mikolongwe!I98</f>
        <v>0</v>
      </c>
      <c r="K98" s="26">
        <f>Migowi!G98+Migowi!H98+Migowi!I98</f>
        <v>0</v>
      </c>
      <c r="L98" s="617">
        <f>SUM(D98:K98)</f>
        <v>76</v>
      </c>
    </row>
    <row r="99" spans="1:12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18"/>
    </row>
    <row r="100" spans="1:12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2"/>
    </row>
    <row r="101" spans="1:12" ht="15.6" x14ac:dyDescent="0.3">
      <c r="A101" s="661" t="s">
        <v>100</v>
      </c>
      <c r="B101" s="662"/>
      <c r="C101" s="11" t="s">
        <v>3</v>
      </c>
      <c r="D101" s="26">
        <f>Mulanje!I101</f>
        <v>612</v>
      </c>
      <c r="E101" s="26">
        <f>Luchenza!I101</f>
        <v>986</v>
      </c>
      <c r="F101" s="26">
        <f>Thyolo!I101</f>
        <v>482</v>
      </c>
      <c r="G101" s="26">
        <f>Muloza!I101</f>
        <v>465</v>
      </c>
      <c r="H101" s="26">
        <f>MUST!I101</f>
        <v>18</v>
      </c>
      <c r="I101" s="26">
        <f>Phalombe!I101</f>
        <v>219</v>
      </c>
      <c r="J101" s="26">
        <f>Mikolongwe!I101</f>
        <v>15</v>
      </c>
      <c r="K101" s="26">
        <f>Migowi!I101</f>
        <v>0</v>
      </c>
      <c r="L101" s="32">
        <f>SUM(D101:K101)</f>
        <v>2797</v>
      </c>
    </row>
    <row r="102" spans="1:12" ht="15.6" x14ac:dyDescent="0.3">
      <c r="A102" s="661" t="s">
        <v>99</v>
      </c>
      <c r="B102" s="662"/>
      <c r="C102" s="11" t="s">
        <v>3</v>
      </c>
      <c r="D102" s="26">
        <f>Mulanje!I102</f>
        <v>45</v>
      </c>
      <c r="E102" s="26">
        <f>Luchenza!I102</f>
        <v>12</v>
      </c>
      <c r="F102" s="26">
        <f>Thyolo!I102</f>
        <v>15</v>
      </c>
      <c r="G102" s="26">
        <f>Muloza!I102</f>
        <v>18</v>
      </c>
      <c r="H102" s="26">
        <f>MUST!I102</f>
        <v>1</v>
      </c>
      <c r="I102" s="26">
        <f>Phalombe!I102</f>
        <v>17</v>
      </c>
      <c r="J102" s="26">
        <f>Mikolongwe!I102</f>
        <v>2</v>
      </c>
      <c r="K102" s="26">
        <f>Migowi!I102</f>
        <v>0</v>
      </c>
      <c r="L102" s="32">
        <f>SUM(D102:K102)</f>
        <v>110</v>
      </c>
    </row>
    <row r="103" spans="1:12" ht="15.6" customHeight="1" x14ac:dyDescent="0.3">
      <c r="A103" s="663" t="s">
        <v>98</v>
      </c>
      <c r="B103" s="664"/>
      <c r="C103" s="11" t="s">
        <v>3</v>
      </c>
      <c r="D103" s="26">
        <f>Mulanje!I103</f>
        <v>82</v>
      </c>
      <c r="E103" s="26">
        <f>Luchenza!I103</f>
        <v>35</v>
      </c>
      <c r="F103" s="26">
        <f>Thyolo!I103</f>
        <v>60</v>
      </c>
      <c r="G103" s="26">
        <f>Muloza!I103</f>
        <v>74</v>
      </c>
      <c r="H103" s="26">
        <f>MUST!I103</f>
        <v>11</v>
      </c>
      <c r="I103" s="26">
        <f>Phalombe!I103</f>
        <v>25</v>
      </c>
      <c r="J103" s="26">
        <f>Mikolongwe!I103</f>
        <v>0</v>
      </c>
      <c r="K103" s="26">
        <f>Migowi!I103</f>
        <v>0</v>
      </c>
      <c r="L103" s="32">
        <f>SUM(D103:K103)</f>
        <v>287</v>
      </c>
    </row>
    <row r="104" spans="1:12" ht="15.6" x14ac:dyDescent="0.3">
      <c r="A104" s="663" t="s">
        <v>97</v>
      </c>
      <c r="B104" s="664"/>
      <c r="C104" s="11" t="s">
        <v>3</v>
      </c>
      <c r="D104" s="26">
        <f>Mulanje!I104</f>
        <v>15</v>
      </c>
      <c r="E104" s="26">
        <f>Luchenza!I104</f>
        <v>21</v>
      </c>
      <c r="F104" s="26">
        <f>Thyolo!I104</f>
        <v>16</v>
      </c>
      <c r="G104" s="26">
        <f>Muloza!I104</f>
        <v>0</v>
      </c>
      <c r="H104" s="26">
        <f>MUST!I104</f>
        <v>0</v>
      </c>
      <c r="I104" s="26">
        <f>Phalombe!I104</f>
        <v>0</v>
      </c>
      <c r="J104" s="26">
        <f>Mikolongwe!I104</f>
        <v>0</v>
      </c>
      <c r="K104" s="26">
        <f>Migowi!I104</f>
        <v>0</v>
      </c>
      <c r="L104" s="32">
        <f>SUM(D104:K104)</f>
        <v>52</v>
      </c>
    </row>
    <row r="105" spans="1:12" ht="15.6" x14ac:dyDescent="0.3">
      <c r="A105" s="686" t="s">
        <v>96</v>
      </c>
      <c r="B105" s="687"/>
      <c r="C105" s="11" t="s">
        <v>3</v>
      </c>
      <c r="D105" s="33">
        <f>SUM(D101:D104)</f>
        <v>754</v>
      </c>
      <c r="E105" s="33">
        <f t="shared" ref="E105:K105" si="31">SUM(E101:E104)</f>
        <v>1054</v>
      </c>
      <c r="F105" s="33">
        <f t="shared" si="31"/>
        <v>573</v>
      </c>
      <c r="G105" s="33">
        <f t="shared" si="31"/>
        <v>557</v>
      </c>
      <c r="H105" s="33">
        <f t="shared" si="31"/>
        <v>30</v>
      </c>
      <c r="I105" s="33">
        <f t="shared" si="31"/>
        <v>261</v>
      </c>
      <c r="J105" s="33">
        <f t="shared" si="31"/>
        <v>17</v>
      </c>
      <c r="K105" s="33">
        <f t="shared" si="31"/>
        <v>0</v>
      </c>
      <c r="L105" s="32">
        <f>SUM(D105:K105)</f>
        <v>3246</v>
      </c>
    </row>
    <row r="106" spans="1:12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5"/>
    </row>
    <row r="107" spans="1:12" ht="15.6" x14ac:dyDescent="0.3">
      <c r="A107" s="661" t="s">
        <v>193</v>
      </c>
      <c r="B107" s="662"/>
      <c r="C107" s="11" t="s">
        <v>3</v>
      </c>
      <c r="D107" s="26">
        <f>Mulanje!I107</f>
        <v>2099</v>
      </c>
      <c r="E107" s="26">
        <f>Luchenza!I107</f>
        <v>1064</v>
      </c>
      <c r="F107" s="26">
        <f>Thyolo!I107</f>
        <v>996</v>
      </c>
      <c r="G107" s="26">
        <f>Muloza!I107</f>
        <v>513</v>
      </c>
      <c r="H107" s="26">
        <f>MUST!I107</f>
        <v>78</v>
      </c>
      <c r="I107" s="26">
        <f>Phalombe!I107</f>
        <v>552</v>
      </c>
      <c r="J107" s="26">
        <f>Mikolongwe!I107</f>
        <v>21</v>
      </c>
      <c r="K107" s="26">
        <f>Migowi!I107</f>
        <v>0</v>
      </c>
      <c r="L107" s="32">
        <f>SUM(D107:K107)</f>
        <v>5323</v>
      </c>
    </row>
    <row r="108" spans="1:12" ht="15.6" x14ac:dyDescent="0.3">
      <c r="A108" s="661" t="s">
        <v>194</v>
      </c>
      <c r="B108" s="662"/>
      <c r="C108" s="11" t="s">
        <v>3</v>
      </c>
      <c r="D108" s="26">
        <f>Mulanje!I108</f>
        <v>26</v>
      </c>
      <c r="E108" s="26">
        <f>Luchenza!I108</f>
        <v>17</v>
      </c>
      <c r="F108" s="26">
        <f>Thyolo!I108</f>
        <v>11</v>
      </c>
      <c r="G108" s="26">
        <f>Muloza!I108</f>
        <v>4</v>
      </c>
      <c r="H108" s="26">
        <f>MUST!I108</f>
        <v>0</v>
      </c>
      <c r="I108" s="26">
        <f>Phalombe!I108</f>
        <v>3</v>
      </c>
      <c r="J108" s="26">
        <f>Mikolongwe!I108</f>
        <v>0</v>
      </c>
      <c r="K108" s="26">
        <f>Migowi!I108</f>
        <v>0</v>
      </c>
      <c r="L108" s="32">
        <f>SUM(D108:K108)</f>
        <v>61</v>
      </c>
    </row>
    <row r="109" spans="1:12" ht="15.6" x14ac:dyDescent="0.3">
      <c r="A109" s="661" t="s">
        <v>195</v>
      </c>
      <c r="B109" s="662"/>
      <c r="C109" s="11" t="s">
        <v>3</v>
      </c>
      <c r="D109" s="26">
        <f>Mulanje!I109</f>
        <v>15</v>
      </c>
      <c r="E109" s="26">
        <f>Luchenza!I109</f>
        <v>36</v>
      </c>
      <c r="F109" s="26">
        <f>Thyolo!I109</f>
        <v>31</v>
      </c>
      <c r="G109" s="26">
        <f>Muloza!I109</f>
        <v>39</v>
      </c>
      <c r="H109" s="26">
        <f>MUST!I109</f>
        <v>2</v>
      </c>
      <c r="I109" s="26">
        <f>Phalombe!I109</f>
        <v>3</v>
      </c>
      <c r="J109" s="26">
        <f>Mikolongwe!I109</f>
        <v>0</v>
      </c>
      <c r="K109" s="26">
        <f>Migowi!I109</f>
        <v>0</v>
      </c>
      <c r="L109" s="32">
        <f>SUM(D109:K109)</f>
        <v>126</v>
      </c>
    </row>
    <row r="110" spans="1:12" ht="15.6" x14ac:dyDescent="0.3">
      <c r="A110" s="661" t="s">
        <v>196</v>
      </c>
      <c r="B110" s="662"/>
      <c r="C110" s="11" t="s">
        <v>3</v>
      </c>
      <c r="D110" s="26">
        <f>Mulanje!I110</f>
        <v>15</v>
      </c>
      <c r="E110" s="26">
        <f>Luchenza!I110</f>
        <v>2</v>
      </c>
      <c r="F110" s="26">
        <f>Thyolo!I110</f>
        <v>2</v>
      </c>
      <c r="G110" s="26">
        <f>Muloza!I110</f>
        <v>1</v>
      </c>
      <c r="H110" s="26">
        <f>MUST!I110</f>
        <v>0</v>
      </c>
      <c r="I110" s="26">
        <f>Phalombe!I110</f>
        <v>0</v>
      </c>
      <c r="J110" s="26">
        <f>Mikolongwe!I110</f>
        <v>0</v>
      </c>
      <c r="K110" s="26">
        <f>Migowi!I110</f>
        <v>0</v>
      </c>
      <c r="L110" s="32">
        <f>SUM(D110:K110)</f>
        <v>20</v>
      </c>
    </row>
    <row r="111" spans="1:12" ht="15.6" x14ac:dyDescent="0.3">
      <c r="A111" s="676" t="s">
        <v>95</v>
      </c>
      <c r="B111" s="677"/>
      <c r="C111" s="11" t="s">
        <v>3</v>
      </c>
      <c r="D111" s="33">
        <f>SUM(D107:D110)</f>
        <v>2155</v>
      </c>
      <c r="E111" s="33">
        <f t="shared" ref="E111:K111" si="32">SUM(E107:E110)</f>
        <v>1119</v>
      </c>
      <c r="F111" s="33">
        <f t="shared" si="32"/>
        <v>1040</v>
      </c>
      <c r="G111" s="33">
        <f t="shared" si="32"/>
        <v>557</v>
      </c>
      <c r="H111" s="33">
        <f t="shared" si="32"/>
        <v>80</v>
      </c>
      <c r="I111" s="33">
        <f t="shared" si="32"/>
        <v>558</v>
      </c>
      <c r="J111" s="33">
        <f t="shared" si="32"/>
        <v>21</v>
      </c>
      <c r="K111" s="33">
        <f t="shared" si="32"/>
        <v>0</v>
      </c>
      <c r="L111" s="32">
        <f>SUM(D111:K111)</f>
        <v>5530</v>
      </c>
    </row>
    <row r="112" spans="1:12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2"/>
    </row>
    <row r="113" spans="1:12" ht="15.6" x14ac:dyDescent="0.3">
      <c r="A113" s="661" t="s">
        <v>197</v>
      </c>
      <c r="B113" s="662"/>
      <c r="C113" s="11" t="s">
        <v>3</v>
      </c>
      <c r="D113" s="26">
        <f>Mulanje!I113</f>
        <v>538</v>
      </c>
      <c r="E113" s="26">
        <f>Luchenza!I113</f>
        <v>288</v>
      </c>
      <c r="F113" s="26">
        <f>Thyolo!I113</f>
        <v>340</v>
      </c>
      <c r="G113" s="26">
        <f>Muloza!I113</f>
        <v>237</v>
      </c>
      <c r="H113" s="26">
        <f>MUST!I113</f>
        <v>56</v>
      </c>
      <c r="I113" s="26">
        <f>Phalombe!I113</f>
        <v>199</v>
      </c>
      <c r="J113" s="26">
        <f>Mikolongwe!I113</f>
        <v>17</v>
      </c>
      <c r="K113" s="26">
        <f>Migowi!I113</f>
        <v>75</v>
      </c>
      <c r="L113" s="32">
        <f t="shared" ref="L113:L119" si="33">SUM(D113:K113)</f>
        <v>1750</v>
      </c>
    </row>
    <row r="114" spans="1:12" ht="15.6" x14ac:dyDescent="0.3">
      <c r="A114" s="661" t="s">
        <v>198</v>
      </c>
      <c r="B114" s="662"/>
      <c r="C114" s="11" t="s">
        <v>3</v>
      </c>
      <c r="D114" s="26">
        <f>Mulanje!I114</f>
        <v>47</v>
      </c>
      <c r="E114" s="26">
        <f>Luchenza!I114</f>
        <v>13</v>
      </c>
      <c r="F114" s="26">
        <f>Thyolo!I114</f>
        <v>35</v>
      </c>
      <c r="G114" s="26">
        <f>Muloza!I114</f>
        <v>7</v>
      </c>
      <c r="H114" s="26">
        <f>MUST!I114</f>
        <v>7</v>
      </c>
      <c r="I114" s="26">
        <f>Phalombe!I114</f>
        <v>18</v>
      </c>
      <c r="J114" s="26">
        <f>Mikolongwe!I114</f>
        <v>8</v>
      </c>
      <c r="K114" s="26">
        <f>Migowi!I114</f>
        <v>1</v>
      </c>
      <c r="L114" s="32">
        <f t="shared" si="33"/>
        <v>136</v>
      </c>
    </row>
    <row r="115" spans="1:12" ht="15.6" x14ac:dyDescent="0.3">
      <c r="A115" s="661" t="s">
        <v>199</v>
      </c>
      <c r="B115" s="662"/>
      <c r="C115" s="11" t="s">
        <v>3</v>
      </c>
      <c r="D115" s="26">
        <f>Mulanje!I115</f>
        <v>96</v>
      </c>
      <c r="E115" s="26">
        <f>Luchenza!I115</f>
        <v>52</v>
      </c>
      <c r="F115" s="26">
        <f>Thyolo!I115</f>
        <v>20</v>
      </c>
      <c r="G115" s="26">
        <f>Muloza!I115</f>
        <v>23</v>
      </c>
      <c r="H115" s="26">
        <f>MUST!I115</f>
        <v>8</v>
      </c>
      <c r="I115" s="26">
        <f>Phalombe!I115</f>
        <v>16</v>
      </c>
      <c r="J115" s="26">
        <f>Mikolongwe!I115</f>
        <v>0</v>
      </c>
      <c r="K115" s="26">
        <f>Migowi!I115</f>
        <v>0</v>
      </c>
      <c r="L115" s="32">
        <f t="shared" si="33"/>
        <v>215</v>
      </c>
    </row>
    <row r="116" spans="1:12" ht="15.6" x14ac:dyDescent="0.3">
      <c r="A116" s="661" t="s">
        <v>200</v>
      </c>
      <c r="B116" s="662"/>
      <c r="C116" s="11" t="s">
        <v>3</v>
      </c>
      <c r="D116" s="26">
        <f>Mulanje!I116</f>
        <v>2</v>
      </c>
      <c r="E116" s="26">
        <f>Luchenza!I116</f>
        <v>0</v>
      </c>
      <c r="F116" s="26">
        <f>Thyolo!I116</f>
        <v>2</v>
      </c>
      <c r="G116" s="26">
        <f>Muloza!I116</f>
        <v>0</v>
      </c>
      <c r="H116" s="26">
        <f>MUST!I116</f>
        <v>0</v>
      </c>
      <c r="I116" s="26">
        <f>Phalombe!I116</f>
        <v>0</v>
      </c>
      <c r="J116" s="26">
        <f>Mikolongwe!I116</f>
        <v>0</v>
      </c>
      <c r="K116" s="26">
        <f>Migowi!I116</f>
        <v>0</v>
      </c>
      <c r="L116" s="32">
        <f t="shared" si="33"/>
        <v>4</v>
      </c>
    </row>
    <row r="117" spans="1:12" ht="15.6" x14ac:dyDescent="0.3">
      <c r="A117" s="676" t="s">
        <v>94</v>
      </c>
      <c r="B117" s="677"/>
      <c r="C117" s="11" t="s">
        <v>3</v>
      </c>
      <c r="D117" s="33">
        <f>SUM(D113:D116)</f>
        <v>683</v>
      </c>
      <c r="E117" s="33">
        <f t="shared" ref="E117:K117" si="34">SUM(E113:E116)</f>
        <v>353</v>
      </c>
      <c r="F117" s="33">
        <f t="shared" si="34"/>
        <v>397</v>
      </c>
      <c r="G117" s="33">
        <f t="shared" si="34"/>
        <v>267</v>
      </c>
      <c r="H117" s="33">
        <f t="shared" si="34"/>
        <v>71</v>
      </c>
      <c r="I117" s="33">
        <f t="shared" si="34"/>
        <v>233</v>
      </c>
      <c r="J117" s="33">
        <f t="shared" si="34"/>
        <v>25</v>
      </c>
      <c r="K117" s="33">
        <f t="shared" si="34"/>
        <v>76</v>
      </c>
      <c r="L117" s="32">
        <f t="shared" si="33"/>
        <v>2105</v>
      </c>
    </row>
    <row r="118" spans="1:12" s="2" customFormat="1" ht="15.6" x14ac:dyDescent="0.3">
      <c r="A118" s="80" t="s">
        <v>191</v>
      </c>
      <c r="B118" s="81"/>
      <c r="C118" s="11" t="s">
        <v>3</v>
      </c>
      <c r="D118" s="33">
        <f>D117+D111</f>
        <v>2838</v>
      </c>
      <c r="E118" s="33">
        <f t="shared" ref="E118:K118" si="35">E117+E112</f>
        <v>353</v>
      </c>
      <c r="F118" s="33">
        <f t="shared" si="35"/>
        <v>397</v>
      </c>
      <c r="G118" s="33">
        <f t="shared" si="35"/>
        <v>267</v>
      </c>
      <c r="H118" s="33">
        <f t="shared" si="35"/>
        <v>71</v>
      </c>
      <c r="I118" s="33">
        <f t="shared" si="35"/>
        <v>233</v>
      </c>
      <c r="J118" s="33">
        <f t="shared" si="35"/>
        <v>25</v>
      </c>
      <c r="K118" s="33">
        <f t="shared" si="35"/>
        <v>76</v>
      </c>
      <c r="L118" s="32">
        <f t="shared" si="33"/>
        <v>4260</v>
      </c>
    </row>
    <row r="119" spans="1:12" ht="15.6" x14ac:dyDescent="0.3">
      <c r="A119" s="676" t="s">
        <v>192</v>
      </c>
      <c r="B119" s="677"/>
      <c r="C119" s="11" t="s">
        <v>3</v>
      </c>
      <c r="D119" s="33">
        <f>D118+D105</f>
        <v>3592</v>
      </c>
      <c r="E119" s="33">
        <f t="shared" ref="E119:G119" si="36">E118+E105</f>
        <v>1407</v>
      </c>
      <c r="F119" s="33">
        <f t="shared" si="36"/>
        <v>970</v>
      </c>
      <c r="G119" s="33">
        <f t="shared" si="36"/>
        <v>824</v>
      </c>
      <c r="H119" s="33">
        <f t="shared" ref="H119" si="37">H118+H105</f>
        <v>101</v>
      </c>
      <c r="I119" s="33">
        <f t="shared" ref="I119" si="38">I118+I105</f>
        <v>494</v>
      </c>
      <c r="J119" s="33">
        <f t="shared" ref="J119" si="39">J118+J105</f>
        <v>42</v>
      </c>
      <c r="K119" s="33">
        <f t="shared" ref="K119" si="40">K118+K105</f>
        <v>76</v>
      </c>
      <c r="L119" s="33">
        <f t="shared" si="33"/>
        <v>7506</v>
      </c>
    </row>
    <row r="120" spans="1:12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1"/>
    </row>
    <row r="121" spans="1:12" ht="15.6" x14ac:dyDescent="0.3">
      <c r="A121" s="661" t="s">
        <v>93</v>
      </c>
      <c r="B121" s="662"/>
      <c r="C121" s="5" t="s">
        <v>3</v>
      </c>
      <c r="D121" s="26">
        <f>Mulanje!I121</f>
        <v>24328</v>
      </c>
      <c r="E121" s="26">
        <f>Luchenza!I121</f>
        <v>17993</v>
      </c>
      <c r="F121" s="26">
        <f>Thyolo!I121</f>
        <v>11818</v>
      </c>
      <c r="G121" s="26">
        <f>Muloza!I121</f>
        <v>9639</v>
      </c>
      <c r="H121" s="26">
        <f>MUST!I121</f>
        <v>4268</v>
      </c>
      <c r="I121" s="26">
        <f>Phalombe!I121</f>
        <v>9958</v>
      </c>
      <c r="J121" s="26">
        <f>Mikolongwe!I121</f>
        <v>1254</v>
      </c>
      <c r="K121" s="26">
        <f>Migowi!I121</f>
        <v>537</v>
      </c>
      <c r="L121" s="32">
        <f>SUM(D121:K121)</f>
        <v>79795</v>
      </c>
    </row>
    <row r="122" spans="1:12" ht="15.6" x14ac:dyDescent="0.3">
      <c r="A122" s="661" t="s">
        <v>92</v>
      </c>
      <c r="B122" s="662"/>
      <c r="C122" s="5" t="s">
        <v>3</v>
      </c>
      <c r="D122" s="26">
        <f>Mulanje!I122</f>
        <v>21932</v>
      </c>
      <c r="E122" s="26">
        <f>Luchenza!I122</f>
        <v>16015</v>
      </c>
      <c r="F122" s="26">
        <f>Thyolo!I122</f>
        <v>10772</v>
      </c>
      <c r="G122" s="26">
        <f>Muloza!I122</f>
        <v>8916</v>
      </c>
      <c r="H122" s="26">
        <f>MUST!I122</f>
        <v>3977</v>
      </c>
      <c r="I122" s="26">
        <f>Phalombe!I122</f>
        <v>7347</v>
      </c>
      <c r="J122" s="26">
        <f>Mikolongwe!I122</f>
        <v>1030</v>
      </c>
      <c r="K122" s="26">
        <f>Migowi!I122</f>
        <v>537</v>
      </c>
      <c r="L122" s="32">
        <f>SUM(D122:K122)</f>
        <v>70526</v>
      </c>
    </row>
    <row r="123" spans="1:12" ht="15.6" x14ac:dyDescent="0.3">
      <c r="A123" s="678" t="s">
        <v>91</v>
      </c>
      <c r="B123" s="679"/>
      <c r="C123" s="30" t="s">
        <v>6</v>
      </c>
      <c r="D123" s="29">
        <f t="shared" ref="D123:L123" si="41">D122/D121</f>
        <v>0.90151266030910882</v>
      </c>
      <c r="E123" s="29">
        <f t="shared" si="41"/>
        <v>0.8900683599177458</v>
      </c>
      <c r="F123" s="29">
        <f t="shared" si="41"/>
        <v>0.91149094601455405</v>
      </c>
      <c r="G123" s="29">
        <f t="shared" si="41"/>
        <v>0.92499221910986618</v>
      </c>
      <c r="H123" s="29">
        <f t="shared" si="41"/>
        <v>0.93181818181818177</v>
      </c>
      <c r="I123" s="29">
        <f t="shared" si="41"/>
        <v>0.73779875477003409</v>
      </c>
      <c r="J123" s="29">
        <f t="shared" si="41"/>
        <v>0.82137161084529509</v>
      </c>
      <c r="K123" s="29">
        <f t="shared" si="41"/>
        <v>1</v>
      </c>
      <c r="L123" s="618">
        <f t="shared" si="41"/>
        <v>0.88383983958894663</v>
      </c>
    </row>
    <row r="124" spans="1:12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6"/>
    </row>
    <row r="125" spans="1:12" ht="15.6" x14ac:dyDescent="0.3">
      <c r="A125" s="673" t="s">
        <v>230</v>
      </c>
      <c r="B125" s="24" t="s">
        <v>85</v>
      </c>
      <c r="C125" s="11" t="s">
        <v>3</v>
      </c>
      <c r="D125" s="26">
        <f>Mulanje!G125</f>
        <v>0</v>
      </c>
      <c r="E125" s="26">
        <f>Luchenza!G125</f>
        <v>0</v>
      </c>
      <c r="F125" s="26">
        <f>Thyolo!G125</f>
        <v>0</v>
      </c>
      <c r="G125" s="26">
        <f>Muloza!G125</f>
        <v>0</v>
      </c>
      <c r="H125" s="26">
        <f>MUST!G125</f>
        <v>0</v>
      </c>
      <c r="I125" s="26">
        <f>Phalombe!G125</f>
        <v>0</v>
      </c>
      <c r="J125" s="26">
        <f>Mikolongwe!G125</f>
        <v>0</v>
      </c>
      <c r="K125" s="26">
        <f>Migowi!G125</f>
        <v>0</v>
      </c>
      <c r="L125" s="32">
        <f>D125</f>
        <v>0</v>
      </c>
    </row>
    <row r="126" spans="1:12" ht="15.6" x14ac:dyDescent="0.3">
      <c r="A126" s="674"/>
      <c r="B126" s="24" t="s">
        <v>84</v>
      </c>
      <c r="C126" s="11" t="s">
        <v>3</v>
      </c>
      <c r="D126" s="26">
        <f>Mulanje!G126+Mulanje!H126+Mulanje!I126</f>
        <v>0</v>
      </c>
      <c r="E126" s="26">
        <f>Luchenza!G126+Luchenza!H126+Luchenza!I126</f>
        <v>0</v>
      </c>
      <c r="F126" s="26">
        <f>Thyolo!G126+Thyolo!H126+Thyolo!I126</f>
        <v>0</v>
      </c>
      <c r="G126" s="26">
        <f>Muloza!G126+Muloza!H126+Muloza!I126</f>
        <v>0</v>
      </c>
      <c r="H126" s="26">
        <f>MUST!G126+MUST!H126+MUST!I126</f>
        <v>0</v>
      </c>
      <c r="I126" s="26">
        <f>Phalombe!G126+Phalombe!H126+Phalombe!I126</f>
        <v>0</v>
      </c>
      <c r="J126" s="26">
        <f>Mikolongwe!G126+Mikolongwe!H126+Mikolongwe!I126</f>
        <v>2</v>
      </c>
      <c r="K126" s="26">
        <f>Migowi!G126+Migowi!H126+Migowi!I126</f>
        <v>0</v>
      </c>
      <c r="L126" s="32">
        <f>SUM(D126:K126)</f>
        <v>2</v>
      </c>
    </row>
    <row r="127" spans="1:12" ht="15.6" x14ac:dyDescent="0.3">
      <c r="A127" s="674"/>
      <c r="B127" s="82" t="s">
        <v>88</v>
      </c>
      <c r="C127" s="11" t="s">
        <v>3</v>
      </c>
      <c r="D127" s="26">
        <f>Mulanje!G127+Mulanje!H127+Mulanje!I127</f>
        <v>0</v>
      </c>
      <c r="E127" s="26">
        <f>Luchenza!G127+Luchenza!H127+Luchenza!I127</f>
        <v>0</v>
      </c>
      <c r="F127" s="26">
        <f>Thyolo!G127+Thyolo!H127+Thyolo!I127</f>
        <v>0</v>
      </c>
      <c r="G127" s="26">
        <f>Muloza!G127+Muloza!H127+Muloza!I127</f>
        <v>0</v>
      </c>
      <c r="H127" s="26">
        <f>MUST!G127+MUST!H127+MUST!I127</f>
        <v>0</v>
      </c>
      <c r="I127" s="26">
        <f>Phalombe!G127+Phalombe!H127+Phalombe!I127</f>
        <v>0</v>
      </c>
      <c r="J127" s="26">
        <f>Mikolongwe!G127+Mikolongwe!H127+Mikolongwe!I127</f>
        <v>0</v>
      </c>
      <c r="K127" s="26">
        <f>Migowi!G127+Migowi!H127+Migowi!I127</f>
        <v>0</v>
      </c>
      <c r="L127" s="32">
        <f>SUM(D127:K127)</f>
        <v>0</v>
      </c>
    </row>
    <row r="128" spans="1:12" ht="15.6" x14ac:dyDescent="0.3">
      <c r="A128" s="674"/>
      <c r="B128" s="24" t="s">
        <v>82</v>
      </c>
      <c r="C128" s="11" t="s">
        <v>3</v>
      </c>
      <c r="D128" s="26">
        <f>Mulanje!G128+Mulanje!H128+Mulanje!I128</f>
        <v>0</v>
      </c>
      <c r="E128" s="26">
        <f>Luchenza!G128+Luchenza!H128+Luchenza!I128</f>
        <v>0</v>
      </c>
      <c r="F128" s="26">
        <f>Thyolo!G128+Thyolo!H128+Thyolo!I128</f>
        <v>0</v>
      </c>
      <c r="G128" s="26">
        <f>Muloza!G128+Muloza!H128+Muloza!I128</f>
        <v>0</v>
      </c>
      <c r="H128" s="26">
        <f>MUST!G128+MUST!H128+MUST!I128</f>
        <v>0</v>
      </c>
      <c r="I128" s="26">
        <f>Phalombe!G128+Phalombe!H128+Phalombe!I128</f>
        <v>0</v>
      </c>
      <c r="J128" s="26">
        <f>Mikolongwe!G128+Mikolongwe!H128+Mikolongwe!I128</f>
        <v>0</v>
      </c>
      <c r="K128" s="26">
        <f>Migowi!G128+Migowi!H128+Migowi!I128</f>
        <v>0</v>
      </c>
      <c r="L128" s="32">
        <f>SUM(D128:K128)</f>
        <v>0</v>
      </c>
    </row>
    <row r="129" spans="1:12" ht="15.6" x14ac:dyDescent="0.3">
      <c r="A129" s="675"/>
      <c r="B129" s="24" t="s">
        <v>81</v>
      </c>
      <c r="C129" s="11" t="s">
        <v>3</v>
      </c>
      <c r="D129" s="139">
        <f t="shared" ref="D129:L129" si="42">D125+D126-D127-D128</f>
        <v>0</v>
      </c>
      <c r="E129" s="139">
        <f t="shared" si="42"/>
        <v>0</v>
      </c>
      <c r="F129" s="139">
        <f t="shared" si="42"/>
        <v>0</v>
      </c>
      <c r="G129" s="139">
        <f t="shared" si="42"/>
        <v>0</v>
      </c>
      <c r="H129" s="139">
        <f t="shared" si="42"/>
        <v>0</v>
      </c>
      <c r="I129" s="139">
        <f t="shared" si="42"/>
        <v>0</v>
      </c>
      <c r="J129" s="139">
        <f t="shared" si="42"/>
        <v>2</v>
      </c>
      <c r="K129" s="139">
        <f t="shared" si="42"/>
        <v>0</v>
      </c>
      <c r="L129" s="32">
        <f t="shared" si="42"/>
        <v>2</v>
      </c>
    </row>
    <row r="130" spans="1:12" ht="15.6" x14ac:dyDescent="0.3">
      <c r="A130" s="673" t="s">
        <v>231</v>
      </c>
      <c r="B130" s="28" t="s">
        <v>85</v>
      </c>
      <c r="C130" s="27" t="s">
        <v>3</v>
      </c>
      <c r="D130" s="26">
        <f>Mulanje!G130</f>
        <v>0</v>
      </c>
      <c r="E130" s="26">
        <f>Luchenza!G130</f>
        <v>0</v>
      </c>
      <c r="F130" s="26">
        <f>Thyolo!G130</f>
        <v>0</v>
      </c>
      <c r="G130" s="26">
        <f>Muloza!G130</f>
        <v>0</v>
      </c>
      <c r="H130" s="26">
        <f>MUST!G130</f>
        <v>0</v>
      </c>
      <c r="I130" s="26">
        <f>Phalombe!G130</f>
        <v>0</v>
      </c>
      <c r="J130" s="26">
        <f>Mikolongwe!G130</f>
        <v>0</v>
      </c>
      <c r="K130" s="26">
        <f>Migowi!G130</f>
        <v>0</v>
      </c>
      <c r="L130" s="32">
        <f>D130</f>
        <v>0</v>
      </c>
    </row>
    <row r="131" spans="1:12" ht="15.6" x14ac:dyDescent="0.3">
      <c r="A131" s="674"/>
      <c r="B131" s="24" t="s">
        <v>84</v>
      </c>
      <c r="C131" s="11" t="s">
        <v>3</v>
      </c>
      <c r="D131" s="26">
        <f>Mulanje!G131+Mulanje!H131+Mulanje!I131</f>
        <v>0</v>
      </c>
      <c r="E131" s="26">
        <f>Luchenza!G131+Luchenza!H131+Luchenza!I131</f>
        <v>0</v>
      </c>
      <c r="F131" s="26">
        <f>Thyolo!G131+Thyolo!H131+Thyolo!I131</f>
        <v>2</v>
      </c>
      <c r="G131" s="26">
        <f>Muloza!G131+Muloza!H131+Muloza!I131</f>
        <v>0</v>
      </c>
      <c r="H131" s="26">
        <f>MUST!G131+MUST!H131+MUST!I131</f>
        <v>0</v>
      </c>
      <c r="I131" s="26">
        <f>Phalombe!G131+Phalombe!H131+Phalombe!I131</f>
        <v>0</v>
      </c>
      <c r="J131" s="26">
        <f>Mikolongwe!G131+Mikolongwe!H131+Mikolongwe!I131</f>
        <v>0</v>
      </c>
      <c r="K131" s="26">
        <f>Migowi!G131+Migowi!H131+Migowi!I131</f>
        <v>0</v>
      </c>
      <c r="L131" s="32">
        <f>SUM(D131:K131)</f>
        <v>2</v>
      </c>
    </row>
    <row r="132" spans="1:12" ht="15.6" x14ac:dyDescent="0.3">
      <c r="A132" s="674"/>
      <c r="B132" s="82" t="s">
        <v>88</v>
      </c>
      <c r="C132" s="11" t="s">
        <v>3</v>
      </c>
      <c r="D132" s="26">
        <f>Mulanje!G132+Mulanje!H132+Mulanje!I132</f>
        <v>0</v>
      </c>
      <c r="E132" s="26">
        <f>Luchenza!G132+Luchenza!H132+Luchenza!I132</f>
        <v>0</v>
      </c>
      <c r="F132" s="26">
        <f>Thyolo!G132+Thyolo!H132+Thyolo!I132</f>
        <v>2</v>
      </c>
      <c r="G132" s="26">
        <f>Muloza!G132+Muloza!H132+Muloza!I132</f>
        <v>0</v>
      </c>
      <c r="H132" s="26">
        <f>MUST!G132+MUST!H132+MUST!I132</f>
        <v>0</v>
      </c>
      <c r="I132" s="26">
        <f>Phalombe!G132+Phalombe!H132+Phalombe!I132</f>
        <v>0</v>
      </c>
      <c r="J132" s="26">
        <f>Mikolongwe!G132+Mikolongwe!H132+Mikolongwe!I132</f>
        <v>0</v>
      </c>
      <c r="K132" s="26">
        <f>Migowi!G132+Migowi!H132+Migowi!I132</f>
        <v>0</v>
      </c>
      <c r="L132" s="32">
        <f>SUM(D132:K132)</f>
        <v>2</v>
      </c>
    </row>
    <row r="133" spans="1:12" ht="15.6" x14ac:dyDescent="0.3">
      <c r="A133" s="674"/>
      <c r="B133" s="24" t="s">
        <v>82</v>
      </c>
      <c r="C133" s="11" t="s">
        <v>3</v>
      </c>
      <c r="D133" s="26">
        <f>Mulanje!G133+Mulanje!H133+Mulanje!I133</f>
        <v>0</v>
      </c>
      <c r="E133" s="26">
        <f>Luchenza!G133+Luchenza!H133+Luchenza!I133</f>
        <v>0</v>
      </c>
      <c r="F133" s="26">
        <f>Thyolo!G133+Thyolo!H133+Thyolo!I133</f>
        <v>0</v>
      </c>
      <c r="G133" s="26">
        <f>Muloza!G133+Muloza!H133+Muloza!I133</f>
        <v>0</v>
      </c>
      <c r="H133" s="26">
        <f>MUST!G133+MUST!H133+MUST!I133</f>
        <v>0</v>
      </c>
      <c r="I133" s="26">
        <f>Phalombe!G133+Phalombe!H133+Phalombe!I133</f>
        <v>0</v>
      </c>
      <c r="J133" s="26">
        <f>Mikolongwe!G133+Mikolongwe!H133+Mikolongwe!I133</f>
        <v>0</v>
      </c>
      <c r="K133" s="26">
        <f>Migowi!G133+Migowi!H133+Migowi!I133</f>
        <v>0</v>
      </c>
      <c r="L133" s="32">
        <f>SUM(D133:K133)</f>
        <v>0</v>
      </c>
    </row>
    <row r="134" spans="1:12" ht="15.6" x14ac:dyDescent="0.3">
      <c r="A134" s="675"/>
      <c r="B134" s="24" t="s">
        <v>81</v>
      </c>
      <c r="C134" s="11" t="s">
        <v>3</v>
      </c>
      <c r="D134" s="139">
        <f t="shared" ref="D134:L134" si="43">D130+D131-D132-D133</f>
        <v>0</v>
      </c>
      <c r="E134" s="139">
        <f t="shared" si="43"/>
        <v>0</v>
      </c>
      <c r="F134" s="139">
        <f t="shared" si="43"/>
        <v>0</v>
      </c>
      <c r="G134" s="139">
        <f t="shared" si="43"/>
        <v>0</v>
      </c>
      <c r="H134" s="139">
        <f t="shared" si="43"/>
        <v>0</v>
      </c>
      <c r="I134" s="139">
        <f t="shared" si="43"/>
        <v>0</v>
      </c>
      <c r="J134" s="139">
        <f t="shared" si="43"/>
        <v>0</v>
      </c>
      <c r="K134" s="139">
        <f t="shared" si="43"/>
        <v>0</v>
      </c>
      <c r="L134" s="32">
        <f t="shared" si="43"/>
        <v>0</v>
      </c>
    </row>
    <row r="135" spans="1:12" ht="15.6" x14ac:dyDescent="0.3">
      <c r="A135" s="673" t="s">
        <v>89</v>
      </c>
      <c r="B135" s="24" t="s">
        <v>85</v>
      </c>
      <c r="C135" s="11" t="s">
        <v>3</v>
      </c>
      <c r="D135" s="26">
        <f>Mulanje!G135</f>
        <v>0</v>
      </c>
      <c r="E135" s="26">
        <f>Luchenza!G135</f>
        <v>0</v>
      </c>
      <c r="F135" s="26">
        <f>Thyolo!G135</f>
        <v>0</v>
      </c>
      <c r="G135" s="26">
        <f>Muloza!G135</f>
        <v>0</v>
      </c>
      <c r="H135" s="26">
        <f>MUST!G135</f>
        <v>0</v>
      </c>
      <c r="I135" s="26">
        <f>Phalombe!G135</f>
        <v>0</v>
      </c>
      <c r="J135" s="26">
        <f>Mikolongwe!G135</f>
        <v>0</v>
      </c>
      <c r="K135" s="26">
        <f>Migowi!G135</f>
        <v>0</v>
      </c>
      <c r="L135" s="32">
        <f>D135</f>
        <v>0</v>
      </c>
    </row>
    <row r="136" spans="1:12" ht="15.6" x14ac:dyDescent="0.3">
      <c r="A136" s="674"/>
      <c r="B136" s="24" t="s">
        <v>84</v>
      </c>
      <c r="C136" s="11" t="s">
        <v>3</v>
      </c>
      <c r="D136" s="26">
        <f>Mulanje!G136+Mulanje!H136+Mulanje!I136</f>
        <v>0</v>
      </c>
      <c r="E136" s="26">
        <f>Luchenza!G136+Luchenza!H136+Luchenza!I136</f>
        <v>0</v>
      </c>
      <c r="F136" s="26">
        <f>Thyolo!G136+Thyolo!H136+Thyolo!I136</f>
        <v>0</v>
      </c>
      <c r="G136" s="26">
        <f>Muloza!G136+Muloza!H136+Muloza!I136</f>
        <v>0</v>
      </c>
      <c r="H136" s="26">
        <f>MUST!G136+MUST!H136+MUST!I136</f>
        <v>0</v>
      </c>
      <c r="I136" s="26">
        <f>Phalombe!G136+Phalombe!H136+Phalombe!I136</f>
        <v>0</v>
      </c>
      <c r="J136" s="26">
        <f>Mikolongwe!G136+Mikolongwe!H136+Mikolongwe!I136</f>
        <v>0</v>
      </c>
      <c r="K136" s="26">
        <f>Migowi!G136+Migowi!H136+Migowi!I136</f>
        <v>0</v>
      </c>
      <c r="L136" s="32">
        <f>SUM(D136:K136)</f>
        <v>0</v>
      </c>
    </row>
    <row r="137" spans="1:12" ht="15.6" x14ac:dyDescent="0.3">
      <c r="A137" s="674"/>
      <c r="B137" s="82" t="s">
        <v>88</v>
      </c>
      <c r="C137" s="11" t="s">
        <v>3</v>
      </c>
      <c r="D137" s="26">
        <f>Mulanje!G137+Mulanje!H137+Mulanje!I137</f>
        <v>0</v>
      </c>
      <c r="E137" s="26">
        <f>Luchenza!G137+Luchenza!H137+Luchenza!I137</f>
        <v>0</v>
      </c>
      <c r="F137" s="26">
        <f>Thyolo!G137+Thyolo!H137+Thyolo!I137</f>
        <v>0</v>
      </c>
      <c r="G137" s="26">
        <f>Muloza!G137+Muloza!H137+Muloza!I137</f>
        <v>0</v>
      </c>
      <c r="H137" s="26">
        <f>MUST!G137+MUST!H137+MUST!I137</f>
        <v>0</v>
      </c>
      <c r="I137" s="26">
        <f>Phalombe!G137+Phalombe!H137+Phalombe!I137</f>
        <v>0</v>
      </c>
      <c r="J137" s="26">
        <f>Mikolongwe!G137+Mikolongwe!H137+Mikolongwe!I137</f>
        <v>0</v>
      </c>
      <c r="K137" s="26">
        <f>Migowi!G137+Migowi!H137+Migowi!I137</f>
        <v>0</v>
      </c>
      <c r="L137" s="32">
        <f>SUM(D137:K137)</f>
        <v>0</v>
      </c>
    </row>
    <row r="138" spans="1:12" ht="15.6" x14ac:dyDescent="0.3">
      <c r="A138" s="674"/>
      <c r="B138" s="24" t="s">
        <v>82</v>
      </c>
      <c r="C138" s="11" t="s">
        <v>3</v>
      </c>
      <c r="D138" s="26">
        <f>Mulanje!G138+Mulanje!H138+Mulanje!I138</f>
        <v>0</v>
      </c>
      <c r="E138" s="26">
        <f>Luchenza!G138+Luchenza!H138+Luchenza!I138</f>
        <v>0</v>
      </c>
      <c r="F138" s="26">
        <f>Thyolo!G138+Thyolo!H138+Thyolo!I138</f>
        <v>0</v>
      </c>
      <c r="G138" s="26">
        <f>Muloza!G138+Muloza!H138+Muloza!I138</f>
        <v>0</v>
      </c>
      <c r="H138" s="26">
        <f>MUST!G138+MUST!H138+MUST!I138</f>
        <v>0</v>
      </c>
      <c r="I138" s="26">
        <f>Phalombe!G138+Phalombe!H138+Phalombe!I138</f>
        <v>0</v>
      </c>
      <c r="J138" s="26">
        <f>Mikolongwe!G138+Mikolongwe!H138+Mikolongwe!I138</f>
        <v>0</v>
      </c>
      <c r="K138" s="26">
        <f>Migowi!G138+Migowi!H138+Migowi!I138</f>
        <v>0</v>
      </c>
      <c r="L138" s="32">
        <f>SUM(D138:K138)</f>
        <v>0</v>
      </c>
    </row>
    <row r="139" spans="1:12" ht="15.6" x14ac:dyDescent="0.3">
      <c r="A139" s="675"/>
      <c r="B139" s="24" t="s">
        <v>81</v>
      </c>
      <c r="C139" s="11" t="s">
        <v>3</v>
      </c>
      <c r="D139" s="139">
        <f t="shared" ref="D139:L139" si="44">D135+D136-D137-D138</f>
        <v>0</v>
      </c>
      <c r="E139" s="139">
        <f t="shared" si="44"/>
        <v>0</v>
      </c>
      <c r="F139" s="139">
        <f t="shared" si="44"/>
        <v>0</v>
      </c>
      <c r="G139" s="139">
        <f t="shared" si="44"/>
        <v>0</v>
      </c>
      <c r="H139" s="139">
        <f t="shared" si="44"/>
        <v>0</v>
      </c>
      <c r="I139" s="139">
        <f t="shared" si="44"/>
        <v>0</v>
      </c>
      <c r="J139" s="139">
        <f t="shared" si="44"/>
        <v>0</v>
      </c>
      <c r="K139" s="139">
        <f t="shared" si="44"/>
        <v>0</v>
      </c>
      <c r="L139" s="32">
        <f t="shared" si="44"/>
        <v>0</v>
      </c>
    </row>
    <row r="140" spans="1:12" ht="15.6" x14ac:dyDescent="0.3">
      <c r="A140" s="673" t="s">
        <v>87</v>
      </c>
      <c r="B140" s="24" t="s">
        <v>85</v>
      </c>
      <c r="C140" s="11" t="s">
        <v>3</v>
      </c>
      <c r="D140" s="26">
        <f>Mulanje!G140</f>
        <v>99</v>
      </c>
      <c r="E140" s="26">
        <f>Luchenza!G140</f>
        <v>24</v>
      </c>
      <c r="F140" s="26">
        <f>Thyolo!G140</f>
        <v>47</v>
      </c>
      <c r="G140" s="26">
        <f>Muloza!G140</f>
        <v>0</v>
      </c>
      <c r="H140" s="26">
        <f>MUST!G140</f>
        <v>0</v>
      </c>
      <c r="I140" s="26">
        <f>Phalombe!G140</f>
        <v>35</v>
      </c>
      <c r="J140" s="26">
        <f>Mikolongwe!G140</f>
        <v>0</v>
      </c>
      <c r="K140" s="26">
        <f>Migowi!G140</f>
        <v>0</v>
      </c>
      <c r="L140" s="32">
        <f>D140</f>
        <v>99</v>
      </c>
    </row>
    <row r="141" spans="1:12" ht="15.6" x14ac:dyDescent="0.3">
      <c r="A141" s="674"/>
      <c r="B141" s="24" t="s">
        <v>84</v>
      </c>
      <c r="C141" s="11" t="s">
        <v>3</v>
      </c>
      <c r="D141" s="26">
        <f>Mulanje!G141+Mulanje!H141+Mulanje!I141</f>
        <v>95</v>
      </c>
      <c r="E141" s="26">
        <f>Luchenza!G141+Luchenza!H141+Luchenza!I141</f>
        <v>61</v>
      </c>
      <c r="F141" s="26">
        <f>Thyolo!G141+Thyolo!H141+Thyolo!I141</f>
        <v>58</v>
      </c>
      <c r="G141" s="26">
        <f>Muloza!G141+Muloza!H141+Muloza!I141</f>
        <v>20</v>
      </c>
      <c r="H141" s="26">
        <f>MUST!G141+MUST!H141+MUST!I141</f>
        <v>1</v>
      </c>
      <c r="I141" s="26">
        <f>Phalombe!G141+Phalombe!H141+Phalombe!I141</f>
        <v>57</v>
      </c>
      <c r="J141" s="26">
        <f>Mikolongwe!G141+Mikolongwe!H141+Mikolongwe!I141</f>
        <v>1</v>
      </c>
      <c r="K141" s="26">
        <f>Migowi!G141+Migowi!H141+Migowi!I141</f>
        <v>0</v>
      </c>
      <c r="L141" s="32">
        <f>SUM(D141:K141)</f>
        <v>293</v>
      </c>
    </row>
    <row r="142" spans="1:12" ht="15.6" x14ac:dyDescent="0.3">
      <c r="A142" s="674"/>
      <c r="B142" s="24" t="s">
        <v>83</v>
      </c>
      <c r="C142" s="11" t="s">
        <v>3</v>
      </c>
      <c r="D142" s="26">
        <f>Mulanje!G142+Mulanje!H142+Mulanje!I142</f>
        <v>87</v>
      </c>
      <c r="E142" s="26">
        <f>Luchenza!G142+Luchenza!H142+Luchenza!I142</f>
        <v>42</v>
      </c>
      <c r="F142" s="26">
        <f>Thyolo!G142+Thyolo!H142+Thyolo!I142</f>
        <v>28</v>
      </c>
      <c r="G142" s="26">
        <f>Muloza!G142+Muloza!H142+Muloza!I142</f>
        <v>9</v>
      </c>
      <c r="H142" s="26">
        <f>MUST!G142+MUST!H142+MUST!I142</f>
        <v>1</v>
      </c>
      <c r="I142" s="26">
        <f>Phalombe!G142+Phalombe!H142+Phalombe!I142</f>
        <v>37</v>
      </c>
      <c r="J142" s="26">
        <f>Mikolongwe!G142+Mikolongwe!H142+Mikolongwe!I142</f>
        <v>1</v>
      </c>
      <c r="K142" s="26">
        <f>Migowi!G142+Migowi!H142+Migowi!I142</f>
        <v>0</v>
      </c>
      <c r="L142" s="32">
        <f>SUM(D142:K142)</f>
        <v>205</v>
      </c>
    </row>
    <row r="143" spans="1:12" ht="15.6" x14ac:dyDescent="0.3">
      <c r="A143" s="674"/>
      <c r="B143" s="24" t="s">
        <v>82</v>
      </c>
      <c r="C143" s="11" t="s">
        <v>3</v>
      </c>
      <c r="D143" s="26">
        <f>Mulanje!G143+Mulanje!H143+Mulanje!I143</f>
        <v>8</v>
      </c>
      <c r="E143" s="26">
        <f>Luchenza!G143+Luchenza!H143+Luchenza!I143</f>
        <v>7</v>
      </c>
      <c r="F143" s="26">
        <f>Thyolo!G143+Thyolo!H143+Thyolo!I143</f>
        <v>25</v>
      </c>
      <c r="G143" s="26">
        <f>Muloza!G143+Muloza!H143+Muloza!I143</f>
        <v>11</v>
      </c>
      <c r="H143" s="26">
        <f>MUST!G143+MUST!H143+MUST!I143</f>
        <v>0</v>
      </c>
      <c r="I143" s="26">
        <f>Phalombe!G143+Phalombe!H143+Phalombe!I143</f>
        <v>45</v>
      </c>
      <c r="J143" s="26">
        <f>Mikolongwe!G143+Mikolongwe!H143+Mikolongwe!I143</f>
        <v>0</v>
      </c>
      <c r="K143" s="26">
        <f>Migowi!G143+Migowi!H143+Migowi!I143</f>
        <v>0</v>
      </c>
      <c r="L143" s="32">
        <f>SUM(D143:K143)</f>
        <v>96</v>
      </c>
    </row>
    <row r="144" spans="1:12" ht="15.6" x14ac:dyDescent="0.3">
      <c r="A144" s="675"/>
      <c r="B144" s="24" t="s">
        <v>81</v>
      </c>
      <c r="C144" s="11" t="s">
        <v>3</v>
      </c>
      <c r="D144" s="139">
        <f t="shared" ref="D144:L144" si="45">D140+D141-D142-D143</f>
        <v>99</v>
      </c>
      <c r="E144" s="139">
        <f t="shared" si="45"/>
        <v>36</v>
      </c>
      <c r="F144" s="139">
        <f t="shared" si="45"/>
        <v>52</v>
      </c>
      <c r="G144" s="139">
        <f t="shared" si="45"/>
        <v>0</v>
      </c>
      <c r="H144" s="139">
        <f t="shared" si="45"/>
        <v>0</v>
      </c>
      <c r="I144" s="139">
        <f t="shared" si="45"/>
        <v>10</v>
      </c>
      <c r="J144" s="139">
        <f t="shared" si="45"/>
        <v>0</v>
      </c>
      <c r="K144" s="139">
        <f t="shared" si="45"/>
        <v>0</v>
      </c>
      <c r="L144" s="32">
        <f t="shared" si="45"/>
        <v>91</v>
      </c>
    </row>
    <row r="145" spans="1:12" s="2" customFormat="1" ht="15.6" x14ac:dyDescent="0.3">
      <c r="A145" s="673" t="s">
        <v>86</v>
      </c>
      <c r="B145" s="24" t="s">
        <v>85</v>
      </c>
      <c r="C145" s="11" t="s">
        <v>3</v>
      </c>
      <c r="D145" s="140">
        <f>D125+D130+D135+D140</f>
        <v>99</v>
      </c>
      <c r="E145" s="140">
        <f t="shared" ref="E145:L149" si="46">E125+E130+E135+E140</f>
        <v>24</v>
      </c>
      <c r="F145" s="140">
        <f t="shared" si="46"/>
        <v>47</v>
      </c>
      <c r="G145" s="140">
        <f t="shared" si="46"/>
        <v>0</v>
      </c>
      <c r="H145" s="140">
        <f t="shared" si="46"/>
        <v>0</v>
      </c>
      <c r="I145" s="140">
        <f t="shared" si="46"/>
        <v>35</v>
      </c>
      <c r="J145" s="140">
        <f t="shared" si="46"/>
        <v>0</v>
      </c>
      <c r="K145" s="140">
        <f t="shared" si="46"/>
        <v>0</v>
      </c>
      <c r="L145" s="55">
        <f t="shared" si="46"/>
        <v>99</v>
      </c>
    </row>
    <row r="146" spans="1:12" ht="15.6" x14ac:dyDescent="0.3">
      <c r="A146" s="674"/>
      <c r="B146" s="24" t="s">
        <v>84</v>
      </c>
      <c r="C146" s="11" t="s">
        <v>3</v>
      </c>
      <c r="D146" s="140">
        <f t="shared" ref="D146:K148" si="47">D126+D131+D136+D141</f>
        <v>95</v>
      </c>
      <c r="E146" s="140">
        <f t="shared" si="47"/>
        <v>61</v>
      </c>
      <c r="F146" s="140">
        <f t="shared" si="47"/>
        <v>60</v>
      </c>
      <c r="G146" s="140">
        <f t="shared" si="47"/>
        <v>20</v>
      </c>
      <c r="H146" s="140">
        <f t="shared" si="47"/>
        <v>1</v>
      </c>
      <c r="I146" s="140">
        <f t="shared" si="47"/>
        <v>57</v>
      </c>
      <c r="J146" s="140">
        <f t="shared" si="47"/>
        <v>3</v>
      </c>
      <c r="K146" s="140">
        <f t="shared" si="47"/>
        <v>0</v>
      </c>
      <c r="L146" s="55">
        <f t="shared" si="46"/>
        <v>297</v>
      </c>
    </row>
    <row r="147" spans="1:12" ht="15.6" x14ac:dyDescent="0.3">
      <c r="A147" s="674"/>
      <c r="B147" s="24" t="s">
        <v>83</v>
      </c>
      <c r="C147" s="11" t="s">
        <v>3</v>
      </c>
      <c r="D147" s="140">
        <f t="shared" si="47"/>
        <v>87</v>
      </c>
      <c r="E147" s="140">
        <f t="shared" si="47"/>
        <v>42</v>
      </c>
      <c r="F147" s="140">
        <f t="shared" si="47"/>
        <v>30</v>
      </c>
      <c r="G147" s="140">
        <f t="shared" si="47"/>
        <v>9</v>
      </c>
      <c r="H147" s="140">
        <f t="shared" si="47"/>
        <v>1</v>
      </c>
      <c r="I147" s="140">
        <f t="shared" si="47"/>
        <v>37</v>
      </c>
      <c r="J147" s="140">
        <f t="shared" si="47"/>
        <v>1</v>
      </c>
      <c r="K147" s="140">
        <f t="shared" si="47"/>
        <v>0</v>
      </c>
      <c r="L147" s="55">
        <f t="shared" si="46"/>
        <v>207</v>
      </c>
    </row>
    <row r="148" spans="1:12" ht="15.6" x14ac:dyDescent="0.3">
      <c r="A148" s="674"/>
      <c r="B148" s="24" t="s">
        <v>82</v>
      </c>
      <c r="C148" s="11" t="s">
        <v>3</v>
      </c>
      <c r="D148" s="140">
        <f t="shared" si="47"/>
        <v>8</v>
      </c>
      <c r="E148" s="140">
        <f t="shared" si="47"/>
        <v>7</v>
      </c>
      <c r="F148" s="140">
        <f t="shared" si="47"/>
        <v>25</v>
      </c>
      <c r="G148" s="140">
        <f t="shared" si="47"/>
        <v>11</v>
      </c>
      <c r="H148" s="140">
        <f t="shared" si="47"/>
        <v>0</v>
      </c>
      <c r="I148" s="140">
        <f t="shared" si="47"/>
        <v>45</v>
      </c>
      <c r="J148" s="140">
        <f t="shared" si="47"/>
        <v>0</v>
      </c>
      <c r="K148" s="140">
        <f t="shared" si="47"/>
        <v>0</v>
      </c>
      <c r="L148" s="55">
        <f t="shared" si="46"/>
        <v>96</v>
      </c>
    </row>
    <row r="149" spans="1:12" ht="15.6" x14ac:dyDescent="0.3">
      <c r="A149" s="675"/>
      <c r="B149" s="24" t="s">
        <v>81</v>
      </c>
      <c r="C149" s="11" t="s">
        <v>3</v>
      </c>
      <c r="D149" s="139">
        <f>D145+D146-D147-D148</f>
        <v>99</v>
      </c>
      <c r="E149" s="139">
        <f t="shared" ref="E149:K149" si="48">E145+E146-E147-E148</f>
        <v>36</v>
      </c>
      <c r="F149" s="139">
        <f t="shared" si="48"/>
        <v>52</v>
      </c>
      <c r="G149" s="139">
        <f t="shared" si="48"/>
        <v>0</v>
      </c>
      <c r="H149" s="139">
        <f t="shared" si="48"/>
        <v>0</v>
      </c>
      <c r="I149" s="139">
        <f t="shared" si="48"/>
        <v>10</v>
      </c>
      <c r="J149" s="139">
        <f t="shared" si="48"/>
        <v>2</v>
      </c>
      <c r="K149" s="139">
        <f t="shared" si="48"/>
        <v>0</v>
      </c>
      <c r="L149" s="55">
        <f t="shared" si="46"/>
        <v>93</v>
      </c>
    </row>
    <row r="150" spans="1:12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1"/>
    </row>
    <row r="151" spans="1:12" ht="15.6" customHeight="1" x14ac:dyDescent="0.3">
      <c r="A151" s="729" t="s">
        <v>79</v>
      </c>
      <c r="B151" s="730"/>
      <c r="C151" s="730"/>
      <c r="D151" s="730"/>
      <c r="E151" s="730"/>
      <c r="F151" s="730"/>
      <c r="G151" s="730"/>
      <c r="H151" s="730"/>
      <c r="I151" s="730"/>
      <c r="J151" s="730"/>
      <c r="K151" s="730"/>
      <c r="L151" s="731"/>
    </row>
    <row r="152" spans="1:12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619"/>
    </row>
    <row r="153" spans="1:12" ht="15.6" x14ac:dyDescent="0.3">
      <c r="A153" s="671"/>
      <c r="B153" s="19" t="s">
        <v>73</v>
      </c>
      <c r="C153" s="11" t="s">
        <v>57</v>
      </c>
      <c r="D153" s="26">
        <f>Mulanje!G153+Mulanje!H153+Mulanje!I153</f>
        <v>62</v>
      </c>
      <c r="E153" s="26">
        <f>Luchenza!G153+Luchenza!H153+Luchenza!I153</f>
        <v>271</v>
      </c>
      <c r="F153" s="26">
        <f>Thyolo!G153+Thyolo!H153+Thyolo!I153</f>
        <v>127</v>
      </c>
      <c r="G153" s="26">
        <f>Muloza!G153+Muloza!H153+Muloza!I153</f>
        <v>21</v>
      </c>
      <c r="H153" s="26">
        <f>MUST!G153+MUST!H153+MUST!I153</f>
        <v>5</v>
      </c>
      <c r="I153" s="26">
        <f>Phalombe!G153+Phalombe!H153+Phalombe!I153</f>
        <v>22</v>
      </c>
      <c r="J153" s="26">
        <f>Mikolongwe!G153+Mikolongwe!H153+Mikolongwe!I153</f>
        <v>2</v>
      </c>
      <c r="K153" s="26">
        <f>Migowi!G153+Migowi!H153+Migowi!I153</f>
        <v>2</v>
      </c>
      <c r="L153" s="619">
        <f t="shared" ref="L153:L165" si="49">SUM(D153:K153)</f>
        <v>512</v>
      </c>
    </row>
    <row r="154" spans="1:12" ht="15.6" x14ac:dyDescent="0.3">
      <c r="A154" s="671"/>
      <c r="B154" s="19" t="s">
        <v>72</v>
      </c>
      <c r="C154" s="11" t="s">
        <v>57</v>
      </c>
      <c r="D154" s="26">
        <f>Mulanje!G154+Mulanje!H154+Mulanje!I154</f>
        <v>26</v>
      </c>
      <c r="E154" s="26">
        <f>Luchenza!G154+Luchenza!H154+Luchenza!I154</f>
        <v>108</v>
      </c>
      <c r="F154" s="26">
        <f>Thyolo!G154+Thyolo!H154+Thyolo!I154</f>
        <v>69</v>
      </c>
      <c r="G154" s="26">
        <f>Muloza!G154+Muloza!H154+Muloza!I154</f>
        <v>11</v>
      </c>
      <c r="H154" s="26">
        <f>MUST!G154+MUST!H154+MUST!I154</f>
        <v>4</v>
      </c>
      <c r="I154" s="26">
        <f>Phalombe!G154+Phalombe!H154+Phalombe!I154</f>
        <v>14</v>
      </c>
      <c r="J154" s="26">
        <f>Mikolongwe!G154+Mikolongwe!H154+Mikolongwe!I154</f>
        <v>0</v>
      </c>
      <c r="K154" s="26">
        <f>Migowi!G154+Migowi!H154+Migowi!I154</f>
        <v>0</v>
      </c>
      <c r="L154" s="619">
        <f t="shared" si="49"/>
        <v>232</v>
      </c>
    </row>
    <row r="155" spans="1:12" ht="15.6" x14ac:dyDescent="0.3">
      <c r="A155" s="671"/>
      <c r="B155" s="19" t="s">
        <v>53</v>
      </c>
      <c r="C155" s="11" t="s">
        <v>57</v>
      </c>
      <c r="D155" s="26">
        <f>Mulanje!G155+Mulanje!H155+Mulanje!I155</f>
        <v>12</v>
      </c>
      <c r="E155" s="26">
        <f>Luchenza!G155+Luchenza!H155+Luchenza!I155</f>
        <v>43</v>
      </c>
      <c r="F155" s="26">
        <f>Thyolo!G155+Thyolo!H155+Thyolo!I155</f>
        <v>48</v>
      </c>
      <c r="G155" s="26">
        <f>Muloza!G155+Muloza!H155+Muloza!I155</f>
        <v>6</v>
      </c>
      <c r="H155" s="26">
        <f>MUST!G155+MUST!H155+MUST!I155</f>
        <v>0</v>
      </c>
      <c r="I155" s="26">
        <f>Phalombe!G155+Phalombe!H155+Phalombe!I155</f>
        <v>16</v>
      </c>
      <c r="J155" s="26">
        <f>Mikolongwe!G155+Mikolongwe!H155+Mikolongwe!I155</f>
        <v>0</v>
      </c>
      <c r="K155" s="26">
        <f>Migowi!G155+Migowi!H155+Migowi!I155</f>
        <v>0</v>
      </c>
      <c r="L155" s="619">
        <f t="shared" si="49"/>
        <v>125</v>
      </c>
    </row>
    <row r="156" spans="1:12" ht="15.6" x14ac:dyDescent="0.3">
      <c r="A156" s="671"/>
      <c r="B156" s="19" t="s">
        <v>71</v>
      </c>
      <c r="C156" s="11" t="s">
        <v>57</v>
      </c>
      <c r="D156" s="26">
        <f>Mulanje!G156+Mulanje!H156+Mulanje!I156</f>
        <v>2</v>
      </c>
      <c r="E156" s="26">
        <f>Luchenza!G156+Luchenza!H156+Luchenza!I156</f>
        <v>4</v>
      </c>
      <c r="F156" s="26">
        <f>Thyolo!G156+Thyolo!H156+Thyolo!I156</f>
        <v>2</v>
      </c>
      <c r="G156" s="26">
        <f>Muloza!G156+Muloza!H156+Muloza!I156</f>
        <v>3</v>
      </c>
      <c r="H156" s="26">
        <f>MUST!G156+MUST!H156+MUST!I156</f>
        <v>0</v>
      </c>
      <c r="I156" s="26">
        <f>Phalombe!G156+Phalombe!H156+Phalombe!I156</f>
        <v>3</v>
      </c>
      <c r="J156" s="26">
        <f>Mikolongwe!G156+Mikolongwe!H156+Mikolongwe!I156</f>
        <v>0</v>
      </c>
      <c r="K156" s="26">
        <f>Migowi!G156+Migowi!H156+Migowi!I156</f>
        <v>0</v>
      </c>
      <c r="L156" s="619">
        <f t="shared" si="49"/>
        <v>14</v>
      </c>
    </row>
    <row r="157" spans="1:12" ht="15.6" x14ac:dyDescent="0.3">
      <c r="A157" s="671"/>
      <c r="B157" s="19" t="s">
        <v>52</v>
      </c>
      <c r="C157" s="11" t="s">
        <v>57</v>
      </c>
      <c r="D157" s="26">
        <f>Mulanje!G157+Mulanje!H157+Mulanje!I157</f>
        <v>3</v>
      </c>
      <c r="E157" s="26">
        <f>Luchenza!G157+Luchenza!H157+Luchenza!I157</f>
        <v>9</v>
      </c>
      <c r="F157" s="26">
        <f>Thyolo!G157+Thyolo!H157+Thyolo!I157</f>
        <v>10</v>
      </c>
      <c r="G157" s="26">
        <f>Muloza!G157+Muloza!H157+Muloza!I157</f>
        <v>0</v>
      </c>
      <c r="H157" s="26">
        <f>MUST!G157+MUST!H157+MUST!I157</f>
        <v>3</v>
      </c>
      <c r="I157" s="26">
        <f>Phalombe!G157+Phalombe!H157+Phalombe!I157</f>
        <v>8</v>
      </c>
      <c r="J157" s="26">
        <f>Mikolongwe!G157+Mikolongwe!H157+Mikolongwe!I157</f>
        <v>0</v>
      </c>
      <c r="K157" s="26">
        <f>Migowi!G157+Migowi!H157+Migowi!I157</f>
        <v>0</v>
      </c>
      <c r="L157" s="619">
        <f t="shared" si="49"/>
        <v>33</v>
      </c>
    </row>
    <row r="158" spans="1:12" ht="15.6" x14ac:dyDescent="0.3">
      <c r="A158" s="671"/>
      <c r="B158" s="19" t="s">
        <v>51</v>
      </c>
      <c r="C158" s="11" t="s">
        <v>57</v>
      </c>
      <c r="D158" s="26">
        <f>Mulanje!G158+Mulanje!H158+Mulanje!I158</f>
        <v>2</v>
      </c>
      <c r="E158" s="26">
        <f>Luchenza!G158+Luchenza!H158+Luchenza!I158</f>
        <v>7</v>
      </c>
      <c r="F158" s="26">
        <f>Thyolo!G158+Thyolo!H158+Thyolo!I158</f>
        <v>5</v>
      </c>
      <c r="G158" s="26">
        <f>Muloza!G158+Muloza!H158+Muloza!I158</f>
        <v>1</v>
      </c>
      <c r="H158" s="26">
        <f>MUST!G158+MUST!H158+MUST!I158</f>
        <v>0</v>
      </c>
      <c r="I158" s="26">
        <f>Phalombe!G158+Phalombe!H158+Phalombe!I158</f>
        <v>9</v>
      </c>
      <c r="J158" s="26">
        <f>Mikolongwe!G158+Mikolongwe!H158+Mikolongwe!I158</f>
        <v>2</v>
      </c>
      <c r="K158" s="26">
        <f>Migowi!G158+Migowi!H158+Migowi!I158</f>
        <v>0</v>
      </c>
      <c r="L158" s="619">
        <f t="shared" si="49"/>
        <v>26</v>
      </c>
    </row>
    <row r="159" spans="1:12" ht="15.6" x14ac:dyDescent="0.3">
      <c r="A159" s="671"/>
      <c r="B159" s="19" t="s">
        <v>62</v>
      </c>
      <c r="C159" s="11" t="s">
        <v>57</v>
      </c>
      <c r="D159" s="26">
        <f>Mulanje!G159+Mulanje!H159+Mulanje!I159</f>
        <v>1</v>
      </c>
      <c r="E159" s="26">
        <f>Luchenza!G159+Luchenza!H159+Luchenza!I159</f>
        <v>0</v>
      </c>
      <c r="F159" s="26">
        <f>Thyolo!G159+Thyolo!H159+Thyolo!I159</f>
        <v>1</v>
      </c>
      <c r="G159" s="26">
        <f>Muloza!G159+Muloza!H159+Muloza!I159</f>
        <v>0</v>
      </c>
      <c r="H159" s="26">
        <f>MUST!G159+MUST!H159+MUST!I159</f>
        <v>1</v>
      </c>
      <c r="I159" s="26">
        <f>Phalombe!G159+Phalombe!H159+Phalombe!I159</f>
        <v>0</v>
      </c>
      <c r="J159" s="26">
        <f>Mikolongwe!G159+Mikolongwe!H159+Mikolongwe!I159</f>
        <v>0</v>
      </c>
      <c r="K159" s="26">
        <f>Migowi!G159+Migowi!H159+Migowi!I159</f>
        <v>0</v>
      </c>
      <c r="L159" s="619">
        <f t="shared" si="49"/>
        <v>3</v>
      </c>
    </row>
    <row r="160" spans="1:12" ht="15.6" x14ac:dyDescent="0.3">
      <c r="A160" s="671"/>
      <c r="B160" s="19" t="s">
        <v>50</v>
      </c>
      <c r="C160" s="11" t="s">
        <v>57</v>
      </c>
      <c r="D160" s="26">
        <f>Mulanje!G160+Mulanje!H160+Mulanje!I160</f>
        <v>1</v>
      </c>
      <c r="E160" s="26">
        <f>Luchenza!G160+Luchenza!H160+Luchenza!I160</f>
        <v>2</v>
      </c>
      <c r="F160" s="26">
        <f>Thyolo!G160+Thyolo!H160+Thyolo!I160</f>
        <v>6</v>
      </c>
      <c r="G160" s="26">
        <f>Muloza!G160+Muloza!H160+Muloza!I160</f>
        <v>0</v>
      </c>
      <c r="H160" s="26">
        <f>MUST!G160+MUST!H160+MUST!I160</f>
        <v>0</v>
      </c>
      <c r="I160" s="26">
        <f>Phalombe!G160+Phalombe!H160+Phalombe!I160</f>
        <v>3</v>
      </c>
      <c r="J160" s="26">
        <f>Mikolongwe!G160+Mikolongwe!H160+Mikolongwe!I160</f>
        <v>0</v>
      </c>
      <c r="K160" s="26">
        <f>Migowi!G160+Migowi!H160+Migowi!I160</f>
        <v>0</v>
      </c>
      <c r="L160" s="619">
        <f t="shared" si="49"/>
        <v>12</v>
      </c>
    </row>
    <row r="161" spans="1:12" ht="15.6" x14ac:dyDescent="0.3">
      <c r="A161" s="671"/>
      <c r="B161" s="19" t="s">
        <v>49</v>
      </c>
      <c r="C161" s="11" t="s">
        <v>57</v>
      </c>
      <c r="D161" s="26">
        <f>Mulanje!G161+Mulanje!H161+Mulanje!I161</f>
        <v>0</v>
      </c>
      <c r="E161" s="26">
        <f>Luchenza!G161+Luchenza!H161+Luchenza!I161</f>
        <v>0</v>
      </c>
      <c r="F161" s="26">
        <f>Thyolo!G161+Thyolo!H161+Thyolo!I161</f>
        <v>7</v>
      </c>
      <c r="G161" s="26">
        <f>Muloza!G161+Muloza!H161+Muloza!I161</f>
        <v>0</v>
      </c>
      <c r="H161" s="26">
        <f>MUST!G161+MUST!H161+MUST!I161</f>
        <v>0</v>
      </c>
      <c r="I161" s="26">
        <f>Phalombe!G161+Phalombe!H161+Phalombe!I161</f>
        <v>5</v>
      </c>
      <c r="J161" s="26">
        <f>Mikolongwe!G161+Mikolongwe!H161+Mikolongwe!I161</f>
        <v>0</v>
      </c>
      <c r="K161" s="26">
        <f>Migowi!G161+Migowi!H161+Migowi!I161</f>
        <v>0</v>
      </c>
      <c r="L161" s="619">
        <f t="shared" si="49"/>
        <v>12</v>
      </c>
    </row>
    <row r="162" spans="1:12" ht="15.6" x14ac:dyDescent="0.3">
      <c r="A162" s="671"/>
      <c r="B162" s="19" t="s">
        <v>77</v>
      </c>
      <c r="C162" s="11" t="s">
        <v>57</v>
      </c>
      <c r="D162" s="26">
        <f>Mulanje!G162+Mulanje!H162+Mulanje!I162</f>
        <v>2</v>
      </c>
      <c r="E162" s="26">
        <f>Luchenza!G162+Luchenza!H162+Luchenza!I162</f>
        <v>1</v>
      </c>
      <c r="F162" s="26">
        <f>Thyolo!G162+Thyolo!H162+Thyolo!I162</f>
        <v>5</v>
      </c>
      <c r="G162" s="26">
        <f>Muloza!G162+Muloza!H162+Muloza!I162</f>
        <v>0</v>
      </c>
      <c r="H162" s="26">
        <f>MUST!G162+MUST!H162+MUST!I162</f>
        <v>0</v>
      </c>
      <c r="I162" s="26">
        <f>Phalombe!G162+Phalombe!H162+Phalombe!I162</f>
        <v>0</v>
      </c>
      <c r="J162" s="26">
        <f>Mikolongwe!G162+Mikolongwe!H162+Mikolongwe!I162</f>
        <v>0</v>
      </c>
      <c r="K162" s="26">
        <f>Migowi!G162+Migowi!H162+Migowi!I162</f>
        <v>0</v>
      </c>
      <c r="L162" s="619">
        <f t="shared" si="49"/>
        <v>8</v>
      </c>
    </row>
    <row r="163" spans="1:12" ht="15.6" x14ac:dyDescent="0.3">
      <c r="A163" s="671"/>
      <c r="B163" s="19" t="s">
        <v>69</v>
      </c>
      <c r="C163" s="11" t="s">
        <v>57</v>
      </c>
      <c r="D163" s="26">
        <f>Mulanje!G163+Mulanje!H163+Mulanje!I163</f>
        <v>2</v>
      </c>
      <c r="E163" s="26">
        <f>Luchenza!G163+Luchenza!H163+Luchenza!I163</f>
        <v>2</v>
      </c>
      <c r="F163" s="26">
        <f>Thyolo!G163+Thyolo!H163+Thyolo!I163</f>
        <v>0</v>
      </c>
      <c r="G163" s="26">
        <f>Muloza!G163+Muloza!H163+Muloza!I163</f>
        <v>0</v>
      </c>
      <c r="H163" s="26">
        <f>MUST!G163+MUST!H163+MUST!I163</f>
        <v>0</v>
      </c>
      <c r="I163" s="26">
        <f>Phalombe!G163+Phalombe!H163+Phalombe!I163</f>
        <v>0</v>
      </c>
      <c r="J163" s="26">
        <f>Mikolongwe!G163+Mikolongwe!H163+Mikolongwe!I163</f>
        <v>0</v>
      </c>
      <c r="K163" s="26">
        <f>Migowi!G163+Migowi!H163+Migowi!I163</f>
        <v>0</v>
      </c>
      <c r="L163" s="619">
        <f t="shared" si="49"/>
        <v>4</v>
      </c>
    </row>
    <row r="164" spans="1:12" ht="15.6" x14ac:dyDescent="0.3">
      <c r="A164" s="671"/>
      <c r="B164" s="19" t="s">
        <v>68</v>
      </c>
      <c r="C164" s="11" t="s">
        <v>57</v>
      </c>
      <c r="D164" s="26">
        <f>Mulanje!G164+Mulanje!H164+Mulanje!I164</f>
        <v>0</v>
      </c>
      <c r="E164" s="26">
        <f>Luchenza!G164+Luchenza!H164+Luchenza!I164</f>
        <v>0</v>
      </c>
      <c r="F164" s="26">
        <f>Thyolo!G164+Thyolo!H164+Thyolo!I164</f>
        <v>0</v>
      </c>
      <c r="G164" s="26">
        <f>Muloza!G164+Muloza!H164+Muloza!I164</f>
        <v>0</v>
      </c>
      <c r="H164" s="26">
        <f>MUST!G164+MUST!H164+MUST!I164</f>
        <v>0</v>
      </c>
      <c r="I164" s="26">
        <f>Phalombe!G164+Phalombe!H164+Phalombe!I164</f>
        <v>0</v>
      </c>
      <c r="J164" s="26">
        <f>Mikolongwe!G164+Mikolongwe!H164+Mikolongwe!I164</f>
        <v>0</v>
      </c>
      <c r="K164" s="26">
        <f>Migowi!G164+Migowi!H164+Migowi!I164</f>
        <v>0</v>
      </c>
      <c r="L164" s="619">
        <f t="shared" si="49"/>
        <v>0</v>
      </c>
    </row>
    <row r="165" spans="1:12" ht="15.6" x14ac:dyDescent="0.3">
      <c r="A165" s="672"/>
      <c r="B165" s="19" t="s">
        <v>76</v>
      </c>
      <c r="C165" s="11" t="s">
        <v>57</v>
      </c>
      <c r="D165" s="26">
        <f>Mulanje!G165+Mulanje!H165+Mulanje!I165</f>
        <v>0</v>
      </c>
      <c r="E165" s="26">
        <f>Luchenza!G165+Luchenza!H165+Luchenza!I165</f>
        <v>0</v>
      </c>
      <c r="F165" s="26">
        <f>Thyolo!G165+Thyolo!H165+Thyolo!I165</f>
        <v>0</v>
      </c>
      <c r="G165" s="26">
        <f>Muloza!G165+Muloza!H165+Muloza!I165</f>
        <v>0</v>
      </c>
      <c r="H165" s="26">
        <f>MUST!G165+MUST!H165+MUST!I165</f>
        <v>0</v>
      </c>
      <c r="I165" s="26">
        <f>Phalombe!G165+Phalombe!H165+Phalombe!I165</f>
        <v>0</v>
      </c>
      <c r="J165" s="26">
        <f>Mikolongwe!G165+Mikolongwe!H165+Mikolongwe!I165</f>
        <v>0</v>
      </c>
      <c r="K165" s="26">
        <f>Migowi!G165+Migowi!H165+Migowi!I165</f>
        <v>0</v>
      </c>
      <c r="L165" s="619">
        <f t="shared" si="49"/>
        <v>0</v>
      </c>
    </row>
    <row r="166" spans="1:12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619"/>
    </row>
    <row r="167" spans="1:12" ht="15.6" x14ac:dyDescent="0.3">
      <c r="A167" s="671"/>
      <c r="B167" s="19" t="s">
        <v>74</v>
      </c>
      <c r="C167" s="11" t="s">
        <v>57</v>
      </c>
      <c r="D167" s="26">
        <f>Mulanje!G167+Mulanje!H167+Mulanje!I167</f>
        <v>0</v>
      </c>
      <c r="E167" s="26">
        <f>Luchenza!G167+Luchenza!H167+Luchenza!I167</f>
        <v>0</v>
      </c>
      <c r="F167" s="26">
        <f>Thyolo!G167+Thyolo!H167+Thyolo!I167</f>
        <v>9</v>
      </c>
      <c r="G167" s="26">
        <f>Muloza!G167+Muloza!H167+Muloza!I167</f>
        <v>0</v>
      </c>
      <c r="H167" s="26">
        <f>MUST!G167+MUST!H167+MUST!I167</f>
        <v>0</v>
      </c>
      <c r="I167" s="26">
        <f>Phalombe!G167+Phalombe!H167+Phalombe!I167</f>
        <v>1</v>
      </c>
      <c r="J167" s="26">
        <f>Mikolongwe!G167+Mikolongwe!H167+Mikolongwe!I167</f>
        <v>0</v>
      </c>
      <c r="K167" s="26">
        <f>Migowi!G167+Migowi!H167+Migowi!I167</f>
        <v>0</v>
      </c>
      <c r="L167" s="619">
        <f t="shared" ref="L167:L175" si="50">SUM(D167:K167)</f>
        <v>10</v>
      </c>
    </row>
    <row r="168" spans="1:12" ht="15.6" x14ac:dyDescent="0.3">
      <c r="A168" s="671"/>
      <c r="B168" s="19" t="s">
        <v>73</v>
      </c>
      <c r="C168" s="11" t="s">
        <v>57</v>
      </c>
      <c r="D168" s="26">
        <f>Mulanje!G168+Mulanje!H168+Mulanje!I168</f>
        <v>0</v>
      </c>
      <c r="E168" s="26">
        <f>Luchenza!G168+Luchenza!H168+Luchenza!I168</f>
        <v>0</v>
      </c>
      <c r="F168" s="26">
        <f>Thyolo!G168+Thyolo!H168+Thyolo!I168</f>
        <v>3</v>
      </c>
      <c r="G168" s="26">
        <f>Muloza!G168+Muloza!H168+Muloza!I168</f>
        <v>0</v>
      </c>
      <c r="H168" s="26">
        <f>MUST!G168+MUST!H168+MUST!I168</f>
        <v>0</v>
      </c>
      <c r="I168" s="26">
        <f>Phalombe!G168+Phalombe!H168+Phalombe!I168</f>
        <v>0</v>
      </c>
      <c r="J168" s="26">
        <f>Mikolongwe!G168+Mikolongwe!H168+Mikolongwe!I168</f>
        <v>2</v>
      </c>
      <c r="K168" s="26">
        <f>Migowi!G168+Migowi!H168+Migowi!I168</f>
        <v>0</v>
      </c>
      <c r="L168" s="619">
        <f t="shared" si="50"/>
        <v>5</v>
      </c>
    </row>
    <row r="169" spans="1:12" ht="15.6" x14ac:dyDescent="0.3">
      <c r="A169" s="671"/>
      <c r="B169" s="19" t="s">
        <v>72</v>
      </c>
      <c r="C169" s="11" t="s">
        <v>57</v>
      </c>
      <c r="D169" s="26">
        <f>Mulanje!G169+Mulanje!H169+Mulanje!I169</f>
        <v>0</v>
      </c>
      <c r="E169" s="26">
        <f>Luchenza!G169+Luchenza!H169+Luchenza!I169</f>
        <v>0</v>
      </c>
      <c r="F169" s="26">
        <f>Thyolo!G169+Thyolo!H169+Thyolo!I169</f>
        <v>0</v>
      </c>
      <c r="G169" s="26">
        <f>Muloza!G169+Muloza!H169+Muloza!I169</f>
        <v>0</v>
      </c>
      <c r="H169" s="26">
        <f>MUST!G169+MUST!H169+MUST!I169</f>
        <v>0</v>
      </c>
      <c r="I169" s="26">
        <f>Phalombe!G169+Phalombe!H169+Phalombe!I169</f>
        <v>0</v>
      </c>
      <c r="J169" s="26">
        <f>Mikolongwe!G169+Mikolongwe!H169+Mikolongwe!I169</f>
        <v>0</v>
      </c>
      <c r="K169" s="26">
        <f>Migowi!G169+Migowi!H169+Migowi!I169</f>
        <v>0</v>
      </c>
      <c r="L169" s="619">
        <f t="shared" si="50"/>
        <v>0</v>
      </c>
    </row>
    <row r="170" spans="1:12" ht="15.6" x14ac:dyDescent="0.3">
      <c r="A170" s="671"/>
      <c r="B170" s="19" t="s">
        <v>71</v>
      </c>
      <c r="C170" s="11" t="s">
        <v>57</v>
      </c>
      <c r="D170" s="26">
        <f>Mulanje!G170+Mulanje!H170+Mulanje!I170</f>
        <v>0</v>
      </c>
      <c r="E170" s="26">
        <f>Luchenza!G170+Luchenza!H170+Luchenza!I170</f>
        <v>0</v>
      </c>
      <c r="F170" s="26">
        <f>Thyolo!G170+Thyolo!H170+Thyolo!I170</f>
        <v>0</v>
      </c>
      <c r="G170" s="26">
        <f>Muloza!G170+Muloza!H170+Muloza!I170</f>
        <v>0</v>
      </c>
      <c r="H170" s="26">
        <f>MUST!G170+MUST!H170+MUST!I170</f>
        <v>0</v>
      </c>
      <c r="I170" s="26">
        <f>Phalombe!G170+Phalombe!H170+Phalombe!I170</f>
        <v>0</v>
      </c>
      <c r="J170" s="26">
        <f>Mikolongwe!G170+Mikolongwe!H170+Mikolongwe!I170</f>
        <v>0</v>
      </c>
      <c r="K170" s="26">
        <f>Migowi!G170+Migowi!H170+Migowi!I170</f>
        <v>0</v>
      </c>
      <c r="L170" s="619">
        <f t="shared" si="50"/>
        <v>0</v>
      </c>
    </row>
    <row r="171" spans="1:12" ht="15.6" x14ac:dyDescent="0.3">
      <c r="A171" s="671"/>
      <c r="B171" s="19" t="s">
        <v>52</v>
      </c>
      <c r="C171" s="11" t="s">
        <v>57</v>
      </c>
      <c r="D171" s="26">
        <f>Mulanje!G171+Mulanje!H171+Mulanje!I171</f>
        <v>0</v>
      </c>
      <c r="E171" s="26">
        <f>Luchenza!G171+Luchenza!H171+Luchenza!I171</f>
        <v>0</v>
      </c>
      <c r="F171" s="26">
        <f>Thyolo!G171+Thyolo!H171+Thyolo!I171</f>
        <v>1</v>
      </c>
      <c r="G171" s="26">
        <f>Muloza!G171+Muloza!H171+Muloza!I171</f>
        <v>0</v>
      </c>
      <c r="H171" s="26">
        <f>MUST!G171+MUST!H171+MUST!I171</f>
        <v>0</v>
      </c>
      <c r="I171" s="26">
        <f>Phalombe!G171+Phalombe!H171+Phalombe!I171</f>
        <v>0</v>
      </c>
      <c r="J171" s="26">
        <f>Mikolongwe!G171+Mikolongwe!H171+Mikolongwe!I171</f>
        <v>0</v>
      </c>
      <c r="K171" s="26">
        <f>Migowi!G171+Migowi!H171+Migowi!I171</f>
        <v>0</v>
      </c>
      <c r="L171" s="619">
        <f t="shared" si="50"/>
        <v>1</v>
      </c>
    </row>
    <row r="172" spans="1:12" ht="15.6" x14ac:dyDescent="0.3">
      <c r="A172" s="671"/>
      <c r="B172" s="19" t="s">
        <v>62</v>
      </c>
      <c r="C172" s="11" t="s">
        <v>57</v>
      </c>
      <c r="D172" s="26">
        <f>Mulanje!G172+Mulanje!H172+Mulanje!I172</f>
        <v>0</v>
      </c>
      <c r="E172" s="26">
        <f>Luchenza!G172+Luchenza!H172+Luchenza!I172</f>
        <v>0</v>
      </c>
      <c r="F172" s="26">
        <f>Thyolo!G172+Thyolo!H172+Thyolo!I172</f>
        <v>0</v>
      </c>
      <c r="G172" s="26">
        <f>Muloza!G172+Muloza!H172+Muloza!I172</f>
        <v>0</v>
      </c>
      <c r="H172" s="26">
        <f>MUST!G172+MUST!H172+MUST!I172</f>
        <v>0</v>
      </c>
      <c r="I172" s="26">
        <f>Phalombe!G172+Phalombe!H172+Phalombe!I172</f>
        <v>0</v>
      </c>
      <c r="J172" s="26">
        <f>Mikolongwe!G172+Mikolongwe!H172+Mikolongwe!I172</f>
        <v>0</v>
      </c>
      <c r="K172" s="26">
        <f>Migowi!G172+Migowi!H172+Migowi!I172</f>
        <v>0</v>
      </c>
      <c r="L172" s="619">
        <f t="shared" si="50"/>
        <v>0</v>
      </c>
    </row>
    <row r="173" spans="1:12" ht="15.6" x14ac:dyDescent="0.3">
      <c r="A173" s="671"/>
      <c r="B173" s="19" t="s">
        <v>61</v>
      </c>
      <c r="C173" s="11" t="s">
        <v>57</v>
      </c>
      <c r="D173" s="26">
        <f>Mulanje!G173+Mulanje!H173+Mulanje!I173</f>
        <v>0</v>
      </c>
      <c r="E173" s="26">
        <f>Luchenza!G173+Luchenza!H173+Luchenza!I173</f>
        <v>0</v>
      </c>
      <c r="F173" s="26">
        <f>Thyolo!G173+Thyolo!H173+Thyolo!I173</f>
        <v>0</v>
      </c>
      <c r="G173" s="26">
        <f>Muloza!G173+Muloza!H173+Muloza!I173</f>
        <v>0</v>
      </c>
      <c r="H173" s="26">
        <f>MUST!G173+MUST!H173+MUST!I173</f>
        <v>0</v>
      </c>
      <c r="I173" s="26">
        <f>Phalombe!G173+Phalombe!H173+Phalombe!I173</f>
        <v>0</v>
      </c>
      <c r="J173" s="26">
        <f>Mikolongwe!G173+Mikolongwe!H173+Mikolongwe!I173</f>
        <v>0</v>
      </c>
      <c r="K173" s="26">
        <f>Migowi!G173+Migowi!H173+Migowi!I173</f>
        <v>0</v>
      </c>
      <c r="L173" s="619">
        <f t="shared" si="50"/>
        <v>0</v>
      </c>
    </row>
    <row r="174" spans="1:12" ht="15.6" x14ac:dyDescent="0.3">
      <c r="A174" s="671"/>
      <c r="B174" s="19" t="s">
        <v>60</v>
      </c>
      <c r="C174" s="11" t="s">
        <v>57</v>
      </c>
      <c r="D174" s="26">
        <f>Mulanje!G174+Mulanje!H174+Mulanje!I174</f>
        <v>0</v>
      </c>
      <c r="E174" s="26">
        <f>Luchenza!G174+Luchenza!H174+Luchenza!I174</f>
        <v>0</v>
      </c>
      <c r="F174" s="26">
        <f>Thyolo!G174+Thyolo!H174+Thyolo!I174</f>
        <v>0</v>
      </c>
      <c r="G174" s="26">
        <f>Muloza!G174+Muloza!H174+Muloza!I174</f>
        <v>0</v>
      </c>
      <c r="H174" s="26">
        <f>MUST!G174+MUST!H174+MUST!I174</f>
        <v>0</v>
      </c>
      <c r="I174" s="26">
        <f>Phalombe!G174+Phalombe!H174+Phalombe!I174</f>
        <v>0</v>
      </c>
      <c r="J174" s="26">
        <f>Mikolongwe!G174+Mikolongwe!H174+Mikolongwe!I174</f>
        <v>0</v>
      </c>
      <c r="K174" s="26">
        <f>Migowi!G174+Migowi!H174+Migowi!I174</f>
        <v>0</v>
      </c>
      <c r="L174" s="619">
        <f t="shared" si="50"/>
        <v>0</v>
      </c>
    </row>
    <row r="175" spans="1:12" ht="15.6" x14ac:dyDescent="0.3">
      <c r="A175" s="672"/>
      <c r="B175" s="19" t="s">
        <v>69</v>
      </c>
      <c r="C175" s="11" t="s">
        <v>57</v>
      </c>
      <c r="D175" s="26">
        <f>Mulanje!G175+Mulanje!H175+Mulanje!I175</f>
        <v>0</v>
      </c>
      <c r="E175" s="26">
        <f>Luchenza!G175+Luchenza!H175+Luchenza!I175</f>
        <v>0</v>
      </c>
      <c r="F175" s="26">
        <f>Thyolo!G175+Thyolo!H175+Thyolo!I175</f>
        <v>0</v>
      </c>
      <c r="G175" s="26">
        <f>Muloza!G175+Muloza!H175+Muloza!I175</f>
        <v>0</v>
      </c>
      <c r="H175" s="26">
        <f>MUST!G175+MUST!H175+MUST!I175</f>
        <v>0</v>
      </c>
      <c r="I175" s="26">
        <f>Phalombe!G175+Phalombe!H175+Phalombe!I175</f>
        <v>0</v>
      </c>
      <c r="J175" s="26">
        <f>Mikolongwe!G175+Mikolongwe!H175+Mikolongwe!I175</f>
        <v>0</v>
      </c>
      <c r="K175" s="26">
        <f>Migowi!G175+Migowi!H175+Migowi!I175</f>
        <v>0</v>
      </c>
      <c r="L175" s="619">
        <f t="shared" si="50"/>
        <v>0</v>
      </c>
    </row>
    <row r="176" spans="1:12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619"/>
    </row>
    <row r="177" spans="1:12" ht="15.6" x14ac:dyDescent="0.3">
      <c r="A177" s="671"/>
      <c r="B177" s="19" t="s">
        <v>60</v>
      </c>
      <c r="C177" s="11" t="s">
        <v>57</v>
      </c>
      <c r="D177" s="26">
        <f>Mulanje!G177+Mulanje!H177+Mulanje!I177</f>
        <v>0</v>
      </c>
      <c r="E177" s="26">
        <f>Luchenza!G177+Luchenza!H177+Luchenza!I177</f>
        <v>0</v>
      </c>
      <c r="F177" s="26">
        <f>Thyolo!G177+Thyolo!H177+Thyolo!I177</f>
        <v>0</v>
      </c>
      <c r="G177" s="26">
        <f>Muloza!G177+Muloza!H177+Muloza!I177</f>
        <v>0</v>
      </c>
      <c r="H177" s="26">
        <f>MUST!G177+MUST!H177+MUST!I177</f>
        <v>0</v>
      </c>
      <c r="I177" s="26">
        <f>Phalombe!G177+Phalombe!H177+Phalombe!I177</f>
        <v>0</v>
      </c>
      <c r="J177" s="26">
        <f>Mikolongwe!G177+Mikolongwe!H177+Mikolongwe!I177</f>
        <v>0</v>
      </c>
      <c r="K177" s="26">
        <f>Migowi!G177+Migowi!H177+Migowi!I177</f>
        <v>0</v>
      </c>
      <c r="L177" s="619">
        <f t="shared" ref="L177:L182" si="51">SUM(D177:K177)</f>
        <v>0</v>
      </c>
    </row>
    <row r="178" spans="1:12" ht="15.6" x14ac:dyDescent="0.3">
      <c r="A178" s="671"/>
      <c r="B178" s="19" t="s">
        <v>69</v>
      </c>
      <c r="C178" s="11" t="s">
        <v>57</v>
      </c>
      <c r="D178" s="26">
        <f>Mulanje!G178+Mulanje!H178+Mulanje!I178</f>
        <v>0</v>
      </c>
      <c r="E178" s="26">
        <f>Luchenza!G178+Luchenza!H178+Luchenza!I178</f>
        <v>0</v>
      </c>
      <c r="F178" s="26">
        <f>Thyolo!G178+Thyolo!H178+Thyolo!I178</f>
        <v>0</v>
      </c>
      <c r="G178" s="26">
        <f>Muloza!G178+Muloza!H178+Muloza!I178</f>
        <v>0</v>
      </c>
      <c r="H178" s="26">
        <f>MUST!G178+MUST!H178+MUST!I178</f>
        <v>0</v>
      </c>
      <c r="I178" s="26">
        <f>Phalombe!G178+Phalombe!H178+Phalombe!I178</f>
        <v>0</v>
      </c>
      <c r="J178" s="26">
        <f>Mikolongwe!G178+Mikolongwe!H178+Mikolongwe!I178</f>
        <v>0</v>
      </c>
      <c r="K178" s="26">
        <f>Migowi!G178+Migowi!H178+Migowi!I178</f>
        <v>0</v>
      </c>
      <c r="L178" s="619">
        <f t="shared" si="51"/>
        <v>0</v>
      </c>
    </row>
    <row r="179" spans="1:12" ht="15.6" x14ac:dyDescent="0.3">
      <c r="A179" s="671"/>
      <c r="B179" s="19" t="s">
        <v>68</v>
      </c>
      <c r="C179" s="11" t="s">
        <v>57</v>
      </c>
      <c r="D179" s="26">
        <f>Mulanje!G179+Mulanje!H179+Mulanje!I179</f>
        <v>0</v>
      </c>
      <c r="E179" s="26">
        <f>Luchenza!G179+Luchenza!H179+Luchenza!I179</f>
        <v>0</v>
      </c>
      <c r="F179" s="26">
        <f>Thyolo!G179+Thyolo!H179+Thyolo!I179</f>
        <v>0</v>
      </c>
      <c r="G179" s="26">
        <f>Muloza!G179+Muloza!H179+Muloza!I179</f>
        <v>0</v>
      </c>
      <c r="H179" s="26">
        <f>MUST!G179+MUST!H179+MUST!I179</f>
        <v>0</v>
      </c>
      <c r="I179" s="26">
        <f>Phalombe!G179+Phalombe!H179+Phalombe!I179</f>
        <v>0</v>
      </c>
      <c r="J179" s="26">
        <f>Mikolongwe!G179+Mikolongwe!H179+Mikolongwe!I179</f>
        <v>0</v>
      </c>
      <c r="K179" s="26">
        <f>Migowi!G179+Migowi!H179+Migowi!I179</f>
        <v>0</v>
      </c>
      <c r="L179" s="619">
        <f t="shared" si="51"/>
        <v>0</v>
      </c>
    </row>
    <row r="180" spans="1:12" ht="15.6" x14ac:dyDescent="0.3">
      <c r="A180" s="671"/>
      <c r="B180" s="19" t="s">
        <v>67</v>
      </c>
      <c r="C180" s="11" t="s">
        <v>57</v>
      </c>
      <c r="D180" s="26">
        <f>Mulanje!G180+Mulanje!H180+Mulanje!I180</f>
        <v>0</v>
      </c>
      <c r="E180" s="26">
        <f>Luchenza!G180+Luchenza!H180+Luchenza!I180</f>
        <v>0</v>
      </c>
      <c r="F180" s="26">
        <f>Thyolo!G180+Thyolo!H180+Thyolo!I180</f>
        <v>0</v>
      </c>
      <c r="G180" s="26">
        <f>Muloza!G180+Muloza!H180+Muloza!I180</f>
        <v>0</v>
      </c>
      <c r="H180" s="26">
        <f>MUST!G180+MUST!H180+MUST!I180</f>
        <v>0</v>
      </c>
      <c r="I180" s="26">
        <f>Phalombe!G180+Phalombe!H180+Phalombe!I180</f>
        <v>0</v>
      </c>
      <c r="J180" s="26">
        <f>Mikolongwe!G180+Mikolongwe!H180+Mikolongwe!I180</f>
        <v>0</v>
      </c>
      <c r="K180" s="26">
        <f>Migowi!G180+Migowi!H180+Migowi!I180</f>
        <v>0</v>
      </c>
      <c r="L180" s="619">
        <f t="shared" si="51"/>
        <v>0</v>
      </c>
    </row>
    <row r="181" spans="1:12" ht="15.6" x14ac:dyDescent="0.3">
      <c r="A181" s="671"/>
      <c r="B181" s="19" t="s">
        <v>66</v>
      </c>
      <c r="C181" s="11" t="s">
        <v>57</v>
      </c>
      <c r="D181" s="26">
        <f>Mulanje!G181+Mulanje!H181+Mulanje!I181</f>
        <v>0</v>
      </c>
      <c r="E181" s="26">
        <f>Luchenza!G181+Luchenza!H181+Luchenza!I181</f>
        <v>0</v>
      </c>
      <c r="F181" s="26">
        <f>Thyolo!G181+Thyolo!H181+Thyolo!I181</f>
        <v>0</v>
      </c>
      <c r="G181" s="26">
        <f>Muloza!G181+Muloza!H181+Muloza!I181</f>
        <v>0</v>
      </c>
      <c r="H181" s="26">
        <f>MUST!G181+MUST!H181+MUST!I181</f>
        <v>0</v>
      </c>
      <c r="I181" s="26">
        <f>Phalombe!G181+Phalombe!H181+Phalombe!I181</f>
        <v>0</v>
      </c>
      <c r="J181" s="26">
        <f>Mikolongwe!G181+Mikolongwe!H181+Mikolongwe!I181</f>
        <v>0</v>
      </c>
      <c r="K181" s="26">
        <f>Migowi!G181+Migowi!H181+Migowi!I181</f>
        <v>0</v>
      </c>
      <c r="L181" s="619">
        <f t="shared" si="51"/>
        <v>0</v>
      </c>
    </row>
    <row r="182" spans="1:12" ht="15.6" x14ac:dyDescent="0.3">
      <c r="A182" s="672"/>
      <c r="B182" s="19" t="s">
        <v>65</v>
      </c>
      <c r="C182" s="11" t="s">
        <v>57</v>
      </c>
      <c r="D182" s="26">
        <f>Mulanje!G182+Mulanje!H182+Mulanje!I182</f>
        <v>0</v>
      </c>
      <c r="E182" s="26">
        <f>Luchenza!G182+Luchenza!H182+Luchenza!I182</f>
        <v>0</v>
      </c>
      <c r="F182" s="26">
        <f>Thyolo!G182+Thyolo!H182+Thyolo!I182</f>
        <v>0</v>
      </c>
      <c r="G182" s="26">
        <f>Muloza!G182+Muloza!H182+Muloza!I182</f>
        <v>0</v>
      </c>
      <c r="H182" s="26">
        <f>MUST!G182+MUST!H182+MUST!I182</f>
        <v>0</v>
      </c>
      <c r="I182" s="26">
        <f>Phalombe!G182+Phalombe!H182+Phalombe!I182</f>
        <v>0</v>
      </c>
      <c r="J182" s="26">
        <f>Mikolongwe!G182+Mikolongwe!H182+Mikolongwe!I182</f>
        <v>0</v>
      </c>
      <c r="K182" s="26">
        <f>Migowi!G182+Migowi!H182+Migowi!I182</f>
        <v>0</v>
      </c>
      <c r="L182" s="619">
        <f t="shared" si="51"/>
        <v>0</v>
      </c>
    </row>
    <row r="183" spans="1:12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619"/>
    </row>
    <row r="184" spans="1:12" ht="15.6" x14ac:dyDescent="0.3">
      <c r="A184" s="671"/>
      <c r="B184" s="19" t="s">
        <v>73</v>
      </c>
      <c r="C184" s="11"/>
      <c r="D184" s="26">
        <f>Mulanje!G184+Mulanje!H184+Mulanje!I184</f>
        <v>0</v>
      </c>
      <c r="E184" s="26">
        <f>Luchenza!G184+Luchenza!H184+Luchenza!I184</f>
        <v>0</v>
      </c>
      <c r="F184" s="26">
        <f>Thyolo!G184+Thyolo!H184+Thyolo!I184</f>
        <v>0</v>
      </c>
      <c r="G184" s="26">
        <f>Muloza!G184+Muloza!H184+Muloza!I184</f>
        <v>0</v>
      </c>
      <c r="H184" s="26">
        <f>MUST!G184+MUST!H184+MUST!I184</f>
        <v>0</v>
      </c>
      <c r="I184" s="26">
        <f>Phalombe!G184+Phalombe!H184+Phalombe!I184</f>
        <v>0</v>
      </c>
      <c r="J184" s="26">
        <f>Mikolongwe!G184+Mikolongwe!H184+Mikolongwe!I184</f>
        <v>0</v>
      </c>
      <c r="K184" s="26">
        <f>Migowi!G184+Migowi!H184+Migowi!I184</f>
        <v>0</v>
      </c>
      <c r="L184" s="619">
        <f>SUM(D184:K184)</f>
        <v>0</v>
      </c>
    </row>
    <row r="185" spans="1:12" ht="15.6" x14ac:dyDescent="0.3">
      <c r="A185" s="671"/>
      <c r="B185" s="19" t="s">
        <v>72</v>
      </c>
      <c r="C185" s="11"/>
      <c r="D185" s="26">
        <f>Mulanje!G185+Mulanje!H185+Mulanje!I185</f>
        <v>0</v>
      </c>
      <c r="E185" s="26">
        <f>Luchenza!G185+Luchenza!H185+Luchenza!I185</f>
        <v>0</v>
      </c>
      <c r="F185" s="26">
        <f>Thyolo!G185+Thyolo!H185+Thyolo!I185</f>
        <v>0</v>
      </c>
      <c r="G185" s="26">
        <f>Muloza!G185+Muloza!H185+Muloza!I185</f>
        <v>0</v>
      </c>
      <c r="H185" s="26">
        <f>MUST!G185+MUST!H185+MUST!I185</f>
        <v>0</v>
      </c>
      <c r="I185" s="26">
        <f>Phalombe!G185+Phalombe!H185+Phalombe!I185</f>
        <v>0</v>
      </c>
      <c r="J185" s="26">
        <f>Mikolongwe!G185+Mikolongwe!H185+Mikolongwe!I185</f>
        <v>0</v>
      </c>
      <c r="K185" s="26">
        <f>Migowi!G185+Migowi!H185+Migowi!I185</f>
        <v>0</v>
      </c>
      <c r="L185" s="619">
        <f>SUM(D185:K185)</f>
        <v>0</v>
      </c>
    </row>
    <row r="186" spans="1:12" ht="15.6" x14ac:dyDescent="0.3">
      <c r="A186" s="671"/>
      <c r="B186" s="19" t="s">
        <v>53</v>
      </c>
      <c r="C186" s="11"/>
      <c r="D186" s="26">
        <f>Mulanje!G186+Mulanje!H186+Mulanje!I186</f>
        <v>0</v>
      </c>
      <c r="E186" s="26">
        <f>Luchenza!G186+Luchenza!H186+Luchenza!I186</f>
        <v>0</v>
      </c>
      <c r="F186" s="26">
        <f>Thyolo!G186+Thyolo!H186+Thyolo!I186</f>
        <v>0</v>
      </c>
      <c r="G186" s="26">
        <f>Muloza!G186+Muloza!H186+Muloza!I186</f>
        <v>0</v>
      </c>
      <c r="H186" s="26">
        <f>MUST!G186+MUST!H186+MUST!I186</f>
        <v>0</v>
      </c>
      <c r="I186" s="26">
        <f>Phalombe!G186+Phalombe!H186+Phalombe!I186</f>
        <v>0</v>
      </c>
      <c r="J186" s="26">
        <f>Mikolongwe!G186+Mikolongwe!H186+Mikolongwe!I186</f>
        <v>0</v>
      </c>
      <c r="K186" s="26">
        <f>Migowi!G186+Migowi!H186+Migowi!I186</f>
        <v>0</v>
      </c>
      <c r="L186" s="619">
        <f>SUM(D186:K186)</f>
        <v>0</v>
      </c>
    </row>
    <row r="187" spans="1:12" ht="15.6" x14ac:dyDescent="0.3">
      <c r="A187" s="672"/>
      <c r="B187" s="19" t="s">
        <v>52</v>
      </c>
      <c r="C187" s="11"/>
      <c r="D187" s="26">
        <f>Mulanje!G187+Mulanje!H187+Mulanje!I187</f>
        <v>0</v>
      </c>
      <c r="E187" s="26">
        <f>Luchenza!G187+Luchenza!H187+Luchenza!I187</f>
        <v>0</v>
      </c>
      <c r="F187" s="26">
        <f>Thyolo!G187+Thyolo!H187+Thyolo!I187</f>
        <v>0</v>
      </c>
      <c r="G187" s="26">
        <f>Muloza!G187+Muloza!H187+Muloza!I187</f>
        <v>0</v>
      </c>
      <c r="H187" s="26">
        <f>MUST!G187+MUST!H187+MUST!I187</f>
        <v>0</v>
      </c>
      <c r="I187" s="26">
        <f>Phalombe!G187+Phalombe!H187+Phalombe!I187</f>
        <v>0</v>
      </c>
      <c r="J187" s="26">
        <f>Mikolongwe!G187+Mikolongwe!H187+Mikolongwe!I187</f>
        <v>0</v>
      </c>
      <c r="K187" s="26">
        <f>Migowi!G187+Migowi!H187+Migowi!I187</f>
        <v>0</v>
      </c>
      <c r="L187" s="619">
        <f>SUM(D187:K187)</f>
        <v>0</v>
      </c>
    </row>
    <row r="188" spans="1:12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619"/>
    </row>
    <row r="189" spans="1:12" ht="15.6" x14ac:dyDescent="0.3">
      <c r="A189" s="671"/>
      <c r="B189" s="20" t="s">
        <v>52</v>
      </c>
      <c r="C189" s="11" t="s">
        <v>57</v>
      </c>
      <c r="D189" s="26">
        <f>Mulanje!G189+Mulanje!H189+Mulanje!I189</f>
        <v>0</v>
      </c>
      <c r="E189" s="26">
        <f>Luchenza!G189+Luchenza!H189+Luchenza!I189</f>
        <v>0</v>
      </c>
      <c r="F189" s="26">
        <f>Thyolo!G189+Thyolo!H189+Thyolo!I189</f>
        <v>0</v>
      </c>
      <c r="G189" s="26">
        <f>Muloza!G189+Muloza!H189+Muloza!I189</f>
        <v>0</v>
      </c>
      <c r="H189" s="26">
        <f>MUST!G189+MUST!H189+MUST!I189</f>
        <v>0</v>
      </c>
      <c r="I189" s="26">
        <f>Phalombe!G189+Phalombe!H189+Phalombe!I189</f>
        <v>0</v>
      </c>
      <c r="J189" s="26">
        <f>Mikolongwe!G189+Mikolongwe!H189+Mikolongwe!I189</f>
        <v>0</v>
      </c>
      <c r="K189" s="26">
        <f>Migowi!G189+Migowi!H189+Migowi!I189</f>
        <v>0</v>
      </c>
      <c r="L189" s="619">
        <f>SUM(D189:K189)</f>
        <v>0</v>
      </c>
    </row>
    <row r="190" spans="1:12" ht="15.6" x14ac:dyDescent="0.3">
      <c r="A190" s="671"/>
      <c r="B190" s="19" t="s">
        <v>62</v>
      </c>
      <c r="C190" s="11" t="s">
        <v>57</v>
      </c>
      <c r="D190" s="26">
        <f>Mulanje!G190+Mulanje!H190+Mulanje!I190</f>
        <v>0</v>
      </c>
      <c r="E190" s="26">
        <f>Luchenza!G190+Luchenza!H190+Luchenza!I190</f>
        <v>0</v>
      </c>
      <c r="F190" s="26">
        <f>Thyolo!G190+Thyolo!H190+Thyolo!I190</f>
        <v>0</v>
      </c>
      <c r="G190" s="26">
        <f>Muloza!G190+Muloza!H190+Muloza!I190</f>
        <v>0</v>
      </c>
      <c r="H190" s="26">
        <f>MUST!G190+MUST!H190+MUST!I190</f>
        <v>0</v>
      </c>
      <c r="I190" s="26">
        <f>Phalombe!G190+Phalombe!H190+Phalombe!I190</f>
        <v>0</v>
      </c>
      <c r="J190" s="26">
        <f>Mikolongwe!G190+Mikolongwe!H190+Mikolongwe!I190</f>
        <v>0</v>
      </c>
      <c r="K190" s="26">
        <f>Migowi!G190+Migowi!H190+Migowi!I190</f>
        <v>0</v>
      </c>
      <c r="L190" s="619">
        <f>SUM(D190:K190)</f>
        <v>0</v>
      </c>
    </row>
    <row r="191" spans="1:12" ht="15.6" x14ac:dyDescent="0.3">
      <c r="A191" s="671"/>
      <c r="B191" s="19" t="s">
        <v>61</v>
      </c>
      <c r="C191" s="11" t="s">
        <v>57</v>
      </c>
      <c r="D191" s="26">
        <f>Mulanje!G191+Mulanje!H191+Mulanje!I191</f>
        <v>0</v>
      </c>
      <c r="E191" s="26">
        <f>Luchenza!G191+Luchenza!H191+Luchenza!I191</f>
        <v>0</v>
      </c>
      <c r="F191" s="26">
        <f>Thyolo!G191+Thyolo!H191+Thyolo!I191</f>
        <v>1</v>
      </c>
      <c r="G191" s="26">
        <f>Muloza!G191+Muloza!H191+Muloza!I191</f>
        <v>0</v>
      </c>
      <c r="H191" s="26">
        <f>MUST!G191+MUST!H191+MUST!I191</f>
        <v>0</v>
      </c>
      <c r="I191" s="26">
        <f>Phalombe!G191+Phalombe!H191+Phalombe!I191</f>
        <v>0</v>
      </c>
      <c r="J191" s="26">
        <f>Mikolongwe!G191+Mikolongwe!H191+Mikolongwe!I191</f>
        <v>0</v>
      </c>
      <c r="K191" s="26">
        <f>Migowi!G191+Migowi!H191+Migowi!I191</f>
        <v>0</v>
      </c>
      <c r="L191" s="619">
        <f>SUM(D191:K191)</f>
        <v>1</v>
      </c>
    </row>
    <row r="192" spans="1:12" ht="15.6" x14ac:dyDescent="0.3">
      <c r="A192" s="672"/>
      <c r="B192" s="19" t="s">
        <v>60</v>
      </c>
      <c r="C192" s="11" t="s">
        <v>57</v>
      </c>
      <c r="D192" s="26">
        <f>Mulanje!G192+Mulanje!H192+Mulanje!I192</f>
        <v>0</v>
      </c>
      <c r="E192" s="26">
        <f>Luchenza!G192+Luchenza!H192+Luchenza!I192</f>
        <v>0</v>
      </c>
      <c r="F192" s="26">
        <f>Thyolo!G192+Thyolo!H192+Thyolo!I192</f>
        <v>3</v>
      </c>
      <c r="G192" s="26">
        <f>Muloza!G192+Muloza!H192+Muloza!I192</f>
        <v>0</v>
      </c>
      <c r="H192" s="26">
        <f>MUST!G192+MUST!H192+MUST!I192</f>
        <v>0</v>
      </c>
      <c r="I192" s="26">
        <f>Phalombe!G192+Phalombe!H192+Phalombe!I192</f>
        <v>0</v>
      </c>
      <c r="J192" s="26">
        <f>Mikolongwe!G192+Mikolongwe!H192+Mikolongwe!I192</f>
        <v>0</v>
      </c>
      <c r="K192" s="26">
        <f>Migowi!G192+Migowi!H192+Migowi!I192</f>
        <v>0</v>
      </c>
      <c r="L192" s="619">
        <f>SUM(D192:K192)</f>
        <v>3</v>
      </c>
    </row>
    <row r="193" spans="1:12" ht="15.6" x14ac:dyDescent="0.3">
      <c r="A193" s="727" t="s">
        <v>59</v>
      </c>
      <c r="B193" s="728"/>
      <c r="C193" s="11"/>
      <c r="D193" s="10">
        <f>SUM(D153:D192)</f>
        <v>113</v>
      </c>
      <c r="E193" s="10">
        <f t="shared" ref="E193:K193" si="52">SUM(E153:E192)</f>
        <v>447</v>
      </c>
      <c r="F193" s="10">
        <f t="shared" si="52"/>
        <v>297</v>
      </c>
      <c r="G193" s="10">
        <f t="shared" si="52"/>
        <v>42</v>
      </c>
      <c r="H193" s="10">
        <f t="shared" si="52"/>
        <v>13</v>
      </c>
      <c r="I193" s="10">
        <f t="shared" si="52"/>
        <v>81</v>
      </c>
      <c r="J193" s="10">
        <f t="shared" si="52"/>
        <v>6</v>
      </c>
      <c r="K193" s="10">
        <f t="shared" si="52"/>
        <v>2</v>
      </c>
      <c r="L193" s="105">
        <f>SUM(L153:L192)</f>
        <v>1001</v>
      </c>
    </row>
    <row r="194" spans="1:12" ht="15.6" x14ac:dyDescent="0.3">
      <c r="A194" s="665" t="s">
        <v>58</v>
      </c>
      <c r="B194" s="666"/>
      <c r="C194" s="11" t="s">
        <v>57</v>
      </c>
      <c r="D194" s="26">
        <f>Mulanje!G194+Mulanje!H194+Mulanje!I194</f>
        <v>0</v>
      </c>
      <c r="E194" s="26">
        <f>Luchenza!G194+Luchenza!H194+Luchenza!I194</f>
        <v>1</v>
      </c>
      <c r="F194" s="26">
        <f>Thyolo!G194+Thyolo!H194+Thyolo!I194</f>
        <v>3</v>
      </c>
      <c r="G194" s="26">
        <f>Muloza!G194+Muloza!H194+Muloza!I194</f>
        <v>0</v>
      </c>
      <c r="H194" s="26">
        <f>MUST!G194+MUST!H194+MUST!I194</f>
        <v>9</v>
      </c>
      <c r="I194" s="26">
        <f>Phalombe!G194+Phalombe!H194+Phalombe!I194</f>
        <v>0</v>
      </c>
      <c r="J194" s="26">
        <f>Mikolongwe!G194+Mikolongwe!H194+Mikolongwe!I194</f>
        <v>6</v>
      </c>
      <c r="K194" s="26">
        <f>Migowi!G194+Migowi!H194+Migowi!I194</f>
        <v>0</v>
      </c>
      <c r="L194" s="619">
        <f>SUM(D194:K194)</f>
        <v>19</v>
      </c>
    </row>
    <row r="195" spans="1:12" ht="15.6" x14ac:dyDescent="0.3">
      <c r="A195" s="667"/>
      <c r="B195" s="668"/>
      <c r="C195" s="16" t="s">
        <v>55</v>
      </c>
      <c r="D195" s="26">
        <f>Mulanje!G195+Mulanje!H195+Mulanje!I195</f>
        <v>0</v>
      </c>
      <c r="E195" s="26">
        <f>Luchenza!G195+Luchenza!H195+Luchenza!I195</f>
        <v>698</v>
      </c>
      <c r="F195" s="26">
        <f>Thyolo!G195+Thyolo!H195+Thyolo!I195</f>
        <v>811</v>
      </c>
      <c r="G195" s="26">
        <f>Muloza!G195+Muloza!H195+Muloza!I195</f>
        <v>0</v>
      </c>
      <c r="H195" s="26">
        <f>MUST!G195+MUST!H195+MUST!I195</f>
        <v>172</v>
      </c>
      <c r="I195" s="26">
        <f>Phalombe!G195+Phalombe!H195+Phalombe!I195</f>
        <v>0</v>
      </c>
      <c r="J195" s="26">
        <f>Mikolongwe!G195+Mikolongwe!H195+Mikolongwe!I195</f>
        <v>144</v>
      </c>
      <c r="K195" s="26">
        <f>Migowi!G195+Migowi!H195+Migowi!I195</f>
        <v>0</v>
      </c>
      <c r="L195" s="619">
        <f>SUM(D195:K195)</f>
        <v>1825</v>
      </c>
    </row>
    <row r="196" spans="1:12" ht="15.6" x14ac:dyDescent="0.3">
      <c r="A196" s="85" t="s">
        <v>202</v>
      </c>
      <c r="B196" s="86"/>
      <c r="C196" s="16" t="s">
        <v>55</v>
      </c>
      <c r="D196" s="26">
        <f>Mulanje!G196+Mulanje!H196+Mulanje!I196</f>
        <v>72</v>
      </c>
      <c r="E196" s="26">
        <f>Luchenza!G196+Luchenza!H196+Luchenza!I196</f>
        <v>23</v>
      </c>
      <c r="F196" s="26">
        <f>Thyolo!G196+Thyolo!H196+Thyolo!I196</f>
        <v>25.741935483870968</v>
      </c>
      <c r="G196" s="26">
        <f>Muloza!G196+Muloza!H196+Muloza!I196</f>
        <v>49</v>
      </c>
      <c r="H196" s="26">
        <f>MUST!G196+MUST!H196+MUST!I196</f>
        <v>72</v>
      </c>
      <c r="I196" s="26">
        <f>Phalombe!G196+Phalombe!H196+Phalombe!I196</f>
        <v>72</v>
      </c>
      <c r="J196" s="26">
        <f>Mikolongwe!G196+Mikolongwe!H196+Mikolongwe!I196</f>
        <v>69</v>
      </c>
      <c r="K196" s="26">
        <f>Migowi!G196+Migowi!H196+Migowi!I196</f>
        <v>72</v>
      </c>
      <c r="L196" s="619">
        <f>SUM(D196:K196)/10</f>
        <v>45.474193548387099</v>
      </c>
    </row>
    <row r="197" spans="1:12" ht="15.6" x14ac:dyDescent="0.3">
      <c r="A197" s="661" t="s">
        <v>56</v>
      </c>
      <c r="B197" s="662"/>
      <c r="C197" s="16" t="s">
        <v>55</v>
      </c>
      <c r="D197" s="26">
        <f>Mulanje!G197+Mulanje!H197+Mulanje!I197</f>
        <v>0</v>
      </c>
      <c r="E197" s="26">
        <f>Luchenza!G197+Luchenza!H197+Luchenza!I197</f>
        <v>37</v>
      </c>
      <c r="F197" s="26">
        <f>Thyolo!G197+Thyolo!H197+Thyolo!I197</f>
        <v>203</v>
      </c>
      <c r="G197" s="26">
        <f>Muloza!G197+Muloza!H197+Muloza!I197</f>
        <v>106</v>
      </c>
      <c r="H197" s="26">
        <f>MUST!G197+MUST!H197+MUST!I197</f>
        <v>240</v>
      </c>
      <c r="I197" s="26">
        <f>Phalombe!G197+Phalombe!H197+Phalombe!I197</f>
        <v>0</v>
      </c>
      <c r="J197" s="26">
        <f>Mikolongwe!G197+Mikolongwe!H197+Mikolongwe!I197</f>
        <v>183</v>
      </c>
      <c r="K197" s="26">
        <f>Migowi!G197+Migowi!H197+Migowi!I197</f>
        <v>169</v>
      </c>
      <c r="L197" s="619">
        <f>SUM(D197:K197)</f>
        <v>938</v>
      </c>
    </row>
    <row r="198" spans="1:12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1"/>
    </row>
    <row r="199" spans="1:12" ht="15.6" x14ac:dyDescent="0.3">
      <c r="A199" s="665" t="s">
        <v>54</v>
      </c>
      <c r="B199" s="79" t="s">
        <v>53</v>
      </c>
      <c r="C199" s="11" t="s">
        <v>47</v>
      </c>
      <c r="D199" s="26">
        <f>Mulanje!G199+Mulanje!H199+Mulanje!I199</f>
        <v>0</v>
      </c>
      <c r="E199" s="26">
        <f>Luchenza!G199+Luchenza!H199+Luchenza!I199</f>
        <v>0</v>
      </c>
      <c r="F199" s="26">
        <f>Thyolo!G199+Thyolo!H199+Thyolo!I199</f>
        <v>0</v>
      </c>
      <c r="G199" s="26">
        <f>Muloza!G199+Muloza!H199+Muloza!I199</f>
        <v>0</v>
      </c>
      <c r="H199" s="26">
        <f>MUST!G199+MUST!H199+MUST!I199</f>
        <v>0</v>
      </c>
      <c r="I199" s="26">
        <f>Phalombe!G199+Phalombe!H199+Phalombe!I199</f>
        <v>258</v>
      </c>
      <c r="J199" s="26">
        <f>Mikolongwe!G199+Mikolongwe!H199+Mikolongwe!I199</f>
        <v>0</v>
      </c>
      <c r="K199" s="26">
        <f>Migowi!G199+Migowi!H199+Migowi!I199</f>
        <v>0</v>
      </c>
      <c r="L199" s="619">
        <f t="shared" ref="L199:L204" si="53">SUM(D199:K199)</f>
        <v>258</v>
      </c>
    </row>
    <row r="200" spans="1:12" ht="15.6" x14ac:dyDescent="0.3">
      <c r="A200" s="669"/>
      <c r="B200" s="79" t="s">
        <v>52</v>
      </c>
      <c r="C200" s="11" t="s">
        <v>47</v>
      </c>
      <c r="D200" s="26">
        <f>Mulanje!G200+Mulanje!H200+Mulanje!I200</f>
        <v>0</v>
      </c>
      <c r="E200" s="26">
        <f>Luchenza!G200+Luchenza!H200+Luchenza!I200</f>
        <v>0</v>
      </c>
      <c r="F200" s="26">
        <f>Thyolo!G200+Thyolo!H200+Thyolo!I200</f>
        <v>0</v>
      </c>
      <c r="G200" s="26">
        <f>Muloza!G200+Muloza!H200+Muloza!I200</f>
        <v>0</v>
      </c>
      <c r="H200" s="26">
        <f>MUST!G200+MUST!H200+MUST!I200</f>
        <v>0</v>
      </c>
      <c r="I200" s="26">
        <f>Phalombe!G200+Phalombe!H200+Phalombe!I200</f>
        <v>156</v>
      </c>
      <c r="J200" s="26">
        <f>Mikolongwe!G200+Mikolongwe!H200+Mikolongwe!I200</f>
        <v>0</v>
      </c>
      <c r="K200" s="26">
        <f>Migowi!G200+Migowi!H200+Migowi!I200</f>
        <v>0</v>
      </c>
      <c r="L200" s="619">
        <f t="shared" si="53"/>
        <v>156</v>
      </c>
    </row>
    <row r="201" spans="1:12" ht="15.6" x14ac:dyDescent="0.3">
      <c r="A201" s="669"/>
      <c r="B201" s="79" t="s">
        <v>51</v>
      </c>
      <c r="C201" s="11" t="s">
        <v>47</v>
      </c>
      <c r="D201" s="26">
        <f>Mulanje!G201+Mulanje!H201+Mulanje!I201</f>
        <v>0</v>
      </c>
      <c r="E201" s="26">
        <f>Luchenza!G201+Luchenza!H201+Luchenza!I201</f>
        <v>0</v>
      </c>
      <c r="F201" s="26">
        <f>Thyolo!G201+Thyolo!H201+Thyolo!I201</f>
        <v>0</v>
      </c>
      <c r="G201" s="26">
        <f>Muloza!G201+Muloza!H201+Muloza!I201</f>
        <v>26</v>
      </c>
      <c r="H201" s="26">
        <f>MUST!G201+MUST!H201+MUST!I201</f>
        <v>84</v>
      </c>
      <c r="I201" s="26">
        <f>Phalombe!G201+Phalombe!H201+Phalombe!I201</f>
        <v>0</v>
      </c>
      <c r="J201" s="26">
        <f>Mikolongwe!G201+Mikolongwe!H201+Mikolongwe!I201</f>
        <v>0</v>
      </c>
      <c r="K201" s="26">
        <f>Migowi!G201+Migowi!H201+Migowi!I201</f>
        <v>0</v>
      </c>
      <c r="L201" s="619">
        <f t="shared" si="53"/>
        <v>110</v>
      </c>
    </row>
    <row r="202" spans="1:12" ht="15.6" x14ac:dyDescent="0.3">
      <c r="A202" s="669"/>
      <c r="B202" s="79" t="s">
        <v>50</v>
      </c>
      <c r="C202" s="11" t="s">
        <v>47</v>
      </c>
      <c r="D202" s="26">
        <f>Mulanje!G202+Mulanje!H202+Mulanje!I202</f>
        <v>0</v>
      </c>
      <c r="E202" s="26">
        <f>Luchenza!G202+Luchenza!H202+Luchenza!I202</f>
        <v>0</v>
      </c>
      <c r="F202" s="26">
        <f>Thyolo!G202+Thyolo!H202+Thyolo!I202</f>
        <v>0</v>
      </c>
      <c r="G202" s="26">
        <f>Muloza!G202+Muloza!H202+Muloza!I202</f>
        <v>0</v>
      </c>
      <c r="H202" s="26">
        <f>MUST!G202+MUST!H202+MUST!I202</f>
        <v>0</v>
      </c>
      <c r="I202" s="26">
        <f>Phalombe!G202+Phalombe!H202+Phalombe!I202</f>
        <v>0</v>
      </c>
      <c r="J202" s="26">
        <f>Mikolongwe!G202+Mikolongwe!H202+Mikolongwe!I202</f>
        <v>0</v>
      </c>
      <c r="K202" s="26">
        <f>Migowi!G202+Migowi!H202+Migowi!I202</f>
        <v>0</v>
      </c>
      <c r="L202" s="619">
        <f t="shared" si="53"/>
        <v>0</v>
      </c>
    </row>
    <row r="203" spans="1:12" ht="15.6" x14ac:dyDescent="0.3">
      <c r="A203" s="667"/>
      <c r="B203" s="79" t="s">
        <v>49</v>
      </c>
      <c r="C203" s="11" t="s">
        <v>47</v>
      </c>
      <c r="D203" s="26">
        <f>Mulanje!G203+Mulanje!H203+Mulanje!I203</f>
        <v>0</v>
      </c>
      <c r="E203" s="26">
        <f>Luchenza!G203+Luchenza!H203+Luchenza!I203</f>
        <v>0</v>
      </c>
      <c r="F203" s="26">
        <f>Thyolo!G203+Thyolo!H203+Thyolo!I203</f>
        <v>0</v>
      </c>
      <c r="G203" s="26">
        <f>Muloza!G203+Muloza!H203+Muloza!I203</f>
        <v>18</v>
      </c>
      <c r="H203" s="26">
        <f>MUST!G203+MUST!H203+MUST!I203</f>
        <v>0</v>
      </c>
      <c r="I203" s="26">
        <f>Phalombe!G203+Phalombe!H203+Phalombe!I203</f>
        <v>0</v>
      </c>
      <c r="J203" s="26">
        <f>Mikolongwe!G203+Mikolongwe!H203+Mikolongwe!I203</f>
        <v>0</v>
      </c>
      <c r="K203" s="26">
        <f>Migowi!G203+Migowi!H203+Migowi!I203</f>
        <v>0</v>
      </c>
      <c r="L203" s="619">
        <f t="shared" si="53"/>
        <v>18</v>
      </c>
    </row>
    <row r="204" spans="1:12" ht="15.6" x14ac:dyDescent="0.3">
      <c r="A204" s="83" t="s">
        <v>48</v>
      </c>
      <c r="B204" s="79"/>
      <c r="C204" s="11" t="s">
        <v>47</v>
      </c>
      <c r="D204" s="15">
        <f t="shared" ref="D204:K204" si="54">SUM(D199:D203)</f>
        <v>0</v>
      </c>
      <c r="E204" s="15">
        <f t="shared" si="54"/>
        <v>0</v>
      </c>
      <c r="F204" s="15">
        <f t="shared" si="54"/>
        <v>0</v>
      </c>
      <c r="G204" s="15">
        <f t="shared" si="54"/>
        <v>44</v>
      </c>
      <c r="H204" s="15">
        <f t="shared" si="54"/>
        <v>84</v>
      </c>
      <c r="I204" s="15">
        <f t="shared" si="54"/>
        <v>414</v>
      </c>
      <c r="J204" s="15">
        <f t="shared" si="54"/>
        <v>0</v>
      </c>
      <c r="K204" s="15">
        <f t="shared" si="54"/>
        <v>0</v>
      </c>
      <c r="L204" s="55">
        <f t="shared" si="53"/>
        <v>542</v>
      </c>
    </row>
    <row r="205" spans="1:12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1"/>
    </row>
    <row r="206" spans="1:12" ht="15.6" x14ac:dyDescent="0.3">
      <c r="A206" s="661" t="s">
        <v>43</v>
      </c>
      <c r="B206" s="662"/>
      <c r="C206" s="11" t="s">
        <v>31</v>
      </c>
      <c r="D206" s="26">
        <f>Mulanje!G206+Mulanje!H206+Mulanje!I206</f>
        <v>76587065.319999993</v>
      </c>
      <c r="E206" s="26">
        <f>Luchenza!G206+Luchenza!H206+Luchenza!I206</f>
        <v>15851615.140000001</v>
      </c>
      <c r="F206" s="26">
        <f>Thyolo!G206+Thyolo!H206+Thyolo!I206</f>
        <v>24143062.640000001</v>
      </c>
      <c r="G206" s="26">
        <f>Muloza!G206+Muloza!H206+Muloza!I206</f>
        <v>16332346</v>
      </c>
      <c r="H206" s="26">
        <f>MUST!G206+MUST!H206+MUST!I206</f>
        <v>925226.08000000007</v>
      </c>
      <c r="I206" s="26">
        <f>Phalombe!G206+Phalombe!H206+Phalombe!I206</f>
        <v>10390375.83</v>
      </c>
      <c r="J206" s="26">
        <f>Mikolongwe!G206+Mikolongwe!H206+Mikolongwe!I206</f>
        <v>888639.7</v>
      </c>
      <c r="K206" s="26">
        <f>Migowi!G206+Migowi!H206+Migowi!I206</f>
        <v>0</v>
      </c>
      <c r="L206" s="619">
        <f>SUM(D206:K206)</f>
        <v>145118330.70999998</v>
      </c>
    </row>
    <row r="207" spans="1:12" ht="15.6" x14ac:dyDescent="0.3">
      <c r="A207" s="661" t="s">
        <v>42</v>
      </c>
      <c r="B207" s="662"/>
      <c r="C207" s="11" t="s">
        <v>31</v>
      </c>
      <c r="D207" s="26">
        <f>Mulanje!G207+Mulanje!H207+Mulanje!I207</f>
        <v>889400</v>
      </c>
      <c r="E207" s="26">
        <f>Luchenza!G207+Luchenza!H207+Luchenza!I207</f>
        <v>8000</v>
      </c>
      <c r="F207" s="26">
        <f>Thyolo!G207+Thyolo!H207+Thyolo!I207</f>
        <v>21000</v>
      </c>
      <c r="G207" s="26">
        <f>Muloza!G207+Muloza!H207+Muloza!I207</f>
        <v>17500</v>
      </c>
      <c r="H207" s="26">
        <f>MUST!G207+MUST!H207+MUST!I207</f>
        <v>0</v>
      </c>
      <c r="I207" s="26">
        <f>Phalombe!G207+Phalombe!H207+Phalombe!I207</f>
        <v>0</v>
      </c>
      <c r="J207" s="26">
        <f>Mikolongwe!G207+Mikolongwe!H207+Mikolongwe!I207</f>
        <v>0</v>
      </c>
      <c r="K207" s="26">
        <f>Migowi!G207+Migowi!H207+Migowi!I207</f>
        <v>0</v>
      </c>
      <c r="L207" s="619">
        <f>SUM(D207:K207)</f>
        <v>935900</v>
      </c>
    </row>
    <row r="208" spans="1:12" ht="15.6" x14ac:dyDescent="0.3">
      <c r="A208" s="663" t="s">
        <v>41</v>
      </c>
      <c r="B208" s="664"/>
      <c r="C208" s="11" t="s">
        <v>31</v>
      </c>
      <c r="D208" s="26">
        <f>Mulanje!G208+Mulanje!H208+Mulanje!I208</f>
        <v>476950</v>
      </c>
      <c r="E208" s="26">
        <f>Luchenza!G208+Luchenza!H208+Luchenza!I208</f>
        <v>342800</v>
      </c>
      <c r="F208" s="26">
        <f>Thyolo!G208+Thyolo!H208+Thyolo!I208</f>
        <v>1623082.79</v>
      </c>
      <c r="G208" s="26">
        <f>Muloza!G208+Muloza!H208+Muloza!I208</f>
        <v>709900</v>
      </c>
      <c r="H208" s="26">
        <f>MUST!G208+MUST!H208+MUST!I208</f>
        <v>920000</v>
      </c>
      <c r="I208" s="26">
        <f>Phalombe!G208+Phalombe!H208+Phalombe!I208</f>
        <v>109544.53</v>
      </c>
      <c r="J208" s="26">
        <f>Mikolongwe!G208+Mikolongwe!H208+Mikolongwe!I208</f>
        <v>0</v>
      </c>
      <c r="K208" s="26">
        <f>Migowi!G208+Migowi!H208+Migowi!I208</f>
        <v>0</v>
      </c>
      <c r="L208" s="619">
        <f>SUM(D208:K208)</f>
        <v>4182277.32</v>
      </c>
    </row>
    <row r="209" spans="1:12" ht="15.6" x14ac:dyDescent="0.3">
      <c r="A209" s="661" t="s">
        <v>40</v>
      </c>
      <c r="B209" s="662"/>
      <c r="C209" s="11" t="s">
        <v>31</v>
      </c>
      <c r="D209" s="26">
        <f>Mulanje!G209+Mulanje!H209+Mulanje!I209</f>
        <v>52146016</v>
      </c>
      <c r="E209" s="26">
        <f>Luchenza!G209+Luchenza!H209+Luchenza!I209</f>
        <v>10294757.07</v>
      </c>
      <c r="F209" s="26">
        <f>Thyolo!G209+Thyolo!H209+Thyolo!I209</f>
        <v>628107</v>
      </c>
      <c r="G209" s="26">
        <f>Muloza!G209+Muloza!H209+Muloza!I209</f>
        <v>325083</v>
      </c>
      <c r="H209" s="26">
        <f>MUST!G209+MUST!H209+MUST!I209</f>
        <v>284064065.64999998</v>
      </c>
      <c r="I209" s="26">
        <f>Phalombe!G209+Phalombe!H209+Phalombe!I209</f>
        <v>12554402</v>
      </c>
      <c r="J209" s="26">
        <f>Mikolongwe!G209+Mikolongwe!H209+Mikolongwe!I209</f>
        <v>0</v>
      </c>
      <c r="K209" s="26">
        <f>Migowi!G209+Migowi!H209+Migowi!I209</f>
        <v>0</v>
      </c>
      <c r="L209" s="619">
        <f>SUM(D209:K209)</f>
        <v>360012430.71999997</v>
      </c>
    </row>
    <row r="210" spans="1:12" ht="15.6" x14ac:dyDescent="0.3">
      <c r="A210" s="647" t="s">
        <v>45</v>
      </c>
      <c r="B210" s="648"/>
      <c r="C210" s="11" t="s">
        <v>31</v>
      </c>
      <c r="D210" s="10">
        <f t="shared" ref="D210:K210" si="55">SUM(D206:D209)</f>
        <v>130099431.31999999</v>
      </c>
      <c r="E210" s="10">
        <f t="shared" si="55"/>
        <v>26497172.210000001</v>
      </c>
      <c r="F210" s="10">
        <f t="shared" si="55"/>
        <v>26415252.43</v>
      </c>
      <c r="G210" s="10">
        <f t="shared" si="55"/>
        <v>17384829</v>
      </c>
      <c r="H210" s="10">
        <f t="shared" si="55"/>
        <v>285909291.72999996</v>
      </c>
      <c r="I210" s="10">
        <f t="shared" si="55"/>
        <v>23054322.359999999</v>
      </c>
      <c r="J210" s="10">
        <f t="shared" si="55"/>
        <v>888639.7</v>
      </c>
      <c r="K210" s="10">
        <f t="shared" si="55"/>
        <v>0</v>
      </c>
      <c r="L210" s="619">
        <f>SUM(D210:K210)</f>
        <v>510248938.74999994</v>
      </c>
    </row>
    <row r="211" spans="1:12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1"/>
    </row>
    <row r="212" spans="1:12" ht="15.6" x14ac:dyDescent="0.3">
      <c r="A212" s="661" t="s">
        <v>43</v>
      </c>
      <c r="B212" s="662"/>
      <c r="C212" s="11" t="s">
        <v>31</v>
      </c>
      <c r="D212" s="26">
        <f>Mulanje!G212+Mulanje!H212+Mulanje!I212</f>
        <v>23777525.399999999</v>
      </c>
      <c r="E212" s="26">
        <f>Luchenza!G212+Luchenza!H212+Luchenza!I212</f>
        <v>6971171.6500000004</v>
      </c>
      <c r="F212" s="26">
        <f>Thyolo!G212+Thyolo!H212+Thyolo!I212</f>
        <v>5067002</v>
      </c>
      <c r="G212" s="26">
        <f>Muloza!G212+Muloza!H212+Muloza!I212</f>
        <v>3608374.2</v>
      </c>
      <c r="H212" s="26">
        <f>MUST!G212+MUST!H212+MUST!I212</f>
        <v>1053180</v>
      </c>
      <c r="I212" s="26">
        <f>Phalombe!G212+Phalombe!H212+Phalombe!I212</f>
        <v>3767502.58</v>
      </c>
      <c r="J212" s="26">
        <f>Mikolongwe!G212+Mikolongwe!H212+Mikolongwe!I212</f>
        <v>685450</v>
      </c>
      <c r="K212" s="26">
        <f>Migowi!G212+Migowi!H212+Migowi!I212</f>
        <v>3159753.31</v>
      </c>
      <c r="L212" s="619">
        <f>SUM(D212:K212)</f>
        <v>48089959.140000001</v>
      </c>
    </row>
    <row r="213" spans="1:12" ht="15.6" x14ac:dyDescent="0.3">
      <c r="A213" s="661" t="s">
        <v>42</v>
      </c>
      <c r="B213" s="662"/>
      <c r="C213" s="11" t="s">
        <v>31</v>
      </c>
      <c r="D213" s="26">
        <f>Mulanje!G213+Mulanje!H213+Mulanje!I213</f>
        <v>455846</v>
      </c>
      <c r="E213" s="26">
        <f>Luchenza!G213+Luchenza!H213+Luchenza!I213</f>
        <v>0</v>
      </c>
      <c r="F213" s="26">
        <f>Thyolo!G213+Thyolo!H213+Thyolo!I213</f>
        <v>0</v>
      </c>
      <c r="G213" s="26">
        <f>Muloza!G213+Muloza!H213+Muloza!I213</f>
        <v>0</v>
      </c>
      <c r="H213" s="26">
        <f>MUST!G213+MUST!H213+MUST!I213</f>
        <v>0</v>
      </c>
      <c r="I213" s="26">
        <f>Phalombe!G213+Phalombe!H213+Phalombe!I213</f>
        <v>0</v>
      </c>
      <c r="J213" s="26">
        <f>Mikolongwe!G213+Mikolongwe!H213+Mikolongwe!I213</f>
        <v>0</v>
      </c>
      <c r="K213" s="26">
        <f>Migowi!G213+Migowi!H213+Migowi!I213</f>
        <v>0</v>
      </c>
      <c r="L213" s="619">
        <f>SUM(D213:K213)</f>
        <v>455846</v>
      </c>
    </row>
    <row r="214" spans="1:12" ht="15.6" x14ac:dyDescent="0.3">
      <c r="A214" s="663" t="s">
        <v>41</v>
      </c>
      <c r="B214" s="664"/>
      <c r="C214" s="11" t="s">
        <v>31</v>
      </c>
      <c r="D214" s="26">
        <f>Mulanje!G214+Mulanje!H214+Mulanje!I214</f>
        <v>4822521.29</v>
      </c>
      <c r="E214" s="26">
        <f>Luchenza!G214+Luchenza!H214+Luchenza!I214</f>
        <v>1599840.26</v>
      </c>
      <c r="F214" s="26">
        <f>Thyolo!G214+Thyolo!H214+Thyolo!I214</f>
        <v>1118753</v>
      </c>
      <c r="G214" s="26">
        <f>Muloza!G214+Muloza!H214+Muloza!I214</f>
        <v>1365553</v>
      </c>
      <c r="H214" s="26">
        <f>MUST!G214+MUST!H214+MUST!I214</f>
        <v>9428000</v>
      </c>
      <c r="I214" s="26">
        <f>Phalombe!G214+Phalombe!H214+Phalombe!I214</f>
        <v>787157</v>
      </c>
      <c r="J214" s="26">
        <f>Mikolongwe!G214+Mikolongwe!H214+Mikolongwe!I214</f>
        <v>0</v>
      </c>
      <c r="K214" s="26">
        <f>Migowi!G214+Migowi!H214+Migowi!I214</f>
        <v>0</v>
      </c>
      <c r="L214" s="619">
        <f>SUM(D214:K214)</f>
        <v>19121824.550000001</v>
      </c>
    </row>
    <row r="215" spans="1:12" ht="15.6" x14ac:dyDescent="0.3">
      <c r="A215" s="661" t="s">
        <v>40</v>
      </c>
      <c r="B215" s="662"/>
      <c r="C215" s="11" t="s">
        <v>31</v>
      </c>
      <c r="D215" s="26">
        <f>Mulanje!G215+Mulanje!H215+Mulanje!I215</f>
        <v>35081894.840000004</v>
      </c>
      <c r="E215" s="26">
        <f>Luchenza!G215+Luchenza!H215+Luchenza!I215</f>
        <v>4552218.1000000006</v>
      </c>
      <c r="F215" s="26">
        <f>Thyolo!G215+Thyolo!H215+Thyolo!I215</f>
        <v>9741704.3099999987</v>
      </c>
      <c r="G215" s="26">
        <f>Muloza!G215+Muloza!H215+Muloza!I215</f>
        <v>1021732.9600000002</v>
      </c>
      <c r="H215" s="26">
        <f>MUST!G215+MUST!H215+MUST!I215</f>
        <v>63298039.760000005</v>
      </c>
      <c r="I215" s="26">
        <f>Phalombe!G215+Phalombe!H215+Phalombe!I215</f>
        <v>4494635</v>
      </c>
      <c r="J215" s="26">
        <f>Mikolongwe!G215+Mikolongwe!H215+Mikolongwe!I215</f>
        <v>0</v>
      </c>
      <c r="K215" s="26">
        <f>Migowi!G215+Migowi!H215+Migowi!I215</f>
        <v>16080000</v>
      </c>
      <c r="L215" s="619">
        <f>SUM(D215:K215)</f>
        <v>134270224.97</v>
      </c>
    </row>
    <row r="216" spans="1:12" ht="15.6" x14ac:dyDescent="0.3">
      <c r="A216" s="647" t="s">
        <v>39</v>
      </c>
      <c r="B216" s="648"/>
      <c r="C216" s="11" t="s">
        <v>31</v>
      </c>
      <c r="D216" s="10">
        <f t="shared" ref="D216:K216" si="56">SUM(D212:D215)</f>
        <v>64137787.530000001</v>
      </c>
      <c r="E216" s="10">
        <f t="shared" si="56"/>
        <v>13123230.010000002</v>
      </c>
      <c r="F216" s="10">
        <f t="shared" si="56"/>
        <v>15927459.309999999</v>
      </c>
      <c r="G216" s="10">
        <f t="shared" si="56"/>
        <v>5995660.1600000001</v>
      </c>
      <c r="H216" s="10">
        <f>SUM(H212:H215)</f>
        <v>73779219.760000005</v>
      </c>
      <c r="I216" s="10">
        <f t="shared" si="56"/>
        <v>9049294.5800000001</v>
      </c>
      <c r="J216" s="10">
        <f t="shared" si="56"/>
        <v>685450</v>
      </c>
      <c r="K216" s="10">
        <f t="shared" si="56"/>
        <v>19239753.309999999</v>
      </c>
      <c r="L216" s="619">
        <f>SUM(D216:K216)</f>
        <v>201937854.66000003</v>
      </c>
    </row>
    <row r="217" spans="1:12" s="2" customFormat="1" ht="15.6" x14ac:dyDescent="0.3">
      <c r="A217" s="76" t="s">
        <v>38</v>
      </c>
      <c r="B217" s="77"/>
      <c r="C217" s="11" t="s">
        <v>31</v>
      </c>
      <c r="D217" s="10">
        <f>D210+D216</f>
        <v>194237218.84999999</v>
      </c>
      <c r="E217" s="10">
        <f t="shared" ref="E217:L217" si="57">E210+E216</f>
        <v>39620402.219999999</v>
      </c>
      <c r="F217" s="10">
        <f t="shared" si="57"/>
        <v>42342711.739999995</v>
      </c>
      <c r="G217" s="10">
        <f t="shared" si="57"/>
        <v>23380489.16</v>
      </c>
      <c r="H217" s="10">
        <f t="shared" si="57"/>
        <v>359688511.48999995</v>
      </c>
      <c r="I217" s="10">
        <f t="shared" si="57"/>
        <v>32103616.939999998</v>
      </c>
      <c r="J217" s="10">
        <f t="shared" si="57"/>
        <v>1574089.7</v>
      </c>
      <c r="K217" s="10">
        <f t="shared" si="57"/>
        <v>19239753.309999999</v>
      </c>
      <c r="L217" s="55">
        <f t="shared" si="57"/>
        <v>712186793.40999997</v>
      </c>
    </row>
    <row r="218" spans="1:12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1"/>
    </row>
    <row r="219" spans="1:12" ht="15.6" x14ac:dyDescent="0.3">
      <c r="A219" s="661" t="s">
        <v>35</v>
      </c>
      <c r="B219" s="662"/>
      <c r="C219" s="11" t="s">
        <v>31</v>
      </c>
      <c r="D219" s="26">
        <f>Mulanje!G219+Mulanje!H219+Mulanje!I219</f>
        <v>50709058.530000001</v>
      </c>
      <c r="E219" s="26">
        <f>Luchenza!G219+Luchenza!H219+Luchenza!I219</f>
        <v>16642578.530000001</v>
      </c>
      <c r="F219" s="26">
        <f>Thyolo!G219+Thyolo!H219+Thyolo!I219</f>
        <v>19230584.829999998</v>
      </c>
      <c r="G219" s="26">
        <f>Muloza!G219+Muloza!H219+Muloza!I219</f>
        <v>9526094.3099999987</v>
      </c>
      <c r="H219" s="26">
        <f>MUST!G219+MUST!H219+MUST!I219</f>
        <v>2369545.08</v>
      </c>
      <c r="I219" s="26">
        <f>Phalombe!G219+Phalombe!H219+Phalombe!I219</f>
        <v>12700460.559999999</v>
      </c>
      <c r="J219" s="26">
        <f>Mikolongwe!G219+Mikolongwe!H219+Mikolongwe!I219</f>
        <v>259933.13</v>
      </c>
      <c r="K219" s="26">
        <f>Migowi!G219+Migowi!H219+Migowi!I219</f>
        <v>0</v>
      </c>
      <c r="L219" s="619">
        <f>SUM(D219:K219)</f>
        <v>111438254.97</v>
      </c>
    </row>
    <row r="220" spans="1:12" ht="15.6" x14ac:dyDescent="0.3">
      <c r="A220" s="661" t="s">
        <v>34</v>
      </c>
      <c r="B220" s="662"/>
      <c r="C220" s="11" t="s">
        <v>31</v>
      </c>
      <c r="D220" s="26">
        <f>Mulanje!G220+Mulanje!H220+Mulanje!I220</f>
        <v>549318.39</v>
      </c>
      <c r="E220" s="26">
        <f>Luchenza!G220+Luchenza!H220+Luchenza!I220</f>
        <v>9216.17</v>
      </c>
      <c r="F220" s="26">
        <f>Thyolo!G220+Thyolo!H220+Thyolo!I220</f>
        <v>11650.16</v>
      </c>
      <c r="G220" s="26">
        <f>Muloza!G220+Muloza!H220+Muloza!I220</f>
        <v>6607.68</v>
      </c>
      <c r="H220" s="26">
        <f>MUST!G220+MUST!H220+MUST!I220</f>
        <v>0</v>
      </c>
      <c r="I220" s="26">
        <f>Phalombe!G220+Phalombe!H220+Phalombe!I220</f>
        <v>0</v>
      </c>
      <c r="J220" s="26">
        <f>Mikolongwe!G220+Mikolongwe!H220+Mikolongwe!I220</f>
        <v>0</v>
      </c>
      <c r="K220" s="26">
        <f>Migowi!G220+Migowi!H220+Migowi!I220</f>
        <v>0</v>
      </c>
      <c r="L220" s="619">
        <f>SUM(D220:K220)</f>
        <v>576792.40000000014</v>
      </c>
    </row>
    <row r="221" spans="1:12" ht="15.6" x14ac:dyDescent="0.3">
      <c r="A221" s="661" t="s">
        <v>33</v>
      </c>
      <c r="B221" s="662"/>
      <c r="C221" s="11" t="s">
        <v>31</v>
      </c>
      <c r="D221" s="26">
        <f>Mulanje!G221+Mulanje!H221+Mulanje!I221</f>
        <v>1465963.41</v>
      </c>
      <c r="E221" s="26">
        <f>Luchenza!G221+Luchenza!H221+Luchenza!I221</f>
        <v>33610596.149999999</v>
      </c>
      <c r="F221" s="26">
        <f>Thyolo!G221+Thyolo!H221+Thyolo!I221</f>
        <v>3757532.97</v>
      </c>
      <c r="G221" s="26">
        <f>Muloza!G221+Muloza!H221+Muloza!I221</f>
        <v>3591864.41</v>
      </c>
      <c r="H221" s="26">
        <f>MUST!G221+MUST!H221+MUST!I221</f>
        <v>56089480.730000004</v>
      </c>
      <c r="I221" s="26">
        <f>Phalombe!G221+Phalombe!H221+Phalombe!I221</f>
        <v>313183.87</v>
      </c>
      <c r="J221" s="26">
        <f>Mikolongwe!G221+Mikolongwe!H221+Mikolongwe!I221</f>
        <v>0</v>
      </c>
      <c r="K221" s="26">
        <f>Migowi!G221+Migowi!H221+Migowi!I221</f>
        <v>0</v>
      </c>
      <c r="L221" s="619">
        <f>SUM(D221:K221)</f>
        <v>98828621.540000007</v>
      </c>
    </row>
    <row r="222" spans="1:12" ht="15.6" x14ac:dyDescent="0.3">
      <c r="A222" s="661" t="s">
        <v>32</v>
      </c>
      <c r="B222" s="662"/>
      <c r="C222" s="11" t="s">
        <v>31</v>
      </c>
      <c r="D222" s="26">
        <f>Mulanje!G222+Mulanje!H222+Mulanje!I222</f>
        <v>480926.14</v>
      </c>
      <c r="E222" s="26">
        <f>Luchenza!G222+Luchenza!H222+Luchenza!I222</f>
        <v>1912377.7</v>
      </c>
      <c r="F222" s="26">
        <f>Thyolo!G222+Thyolo!H222+Thyolo!I222</f>
        <v>2467745.75</v>
      </c>
      <c r="G222" s="26">
        <f>Muloza!G222+Muloza!H222+Muloza!I222</f>
        <v>894159.95</v>
      </c>
      <c r="H222" s="26">
        <f>MUST!G222+MUST!H222+MUST!I222</f>
        <v>742362.96</v>
      </c>
      <c r="I222" s="26">
        <f>Phalombe!G222+Phalombe!H222+Phalombe!I222</f>
        <v>387630.88</v>
      </c>
      <c r="J222" s="26">
        <f>Mikolongwe!G222+Mikolongwe!H222+Mikolongwe!I222</f>
        <v>0</v>
      </c>
      <c r="K222" s="26">
        <f>Migowi!G222+Migowi!H222+Migowi!I222</f>
        <v>0</v>
      </c>
      <c r="L222" s="619">
        <f>SUM(D222:K222)</f>
        <v>6885203.3799999999</v>
      </c>
    </row>
    <row r="223" spans="1:12" ht="15.6" x14ac:dyDescent="0.3">
      <c r="A223" s="647" t="s">
        <v>36</v>
      </c>
      <c r="B223" s="648"/>
      <c r="C223" s="11" t="s">
        <v>31</v>
      </c>
      <c r="D223" s="12">
        <f t="shared" ref="D223:K223" si="58">SUM(D219:D222)</f>
        <v>53205266.469999999</v>
      </c>
      <c r="E223" s="10">
        <f t="shared" si="58"/>
        <v>52174768.550000004</v>
      </c>
      <c r="F223" s="10">
        <f t="shared" si="58"/>
        <v>25467513.709999997</v>
      </c>
      <c r="G223" s="10">
        <f t="shared" si="58"/>
        <v>14018726.349999998</v>
      </c>
      <c r="H223" s="10">
        <f t="shared" si="58"/>
        <v>59201388.770000003</v>
      </c>
      <c r="I223" s="10">
        <f t="shared" si="58"/>
        <v>13401275.309999999</v>
      </c>
      <c r="J223" s="14">
        <f t="shared" si="58"/>
        <v>259933.13</v>
      </c>
      <c r="K223" s="14">
        <f t="shared" si="58"/>
        <v>0</v>
      </c>
      <c r="L223" s="619">
        <f>SUM(D223:K223)</f>
        <v>217728872.29000002</v>
      </c>
    </row>
    <row r="224" spans="1:12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1"/>
    </row>
    <row r="225" spans="1:12" ht="15.6" x14ac:dyDescent="0.3">
      <c r="A225" s="661" t="s">
        <v>35</v>
      </c>
      <c r="B225" s="662"/>
      <c r="C225" s="11" t="s">
        <v>31</v>
      </c>
      <c r="D225" s="26">
        <f>Mulanje!G225+Mulanje!H225+Mulanje!I225</f>
        <v>0</v>
      </c>
      <c r="E225" s="26">
        <f>Luchenza!G225+Luchenza!H225+Luchenza!I225</f>
        <v>0</v>
      </c>
      <c r="F225" s="26">
        <f>Thyolo!G225+Thyolo!H225+Thyolo!I225</f>
        <v>0</v>
      </c>
      <c r="G225" s="26">
        <f>Muloza!G225+Muloza!H225+Muloza!I225</f>
        <v>0</v>
      </c>
      <c r="H225" s="26">
        <f>MUST!G225+MUST!H225+MUST!I225</f>
        <v>0</v>
      </c>
      <c r="I225" s="26">
        <f>Phalombe!G225+Phalombe!H225+Phalombe!I225</f>
        <v>0</v>
      </c>
      <c r="J225" s="26">
        <f>Mikolongwe!G225+Mikolongwe!H225+Mikolongwe!I225</f>
        <v>0</v>
      </c>
      <c r="K225" s="26">
        <f>Migowi!G225+Migowi!H225+Migowi!I225</f>
        <v>0</v>
      </c>
      <c r="L225" s="619">
        <f t="shared" ref="L225:L230" si="59">SUM(D225:K225)</f>
        <v>0</v>
      </c>
    </row>
    <row r="226" spans="1:12" ht="15.6" x14ac:dyDescent="0.3">
      <c r="A226" s="661" t="s">
        <v>34</v>
      </c>
      <c r="B226" s="662"/>
      <c r="C226" s="11" t="s">
        <v>31</v>
      </c>
      <c r="D226" s="26">
        <f>Mulanje!G226+Mulanje!H226+Mulanje!I226</f>
        <v>0</v>
      </c>
      <c r="E226" s="26">
        <f>Luchenza!G226+Luchenza!H226+Luchenza!I226</f>
        <v>0</v>
      </c>
      <c r="F226" s="26">
        <f>Thyolo!G226+Thyolo!H226+Thyolo!I226</f>
        <v>0</v>
      </c>
      <c r="G226" s="26">
        <f>Muloza!G226+Muloza!H226+Muloza!I226</f>
        <v>0</v>
      </c>
      <c r="H226" s="26">
        <f>MUST!G226+MUST!H226+MUST!I226</f>
        <v>0</v>
      </c>
      <c r="I226" s="26">
        <f>Phalombe!G226+Phalombe!H226+Phalombe!I226</f>
        <v>0</v>
      </c>
      <c r="J226" s="26">
        <f>Mikolongwe!G226+Mikolongwe!H226+Mikolongwe!I226</f>
        <v>0</v>
      </c>
      <c r="K226" s="26">
        <f>Migowi!G226+Migowi!H226+Migowi!I226</f>
        <v>0</v>
      </c>
      <c r="L226" s="619">
        <f t="shared" si="59"/>
        <v>0</v>
      </c>
    </row>
    <row r="227" spans="1:12" ht="15.6" x14ac:dyDescent="0.3">
      <c r="A227" s="661" t="s">
        <v>33</v>
      </c>
      <c r="B227" s="662"/>
      <c r="C227" s="11" t="s">
        <v>31</v>
      </c>
      <c r="D227" s="26">
        <f>Mulanje!G227+Mulanje!H227+Mulanje!I227</f>
        <v>0</v>
      </c>
      <c r="E227" s="26">
        <f>Luchenza!G227+Luchenza!H227+Luchenza!I227</f>
        <v>0</v>
      </c>
      <c r="F227" s="26">
        <f>Thyolo!G227+Thyolo!H227+Thyolo!I227</f>
        <v>0</v>
      </c>
      <c r="G227" s="26">
        <f>Muloza!G227+Muloza!H227+Muloza!I227</f>
        <v>0</v>
      </c>
      <c r="H227" s="26">
        <f>MUST!G227+MUST!H227+MUST!I227</f>
        <v>0</v>
      </c>
      <c r="I227" s="26">
        <f>Phalombe!G227+Phalombe!H227+Phalombe!I227</f>
        <v>0</v>
      </c>
      <c r="J227" s="26">
        <f>Mikolongwe!G227+Mikolongwe!H227+Mikolongwe!I227</f>
        <v>0</v>
      </c>
      <c r="K227" s="26">
        <f>Migowi!G227+Migowi!H227+Migowi!I227</f>
        <v>0</v>
      </c>
      <c r="L227" s="619">
        <f t="shared" si="59"/>
        <v>0</v>
      </c>
    </row>
    <row r="228" spans="1:12" ht="15.6" x14ac:dyDescent="0.3">
      <c r="A228" s="661" t="s">
        <v>32</v>
      </c>
      <c r="B228" s="662"/>
      <c r="C228" s="11" t="s">
        <v>31</v>
      </c>
      <c r="D228" s="26">
        <f>Mulanje!G228+Mulanje!H228+Mulanje!I228</f>
        <v>0</v>
      </c>
      <c r="E228" s="26">
        <f>Luchenza!G228+Luchenza!H228+Luchenza!I228</f>
        <v>0</v>
      </c>
      <c r="F228" s="26">
        <f>Thyolo!G228+Thyolo!H228+Thyolo!I228</f>
        <v>0</v>
      </c>
      <c r="G228" s="26">
        <f>Muloza!G228+Muloza!H228+Muloza!I228</f>
        <v>0</v>
      </c>
      <c r="H228" s="26">
        <f>MUST!G228+MUST!H228+MUST!I228</f>
        <v>0</v>
      </c>
      <c r="I228" s="26">
        <f>Phalombe!G228+Phalombe!H228+Phalombe!I228</f>
        <v>0</v>
      </c>
      <c r="J228" s="26">
        <f>Mikolongwe!G228+Mikolongwe!H228+Mikolongwe!I228</f>
        <v>0</v>
      </c>
      <c r="K228" s="26">
        <f>Migowi!G228+Migowi!H228+Migowi!I228</f>
        <v>0</v>
      </c>
      <c r="L228" s="619">
        <f t="shared" si="59"/>
        <v>0</v>
      </c>
    </row>
    <row r="229" spans="1:12" ht="15.6" x14ac:dyDescent="0.3">
      <c r="A229" s="647" t="s">
        <v>212</v>
      </c>
      <c r="B229" s="648"/>
      <c r="C229" s="11" t="s">
        <v>31</v>
      </c>
      <c r="D229" s="12">
        <f t="shared" ref="D229:K229" si="60">SUM(D225:D228)</f>
        <v>0</v>
      </c>
      <c r="E229" s="10">
        <f t="shared" si="60"/>
        <v>0</v>
      </c>
      <c r="F229" s="10">
        <f t="shared" si="60"/>
        <v>0</v>
      </c>
      <c r="G229" s="10">
        <f t="shared" si="60"/>
        <v>0</v>
      </c>
      <c r="H229" s="10">
        <f t="shared" si="60"/>
        <v>0</v>
      </c>
      <c r="I229" s="10">
        <f t="shared" si="60"/>
        <v>0</v>
      </c>
      <c r="J229" s="14">
        <f t="shared" si="60"/>
        <v>0</v>
      </c>
      <c r="K229" s="14">
        <f t="shared" si="60"/>
        <v>0</v>
      </c>
      <c r="L229" s="619">
        <f t="shared" si="59"/>
        <v>0</v>
      </c>
    </row>
    <row r="230" spans="1:12" ht="15.6" x14ac:dyDescent="0.3">
      <c r="A230" s="76" t="s">
        <v>213</v>
      </c>
      <c r="B230" s="119"/>
      <c r="C230" s="11" t="s">
        <v>31</v>
      </c>
      <c r="D230" s="12">
        <f>D223+D229</f>
        <v>53205266.469999999</v>
      </c>
      <c r="E230" s="12">
        <f t="shared" ref="E230:K230" si="61">E223+E229</f>
        <v>52174768.550000004</v>
      </c>
      <c r="F230" s="12">
        <f t="shared" si="61"/>
        <v>25467513.709999997</v>
      </c>
      <c r="G230" s="12">
        <f t="shared" si="61"/>
        <v>14018726.349999998</v>
      </c>
      <c r="H230" s="12">
        <f t="shared" si="61"/>
        <v>59201388.770000003</v>
      </c>
      <c r="I230" s="12">
        <f t="shared" si="61"/>
        <v>13401275.309999999</v>
      </c>
      <c r="J230" s="12">
        <f t="shared" si="61"/>
        <v>259933.13</v>
      </c>
      <c r="K230" s="12">
        <f t="shared" si="61"/>
        <v>0</v>
      </c>
      <c r="L230" s="619">
        <f t="shared" si="59"/>
        <v>217728872.29000002</v>
      </c>
    </row>
    <row r="231" spans="1:12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1"/>
    </row>
    <row r="232" spans="1:12" ht="15.6" x14ac:dyDescent="0.3">
      <c r="A232" s="661" t="s">
        <v>29</v>
      </c>
      <c r="B232" s="662"/>
      <c r="C232" s="11" t="s">
        <v>18</v>
      </c>
      <c r="D232" s="26">
        <f>Mulanje!G232+Mulanje!H232+Mulanje!I232</f>
        <v>3165683.85</v>
      </c>
      <c r="E232" s="26">
        <f>Luchenza!G232+Luchenza!H232+Luchenza!I232</f>
        <v>1465361.3699999999</v>
      </c>
      <c r="F232" s="26">
        <f>Thyolo!G232+Thyolo!H232+Thyolo!I232</f>
        <v>1333111.8599999999</v>
      </c>
      <c r="G232" s="26">
        <f>Muloza!G232+Muloza!H232+Muloza!I232</f>
        <v>758304.12</v>
      </c>
      <c r="H232" s="26">
        <f>MUST!G232+MUST!H232+MUST!I232</f>
        <v>120598.1</v>
      </c>
      <c r="I232" s="26">
        <f>Phalombe!G232+Phalombe!H232+Phalombe!I232</f>
        <v>806177.05</v>
      </c>
      <c r="J232" s="26">
        <f>Mikolongwe!G232+Mikolongwe!H232+Mikolongwe!I232</f>
        <v>34889.129999999997</v>
      </c>
      <c r="K232" s="26">
        <f>Migowi!G232+Migowi!H232+Migowi!I232</f>
        <v>0</v>
      </c>
      <c r="L232" s="619">
        <f>SUM(D232:K232)</f>
        <v>7684125.4799999995</v>
      </c>
    </row>
    <row r="233" spans="1:12" ht="15.6" x14ac:dyDescent="0.3">
      <c r="A233" s="661" t="s">
        <v>28</v>
      </c>
      <c r="B233" s="662"/>
      <c r="C233" s="11" t="s">
        <v>18</v>
      </c>
      <c r="D233" s="26">
        <f>Mulanje!G233+Mulanje!H233+Mulanje!I233</f>
        <v>7824.7</v>
      </c>
      <c r="E233" s="26">
        <f>Luchenza!G233+Luchenza!H233+Luchenza!I233</f>
        <v>1565.0099999999998</v>
      </c>
      <c r="F233" s="26">
        <f>Thyolo!G233+Thyolo!H233+Thyolo!I233</f>
        <v>1043.56</v>
      </c>
      <c r="G233" s="26">
        <f>Muloza!G233+Muloza!H233+Muloza!I233</f>
        <v>521.89</v>
      </c>
      <c r="H233" s="26">
        <f>MUST!G233+MUST!H233+MUST!I233</f>
        <v>0</v>
      </c>
      <c r="I233" s="26">
        <f>Phalombe!G233+Phalombe!H233+Phalombe!I233</f>
        <v>0</v>
      </c>
      <c r="J233" s="26">
        <f>Mikolongwe!G233+Mikolongwe!H233+Mikolongwe!I233</f>
        <v>0</v>
      </c>
      <c r="K233" s="26">
        <f>Migowi!G233+Migowi!H233+Migowi!I233</f>
        <v>0</v>
      </c>
      <c r="L233" s="619">
        <f>SUM(D233:K233)</f>
        <v>10955.159999999998</v>
      </c>
    </row>
    <row r="234" spans="1:12" ht="15.6" x14ac:dyDescent="0.3">
      <c r="A234" s="661" t="s">
        <v>27</v>
      </c>
      <c r="B234" s="662"/>
      <c r="C234" s="11" t="s">
        <v>18</v>
      </c>
      <c r="D234" s="26">
        <f>Mulanje!G234+Mulanje!H234+Mulanje!I234</f>
        <v>246810.02</v>
      </c>
      <c r="E234" s="26">
        <f>Luchenza!G234+Luchenza!H234+Luchenza!I234</f>
        <v>86383.64</v>
      </c>
      <c r="F234" s="26">
        <f>Thyolo!G234+Thyolo!H234+Thyolo!I234</f>
        <v>123405.38</v>
      </c>
      <c r="G234" s="26">
        <f>Muloza!G234+Muloza!H234+Muloza!I234</f>
        <v>46277.65</v>
      </c>
      <c r="H234" s="26">
        <f>MUST!G234+MUST!H234+MUST!I234</f>
        <v>49362.080000000002</v>
      </c>
      <c r="I234" s="26">
        <f>Phalombe!G234+Phalombe!H234+Phalombe!I234</f>
        <v>33936.78</v>
      </c>
      <c r="J234" s="26">
        <f>Mikolongwe!G234+Mikolongwe!H234+Mikolongwe!I234</f>
        <v>0</v>
      </c>
      <c r="K234" s="26">
        <f>Migowi!G234+Migowi!H234+Migowi!I234</f>
        <v>0</v>
      </c>
      <c r="L234" s="619">
        <f>SUM(D234:K234)</f>
        <v>586175.55000000005</v>
      </c>
    </row>
    <row r="235" spans="1:12" ht="15.6" x14ac:dyDescent="0.3">
      <c r="A235" s="661" t="s">
        <v>26</v>
      </c>
      <c r="B235" s="662"/>
      <c r="C235" s="11" t="s">
        <v>18</v>
      </c>
      <c r="D235" s="26">
        <f>Mulanje!G235+Mulanje!H235+Mulanje!I235</f>
        <v>164415.48000000001</v>
      </c>
      <c r="E235" s="26">
        <f>Luchenza!G235+Luchenza!H235+Luchenza!I235</f>
        <v>286672.36</v>
      </c>
      <c r="F235" s="26">
        <f>Thyolo!G235+Thyolo!H235+Thyolo!I235</f>
        <v>227651.71999999997</v>
      </c>
      <c r="G235" s="26">
        <f>Muloza!G235+Muloza!H235+Muloza!I235</f>
        <v>168631.01</v>
      </c>
      <c r="H235" s="26">
        <f>MUST!G235+MUST!H235+MUST!I235</f>
        <v>12647.310000000001</v>
      </c>
      <c r="I235" s="26">
        <f>Phalombe!G235+Phalombe!H235+Phalombe!I235</f>
        <v>54805.159999999996</v>
      </c>
      <c r="J235" s="26">
        <f>Mikolongwe!G235+Mikolongwe!H235+Mikolongwe!I235</f>
        <v>0</v>
      </c>
      <c r="K235" s="26">
        <f>Migowi!G235+Migowi!H235+Migowi!I235</f>
        <v>0</v>
      </c>
      <c r="L235" s="619">
        <f>SUM(D235:K235)</f>
        <v>914823.04</v>
      </c>
    </row>
    <row r="236" spans="1:12" ht="15.6" x14ac:dyDescent="0.3">
      <c r="A236" s="647" t="s">
        <v>25</v>
      </c>
      <c r="B236" s="648"/>
      <c r="C236" s="11" t="s">
        <v>18</v>
      </c>
      <c r="D236" s="12">
        <f t="shared" ref="D236:K236" si="62">SUM(D232:D235)</f>
        <v>3584734.0500000003</v>
      </c>
      <c r="E236" s="12">
        <f t="shared" si="62"/>
        <v>1839982.38</v>
      </c>
      <c r="F236" s="12">
        <f t="shared" si="62"/>
        <v>1685212.5199999998</v>
      </c>
      <c r="G236" s="12">
        <f t="shared" si="62"/>
        <v>973734.67</v>
      </c>
      <c r="H236" s="12">
        <f t="shared" si="62"/>
        <v>182607.49</v>
      </c>
      <c r="I236" s="12">
        <f t="shared" si="62"/>
        <v>894918.99000000011</v>
      </c>
      <c r="J236" s="12">
        <f t="shared" si="62"/>
        <v>34889.129999999997</v>
      </c>
      <c r="K236" s="12">
        <f t="shared" si="62"/>
        <v>0</v>
      </c>
      <c r="L236" s="55">
        <f>SUM(L232:L235)</f>
        <v>9196079.2300000004</v>
      </c>
    </row>
    <row r="237" spans="1:12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1"/>
    </row>
    <row r="238" spans="1:12" ht="15.6" x14ac:dyDescent="0.3">
      <c r="A238" s="661" t="s">
        <v>23</v>
      </c>
      <c r="B238" s="662"/>
      <c r="C238" s="11" t="s">
        <v>18</v>
      </c>
      <c r="D238" s="26">
        <f>Mulanje!G238+Mulanje!H238+Mulanje!I238</f>
        <v>5514275</v>
      </c>
      <c r="E238" s="26">
        <f>Luchenza!G238+Luchenza!H238+Luchenza!I238</f>
        <v>2553980</v>
      </c>
      <c r="F238" s="26">
        <f>Thyolo!G238+Thyolo!H238+Thyolo!I238</f>
        <v>2445034</v>
      </c>
      <c r="G238" s="26">
        <f>Muloza!G238+Muloza!H238+Muloza!I238</f>
        <v>1427014</v>
      </c>
      <c r="H238" s="26">
        <f>MUST!G238+MUST!H238+MUST!I238</f>
        <v>204497</v>
      </c>
      <c r="I238" s="26">
        <f>Phalombe!G238+Phalombe!H238+Phalombe!I238</f>
        <v>1393973</v>
      </c>
      <c r="J238" s="26">
        <f>Mikolongwe!G238+Mikolongwe!H238+Mikolongwe!I238</f>
        <v>56259</v>
      </c>
      <c r="K238" s="26">
        <f>Migowi!G238+Migowi!H238+Migowi!I238</f>
        <v>0</v>
      </c>
      <c r="L238" s="619">
        <f>SUM(D238:K238)</f>
        <v>13595032</v>
      </c>
    </row>
    <row r="239" spans="1:12" ht="15.6" x14ac:dyDescent="0.3">
      <c r="A239" s="661" t="s">
        <v>22</v>
      </c>
      <c r="B239" s="662"/>
      <c r="C239" s="11" t="s">
        <v>18</v>
      </c>
      <c r="D239" s="26">
        <f>Mulanje!G239+Mulanje!H239+Mulanje!I239</f>
        <v>40185</v>
      </c>
      <c r="E239" s="26">
        <f>Luchenza!G239+Luchenza!H239+Luchenza!I239</f>
        <v>8037</v>
      </c>
      <c r="F239" s="26">
        <f>Thyolo!G239+Thyolo!H239+Thyolo!I239</f>
        <v>5358</v>
      </c>
      <c r="G239" s="26">
        <f>Muloza!G239+Muloza!H239+Muloza!I239</f>
        <v>2679</v>
      </c>
      <c r="H239" s="26">
        <f>MUST!G239+MUST!H239+MUST!I239</f>
        <v>0</v>
      </c>
      <c r="I239" s="26">
        <f>Phalombe!G239+Phalombe!H239+Phalombe!I239</f>
        <v>0</v>
      </c>
      <c r="J239" s="26">
        <f>Mikolongwe!G239+Mikolongwe!H239+Mikolongwe!I239</f>
        <v>0</v>
      </c>
      <c r="K239" s="26">
        <f>Migowi!G239+Migowi!H239+Migowi!I239</f>
        <v>0</v>
      </c>
      <c r="L239" s="619">
        <f>SUM(D239:K239)</f>
        <v>56259</v>
      </c>
    </row>
    <row r="240" spans="1:12" ht="15.6" x14ac:dyDescent="0.3">
      <c r="A240" s="661" t="s">
        <v>21</v>
      </c>
      <c r="B240" s="662"/>
      <c r="C240" s="11" t="s">
        <v>18</v>
      </c>
      <c r="D240" s="26">
        <f>Mulanje!G240+Mulanje!H240+Mulanje!I240</f>
        <v>71440</v>
      </c>
      <c r="E240" s="26">
        <f>Luchenza!G240+Luchenza!H240+Luchenza!I240</f>
        <v>25004</v>
      </c>
      <c r="F240" s="26">
        <f>Thyolo!G240+Thyolo!H240+Thyolo!I240</f>
        <v>35720</v>
      </c>
      <c r="G240" s="26">
        <f>Muloza!G240+Muloza!H240+Muloza!I240</f>
        <v>13395</v>
      </c>
      <c r="H240" s="26">
        <f>MUST!G240+MUST!H240+MUST!I240</f>
        <v>14287</v>
      </c>
      <c r="I240" s="26">
        <f>Phalombe!G240+Phalombe!H240+Phalombe!I240</f>
        <v>9823</v>
      </c>
      <c r="J240" s="26">
        <f>Mikolongwe!G240+Mikolongwe!H240+Mikolongwe!I240</f>
        <v>0</v>
      </c>
      <c r="K240" s="26">
        <f>Migowi!G240+Migowi!H240+Migowi!I240</f>
        <v>0</v>
      </c>
      <c r="L240" s="619">
        <f>SUM(D240:K240)</f>
        <v>169669</v>
      </c>
    </row>
    <row r="241" spans="1:12" ht="15.6" x14ac:dyDescent="0.3">
      <c r="A241" s="661" t="s">
        <v>20</v>
      </c>
      <c r="B241" s="662"/>
      <c r="C241" s="11" t="s">
        <v>18</v>
      </c>
      <c r="D241" s="26">
        <f>Mulanje!G241+Mulanje!H241+Mulanje!I241</f>
        <v>34827</v>
      </c>
      <c r="E241" s="26">
        <f>Luchenza!G241+Luchenza!H241+Luchenza!I241</f>
        <v>60724</v>
      </c>
      <c r="F241" s="26">
        <f>Thyolo!G241+Thyolo!H241+Thyolo!I241</f>
        <v>48222</v>
      </c>
      <c r="G241" s="26">
        <f>Muloza!G241+Muloza!H241+Muloza!I241</f>
        <v>35720</v>
      </c>
      <c r="H241" s="26">
        <f>MUST!G241+MUST!H241+MUST!I241</f>
        <v>10717</v>
      </c>
      <c r="I241" s="26">
        <f>Phalombe!G241+Phalombe!H241+Phalombe!I241</f>
        <v>11609</v>
      </c>
      <c r="J241" s="26">
        <f>Mikolongwe!G241+Mikolongwe!H241+Mikolongwe!I241</f>
        <v>0</v>
      </c>
      <c r="K241" s="26">
        <f>Migowi!G241+Migowi!H241+Migowi!I241</f>
        <v>0</v>
      </c>
      <c r="L241" s="619">
        <f>SUM(D241:K241)</f>
        <v>201819</v>
      </c>
    </row>
    <row r="242" spans="1:12" ht="15.6" x14ac:dyDescent="0.3">
      <c r="A242" s="647" t="s">
        <v>19</v>
      </c>
      <c r="B242" s="648"/>
      <c r="C242" s="11" t="s">
        <v>18</v>
      </c>
      <c r="D242" s="12">
        <f t="shared" ref="D242:L242" si="63">SUM(D238:D241)</f>
        <v>5660727</v>
      </c>
      <c r="E242" s="12">
        <f t="shared" si="63"/>
        <v>2647745</v>
      </c>
      <c r="F242" s="12">
        <f t="shared" si="63"/>
        <v>2534334</v>
      </c>
      <c r="G242" s="12">
        <f t="shared" si="63"/>
        <v>1478808</v>
      </c>
      <c r="H242" s="12">
        <f t="shared" si="63"/>
        <v>229501</v>
      </c>
      <c r="I242" s="12">
        <f t="shared" si="63"/>
        <v>1415405</v>
      </c>
      <c r="J242" s="12">
        <f t="shared" si="63"/>
        <v>56259</v>
      </c>
      <c r="K242" s="12">
        <f t="shared" si="63"/>
        <v>0</v>
      </c>
      <c r="L242" s="55">
        <f t="shared" si="63"/>
        <v>14022779</v>
      </c>
    </row>
    <row r="243" spans="1:12" ht="15.6" x14ac:dyDescent="0.3">
      <c r="A243" s="647" t="s">
        <v>214</v>
      </c>
      <c r="B243" s="648"/>
      <c r="C243" s="11" t="s">
        <v>18</v>
      </c>
      <c r="D243" s="10">
        <f>D230+D236+D242</f>
        <v>62450727.519999996</v>
      </c>
      <c r="E243" s="10">
        <f t="shared" ref="E243:K243" si="64">E230+E236+E242</f>
        <v>56662495.930000007</v>
      </c>
      <c r="F243" s="10">
        <f t="shared" si="64"/>
        <v>29687060.229999997</v>
      </c>
      <c r="G243" s="10">
        <f t="shared" si="64"/>
        <v>16471269.019999998</v>
      </c>
      <c r="H243" s="10">
        <f t="shared" si="64"/>
        <v>59613497.260000005</v>
      </c>
      <c r="I243" s="10">
        <f t="shared" si="64"/>
        <v>15711599.299999999</v>
      </c>
      <c r="J243" s="10">
        <f t="shared" si="64"/>
        <v>351081.26</v>
      </c>
      <c r="K243" s="10">
        <f t="shared" si="64"/>
        <v>0</v>
      </c>
      <c r="L243" s="55">
        <f t="shared" ref="L243" si="65">L216+L223+L236+L242</f>
        <v>442885585.18000007</v>
      </c>
    </row>
    <row r="244" spans="1:12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1"/>
    </row>
    <row r="245" spans="1:12" ht="15.6" x14ac:dyDescent="0.3">
      <c r="A245" s="657" t="s">
        <v>205</v>
      </c>
      <c r="B245" s="658"/>
      <c r="C245" s="11" t="s">
        <v>18</v>
      </c>
      <c r="D245" s="15">
        <f>Mulanje!G245+Mulanje!H245+Mulanje!I245</f>
        <v>385405733.58999997</v>
      </c>
      <c r="E245" s="15">
        <f>Luchenza!G245+Luchenza!H245+Luchenza!I245</f>
        <v>337623505.88</v>
      </c>
      <c r="F245" s="15">
        <f>Thyolo!G245+Thyolo!H245+Thyolo!I245</f>
        <v>152733553.44999999</v>
      </c>
      <c r="G245" s="15">
        <f>Muloza!G245+Muloza!H245+Muloza!I245</f>
        <v>135407452.80000001</v>
      </c>
      <c r="H245" s="15">
        <f>MUST!G245+MUST!H245+MUST!I245</f>
        <v>16434847.120000005</v>
      </c>
      <c r="I245" s="15">
        <f>Phalombe!G245+Phalombe!H245+Phalombe!I245</f>
        <v>130717279.03999999</v>
      </c>
      <c r="J245" s="15">
        <f>Mikolongwe!G245+Mikolongwe!H245+Mikolongwe!I245</f>
        <v>6021989.7800000003</v>
      </c>
      <c r="K245" s="15">
        <f>Migowi!G245+Migowi!H245+Migowi!I245</f>
        <v>0</v>
      </c>
      <c r="L245" s="55">
        <f>SUM(D245:K245)</f>
        <v>1164344361.6600001</v>
      </c>
    </row>
    <row r="246" spans="1:12" ht="15.6" x14ac:dyDescent="0.3">
      <c r="A246" s="657" t="s">
        <v>206</v>
      </c>
      <c r="B246" s="658"/>
      <c r="C246" s="11" t="s">
        <v>18</v>
      </c>
      <c r="D246" s="15">
        <f>Mulanje!G246+Mulanje!H246+Mulanje!I246</f>
        <v>560458937.98000002</v>
      </c>
      <c r="E246" s="15">
        <f>Luchenza!G246+Luchenza!H246+Luchenza!I246</f>
        <v>185555607.64999998</v>
      </c>
      <c r="F246" s="15">
        <f>Thyolo!G246+Thyolo!H246+Thyolo!I246</f>
        <v>245679772.52000001</v>
      </c>
      <c r="G246" s="15">
        <f>Muloza!G246+Muloza!H246+Muloza!I246</f>
        <v>127045385.25999999</v>
      </c>
      <c r="H246" s="15">
        <f>MUST!G246+MUST!H246+MUST!I246</f>
        <v>447576595.64999998</v>
      </c>
      <c r="I246" s="15">
        <f>Phalombe!G246+Phalombe!H246+Phalombe!I246</f>
        <v>35080635.369999997</v>
      </c>
      <c r="J246" s="15">
        <f>Mikolongwe!G246+Mikolongwe!H246+Mikolongwe!I246</f>
        <v>0</v>
      </c>
      <c r="K246" s="15">
        <f>Migowi!G246+Migowi!H246+Migowi!I246</f>
        <v>0</v>
      </c>
      <c r="L246" s="55">
        <f>SUM(D246:K246)</f>
        <v>1601396934.4299998</v>
      </c>
    </row>
    <row r="247" spans="1:12" ht="15.6" x14ac:dyDescent="0.3">
      <c r="A247" s="659" t="s">
        <v>207</v>
      </c>
      <c r="B247" s="660"/>
      <c r="C247" s="11" t="s">
        <v>18</v>
      </c>
      <c r="D247" s="142">
        <f>D245+D246</f>
        <v>945864671.56999993</v>
      </c>
      <c r="E247" s="142">
        <f t="shared" ref="E247:L247" si="66">E245+E246</f>
        <v>523179113.52999997</v>
      </c>
      <c r="F247" s="142">
        <f t="shared" si="66"/>
        <v>398413325.97000003</v>
      </c>
      <c r="G247" s="142">
        <f t="shared" si="66"/>
        <v>262452838.06</v>
      </c>
      <c r="H247" s="142">
        <f t="shared" si="66"/>
        <v>464011442.76999998</v>
      </c>
      <c r="I247" s="142">
        <f t="shared" si="66"/>
        <v>165797914.41</v>
      </c>
      <c r="J247" s="142">
        <f t="shared" si="66"/>
        <v>6021989.7800000003</v>
      </c>
      <c r="K247" s="142">
        <f t="shared" si="66"/>
        <v>0</v>
      </c>
      <c r="L247" s="55">
        <f t="shared" si="66"/>
        <v>2765741296.0900002</v>
      </c>
    </row>
    <row r="248" spans="1:12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1"/>
    </row>
    <row r="249" spans="1:12" ht="15.6" x14ac:dyDescent="0.3">
      <c r="A249" s="643" t="s">
        <v>16</v>
      </c>
      <c r="B249" s="644"/>
      <c r="C249" s="5" t="s">
        <v>6</v>
      </c>
      <c r="D249" s="8">
        <f>D58/D243%</f>
        <v>33.312476453276716</v>
      </c>
      <c r="E249" s="8">
        <f t="shared" ref="E249:L249" si="67">E58/E243%</f>
        <v>34.559298409112621</v>
      </c>
      <c r="F249" s="8">
        <f t="shared" si="67"/>
        <v>82.707371393259265</v>
      </c>
      <c r="G249" s="8">
        <f t="shared" si="67"/>
        <v>90.121877776846617</v>
      </c>
      <c r="H249" s="8">
        <f t="shared" si="67"/>
        <v>16.934586859532956</v>
      </c>
      <c r="I249" s="8">
        <f t="shared" si="67"/>
        <v>48.964082109706041</v>
      </c>
      <c r="J249" s="8">
        <f t="shared" si="67"/>
        <v>194.80424166378648</v>
      </c>
      <c r="K249" s="8" t="e">
        <f t="shared" si="67"/>
        <v>#DIV/0!</v>
      </c>
      <c r="L249" s="26">
        <f t="shared" si="67"/>
        <v>22.456746559139237</v>
      </c>
    </row>
    <row r="250" spans="1:12" ht="15.6" x14ac:dyDescent="0.3">
      <c r="A250" s="643" t="s">
        <v>208</v>
      </c>
      <c r="B250" s="644"/>
      <c r="C250" s="5" t="s">
        <v>6</v>
      </c>
      <c r="D250" s="29">
        <f>D210/(D223+D245)%</f>
        <v>29.661689128225923</v>
      </c>
      <c r="E250" s="29">
        <f t="shared" ref="E250:L250" si="68">E210/(E223+E245)%</f>
        <v>6.7976627779449972</v>
      </c>
      <c r="F250" s="29">
        <f t="shared" si="68"/>
        <v>14.823285208658568</v>
      </c>
      <c r="G250" s="29">
        <f t="shared" si="68"/>
        <v>11.634393048723014</v>
      </c>
      <c r="H250" s="29">
        <f t="shared" si="68"/>
        <v>378.0057116351033</v>
      </c>
      <c r="I250" s="29">
        <f t="shared" si="68"/>
        <v>15.99677603205156</v>
      </c>
      <c r="J250" s="29">
        <f t="shared" si="68"/>
        <v>14.145982253067794</v>
      </c>
      <c r="K250" s="29" t="e">
        <f t="shared" si="68"/>
        <v>#DIV/0!</v>
      </c>
      <c r="L250" s="184">
        <f t="shared" si="68"/>
        <v>36.919095617798462</v>
      </c>
    </row>
    <row r="251" spans="1:12" ht="16.2" thickBot="1" x14ac:dyDescent="0.35">
      <c r="A251" s="652" t="s">
        <v>15</v>
      </c>
      <c r="B251" s="653"/>
      <c r="C251" s="5" t="s">
        <v>6</v>
      </c>
      <c r="D251" s="7">
        <f>D210/D223%</f>
        <v>244.52359691376995</v>
      </c>
      <c r="E251" s="7">
        <f t="shared" ref="E251:L251" si="69">E210/E223%</f>
        <v>50.785413996819734</v>
      </c>
      <c r="F251" s="7">
        <f t="shared" si="69"/>
        <v>103.72136334465922</v>
      </c>
      <c r="G251" s="7">
        <f t="shared" si="69"/>
        <v>124.0114726970186</v>
      </c>
      <c r="H251" s="7">
        <f t="shared" si="69"/>
        <v>482.94355532903137</v>
      </c>
      <c r="I251" s="7">
        <f t="shared" si="69"/>
        <v>172.03080920811263</v>
      </c>
      <c r="J251" s="7">
        <f t="shared" si="69"/>
        <v>341.87242695842582</v>
      </c>
      <c r="K251" s="7" t="e">
        <f t="shared" si="69"/>
        <v>#DIV/0!</v>
      </c>
      <c r="L251" s="620">
        <f t="shared" si="69"/>
        <v>234.350609261588</v>
      </c>
    </row>
    <row r="252" spans="1:12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6"/>
    </row>
    <row r="253" spans="1:12" s="2" customFormat="1" ht="15" customHeight="1" x14ac:dyDescent="0.3">
      <c r="A253" s="643" t="s">
        <v>13</v>
      </c>
      <c r="B253" s="644"/>
      <c r="C253" s="5" t="s">
        <v>3</v>
      </c>
      <c r="D253" s="26">
        <f>Mulanje!G253+Mulanje!H253+Mulanje!I253</f>
        <v>32</v>
      </c>
      <c r="E253" s="26">
        <f>Luchenza!G253+Luchenza!H253+Luchenza!I253</f>
        <v>90</v>
      </c>
      <c r="F253" s="26">
        <f>Thyolo!G253+Thyolo!H253+Thyolo!I253</f>
        <v>84</v>
      </c>
      <c r="G253" s="26">
        <f>Muloza!G253+Muloza!H253+Muloza!I253</f>
        <v>44</v>
      </c>
      <c r="H253" s="26">
        <f>MUST!G253+MUST!H253+MUST!I253</f>
        <v>7</v>
      </c>
      <c r="I253" s="26">
        <f>Phalombe!G253+Phalombe!H253+Phalombe!I253</f>
        <v>106</v>
      </c>
      <c r="J253" s="26">
        <f>Mikolongwe!G253+Mikolongwe!H253+Mikolongwe!I253</f>
        <v>0</v>
      </c>
      <c r="K253" s="26">
        <f>Migowi!G253+Migowi!H253+Migowi!I253</f>
        <v>0</v>
      </c>
      <c r="L253" s="105">
        <f>SUM(D253:K253)</f>
        <v>363</v>
      </c>
    </row>
    <row r="254" spans="1:12" s="2" customFormat="1" ht="15.6" x14ac:dyDescent="0.3">
      <c r="A254" s="643" t="s">
        <v>12</v>
      </c>
      <c r="B254" s="644"/>
      <c r="C254" s="5" t="s">
        <v>3</v>
      </c>
      <c r="D254" s="26">
        <f>Mulanje!G254+Mulanje!H254+Mulanje!I254</f>
        <v>21</v>
      </c>
      <c r="E254" s="26">
        <f>Luchenza!G254+Luchenza!H254+Luchenza!I254</f>
        <v>28</v>
      </c>
      <c r="F254" s="26">
        <f>Thyolo!G254+Thyolo!H254+Thyolo!I254</f>
        <v>17</v>
      </c>
      <c r="G254" s="26">
        <f>Muloza!G254+Muloza!H254+Muloza!I254</f>
        <v>19</v>
      </c>
      <c r="H254" s="26">
        <f>MUST!G254+MUST!H254+MUST!I254</f>
        <v>4</v>
      </c>
      <c r="I254" s="26">
        <f>Phalombe!G254+Phalombe!H254+Phalombe!I254</f>
        <v>43</v>
      </c>
      <c r="J254" s="26">
        <f>Mikolongwe!G254+Mikolongwe!H254+Mikolongwe!I254</f>
        <v>0</v>
      </c>
      <c r="K254" s="26">
        <f>Migowi!G254+Migowi!H254+Migowi!I254</f>
        <v>0</v>
      </c>
      <c r="L254" s="105">
        <f>SUM(D254:K254)</f>
        <v>132</v>
      </c>
    </row>
    <row r="255" spans="1:12" ht="15.75" customHeight="1" x14ac:dyDescent="0.3">
      <c r="A255" s="643" t="s">
        <v>11</v>
      </c>
      <c r="B255" s="644"/>
      <c r="C255" s="5" t="s">
        <v>3</v>
      </c>
      <c r="D255" s="26">
        <f>Mulanje!G255+Mulanje!H255+Mulanje!I255</f>
        <v>82</v>
      </c>
      <c r="E255" s="26">
        <f>Luchenza!G255+Luchenza!H255+Luchenza!I255</f>
        <v>92</v>
      </c>
      <c r="F255" s="26">
        <f>Thyolo!G255+Thyolo!H255+Thyolo!I255</f>
        <v>26</v>
      </c>
      <c r="G255" s="26">
        <f>Muloza!G255+Muloza!H255+Muloza!I255</f>
        <v>242</v>
      </c>
      <c r="H255" s="26">
        <f>MUST!G255+MUST!H255+MUST!I255</f>
        <v>19</v>
      </c>
      <c r="I255" s="26">
        <f>Phalombe!G255+Phalombe!H255+Phalombe!I255</f>
        <v>10</v>
      </c>
      <c r="J255" s="26">
        <f>Mikolongwe!G255+Mikolongwe!H255+Mikolongwe!I255</f>
        <v>0</v>
      </c>
      <c r="K255" s="26">
        <f>Migowi!G255+Migowi!H255+Migowi!I255</f>
        <v>0</v>
      </c>
      <c r="L255" s="105">
        <f>SUM(D255:K255)</f>
        <v>471</v>
      </c>
    </row>
    <row r="256" spans="1:12" ht="15.6" x14ac:dyDescent="0.3">
      <c r="A256" s="643" t="s">
        <v>10</v>
      </c>
      <c r="B256" s="644"/>
      <c r="C256" s="5" t="s">
        <v>3</v>
      </c>
      <c r="D256" s="26">
        <f>Mulanje!G256+Mulanje!H256+Mulanje!I256</f>
        <v>46</v>
      </c>
      <c r="E256" s="26">
        <f>Luchenza!G256+Luchenza!H256+Luchenza!I256</f>
        <v>134</v>
      </c>
      <c r="F256" s="26">
        <f>Thyolo!G256+Thyolo!H256+Thyolo!I256</f>
        <v>101</v>
      </c>
      <c r="G256" s="26">
        <f>Muloza!G256+Muloza!H256+Muloza!I256</f>
        <v>46</v>
      </c>
      <c r="H256" s="26">
        <f>MUST!G256+MUST!H256+MUST!I256</f>
        <v>19</v>
      </c>
      <c r="I256" s="26">
        <f>Phalombe!G256+Phalombe!H256+Phalombe!I256</f>
        <v>173</v>
      </c>
      <c r="J256" s="26">
        <f>Mikolongwe!G256+Mikolongwe!H256+Mikolongwe!I256</f>
        <v>0</v>
      </c>
      <c r="K256" s="26">
        <f>Migowi!G256+Migowi!H256+Migowi!I256</f>
        <v>0</v>
      </c>
      <c r="L256" s="105">
        <f>SUM(D256:K256)</f>
        <v>519</v>
      </c>
    </row>
    <row r="257" spans="1:12" ht="15.6" customHeight="1" x14ac:dyDescent="0.3">
      <c r="A257" s="643" t="s">
        <v>9</v>
      </c>
      <c r="B257" s="644"/>
      <c r="C257" s="5" t="s">
        <v>3</v>
      </c>
      <c r="D257" s="26">
        <f>Mulanje!G257+Mulanje!H257+Mulanje!I257</f>
        <v>91</v>
      </c>
      <c r="E257" s="26">
        <f>Luchenza!G257+Luchenza!H257+Luchenza!I257</f>
        <v>71</v>
      </c>
      <c r="F257" s="26">
        <f>Thyolo!G257+Thyolo!H257+Thyolo!I257</f>
        <v>47</v>
      </c>
      <c r="G257" s="26">
        <f>Muloza!G257+Muloza!H257+Muloza!I257</f>
        <v>21</v>
      </c>
      <c r="H257" s="26">
        <f>MUST!G257+MUST!H257+MUST!I257</f>
        <v>9</v>
      </c>
      <c r="I257" s="26">
        <f>Phalombe!G257+Phalombe!H257+Phalombe!I257</f>
        <v>21</v>
      </c>
      <c r="J257" s="26">
        <f>Mikolongwe!G257+Mikolongwe!H257+Mikolongwe!I257</f>
        <v>0</v>
      </c>
      <c r="K257" s="26">
        <f>Migowi!G257+Migowi!H257+Migowi!I257</f>
        <v>0</v>
      </c>
      <c r="L257" s="105">
        <f>SUM(D257:K257)</f>
        <v>260</v>
      </c>
    </row>
    <row r="258" spans="1:12" ht="15.6" x14ac:dyDescent="0.3">
      <c r="A258" s="647" t="s">
        <v>8</v>
      </c>
      <c r="B258" s="648"/>
      <c r="C258" s="5" t="s">
        <v>3</v>
      </c>
      <c r="D258" s="1">
        <f t="shared" ref="D258:L258" si="70">D257/D256</f>
        <v>1.9782608695652173</v>
      </c>
      <c r="E258" s="1">
        <f t="shared" si="70"/>
        <v>0.52985074626865669</v>
      </c>
      <c r="F258" s="1">
        <f t="shared" si="70"/>
        <v>0.46534653465346537</v>
      </c>
      <c r="G258" s="3">
        <f t="shared" si="70"/>
        <v>0.45652173913043476</v>
      </c>
      <c r="H258" s="3">
        <f t="shared" si="70"/>
        <v>0.47368421052631576</v>
      </c>
      <c r="I258" s="3">
        <f t="shared" si="70"/>
        <v>0.12138728323699421</v>
      </c>
      <c r="J258" s="3" t="e">
        <f t="shared" si="70"/>
        <v>#DIV/0!</v>
      </c>
      <c r="K258" s="3" t="e">
        <f t="shared" si="70"/>
        <v>#DIV/0!</v>
      </c>
      <c r="L258" s="105">
        <f t="shared" si="70"/>
        <v>0.50096339113680155</v>
      </c>
    </row>
    <row r="259" spans="1:12" ht="15.6" x14ac:dyDescent="0.3">
      <c r="A259" s="647" t="s">
        <v>7</v>
      </c>
      <c r="B259" s="648"/>
      <c r="C259" s="5" t="s">
        <v>6</v>
      </c>
      <c r="D259" s="1">
        <f t="shared" ref="D259:L259" si="71">D92/D255*100</f>
        <v>107.31707317073172</v>
      </c>
      <c r="E259" s="1">
        <f t="shared" si="71"/>
        <v>63.04347826086957</v>
      </c>
      <c r="F259" s="1">
        <f t="shared" si="71"/>
        <v>130.76923076923077</v>
      </c>
      <c r="G259" s="6">
        <f t="shared" si="71"/>
        <v>24.380165289256198</v>
      </c>
      <c r="H259" s="6">
        <f t="shared" si="71"/>
        <v>36.84210526315789</v>
      </c>
      <c r="I259" s="6">
        <f t="shared" si="71"/>
        <v>190</v>
      </c>
      <c r="J259" s="6" t="e">
        <f t="shared" si="71"/>
        <v>#DIV/0!</v>
      </c>
      <c r="K259" s="6" t="e">
        <f t="shared" si="71"/>
        <v>#DIV/0!</v>
      </c>
      <c r="L259" s="105">
        <f t="shared" si="71"/>
        <v>56.263269639065818</v>
      </c>
    </row>
    <row r="260" spans="1:12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1"/>
    </row>
    <row r="261" spans="1:12" s="2" customFormat="1" ht="15" customHeight="1" x14ac:dyDescent="0.3">
      <c r="A261" s="643" t="s">
        <v>4</v>
      </c>
      <c r="B261" s="644"/>
      <c r="C261" s="5" t="s">
        <v>3</v>
      </c>
      <c r="D261" s="26">
        <f>Mulanje!G261+Mulanje!H261+Mulanje!I261</f>
        <v>47</v>
      </c>
      <c r="E261" s="26">
        <f>Luchenza!G261+Luchenza!H261+Luchenza!I261</f>
        <v>54</v>
      </c>
      <c r="F261" s="26">
        <f>Thyolo!G261+Thyolo!H261+Thyolo!I261</f>
        <v>26</v>
      </c>
      <c r="G261" s="26">
        <f>Muloza!G261+Muloza!H261+Muloza!I261</f>
        <v>13</v>
      </c>
      <c r="H261" s="26">
        <f>MUST!G261+MUST!H261+MUST!I261</f>
        <v>0</v>
      </c>
      <c r="I261" s="26">
        <f>Phalombe!G261+Phalombe!H261+Phalombe!I261</f>
        <v>33</v>
      </c>
      <c r="J261" s="26">
        <f>Mikolongwe!G261+Mikolongwe!H261+Mikolongwe!I261</f>
        <v>0</v>
      </c>
      <c r="K261" s="26">
        <f>Migowi!G261+Migowi!H261+Migowi!I261</f>
        <v>14</v>
      </c>
      <c r="L261" s="105">
        <f>SUM(D261:K261)</f>
        <v>187</v>
      </c>
    </row>
    <row r="262" spans="1:12" s="2" customFormat="1" ht="15.75" customHeight="1" x14ac:dyDescent="0.3">
      <c r="A262" s="643" t="s">
        <v>2</v>
      </c>
      <c r="B262" s="644"/>
      <c r="C262" s="5" t="s">
        <v>0</v>
      </c>
      <c r="D262" s="26">
        <f>Mulanje!G262+Mulanje!H262+Mulanje!I262</f>
        <v>9</v>
      </c>
      <c r="E262" s="26">
        <f>Luchenza!G262+Luchenza!H262+Luchenza!I262</f>
        <v>91</v>
      </c>
      <c r="F262" s="26">
        <f>Thyolo!G262+Thyolo!H262+Thyolo!I262</f>
        <v>15</v>
      </c>
      <c r="G262" s="26">
        <f>Muloza!G262+Muloza!H262+Muloza!I262</f>
        <v>11</v>
      </c>
      <c r="H262" s="26">
        <f>MUST!G262+MUST!H262+MUST!I262</f>
        <v>0</v>
      </c>
      <c r="I262" s="26">
        <f>Phalombe!G262+Phalombe!H262+Phalombe!I262</f>
        <v>21</v>
      </c>
      <c r="J262" s="26">
        <f>Mikolongwe!G262+Mikolongwe!H262+Mikolongwe!I262</f>
        <v>0</v>
      </c>
      <c r="K262" s="26">
        <f>Migowi!G262+Migowi!H262+Migowi!I262</f>
        <v>3</v>
      </c>
      <c r="L262" s="105">
        <f>SUM(D262:K262)</f>
        <v>150</v>
      </c>
    </row>
    <row r="263" spans="1:12" ht="16.2" thickBot="1" x14ac:dyDescent="0.35">
      <c r="A263" s="645" t="s">
        <v>1</v>
      </c>
      <c r="B263" s="646"/>
      <c r="C263" s="115" t="s">
        <v>0</v>
      </c>
      <c r="D263" s="151">
        <f>D261/D262</f>
        <v>5.2222222222222223</v>
      </c>
      <c r="E263" s="151">
        <f t="shared" ref="E263:L263" si="72">E261/E262</f>
        <v>0.59340659340659341</v>
      </c>
      <c r="F263" s="151">
        <f t="shared" si="72"/>
        <v>1.7333333333333334</v>
      </c>
      <c r="G263" s="151">
        <f t="shared" si="72"/>
        <v>1.1818181818181819</v>
      </c>
      <c r="H263" s="151" t="e">
        <f t="shared" si="72"/>
        <v>#DIV/0!</v>
      </c>
      <c r="I263" s="151">
        <f t="shared" si="72"/>
        <v>1.5714285714285714</v>
      </c>
      <c r="J263" s="151" t="e">
        <f t="shared" si="72"/>
        <v>#DIV/0!</v>
      </c>
      <c r="K263" s="151">
        <f t="shared" si="72"/>
        <v>4.666666666666667</v>
      </c>
      <c r="L263" s="616">
        <f t="shared" si="72"/>
        <v>1.2466666666666666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63"/>
  <sheetViews>
    <sheetView workbookViewId="0">
      <pane xSplit="3" ySplit="8" topLeftCell="L105" activePane="bottomRight" state="frozen"/>
      <selection pane="topRight" activeCell="D1" sqref="D1"/>
      <selection pane="bottomLeft" activeCell="A9" sqref="A9"/>
      <selection pane="bottomRight" activeCell="L113" sqref="L113:L11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1" width="23.109375" customWidth="1"/>
    <col min="12" max="12" width="20.109375" bestFit="1" customWidth="1"/>
    <col min="15" max="15" width="11.109375" bestFit="1" customWidth="1"/>
  </cols>
  <sheetData>
    <row r="1" spans="1:12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20"/>
    </row>
    <row r="2" spans="1:12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</row>
    <row r="3" spans="1:12" ht="18" thickBot="1" x14ac:dyDescent="0.35">
      <c r="A3" s="319" t="s">
        <v>217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1"/>
    </row>
    <row r="4" spans="1:12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</row>
    <row r="5" spans="1:12" ht="14.4" customHeight="1" x14ac:dyDescent="0.3">
      <c r="A5" s="94" t="s">
        <v>227</v>
      </c>
      <c r="B5" s="95"/>
      <c r="C5" s="95"/>
      <c r="D5" s="185"/>
      <c r="E5" s="95"/>
      <c r="F5" s="95"/>
      <c r="G5" s="185"/>
      <c r="H5" s="95"/>
      <c r="I5" s="95"/>
      <c r="J5" s="185">
        <f>J22/6</f>
        <v>844.81666666666661</v>
      </c>
      <c r="K5" s="95"/>
      <c r="L5" s="125"/>
    </row>
    <row r="6" spans="1:12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1:12" ht="16.2" thickBot="1" x14ac:dyDescent="0.35">
      <c r="A7" s="720" t="s">
        <v>174</v>
      </c>
      <c r="B7" s="72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60" t="s">
        <v>225</v>
      </c>
      <c r="K7" s="60" t="s">
        <v>226</v>
      </c>
      <c r="L7" s="59" t="s">
        <v>160</v>
      </c>
    </row>
    <row r="8" spans="1:12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4"/>
    </row>
    <row r="9" spans="1:12" ht="15.6" x14ac:dyDescent="0.3">
      <c r="A9" s="725" t="s">
        <v>176</v>
      </c>
      <c r="B9" s="726"/>
      <c r="C9" s="58" t="s">
        <v>152</v>
      </c>
      <c r="D9" s="57">
        <f>Mulanje!D9+Mulanje!E9+Mulanje!F9+Mulanje!G9+Mulanje!H9+Mulanje!I9</f>
        <v>262326</v>
      </c>
      <c r="E9" s="57">
        <f>Luchenza!D9+Luchenza!E9+Luchenza!F9+Luchenza!G9+Luchenza!H9+Luchenza!I9</f>
        <v>97217</v>
      </c>
      <c r="F9" s="57">
        <f>Thyolo!D9+Thyolo!E9+Thyolo!F9+Thyolo!G9+Thyolo!H9+Thyolo!I9</f>
        <v>143690</v>
      </c>
      <c r="G9" s="57">
        <f>Muloza!D9+Muloza!E9+Muloza!F9+Muloza!G9+Muloza!H9+Muloza!I9</f>
        <v>44666</v>
      </c>
      <c r="H9" s="57">
        <f>MUST!D9+MUST!E9+MUST!F9+MUST!G9+MUST!H9+MUST!I9</f>
        <v>97825</v>
      </c>
      <c r="I9" s="57">
        <f>Phalombe!D9+Phalombe!E9+Phalombe!F9+Phalombe!G9+Phalombe!H9+Phalombe!I9</f>
        <v>71607</v>
      </c>
      <c r="J9" s="57">
        <f>Mikolongwe!D9+Mikolongwe!E9+Mikolongwe!F9+Mikolongwe!G9+Mikolongwe!H9+Mikolongwe!I9</f>
        <v>6480</v>
      </c>
      <c r="K9" s="57">
        <f>Migowi!D9+Migowi!E9+Migowi!F9+Migowi!G9+Migowi!H9+Migowi!I9</f>
        <v>18565</v>
      </c>
      <c r="L9" s="57">
        <f>SUM(D9:K9)</f>
        <v>742376</v>
      </c>
    </row>
    <row r="10" spans="1:12" x14ac:dyDescent="0.3">
      <c r="A10" s="649" t="s">
        <v>177</v>
      </c>
      <c r="B10" s="650"/>
      <c r="C10" s="650"/>
      <c r="D10" s="741"/>
      <c r="E10" s="741"/>
      <c r="F10" s="741"/>
      <c r="G10" s="741"/>
      <c r="H10" s="741"/>
      <c r="I10" s="741"/>
      <c r="J10" s="741"/>
      <c r="K10" s="741"/>
      <c r="L10" s="742"/>
    </row>
    <row r="11" spans="1:12" ht="15.6" x14ac:dyDescent="0.3">
      <c r="A11" s="663" t="s">
        <v>157</v>
      </c>
      <c r="B11" s="664"/>
      <c r="C11" s="11" t="s">
        <v>152</v>
      </c>
      <c r="D11" s="26">
        <f>Mulanje!D11+Mulanje!E11+Mulanje!F11+Mulanje!G11+Mulanje!H11+Mulanje!I11</f>
        <v>123141</v>
      </c>
      <c r="E11" s="26">
        <f>Luchenza!D11+Luchenza!E11+Luchenza!F11+Luchenza!G11+Luchenza!H11+Luchenza!I11</f>
        <v>41984</v>
      </c>
      <c r="F11" s="26">
        <f>Thyolo!D11+Thyolo!E11+Thyolo!F11+Thyolo!G11+Thyolo!H11+Thyolo!I11</f>
        <v>47502</v>
      </c>
      <c r="G11" s="26">
        <f>Muloza!D11+Muloza!E11+Muloza!F11+Muloza!G11+Muloza!H11+Muloza!I11</f>
        <v>23359</v>
      </c>
      <c r="H11" s="26">
        <f>MUST!D11+MUST!E11+MUST!F11+MUST!G11+MUST!H11+MUST!I11</f>
        <v>5242</v>
      </c>
      <c r="I11" s="26">
        <f>Phalombe!D11+Phalombe!E11+Phalombe!F11+Phalombe!G11+Phalombe!H11+Phalombe!I11</f>
        <v>38545</v>
      </c>
      <c r="J11" s="26">
        <f>Mikolongwe!D11+Mikolongwe!E11+Mikolongwe!F11+Mikolongwe!G11+Mikolongwe!H11+Mikolongwe!I11</f>
        <v>846</v>
      </c>
      <c r="K11" s="26">
        <f>Migowi!D11+Migowi!E11+Migowi!F11+Migowi!G11+Migowi!H11+Migowi!I11</f>
        <v>0</v>
      </c>
      <c r="L11" s="55">
        <f>SUM(D11:K11)</f>
        <v>280619</v>
      </c>
    </row>
    <row r="12" spans="1:12" ht="15.6" x14ac:dyDescent="0.3">
      <c r="A12" s="663" t="s">
        <v>156</v>
      </c>
      <c r="B12" s="664"/>
      <c r="C12" s="11" t="s">
        <v>152</v>
      </c>
      <c r="D12" s="26">
        <f>Mulanje!D12+Mulanje!E12+Mulanje!F12+Mulanje!G12+Mulanje!H12+Mulanje!I12</f>
        <v>6489</v>
      </c>
      <c r="E12" s="26">
        <f>Luchenza!D12+Luchenza!E12+Luchenza!F12+Luchenza!G12+Luchenza!H12+Luchenza!I12</f>
        <v>119</v>
      </c>
      <c r="F12" s="26">
        <f>Thyolo!D12+Thyolo!E12+Thyolo!F12+Thyolo!G12+Thyolo!H12+Thyolo!I12</f>
        <v>122</v>
      </c>
      <c r="G12" s="26">
        <f>Muloza!D12+Muloza!E12+Muloza!F12+Muloza!G12+Muloza!H12+Muloza!I12</f>
        <v>63</v>
      </c>
      <c r="H12" s="26">
        <f>MUST!D12+MUST!E12+MUST!F12+MUST!G12+MUST!H12+MUST!I12</f>
        <v>0</v>
      </c>
      <c r="I12" s="26">
        <f>Phalombe!D12+Phalombe!E12+Phalombe!F12+Phalombe!G12+Phalombe!H12+Phalombe!I12</f>
        <v>0</v>
      </c>
      <c r="J12" s="26">
        <f>Mikolongwe!D12+Mikolongwe!E12+Mikolongwe!F12+Mikolongwe!G12+Mikolongwe!H12+Mikolongwe!I12</f>
        <v>0</v>
      </c>
      <c r="K12" s="26">
        <f>Migowi!D12+Migowi!E12+Migowi!F12+Migowi!G12+Migowi!H12+Migowi!I12</f>
        <v>0</v>
      </c>
      <c r="L12" s="55">
        <f>SUM(D12:K12)</f>
        <v>6793</v>
      </c>
    </row>
    <row r="13" spans="1:12" ht="15.6" x14ac:dyDescent="0.3">
      <c r="A13" s="663" t="s">
        <v>155</v>
      </c>
      <c r="B13" s="664"/>
      <c r="C13" s="11" t="s">
        <v>152</v>
      </c>
      <c r="D13" s="26">
        <f>Mulanje!D13+Mulanje!E13+Mulanje!F13+Mulanje!G13+Mulanje!H13+Mulanje!I13</f>
        <v>5128</v>
      </c>
      <c r="E13" s="26">
        <f>Luchenza!D13+Luchenza!E13+Luchenza!F13+Luchenza!G13+Luchenza!H13+Luchenza!I13</f>
        <v>17035</v>
      </c>
      <c r="F13" s="26">
        <f>Thyolo!D13+Thyolo!E13+Thyolo!F13+Thyolo!G13+Thyolo!H13+Thyolo!I13</f>
        <v>6253</v>
      </c>
      <c r="G13" s="26">
        <f>Muloza!D13+Muloza!E13+Muloza!F13+Muloza!G13+Muloza!H13+Muloza!I13</f>
        <v>2521</v>
      </c>
      <c r="H13" s="26">
        <f>MUST!D13+MUST!E13+MUST!F13+MUST!G13+MUST!H13+MUST!I13</f>
        <v>49351</v>
      </c>
      <c r="I13" s="26">
        <f>Phalombe!D13+Phalombe!E13+Phalombe!F13+Phalombe!G13+Phalombe!H13+Phalombe!I13</f>
        <v>1355</v>
      </c>
      <c r="J13" s="26">
        <f>Mikolongwe!D13+Mikolongwe!E13+Mikolongwe!F13+Mikolongwe!G13+Mikolongwe!H13+Mikolongwe!I13</f>
        <v>0</v>
      </c>
      <c r="K13" s="26">
        <f>Migowi!D13+Migowi!E13+Migowi!F13+Migowi!G13+Migowi!H13+Migowi!I13</f>
        <v>0</v>
      </c>
      <c r="L13" s="55">
        <f>SUM(D13:K13)</f>
        <v>81643</v>
      </c>
    </row>
    <row r="14" spans="1:12" ht="15.6" x14ac:dyDescent="0.3">
      <c r="A14" s="661" t="s">
        <v>154</v>
      </c>
      <c r="B14" s="662"/>
      <c r="C14" s="11" t="s">
        <v>152</v>
      </c>
      <c r="D14" s="26">
        <f>Mulanje!D14+Mulanje!E14+Mulanje!F14+Mulanje!G14+Mulanje!H14+Mulanje!I14</f>
        <v>330</v>
      </c>
      <c r="E14" s="26">
        <f>Luchenza!D14+Luchenza!E14+Luchenza!F14+Luchenza!G14+Luchenza!H14+Luchenza!I14</f>
        <v>951</v>
      </c>
      <c r="F14" s="26">
        <f>Thyolo!D14+Thyolo!E14+Thyolo!F14+Thyolo!G14+Thyolo!H14+Thyolo!I14</f>
        <v>1696</v>
      </c>
      <c r="G14" s="26">
        <f>Muloza!D14+Muloza!E14+Muloza!F14+Muloza!G14+Muloza!H14+Muloza!I14</f>
        <v>651</v>
      </c>
      <c r="H14" s="26">
        <f>MUST!D14+MUST!E14+MUST!F14+MUST!G14+MUST!H14+MUST!I14</f>
        <v>351</v>
      </c>
      <c r="I14" s="26">
        <f>Phalombe!D14+Phalombe!E14+Phalombe!F14+Phalombe!G14+Phalombe!H14+Phalombe!I14</f>
        <v>272</v>
      </c>
      <c r="J14" s="26">
        <f>Mikolongwe!D14+Mikolongwe!E14+Mikolongwe!F14+Mikolongwe!G14+Mikolongwe!H14+Mikolongwe!I14</f>
        <v>0</v>
      </c>
      <c r="K14" s="26">
        <f>Migowi!D14+Migowi!E14+Migowi!F14+Migowi!G14+Migowi!H14+Migowi!I14</f>
        <v>0</v>
      </c>
      <c r="L14" s="55">
        <f>SUM(D14:K14)</f>
        <v>4251</v>
      </c>
    </row>
    <row r="15" spans="1:12" s="63" customFormat="1" ht="15.6" x14ac:dyDescent="0.3">
      <c r="A15" s="676" t="s">
        <v>158</v>
      </c>
      <c r="B15" s="677"/>
      <c r="C15" s="62" t="s">
        <v>152</v>
      </c>
      <c r="D15" s="34">
        <f t="shared" ref="D15:L15" si="0">SUM(D11:D14)</f>
        <v>135088</v>
      </c>
      <c r="E15" s="34">
        <f t="shared" si="0"/>
        <v>60089</v>
      </c>
      <c r="F15" s="34">
        <f t="shared" si="0"/>
        <v>55573</v>
      </c>
      <c r="G15" s="34">
        <f t="shared" si="0"/>
        <v>26594</v>
      </c>
      <c r="H15" s="34">
        <f t="shared" si="0"/>
        <v>54944</v>
      </c>
      <c r="I15" s="34">
        <f t="shared" si="0"/>
        <v>40172</v>
      </c>
      <c r="J15" s="34">
        <f t="shared" si="0"/>
        <v>846</v>
      </c>
      <c r="K15" s="34">
        <f t="shared" si="0"/>
        <v>0</v>
      </c>
      <c r="L15" s="55">
        <f t="shared" si="0"/>
        <v>373306</v>
      </c>
    </row>
    <row r="16" spans="1:12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1"/>
    </row>
    <row r="17" spans="1:15" s="2" customFormat="1" ht="15.6" x14ac:dyDescent="0.3">
      <c r="A17" s="663" t="s">
        <v>180</v>
      </c>
      <c r="B17" s="664"/>
      <c r="C17" s="11" t="s">
        <v>152</v>
      </c>
      <c r="D17" s="26">
        <f>Mulanje!D17+Mulanje!E17+Mulanje!F17+Mulanje!G17+Mulanje!H17+Mulanje!I17</f>
        <v>21252.1</v>
      </c>
      <c r="E17" s="26">
        <f>Luchenza!D17+Luchenza!E17+Luchenza!F17+Luchenza!G17+Luchenza!H17+Luchenza!I17</f>
        <v>5920</v>
      </c>
      <c r="F17" s="26">
        <f>Thyolo!D17+Thyolo!E17+Thyolo!F17+Thyolo!G17+Thyolo!H17+Thyolo!I17</f>
        <v>8892</v>
      </c>
      <c r="G17" s="26">
        <f>Muloza!D17+Muloza!E17+Muloza!F17+Muloza!G17+Muloza!H17+Muloza!I17</f>
        <v>5431</v>
      </c>
      <c r="H17" s="26">
        <f>MUST!D17+MUST!E17+MUST!F17+MUST!G17+MUST!H17+MUST!I17</f>
        <v>1648.1</v>
      </c>
      <c r="I17" s="26">
        <f>Phalombe!D17+Phalombe!E17+Phalombe!F17+Phalombe!G17+Phalombe!H17+Phalombe!I17</f>
        <v>5341.4</v>
      </c>
      <c r="J17" s="26">
        <f>Mikolongwe!D17+Mikolongwe!E17+Mikolongwe!F17+Mikolongwe!G17+Mikolongwe!H17+Mikolongwe!I17</f>
        <v>948.3</v>
      </c>
      <c r="K17" s="26">
        <f>Migowi!D17+Migowi!E17+Migowi!F17+Migowi!G17+Migowi!H17+Migowi!I17</f>
        <v>5300.2</v>
      </c>
      <c r="L17" s="55">
        <f>SUM(D17:K17)</f>
        <v>54733.1</v>
      </c>
    </row>
    <row r="18" spans="1:15" s="2" customFormat="1" ht="15.6" x14ac:dyDescent="0.3">
      <c r="A18" s="663" t="s">
        <v>181</v>
      </c>
      <c r="B18" s="664"/>
      <c r="C18" s="11" t="s">
        <v>152</v>
      </c>
      <c r="D18" s="26">
        <f>Mulanje!D18+Mulanje!E18+Mulanje!F18+Mulanje!G18+Mulanje!H18+Mulanje!I18</f>
        <v>580</v>
      </c>
      <c r="E18" s="26">
        <f>Luchenza!D18+Luchenza!E18+Luchenza!F18+Luchenza!G18+Luchenza!H18+Luchenza!I18</f>
        <v>0</v>
      </c>
      <c r="F18" s="26">
        <f>Thyolo!D18+Thyolo!E18+Thyolo!F18+Thyolo!G18+Thyolo!H18+Thyolo!I18</f>
        <v>0</v>
      </c>
      <c r="G18" s="26">
        <f>Muloza!D18+Muloza!E18+Muloza!F18+Muloza!G18+Muloza!H18+Muloza!I18</f>
        <v>0</v>
      </c>
      <c r="H18" s="26">
        <f>MUST!D18+MUST!E18+MUST!F18+MUST!G18+MUST!H18+MUST!I18</f>
        <v>0</v>
      </c>
      <c r="I18" s="26">
        <f>Phalombe!D18+Phalombe!E18+Phalombe!F18+Phalombe!G18+Phalombe!H18+Phalombe!I18</f>
        <v>0</v>
      </c>
      <c r="J18" s="26">
        <f>Mikolongwe!D18+Mikolongwe!E18+Mikolongwe!F18+Mikolongwe!G18+Mikolongwe!H18+Mikolongwe!I18</f>
        <v>0</v>
      </c>
      <c r="K18" s="26">
        <f>Migowi!D18+Migowi!E18+Migowi!F18+Migowi!G18+Migowi!H18+Migowi!I18</f>
        <v>0</v>
      </c>
      <c r="L18" s="55">
        <f>SUM(D18:K18)</f>
        <v>580</v>
      </c>
    </row>
    <row r="19" spans="1:15" s="2" customFormat="1" ht="15.6" x14ac:dyDescent="0.3">
      <c r="A19" s="663" t="s">
        <v>182</v>
      </c>
      <c r="B19" s="664"/>
      <c r="C19" s="11" t="s">
        <v>152</v>
      </c>
      <c r="D19" s="26">
        <f>Mulanje!D19+Mulanje!E19+Mulanje!F19+Mulanje!G19+Mulanje!H19+Mulanje!I19</f>
        <v>29061</v>
      </c>
      <c r="E19" s="26">
        <f>Luchenza!D19+Luchenza!E19+Luchenza!F19+Luchenza!G19+Luchenza!H19+Luchenza!I19</f>
        <v>4739</v>
      </c>
      <c r="F19" s="26">
        <f>Thyolo!D19+Thyolo!E19+Thyolo!F19+Thyolo!G19+Thyolo!H19+Thyolo!I19</f>
        <v>8277</v>
      </c>
      <c r="G19" s="26">
        <f>Muloza!D19+Muloza!E19+Muloza!F19+Muloza!G19+Muloza!H19+Muloza!I19</f>
        <v>924</v>
      </c>
      <c r="H19" s="26">
        <f>MUST!D19+MUST!E19+MUST!F19+MUST!G19+MUST!H19+MUST!I19</f>
        <v>22328</v>
      </c>
      <c r="I19" s="26">
        <f>Phalombe!D19+Phalombe!E19+Phalombe!F19+Phalombe!G19+Phalombe!H19+Phalombe!I19</f>
        <v>6030</v>
      </c>
      <c r="J19" s="26">
        <f>Mikolongwe!D19+Mikolongwe!E19+Mikolongwe!F19+Mikolongwe!G19+Mikolongwe!H19+Mikolongwe!I19</f>
        <v>3274.6</v>
      </c>
      <c r="K19" s="26">
        <f>Migowi!D19+Migowi!E19+Migowi!F19+Migowi!G19+Migowi!H19+Migowi!I19</f>
        <v>9810</v>
      </c>
      <c r="L19" s="55">
        <f>SUM(D19:K19)</f>
        <v>84443.6</v>
      </c>
    </row>
    <row r="20" spans="1:15" s="2" customFormat="1" ht="15.6" x14ac:dyDescent="0.3">
      <c r="A20" s="661" t="s">
        <v>183</v>
      </c>
      <c r="B20" s="662"/>
      <c r="C20" s="11" t="s">
        <v>152</v>
      </c>
      <c r="D20" s="26">
        <f>Mulanje!D20+Mulanje!E20+Mulanje!F20+Mulanje!G20+Mulanje!H20+Mulanje!I20</f>
        <v>3862</v>
      </c>
      <c r="E20" s="26">
        <f>Luchenza!D20+Luchenza!E20+Luchenza!F20+Luchenza!G20+Luchenza!H20+Luchenza!I20</f>
        <v>1772</v>
      </c>
      <c r="F20" s="26">
        <f>Thyolo!D20+Thyolo!E20+Thyolo!F20+Thyolo!G20+Thyolo!H20+Thyolo!I20</f>
        <v>1653</v>
      </c>
      <c r="G20" s="26">
        <f>Muloza!D20+Muloza!E20+Muloza!F20+Muloza!G20+Muloza!H20+Muloza!I20</f>
        <v>1371</v>
      </c>
      <c r="H20" s="26">
        <f>MUST!D20+MUST!E20+MUST!F20+MUST!G20+MUST!H20+MUST!I20</f>
        <v>4446</v>
      </c>
      <c r="I20" s="26">
        <f>Phalombe!D20+Phalombe!E20+Phalombe!F20+Phalombe!G20+Phalombe!H20+Phalombe!I20</f>
        <v>448.6</v>
      </c>
      <c r="J20" s="26">
        <f>Mikolongwe!D20+Mikolongwe!E20+Mikolongwe!F20+Mikolongwe!G20+Mikolongwe!H20+Mikolongwe!I20</f>
        <v>0</v>
      </c>
      <c r="K20" s="26">
        <f>Migowi!D20+Migowi!E20+Migowi!F20+Migowi!G20+Migowi!H20+Migowi!I20</f>
        <v>0</v>
      </c>
      <c r="L20" s="55">
        <f>SUM(D20:K20)</f>
        <v>13552.6</v>
      </c>
    </row>
    <row r="21" spans="1:15" s="73" customFormat="1" ht="15.6" x14ac:dyDescent="0.3">
      <c r="A21" s="676" t="s">
        <v>184</v>
      </c>
      <c r="B21" s="677"/>
      <c r="C21" s="62" t="s">
        <v>152</v>
      </c>
      <c r="D21" s="34">
        <f>SUM(D17:D20)</f>
        <v>54755.1</v>
      </c>
      <c r="E21" s="34">
        <f t="shared" ref="E21:L21" si="1">SUM(E17:E20)</f>
        <v>12431</v>
      </c>
      <c r="F21" s="34">
        <f t="shared" si="1"/>
        <v>18822</v>
      </c>
      <c r="G21" s="34">
        <f t="shared" si="1"/>
        <v>7726</v>
      </c>
      <c r="H21" s="34">
        <f t="shared" si="1"/>
        <v>28422.1</v>
      </c>
      <c r="I21" s="34">
        <f t="shared" si="1"/>
        <v>11820</v>
      </c>
      <c r="J21" s="34">
        <f t="shared" si="1"/>
        <v>4222.8999999999996</v>
      </c>
      <c r="K21" s="34">
        <f t="shared" si="1"/>
        <v>15110.2</v>
      </c>
      <c r="L21" s="55">
        <f t="shared" si="1"/>
        <v>153309.30000000002</v>
      </c>
    </row>
    <row r="22" spans="1:15" s="2" customFormat="1" ht="15.6" x14ac:dyDescent="0.3">
      <c r="A22" s="583" t="s">
        <v>185</v>
      </c>
      <c r="B22" s="576"/>
      <c r="C22" s="11" t="s">
        <v>152</v>
      </c>
      <c r="D22" s="34">
        <f>D21+D15</f>
        <v>189843.1</v>
      </c>
      <c r="E22" s="34">
        <f t="shared" ref="E22:L22" si="2">E21+E15</f>
        <v>72520</v>
      </c>
      <c r="F22" s="34">
        <f t="shared" si="2"/>
        <v>74395</v>
      </c>
      <c r="G22" s="34">
        <f t="shared" si="2"/>
        <v>34320</v>
      </c>
      <c r="H22" s="34">
        <f t="shared" si="2"/>
        <v>83366.100000000006</v>
      </c>
      <c r="I22" s="34">
        <f t="shared" si="2"/>
        <v>51992</v>
      </c>
      <c r="J22" s="34">
        <f t="shared" si="2"/>
        <v>5068.8999999999996</v>
      </c>
      <c r="K22" s="34">
        <f t="shared" si="2"/>
        <v>15110.2</v>
      </c>
      <c r="L22" s="55">
        <f t="shared" si="2"/>
        <v>526615.30000000005</v>
      </c>
      <c r="O22" s="172"/>
    </row>
    <row r="23" spans="1:15" x14ac:dyDescent="0.3">
      <c r="A23" s="649" t="s">
        <v>215</v>
      </c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1"/>
    </row>
    <row r="24" spans="1:15" ht="15.6" x14ac:dyDescent="0.3">
      <c r="A24" s="715" t="s">
        <v>179</v>
      </c>
      <c r="B24" s="37" t="s">
        <v>153</v>
      </c>
      <c r="C24" s="5" t="s">
        <v>152</v>
      </c>
      <c r="D24" s="130">
        <f>D9-D22</f>
        <v>72482.899999999994</v>
      </c>
      <c r="E24" s="130">
        <f t="shared" ref="E24:L24" si="3">E9-E22</f>
        <v>24697</v>
      </c>
      <c r="F24" s="130">
        <f t="shared" si="3"/>
        <v>69295</v>
      </c>
      <c r="G24" s="130">
        <f t="shared" si="3"/>
        <v>10346</v>
      </c>
      <c r="H24" s="130">
        <f t="shared" si="3"/>
        <v>14458.899999999994</v>
      </c>
      <c r="I24" s="130">
        <f t="shared" si="3"/>
        <v>19615</v>
      </c>
      <c r="J24" s="130">
        <f t="shared" si="3"/>
        <v>1411.1000000000004</v>
      </c>
      <c r="K24" s="130">
        <f t="shared" si="3"/>
        <v>3454.7999999999993</v>
      </c>
      <c r="L24" s="55">
        <f t="shared" si="3"/>
        <v>215760.69999999995</v>
      </c>
    </row>
    <row r="25" spans="1:15" ht="15.6" x14ac:dyDescent="0.3">
      <c r="A25" s="716"/>
      <c r="B25" s="53" t="s">
        <v>151</v>
      </c>
      <c r="C25" s="52" t="s">
        <v>6</v>
      </c>
      <c r="D25" s="51">
        <f t="shared" ref="D25:L25" si="4">D24/D9</f>
        <v>0.2763084863871671</v>
      </c>
      <c r="E25" s="51">
        <f t="shared" si="4"/>
        <v>0.25403993128773772</v>
      </c>
      <c r="F25" s="51">
        <f t="shared" si="4"/>
        <v>0.48225346231470528</v>
      </c>
      <c r="G25" s="51">
        <f t="shared" si="4"/>
        <v>0.23163032284063942</v>
      </c>
      <c r="H25" s="51">
        <f t="shared" si="4"/>
        <v>0.14780373115256831</v>
      </c>
      <c r="I25" s="51">
        <f t="shared" si="4"/>
        <v>0.27392573351767285</v>
      </c>
      <c r="J25" s="51">
        <f t="shared" si="4"/>
        <v>0.2177623456790124</v>
      </c>
      <c r="K25" s="51">
        <f t="shared" si="4"/>
        <v>0.18609210880689467</v>
      </c>
      <c r="L25" s="153">
        <f t="shared" si="4"/>
        <v>0.29063533842688871</v>
      </c>
    </row>
    <row r="26" spans="1:15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1"/>
    </row>
    <row r="27" spans="1:15" x14ac:dyDescent="0.3">
      <c r="A27" s="738" t="s">
        <v>149</v>
      </c>
      <c r="B27" s="739"/>
      <c r="C27" s="739"/>
      <c r="D27" s="739"/>
      <c r="E27" s="739"/>
      <c r="F27" s="739"/>
      <c r="G27" s="739"/>
      <c r="H27" s="739"/>
      <c r="I27" s="739"/>
      <c r="J27" s="739"/>
      <c r="K27" s="739"/>
      <c r="L27" s="740"/>
    </row>
    <row r="28" spans="1:15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6"/>
    </row>
    <row r="29" spans="1:15" ht="15.6" x14ac:dyDescent="0.3">
      <c r="A29" s="710" t="s">
        <v>146</v>
      </c>
      <c r="B29" s="642">
        <v>5111.67</v>
      </c>
      <c r="C29" s="5" t="s">
        <v>140</v>
      </c>
      <c r="D29" s="26">
        <f>Mulanje!D29+Mulanje!E29+Mulanje!F29+Mulanje!G29+Mulanje!H29+Mulanje!I29</f>
        <v>543</v>
      </c>
      <c r="E29" s="26">
        <f>Luchenza!D29+Luchenza!E29+Luchenza!F29+Luchenza!G29+Luchenza!H29+Luchenza!I29</f>
        <v>273</v>
      </c>
      <c r="F29" s="26">
        <f>Thyolo!D29+Thyolo!E29+Thyolo!F29+Thyolo!G29+Thyolo!H29+Thyolo!I29</f>
        <v>532</v>
      </c>
      <c r="G29" s="26">
        <f>Muloza!D29+Muloza!E29+Muloza!F29+Muloza!G29+Muloza!H29+Muloza!I29</f>
        <v>67</v>
      </c>
      <c r="H29" s="26">
        <f>MUST!D29+MUST!E29+MUST!F29+MUST!G29+MUST!H29+MUST!I29</f>
        <v>89</v>
      </c>
      <c r="I29" s="26">
        <f>Phalombe!D29+Phalombe!E29+Phalombe!F29+Phalombe!G29+Phalombe!H29+Phalombe!I29</f>
        <v>170</v>
      </c>
      <c r="J29" s="26">
        <f>Mikolongwe!D29+Mikolongwe!E29+Mikolongwe!F29+Mikolongwe!G29+Mikolongwe!H29+Mikolongwe!I29</f>
        <v>20</v>
      </c>
      <c r="K29" s="26">
        <f>Migowi!D29+Migowi!E29+Migowi!F29+Migowi!G29+Migowi!H29+Migowi!I29</f>
        <v>33</v>
      </c>
      <c r="L29" s="45">
        <f>SUM(D29:K29)</f>
        <v>1727</v>
      </c>
    </row>
    <row r="30" spans="1:15" ht="15.6" x14ac:dyDescent="0.3">
      <c r="A30" s="711"/>
      <c r="B30" s="642"/>
      <c r="C30" s="42" t="s">
        <v>139</v>
      </c>
      <c r="D30" s="15">
        <f t="shared" ref="D30:L30" si="5">D29/(D9/1000)</f>
        <v>2.0699435054092996</v>
      </c>
      <c r="E30" s="15">
        <f t="shared" si="5"/>
        <v>2.8081508378164313</v>
      </c>
      <c r="F30" s="15">
        <f t="shared" si="5"/>
        <v>3.7024149210105088</v>
      </c>
      <c r="G30" s="15">
        <f t="shared" si="5"/>
        <v>1.5000223883938568</v>
      </c>
      <c r="H30" s="15">
        <f t="shared" si="5"/>
        <v>0.90978788653207254</v>
      </c>
      <c r="I30" s="15">
        <f t="shared" si="5"/>
        <v>2.3740695742036393</v>
      </c>
      <c r="J30" s="15">
        <f t="shared" si="5"/>
        <v>3.0864197530864197</v>
      </c>
      <c r="K30" s="15">
        <f t="shared" si="5"/>
        <v>1.7775383786695393</v>
      </c>
      <c r="L30" s="102">
        <f t="shared" si="5"/>
        <v>2.3263144282681552</v>
      </c>
    </row>
    <row r="31" spans="1:15" ht="15.6" x14ac:dyDescent="0.3">
      <c r="A31" s="673" t="s">
        <v>145</v>
      </c>
      <c r="B31" s="642">
        <v>1537</v>
      </c>
      <c r="C31" s="5" t="s">
        <v>140</v>
      </c>
      <c r="D31" s="26">
        <f>Mulanje!D31+Mulanje!E31+Mulanje!F31+Mulanje!G31+Mulanje!H31+Mulanje!I31</f>
        <v>0</v>
      </c>
      <c r="E31" s="26">
        <f>Luchenza!D31+Luchenza!E31+Luchenza!F31+Luchenza!G31+Luchenza!H31+Luchenza!I31</f>
        <v>0</v>
      </c>
      <c r="F31" s="26">
        <f>Thyolo!D31+Thyolo!E31+Thyolo!F31+Thyolo!G31+Thyolo!H31+Thyolo!I31</f>
        <v>0</v>
      </c>
      <c r="G31" s="26">
        <f>Muloza!D31+Muloza!E31+Muloza!F31+Muloza!G31+Muloza!H31+Muloza!I31</f>
        <v>0</v>
      </c>
      <c r="H31" s="26">
        <f>MUST!D31+MUST!E31+MUST!F31+MUST!G31+MUST!H31+MUST!I31</f>
        <v>0</v>
      </c>
      <c r="I31" s="26">
        <f>Phalombe!D31+Phalombe!E31+Phalombe!F31+Phalombe!G31+Phalombe!H31+Phalombe!I31</f>
        <v>0</v>
      </c>
      <c r="J31" s="26">
        <f>Mikolongwe!D31+Mikolongwe!E31+Mikolongwe!F31+Mikolongwe!G31+Mikolongwe!H31+Mikolongwe!I31</f>
        <v>0</v>
      </c>
      <c r="K31" s="26">
        <f>Migowi!D31+Migowi!E31+Migowi!F31+Migowi!G31+Migowi!H31+Migowi!I31</f>
        <v>0</v>
      </c>
      <c r="L31" s="45">
        <f>SUM(D31:K31)</f>
        <v>0</v>
      </c>
    </row>
    <row r="32" spans="1:15" ht="15.6" x14ac:dyDescent="0.3">
      <c r="A32" s="675"/>
      <c r="B32" s="642"/>
      <c r="C32" s="42" t="s">
        <v>139</v>
      </c>
      <c r="D32" s="15">
        <f t="shared" ref="D32:L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02">
        <f t="shared" si="6"/>
        <v>0</v>
      </c>
    </row>
    <row r="33" spans="1:12" ht="15.6" x14ac:dyDescent="0.3">
      <c r="A33" s="673" t="s">
        <v>144</v>
      </c>
      <c r="B33" s="642">
        <v>1781.02</v>
      </c>
      <c r="C33" s="5" t="s">
        <v>140</v>
      </c>
      <c r="D33" s="26">
        <f>Mulanje!D33+Mulanje!E33+Mulanje!F33+Mulanje!G33+Mulanje!H33+Mulanje!I33</f>
        <v>0</v>
      </c>
      <c r="E33" s="26">
        <f>Luchenza!D33+Luchenza!E33+Luchenza!F33+Luchenza!G33+Luchenza!H33+Luchenza!I33</f>
        <v>0</v>
      </c>
      <c r="F33" s="26">
        <f>Thyolo!D33+Thyolo!E33+Thyolo!F33+Thyolo!G33+Thyolo!H33+Thyolo!I33</f>
        <v>0</v>
      </c>
      <c r="G33" s="26">
        <f>Muloza!D33+Muloza!E33+Muloza!F33+Muloza!G33+Muloza!H33+Muloza!I33</f>
        <v>0</v>
      </c>
      <c r="H33" s="26">
        <f>MUST!D33+MUST!E33+MUST!F33+MUST!G33+MUST!H33+MUST!I33</f>
        <v>0</v>
      </c>
      <c r="I33" s="26">
        <f>Phalombe!D33+Phalombe!E33+Phalombe!F33+Phalombe!G33+Phalombe!H33+Phalombe!I33</f>
        <v>0</v>
      </c>
      <c r="J33" s="26">
        <f>Mikolongwe!D33+Mikolongwe!E33+Mikolongwe!F33+Mikolongwe!G33+Mikolongwe!H33+Mikolongwe!I33</f>
        <v>0</v>
      </c>
      <c r="K33" s="26">
        <f>Migowi!D33+Migowi!E33+Migowi!F33+Migowi!G33+Migowi!H33+Migowi!I33</f>
        <v>0</v>
      </c>
      <c r="L33" s="45">
        <f>SUM(D33:K33)</f>
        <v>0</v>
      </c>
    </row>
    <row r="34" spans="1:12" ht="15.6" x14ac:dyDescent="0.3">
      <c r="A34" s="675"/>
      <c r="B34" s="642"/>
      <c r="C34" s="42" t="s">
        <v>139</v>
      </c>
      <c r="D34" s="15">
        <f t="shared" ref="D34:L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02">
        <f t="shared" si="7"/>
        <v>0</v>
      </c>
    </row>
    <row r="35" spans="1:12" ht="15.6" x14ac:dyDescent="0.3">
      <c r="A35" s="673" t="s">
        <v>143</v>
      </c>
      <c r="B35" s="642">
        <v>5979.95</v>
      </c>
      <c r="C35" s="5" t="s">
        <v>126</v>
      </c>
      <c r="D35" s="26">
        <f>Mulanje!D35+Mulanje!E35+Mulanje!F35+Mulanje!G35+Mulanje!H35+Mulanje!I35</f>
        <v>0</v>
      </c>
      <c r="E35" s="26">
        <f>Luchenza!D35+Luchenza!E35+Luchenza!F35+Luchenza!G35+Luchenza!H35+Luchenza!I35</f>
        <v>0</v>
      </c>
      <c r="F35" s="26">
        <f>Thyolo!D35+Thyolo!E35+Thyolo!F35+Thyolo!G35+Thyolo!H35+Thyolo!I35</f>
        <v>463</v>
      </c>
      <c r="G35" s="26">
        <f>Muloza!D35+Muloza!E35+Muloza!F35+Muloza!G35+Muloza!H35+Muloza!I35</f>
        <v>0</v>
      </c>
      <c r="H35" s="26">
        <f>MUST!D35+MUST!E35+MUST!F35+MUST!G35+MUST!H35+MUST!I35</f>
        <v>0</v>
      </c>
      <c r="I35" s="26">
        <f>Phalombe!D35+Phalombe!E35+Phalombe!F35+Phalombe!G35+Phalombe!H35+Phalombe!I35</f>
        <v>0</v>
      </c>
      <c r="J35" s="26">
        <f>Mikolongwe!D35+Mikolongwe!E35+Mikolongwe!F35+Mikolongwe!G35+Mikolongwe!H35+Mikolongwe!I35</f>
        <v>0</v>
      </c>
      <c r="K35" s="26">
        <f>Migowi!D35+Migowi!E35+Migowi!F35+Migowi!G35+Migowi!H35+Migowi!I35</f>
        <v>0</v>
      </c>
      <c r="L35" s="45">
        <f>SUM(D35:K35)</f>
        <v>463</v>
      </c>
    </row>
    <row r="36" spans="1:12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45">
        <f t="shared" si="7"/>
        <v>1.6499239181951328</v>
      </c>
    </row>
    <row r="37" spans="1:12" ht="15.6" x14ac:dyDescent="0.3">
      <c r="A37" s="673" t="s">
        <v>186</v>
      </c>
      <c r="B37" s="642">
        <v>5403.75</v>
      </c>
      <c r="C37" s="5" t="s">
        <v>126</v>
      </c>
      <c r="D37" s="26">
        <f>Mulanje!D37+Mulanje!E37+Mulanje!F37+Mulanje!G37+Mulanje!H37+Mulanje!I37</f>
        <v>0</v>
      </c>
      <c r="E37" s="26">
        <f>Luchenza!D37+Luchenza!E37+Luchenza!F37+Luchenza!G37+Luchenza!H37+Luchenza!I37</f>
        <v>0</v>
      </c>
      <c r="F37" s="26">
        <f>Thyolo!D37+Thyolo!E37+Thyolo!F37+Thyolo!G37+Thyolo!H37+Thyolo!I37</f>
        <v>0</v>
      </c>
      <c r="G37" s="26">
        <f>Muloza!D37+Muloza!E37+Muloza!F37+Muloza!G37+Muloza!H37+Muloza!I37</f>
        <v>0</v>
      </c>
      <c r="H37" s="26">
        <f>MUST!D37+MUST!E37+MUST!F37+MUST!G37+MUST!H37+MUST!I37</f>
        <v>0</v>
      </c>
      <c r="I37" s="26">
        <f>Phalombe!D37+Phalombe!E37+Phalombe!F37+Phalombe!G37+Phalombe!H37+Phalombe!I37</f>
        <v>0</v>
      </c>
      <c r="J37" s="26">
        <f>Mikolongwe!D37+Mikolongwe!E37+Mikolongwe!F37+Mikolongwe!G37+Mikolongwe!H37+Mikolongwe!I37</f>
        <v>0</v>
      </c>
      <c r="K37" s="26">
        <f>Migowi!D37+Migowi!E37+Migowi!F37+Migowi!G37+Migowi!H37+Migowi!I37</f>
        <v>0</v>
      </c>
      <c r="L37" s="45">
        <f>SUM(D37:K37)</f>
        <v>0</v>
      </c>
    </row>
    <row r="38" spans="1:12" ht="15.6" x14ac:dyDescent="0.3">
      <c r="A38" s="675"/>
      <c r="B38" s="642"/>
      <c r="C38" s="5" t="s">
        <v>142</v>
      </c>
      <c r="D38" s="15">
        <f t="shared" ref="D38:K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02">
        <f t="shared" si="7"/>
        <v>0</v>
      </c>
    </row>
    <row r="39" spans="1:12" ht="15.6" x14ac:dyDescent="0.3">
      <c r="A39" s="673" t="s">
        <v>141</v>
      </c>
      <c r="B39" s="642">
        <v>1950</v>
      </c>
      <c r="C39" s="5" t="s">
        <v>140</v>
      </c>
      <c r="D39" s="26">
        <f>Mulanje!D39+Mulanje!E39+Mulanje!F39+Mulanje!G39+Mulanje!H39+Mulanje!I39</f>
        <v>0</v>
      </c>
      <c r="E39" s="26">
        <f>Luchenza!D39+Luchenza!E39+Luchenza!F39+Luchenza!G39+Luchenza!H39+Luchenza!I39</f>
        <v>0</v>
      </c>
      <c r="F39" s="26">
        <f>Thyolo!D39+Thyolo!E39+Thyolo!F39+Thyolo!G39+Thyolo!H39+Thyolo!I39</f>
        <v>0</v>
      </c>
      <c r="G39" s="26">
        <f>Muloza!D39+Muloza!E39+Muloza!F39+Muloza!G39+Muloza!H39+Muloza!I39</f>
        <v>0</v>
      </c>
      <c r="H39" s="26">
        <f>MUST!D39+MUST!E39+MUST!F39+MUST!G39+MUST!H39+MUST!I39</f>
        <v>0</v>
      </c>
      <c r="I39" s="26">
        <f>Phalombe!D39+Phalombe!E39+Phalombe!F39+Phalombe!G39+Phalombe!H39+Phalombe!I39</f>
        <v>0</v>
      </c>
      <c r="J39" s="26">
        <f>Mikolongwe!D39+Mikolongwe!E39+Mikolongwe!F39+Mikolongwe!G39+Mikolongwe!H39+Mikolongwe!I39</f>
        <v>0</v>
      </c>
      <c r="K39" s="26">
        <f>Migowi!D39+Migowi!E39+Migowi!F39+Migowi!G39+Migowi!H39+Migowi!I39</f>
        <v>0</v>
      </c>
      <c r="L39" s="45">
        <f>SUM(D39:K39)</f>
        <v>0</v>
      </c>
    </row>
    <row r="40" spans="1:12" ht="15.6" x14ac:dyDescent="0.3">
      <c r="A40" s="675"/>
      <c r="B40" s="642"/>
      <c r="C40" s="42" t="s">
        <v>139</v>
      </c>
      <c r="D40" s="15">
        <f t="shared" ref="D40:L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02">
        <f t="shared" si="9"/>
        <v>0</v>
      </c>
    </row>
    <row r="41" spans="1:12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2775636.81</v>
      </c>
      <c r="E41" s="41">
        <f t="shared" ref="E41:K41" si="10">(E29*$B29)+(E31*$B31)+(E33*$B33)+(E35*$B35)+(E37*$B37)+(E39*$B39)</f>
        <v>1395485.91</v>
      </c>
      <c r="F41" s="41">
        <f t="shared" si="10"/>
        <v>5488125.29</v>
      </c>
      <c r="G41" s="41">
        <f t="shared" si="10"/>
        <v>342481.89</v>
      </c>
      <c r="H41" s="41">
        <f t="shared" si="10"/>
        <v>454938.63</v>
      </c>
      <c r="I41" s="41">
        <f t="shared" si="10"/>
        <v>868983.9</v>
      </c>
      <c r="J41" s="41">
        <f t="shared" si="10"/>
        <v>102233.4</v>
      </c>
      <c r="K41" s="41">
        <f t="shared" si="10"/>
        <v>168685.11000000002</v>
      </c>
      <c r="L41" s="39">
        <f>SUM(D41:K41)</f>
        <v>11596570.940000001</v>
      </c>
    </row>
    <row r="42" spans="1:12" ht="15.6" x14ac:dyDescent="0.3">
      <c r="A42" s="708" t="s">
        <v>137</v>
      </c>
      <c r="B42" s="709"/>
      <c r="C42" s="42" t="s">
        <v>115</v>
      </c>
      <c r="D42" s="15">
        <f t="shared" ref="D42:L42" si="11">D41/D9</f>
        <v>10.580868118295555</v>
      </c>
      <c r="E42" s="15">
        <f t="shared" si="11"/>
        <v>14.354340393141117</v>
      </c>
      <c r="F42" s="15">
        <f t="shared" si="11"/>
        <v>38.194204815923172</v>
      </c>
      <c r="G42" s="15">
        <f t="shared" si="11"/>
        <v>7.6676194420812251</v>
      </c>
      <c r="H42" s="15">
        <f t="shared" si="11"/>
        <v>4.6505354459493997</v>
      </c>
      <c r="I42" s="15">
        <f t="shared" si="11"/>
        <v>12.135460220369517</v>
      </c>
      <c r="J42" s="15">
        <f t="shared" si="11"/>
        <v>15.776759259259258</v>
      </c>
      <c r="K42" s="15">
        <f t="shared" si="11"/>
        <v>9.0861896040937253</v>
      </c>
      <c r="L42" s="44">
        <f t="shared" si="11"/>
        <v>15.620886100843778</v>
      </c>
    </row>
    <row r="43" spans="1:12" x14ac:dyDescent="0.3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7"/>
    </row>
    <row r="44" spans="1:12" ht="15.6" x14ac:dyDescent="0.3">
      <c r="A44" s="661" t="s">
        <v>135</v>
      </c>
      <c r="B44" s="662"/>
      <c r="C44" s="11" t="s">
        <v>134</v>
      </c>
      <c r="D44" s="26">
        <f>Mulanje!D44+Mulanje!E44+Mulanje!F44+Mulanje!G44+Mulanje!H44+Mulanje!I44</f>
        <v>153</v>
      </c>
      <c r="E44" s="26">
        <f>Luchenza!D44+Luchenza!E44+Luchenza!F44+Luchenza!G44+Luchenza!H44+Luchenza!I44</f>
        <v>47781</v>
      </c>
      <c r="F44" s="26">
        <f>Thyolo!D44+Thyolo!E44+Thyolo!F44+Thyolo!G44+Thyolo!H44+Thyolo!I44</f>
        <v>18053</v>
      </c>
      <c r="G44" s="26">
        <f>Muloza!D44+Muloza!E44+Muloza!F44+Muloza!G44+Muloza!H44+Muloza!I44</f>
        <v>46561</v>
      </c>
      <c r="H44" s="26">
        <f>MUST!D44+MUST!E44+MUST!F44+MUST!G44+MUST!H44+MUST!I44</f>
        <v>37960</v>
      </c>
      <c r="I44" s="26">
        <f>Phalombe!D44+Phalombe!E44+Phalombe!F44+Phalombe!G44+Phalombe!H44+Phalombe!I44</f>
        <v>4548.9699999999993</v>
      </c>
      <c r="J44" s="26">
        <f>Mikolongwe!D44+Mikolongwe!E44+Mikolongwe!F44+Mikolongwe!G44+Mikolongwe!H44+Mikolongwe!I44</f>
        <v>2160</v>
      </c>
      <c r="K44" s="26">
        <f>Migowi!D44+Migowi!E44+Migowi!F44+Migowi!G44+Migowi!H44+Migowi!I44</f>
        <v>9395</v>
      </c>
      <c r="L44" s="39">
        <f>SUM(D44:K44)</f>
        <v>166611.97</v>
      </c>
    </row>
    <row r="45" spans="1:12" ht="15.6" x14ac:dyDescent="0.3">
      <c r="A45" s="708" t="s">
        <v>133</v>
      </c>
      <c r="B45" s="709"/>
      <c r="C45" s="42" t="s">
        <v>132</v>
      </c>
      <c r="D45" s="15">
        <f t="shared" ref="D45:L45" si="12">D44/D9</f>
        <v>5.8324375014295188E-4</v>
      </c>
      <c r="E45" s="15">
        <f t="shared" si="12"/>
        <v>0.49148811421870658</v>
      </c>
      <c r="F45" s="15">
        <f t="shared" si="12"/>
        <v>0.12563852738534345</v>
      </c>
      <c r="G45" s="15">
        <f t="shared" si="12"/>
        <v>1.042426006358304</v>
      </c>
      <c r="H45" s="15">
        <f t="shared" si="12"/>
        <v>0.38803986710963456</v>
      </c>
      <c r="I45" s="15">
        <f t="shared" si="12"/>
        <v>6.3526889829206637E-2</v>
      </c>
      <c r="J45" s="15">
        <f t="shared" si="12"/>
        <v>0.33333333333333331</v>
      </c>
      <c r="K45" s="15">
        <f t="shared" si="12"/>
        <v>0.50605978992728251</v>
      </c>
      <c r="L45" s="102">
        <f t="shared" si="12"/>
        <v>0.2244307062728321</v>
      </c>
    </row>
    <row r="46" spans="1:12" ht="15.6" x14ac:dyDescent="0.3">
      <c r="A46" s="643" t="s">
        <v>131</v>
      </c>
      <c r="B46" s="644"/>
      <c r="C46" s="5" t="s">
        <v>31</v>
      </c>
      <c r="D46" s="26">
        <f>Mulanje!D46+Mulanje!E46+Mulanje!F46+Mulanje!G46+Mulanje!H46+Mulanje!I46</f>
        <v>18806.759999999998</v>
      </c>
      <c r="E46" s="26">
        <f>Luchenza!D46+Luchenza!E46+Luchenza!F46+Luchenza!G46+Luchenza!H46+Luchenza!I46</f>
        <v>6597023.7150000008</v>
      </c>
      <c r="F46" s="26">
        <f>Thyolo!D46+Thyolo!E46+Thyolo!F46+Thyolo!G46+Thyolo!H46+Thyolo!I46</f>
        <v>2603439.8295</v>
      </c>
      <c r="G46" s="26">
        <f>Muloza!D46+Muloza!E46+Muloza!F46+Muloza!G46+Muloza!H46+Muloza!I46</f>
        <v>6558967.5915000001</v>
      </c>
      <c r="H46" s="26">
        <f>MUST!D46+MUST!E46+MUST!F46+MUST!G46+MUST!H46+MUST!I46</f>
        <v>5365565.9400000004</v>
      </c>
      <c r="I46" s="26">
        <f>Phalombe!D46+Phalombe!E46+Phalombe!F46+Phalombe!G46+Phalombe!H46+Phalombe!I46</f>
        <v>696882.41095499997</v>
      </c>
      <c r="J46" s="26">
        <f>Mikolongwe!D46+Mikolongwe!E46+Mikolongwe!F46+Mikolongwe!G46+Mikolongwe!H46+Mikolongwe!I46</f>
        <v>398262.24</v>
      </c>
      <c r="K46" s="26">
        <f>Migowi!D46+Migowi!E46+Migowi!F46+Migowi!G46+Migowi!H46+Migowi!I46</f>
        <v>1273154.0715000001</v>
      </c>
      <c r="L46" s="39">
        <f>SUM(D46:K46)</f>
        <v>23512102.558455002</v>
      </c>
    </row>
    <row r="47" spans="1:12" s="2" customFormat="1" ht="15.6" x14ac:dyDescent="0.3">
      <c r="A47" s="661" t="s">
        <v>130</v>
      </c>
      <c r="B47" s="662"/>
      <c r="C47" s="11" t="s">
        <v>115</v>
      </c>
      <c r="D47" s="15">
        <f t="shared" ref="D47:L47" si="13">D46/D9</f>
        <v>7.1692321767571635E-2</v>
      </c>
      <c r="E47" s="15">
        <f t="shared" si="13"/>
        <v>67.858746052645117</v>
      </c>
      <c r="F47" s="15">
        <f t="shared" si="13"/>
        <v>18.118448253183939</v>
      </c>
      <c r="G47" s="15">
        <f t="shared" si="13"/>
        <v>146.84474973133928</v>
      </c>
      <c r="H47" s="15">
        <f t="shared" si="13"/>
        <v>54.848616815742403</v>
      </c>
      <c r="I47" s="15">
        <f t="shared" si="13"/>
        <v>9.7320431096820137</v>
      </c>
      <c r="J47" s="15">
        <f t="shared" si="13"/>
        <v>61.460222222222221</v>
      </c>
      <c r="K47" s="15">
        <f t="shared" si="13"/>
        <v>68.578188607594939</v>
      </c>
      <c r="L47" s="102">
        <f t="shared" si="13"/>
        <v>31.671420625740865</v>
      </c>
    </row>
    <row r="48" spans="1:12" x14ac:dyDescent="0.3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7"/>
    </row>
    <row r="49" spans="1:12" ht="15.6" x14ac:dyDescent="0.3">
      <c r="A49" s="661" t="s">
        <v>128</v>
      </c>
      <c r="B49" s="662"/>
      <c r="C49" s="5" t="s">
        <v>127</v>
      </c>
      <c r="D49" s="26">
        <f>Mulanje!D49+Mulanje!E49+Mulanje!F49+Mulanje!G49+Mulanje!H49+Mulanje!I49</f>
        <v>12110</v>
      </c>
      <c r="E49" s="26">
        <f>Luchenza!D49+Luchenza!E49+Luchenza!F49+Luchenza!G49+Luchenza!H49+Luchenza!I49</f>
        <v>0</v>
      </c>
      <c r="F49" s="26">
        <f>Thyolo!D49+Thyolo!E49+Thyolo!F49+Thyolo!G49+Thyolo!H49+Thyolo!I49</f>
        <v>9152</v>
      </c>
      <c r="G49" s="26">
        <f>Muloza!D49+Muloza!E49+Muloza!F49+Muloza!G49+Muloza!H49+Muloza!I49</f>
        <v>9172</v>
      </c>
      <c r="H49" s="26">
        <f>MUST!D49+MUST!E49+MUST!F49+MUST!G49+MUST!H49+MUST!I49</f>
        <v>11785</v>
      </c>
      <c r="I49" s="26">
        <f>Phalombe!D49+Phalombe!E49+Phalombe!F49+Phalombe!G49+Phalombe!H49+Phalombe!I49</f>
        <v>0</v>
      </c>
      <c r="J49" s="26">
        <f>Mikolongwe!D49+Mikolongwe!E49+Mikolongwe!F49+Mikolongwe!G49+Mikolongwe!H49+Mikolongwe!I49</f>
        <v>0</v>
      </c>
      <c r="K49" s="26">
        <f>Migowi!D49+Migowi!E49+Migowi!F49+Migowi!G49+Migowi!H49+Migowi!I49</f>
        <v>0</v>
      </c>
      <c r="L49" s="39">
        <f>SUM(D49:K49)</f>
        <v>42219</v>
      </c>
    </row>
    <row r="50" spans="1:12" ht="15.6" x14ac:dyDescent="0.3">
      <c r="A50" s="661" t="s">
        <v>187</v>
      </c>
      <c r="B50" s="662"/>
      <c r="C50" s="5" t="s">
        <v>126</v>
      </c>
      <c r="D50" s="26">
        <f>Mulanje!D50+Mulanje!E50+Mulanje!F50+Mulanje!G50+Mulanje!H50+Mulanje!I50</f>
        <v>932</v>
      </c>
      <c r="E50" s="26">
        <f>Luchenza!D50+Luchenza!E50+Luchenza!F50+Luchenza!G50+Luchenza!H50+Luchenza!I50</f>
        <v>0</v>
      </c>
      <c r="F50" s="26">
        <f>Thyolo!D50+Thyolo!E50+Thyolo!F50+Thyolo!G50+Thyolo!H50+Thyolo!I50</f>
        <v>945</v>
      </c>
      <c r="G50" s="26">
        <f>Muloza!D50+Muloza!E50+Muloza!F50+Muloza!G50+Muloza!H50+Muloza!I50</f>
        <v>906.06999999999994</v>
      </c>
      <c r="H50" s="26">
        <f>MUST!D50+MUST!E50+MUST!F50+MUST!G50+MUST!H50+MUST!I50</f>
        <v>650</v>
      </c>
      <c r="I50" s="26">
        <f>Phalombe!D50+Phalombe!E50+Phalombe!F50+Phalombe!G50+Phalombe!H50+Phalombe!I50</f>
        <v>0</v>
      </c>
      <c r="J50" s="26">
        <f>Mikolongwe!D50+Mikolongwe!E50+Mikolongwe!F50+Mikolongwe!G50+Mikolongwe!H50+Mikolongwe!I50</f>
        <v>0</v>
      </c>
      <c r="K50" s="26">
        <f>Migowi!D50+Migowi!E50+Migowi!F50+Migowi!G50+Migowi!H50+Migowi!I50</f>
        <v>0</v>
      </c>
      <c r="L50" s="39">
        <f>SUM(D50:K50)</f>
        <v>3433.0699999999997</v>
      </c>
    </row>
    <row r="51" spans="1:12" ht="15.6" x14ac:dyDescent="0.3">
      <c r="A51" s="643" t="s">
        <v>125</v>
      </c>
      <c r="B51" s="644"/>
      <c r="C51" s="5" t="s">
        <v>31</v>
      </c>
      <c r="D51" s="26">
        <f>Mulanje!D51+Mulanje!E51+Mulanje!F51+Mulanje!G51+Mulanje!H51+Mulanje!I51</f>
        <v>1788787.2</v>
      </c>
      <c r="E51" s="26">
        <f>Luchenza!D51+Luchenza!E51+Luchenza!F51+Luchenza!G51+Luchenza!H51+Luchenza!I51</f>
        <v>0</v>
      </c>
      <c r="F51" s="26">
        <f>Thyolo!D51+Thyolo!E51+Thyolo!F51+Thyolo!G51+Thyolo!H51+Thyolo!I51</f>
        <v>1814400</v>
      </c>
      <c r="G51" s="26">
        <f>Muloza!D51+Muloza!E51+Muloza!F51+Muloza!G51+Muloza!H51+Muloza!I51</f>
        <v>1739365.7999999998</v>
      </c>
      <c r="H51" s="26">
        <f>MUST!D51+MUST!E51+MUST!F51+MUST!G51+MUST!H51+MUST!I51</f>
        <v>1280000</v>
      </c>
      <c r="I51" s="26">
        <f>Phalombe!D51+Phalombe!E51+Phalombe!F51+Phalombe!G51+Phalombe!H51+Phalombe!I51</f>
        <v>0</v>
      </c>
      <c r="J51" s="26">
        <f>Mikolongwe!D51+Mikolongwe!E51+Mikolongwe!F51+Mikolongwe!G51+Mikolongwe!H51+Mikolongwe!I51</f>
        <v>0</v>
      </c>
      <c r="K51" s="26">
        <f>Migowi!D51+Migowi!E51+Migowi!F51+Migowi!G51+Migowi!H51+Migowi!I51</f>
        <v>0</v>
      </c>
      <c r="L51" s="40">
        <f>SUM(D51:K51)</f>
        <v>6622553</v>
      </c>
    </row>
    <row r="52" spans="1:12" ht="15.6" x14ac:dyDescent="0.3">
      <c r="A52" s="661" t="s">
        <v>124</v>
      </c>
      <c r="B52" s="662"/>
      <c r="C52" s="5" t="s">
        <v>31</v>
      </c>
      <c r="D52" s="26">
        <f>Mulanje!D52+Mulanje!E52+Mulanje!F52+Mulanje!G52+Mulanje!H52+Mulanje!I52</f>
        <v>0</v>
      </c>
      <c r="E52" s="26">
        <f>Luchenza!D52+Luchenza!E52+Luchenza!F52+Luchenza!G52+Luchenza!H52+Luchenza!I52</f>
        <v>0</v>
      </c>
      <c r="F52" s="26">
        <f>Thyolo!D52+Thyolo!E52+Thyolo!F52+Thyolo!G52+Thyolo!H52+Thyolo!I52</f>
        <v>857327</v>
      </c>
      <c r="G52" s="26">
        <f>Muloza!D52+Muloza!E52+Muloza!F52+Muloza!G52+Muloza!H52+Muloza!I52</f>
        <v>0</v>
      </c>
      <c r="H52" s="26">
        <f>MUST!D52+MUST!E52+MUST!F52+MUST!G52+MUST!H52+MUST!I52</f>
        <v>0</v>
      </c>
      <c r="I52" s="26">
        <f>Phalombe!D52+Phalombe!E52+Phalombe!F52+Phalombe!G52+Phalombe!H52+Phalombe!I52</f>
        <v>0</v>
      </c>
      <c r="J52" s="26">
        <f>Mikolongwe!D52+Mikolongwe!E52+Mikolongwe!F52+Mikolongwe!G52+Mikolongwe!H52+Mikolongwe!I52</f>
        <v>0</v>
      </c>
      <c r="K52" s="26">
        <f>Migowi!D52+Migowi!E52+Migowi!F52+Migowi!G52+Migowi!H52+Migowi!I52</f>
        <v>0</v>
      </c>
      <c r="L52" s="40">
        <f>SUM(D52:K52)</f>
        <v>857327</v>
      </c>
    </row>
    <row r="53" spans="1:12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7"/>
    </row>
    <row r="54" spans="1:12" ht="15.6" x14ac:dyDescent="0.3">
      <c r="A54" s="661" t="s">
        <v>122</v>
      </c>
      <c r="B54" s="662"/>
      <c r="C54" s="11" t="s">
        <v>18</v>
      </c>
      <c r="D54" s="26">
        <f>Mulanje!D54+Mulanje!E54+Mulanje!F54+Mulanje!G54+Mulanje!H54+Mulanje!I54</f>
        <v>25568095.009999998</v>
      </c>
      <c r="E54" s="26">
        <f>Luchenza!D54+Luchenza!E54+Luchenza!F54+Luchenza!G54+Luchenza!H54+Luchenza!I54</f>
        <v>21862434.932</v>
      </c>
      <c r="F54" s="26">
        <f>Thyolo!D54+Thyolo!E54+Thyolo!F54+Thyolo!G54+Thyolo!H54+Thyolo!I54</f>
        <v>25310337.310000002</v>
      </c>
      <c r="G54" s="26">
        <f>Muloza!D54+Muloza!E54+Muloza!F54+Muloza!G54+Muloza!H54+Muloza!I54</f>
        <v>14635243.123999996</v>
      </c>
      <c r="H54" s="26">
        <f>MUST!D54+MUST!E54+MUST!F54+MUST!G54+MUST!H54+MUST!I54</f>
        <v>10463193.786000002</v>
      </c>
      <c r="I54" s="26">
        <f>Phalombe!D54+Phalombe!E54+Phalombe!F54+Phalombe!G54+Phalombe!H54+Phalombe!I54</f>
        <v>11090726.627999999</v>
      </c>
      <c r="J54" s="26">
        <f>Mikolongwe!D54+Mikolongwe!E54+Mikolongwe!F54+Mikolongwe!G54+Mikolongwe!H54+Mikolongwe!I54</f>
        <v>0</v>
      </c>
      <c r="K54" s="26">
        <f>Migowi!D54+Migowi!E54+Migowi!F54+Migowi!G54+Migowi!H54+Migowi!I54</f>
        <v>0</v>
      </c>
      <c r="L54" s="39">
        <f>SUM(D54:K54)</f>
        <v>108930030.78999999</v>
      </c>
    </row>
    <row r="55" spans="1:12" ht="15.6" x14ac:dyDescent="0.3">
      <c r="A55" s="575" t="s">
        <v>121</v>
      </c>
      <c r="B55" s="576"/>
      <c r="C55" s="11" t="s">
        <v>18</v>
      </c>
      <c r="D55" s="26">
        <f>Mulanje!D55+Mulanje!E55+Mulanje!F55+Mulanje!G55+Mulanje!H55+Mulanje!I55</f>
        <v>7430373.4400000004</v>
      </c>
      <c r="E55" s="26">
        <f>Luchenza!D55+Luchenza!E55+Luchenza!F55+Luchenza!G55+Luchenza!H55+Luchenza!I55</f>
        <v>7390513.6200000001</v>
      </c>
      <c r="F55" s="26">
        <f>Thyolo!D55+Thyolo!E55+Thyolo!F55+Thyolo!G55+Thyolo!H55+Thyolo!I55</f>
        <v>7080409.1099999994</v>
      </c>
      <c r="G55" s="26">
        <f>Muloza!D55+Muloza!E55+Muloza!F55+Muloza!G55+Muloza!H55+Muloza!I55</f>
        <v>3560110.8899999997</v>
      </c>
      <c r="H55" s="26">
        <f>MUST!D55+MUST!E55+MUST!F55+MUST!G55+MUST!H55+MUST!I55</f>
        <v>2477441.7000000002</v>
      </c>
      <c r="I55" s="26">
        <f>Phalombe!D55+Phalombe!E55+Phalombe!F55+Phalombe!G55+Phalombe!H55+Phalombe!I55</f>
        <v>2561009.9919999996</v>
      </c>
      <c r="J55" s="26">
        <f>Mikolongwe!D55+Mikolongwe!E55+Mikolongwe!F55+Mikolongwe!G55+Mikolongwe!H55+Mikolongwe!I55</f>
        <v>790636.08</v>
      </c>
      <c r="K55" s="26">
        <f>Migowi!D55+Migowi!E55+Migowi!F55+Migowi!G55+Migowi!H55+Migowi!I55</f>
        <v>617306.05666666664</v>
      </c>
      <c r="L55" s="39">
        <f>SUM(D55:K55)</f>
        <v>31907800.888666667</v>
      </c>
    </row>
    <row r="56" spans="1:12" ht="15.6" x14ac:dyDescent="0.3">
      <c r="A56" s="661" t="s">
        <v>120</v>
      </c>
      <c r="B56" s="662"/>
      <c r="C56" s="5" t="s">
        <v>18</v>
      </c>
      <c r="D56" s="26">
        <f>Mulanje!D56+Mulanje!E56+Mulanje!F56+Mulanje!G56+Mulanje!H56+Mulanje!I56</f>
        <v>3069467.33</v>
      </c>
      <c r="E56" s="26">
        <f>Luchenza!D56+Luchenza!E56+Luchenza!F56+Luchenza!G56+Luchenza!H56+Luchenza!I56</f>
        <v>3255423.2850000001</v>
      </c>
      <c r="F56" s="26">
        <f>Thyolo!D56+Thyolo!E56+Thyolo!F56+Thyolo!G56+Thyolo!H56+Thyolo!I56</f>
        <v>2378976.6466666665</v>
      </c>
      <c r="G56" s="26">
        <f>Muloza!D56+Muloza!E56+Muloza!F56+Muloza!G56+Muloza!H56+Muloza!I56</f>
        <v>2648924.5600000005</v>
      </c>
      <c r="H56" s="26">
        <f>MUST!D56+MUST!E56+MUST!F56+MUST!G56+MUST!H56+MUST!I56</f>
        <v>614000</v>
      </c>
      <c r="I56" s="26">
        <f>Phalombe!D56+Phalombe!E56+Phalombe!F56+Phalombe!G56+Phalombe!H56+Phalombe!I56</f>
        <v>1021361.0719999999</v>
      </c>
      <c r="J56" s="26">
        <f>Mikolongwe!D56+Mikolongwe!E56+Mikolongwe!F56+Mikolongwe!G56+Mikolongwe!H56+Mikolongwe!I56</f>
        <v>206666.66666666666</v>
      </c>
      <c r="K56" s="26">
        <f>Migowi!D56+Migowi!E56+Migowi!F56+Migowi!G56+Migowi!H56+Migowi!I56</f>
        <v>395611.27333333332</v>
      </c>
      <c r="L56" s="39">
        <f>SUM(D56:K56)</f>
        <v>13590430.833666667</v>
      </c>
    </row>
    <row r="57" spans="1:12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7"/>
    </row>
    <row r="58" spans="1:12" ht="15.6" x14ac:dyDescent="0.3">
      <c r="A58" s="643" t="s">
        <v>118</v>
      </c>
      <c r="B58" s="644"/>
      <c r="C58" s="5" t="s">
        <v>18</v>
      </c>
      <c r="D58" s="13">
        <f>D41+D46+D51+D52+D54+D55+D56</f>
        <v>40651166.549999997</v>
      </c>
      <c r="E58" s="13">
        <f t="shared" ref="E58:K58" si="14">E41+E46+E51+E52+E54+E55+E56</f>
        <v>40500881.461999997</v>
      </c>
      <c r="F58" s="13">
        <f t="shared" si="14"/>
        <v>45533015.186166666</v>
      </c>
      <c r="G58" s="13">
        <f t="shared" si="14"/>
        <v>29485093.855499998</v>
      </c>
      <c r="H58" s="13">
        <f t="shared" si="14"/>
        <v>20655140.056000002</v>
      </c>
      <c r="I58" s="13">
        <f t="shared" si="14"/>
        <v>16238964.002954997</v>
      </c>
      <c r="J58" s="13">
        <f t="shared" si="14"/>
        <v>1497798.3866666667</v>
      </c>
      <c r="K58" s="13">
        <f t="shared" si="14"/>
        <v>2454756.5115</v>
      </c>
      <c r="L58" s="39">
        <f>SUM(D58:K58)</f>
        <v>197016816.01078829</v>
      </c>
    </row>
    <row r="59" spans="1:12" ht="15.6" x14ac:dyDescent="0.3">
      <c r="A59" s="643" t="s">
        <v>117</v>
      </c>
      <c r="B59" s="644"/>
      <c r="C59" s="5" t="s">
        <v>115</v>
      </c>
      <c r="D59" s="15">
        <f t="shared" ref="D59:L59" si="15">D58/D9</f>
        <v>154.96430605429885</v>
      </c>
      <c r="E59" s="15">
        <f t="shared" si="15"/>
        <v>416.60287256344054</v>
      </c>
      <c r="F59" s="15">
        <f t="shared" si="15"/>
        <v>316.88367448094277</v>
      </c>
      <c r="G59" s="15">
        <f t="shared" si="15"/>
        <v>660.12389413647963</v>
      </c>
      <c r="H59" s="15">
        <f t="shared" si="15"/>
        <v>211.1437777255303</v>
      </c>
      <c r="I59" s="15">
        <f t="shared" si="15"/>
        <v>226.7790020941388</v>
      </c>
      <c r="J59" s="15">
        <f t="shared" si="15"/>
        <v>231.14172633744857</v>
      </c>
      <c r="K59" s="15">
        <f t="shared" si="15"/>
        <v>132.2249669539456</v>
      </c>
      <c r="L59" s="40">
        <f t="shared" si="15"/>
        <v>265.38683364061916</v>
      </c>
    </row>
    <row r="60" spans="1:12" ht="15.6" x14ac:dyDescent="0.3">
      <c r="A60" s="643" t="s">
        <v>116</v>
      </c>
      <c r="B60" s="644"/>
      <c r="C60" s="5" t="s">
        <v>115</v>
      </c>
      <c r="D60" s="15">
        <f>D58/D22</f>
        <v>214.1303347343148</v>
      </c>
      <c r="E60" s="15">
        <f t="shared" ref="E60:K60" si="16">E58/E22</f>
        <v>558.4787846387203</v>
      </c>
      <c r="F60" s="15">
        <f t="shared" si="16"/>
        <v>612.04402427806531</v>
      </c>
      <c r="G60" s="15">
        <f t="shared" si="16"/>
        <v>859.12278133741256</v>
      </c>
      <c r="H60" s="15">
        <f t="shared" si="16"/>
        <v>247.76425976506039</v>
      </c>
      <c r="I60" s="15">
        <f t="shared" si="16"/>
        <v>312.33582095235801</v>
      </c>
      <c r="J60" s="15">
        <f t="shared" si="16"/>
        <v>295.48785469562762</v>
      </c>
      <c r="K60" s="15">
        <f t="shared" si="16"/>
        <v>162.45691728104194</v>
      </c>
      <c r="L60" s="173">
        <f>L58/L22</f>
        <v>374.11905049243398</v>
      </c>
    </row>
    <row r="61" spans="1:12" ht="15.6" x14ac:dyDescent="0.3">
      <c r="A61" s="661" t="s">
        <v>114</v>
      </c>
      <c r="B61" s="662"/>
      <c r="C61" s="5" t="s">
        <v>3</v>
      </c>
      <c r="D61" s="26">
        <f>Mulanje!I61</f>
        <v>12</v>
      </c>
      <c r="E61" s="26">
        <f>Luchenza!I61</f>
        <v>8</v>
      </c>
      <c r="F61" s="26">
        <f>Thyolo!I61</f>
        <v>10</v>
      </c>
      <c r="G61" s="26">
        <f>Muloza!I61</f>
        <v>6</v>
      </c>
      <c r="H61" s="26">
        <f>MUST!I61</f>
        <v>4</v>
      </c>
      <c r="I61" s="26">
        <f>Phalombe!I61</f>
        <v>4</v>
      </c>
      <c r="J61" s="26">
        <f>Mikolongwe!I61</f>
        <v>0</v>
      </c>
      <c r="K61" s="26">
        <f>Migowi!I61</f>
        <v>1</v>
      </c>
      <c r="L61" s="39">
        <f>SUM(D61:K61)</f>
        <v>45</v>
      </c>
    </row>
    <row r="62" spans="1:12" ht="15.6" customHeight="1" x14ac:dyDescent="0.3">
      <c r="A62" s="643" t="s">
        <v>113</v>
      </c>
      <c r="B62" s="644"/>
      <c r="C62" s="5" t="s">
        <v>112</v>
      </c>
      <c r="D62" s="15">
        <f t="shared" ref="D62:L62" si="17">(D61*1000*31)/D9</f>
        <v>1.4180828434848243</v>
      </c>
      <c r="E62" s="15">
        <f t="shared" si="17"/>
        <v>2.5509941676867216</v>
      </c>
      <c r="F62" s="15">
        <f t="shared" si="17"/>
        <v>2.1574222284083793</v>
      </c>
      <c r="G62" s="15">
        <f t="shared" si="17"/>
        <v>4.1642412573321987</v>
      </c>
      <c r="H62" s="15">
        <f t="shared" si="17"/>
        <v>1.267569639662663</v>
      </c>
      <c r="I62" s="15">
        <f t="shared" si="17"/>
        <v>1.7316742776544192</v>
      </c>
      <c r="J62" s="15">
        <f t="shared" si="17"/>
        <v>0</v>
      </c>
      <c r="K62" s="15">
        <f t="shared" si="17"/>
        <v>1.6698087799622947</v>
      </c>
      <c r="L62" s="40">
        <f t="shared" si="17"/>
        <v>1.8791016950979018</v>
      </c>
    </row>
    <row r="63" spans="1:12" ht="15.6" x14ac:dyDescent="0.3">
      <c r="A63" s="700" t="s">
        <v>111</v>
      </c>
      <c r="B63" s="701"/>
      <c r="C63" s="38" t="s">
        <v>3</v>
      </c>
      <c r="D63" s="26">
        <f>Mulanje!I63</f>
        <v>27</v>
      </c>
      <c r="E63" s="26">
        <f>Luchenza!I63</f>
        <v>17</v>
      </c>
      <c r="F63" s="26">
        <f>Thyolo!I63</f>
        <v>15</v>
      </c>
      <c r="G63" s="26">
        <f>Muloza!I63</f>
        <v>7</v>
      </c>
      <c r="H63" s="26">
        <f>MUST!I63</f>
        <v>5</v>
      </c>
      <c r="I63" s="26">
        <f>Phalombe!I63</f>
        <v>7</v>
      </c>
      <c r="J63" s="26">
        <f>Mikolongwe!I63</f>
        <v>2</v>
      </c>
      <c r="K63" s="26">
        <f>Migowi!I63</f>
        <v>2</v>
      </c>
      <c r="L63" s="39">
        <f>SUM(D63:K63)</f>
        <v>82</v>
      </c>
    </row>
    <row r="64" spans="1:12" x14ac:dyDescent="0.3">
      <c r="A64" s="735"/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7"/>
    </row>
    <row r="65" spans="1:12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7"/>
    </row>
    <row r="66" spans="1:12" ht="15.6" x14ac:dyDescent="0.3">
      <c r="A66" s="688" t="s">
        <v>109</v>
      </c>
      <c r="B66" s="37" t="s">
        <v>85</v>
      </c>
      <c r="C66" s="5" t="s">
        <v>3</v>
      </c>
      <c r="D66" s="26">
        <f>Mulanje!D66</f>
        <v>589</v>
      </c>
      <c r="E66" s="26">
        <f>Luchenza!D66</f>
        <v>10</v>
      </c>
      <c r="F66" s="26">
        <f>Thyolo!D66</f>
        <v>11</v>
      </c>
      <c r="G66" s="26">
        <f>Muloza!D66</f>
        <v>98</v>
      </c>
      <c r="H66" s="26">
        <f>MUST!D66</f>
        <v>5</v>
      </c>
      <c r="I66" s="26">
        <f>Phalombe!D66</f>
        <v>78</v>
      </c>
      <c r="J66" s="26">
        <f>Mikolongwe!D66</f>
        <v>0</v>
      </c>
      <c r="K66" s="26">
        <f>Migowi!D66</f>
        <v>0</v>
      </c>
      <c r="L66" s="174">
        <f>SUM(D66:K66)</f>
        <v>791</v>
      </c>
    </row>
    <row r="67" spans="1:12" ht="15.6" x14ac:dyDescent="0.3">
      <c r="A67" s="689"/>
      <c r="B67" s="24" t="s">
        <v>104</v>
      </c>
      <c r="C67" s="5" t="s">
        <v>3</v>
      </c>
      <c r="D67" s="26">
        <f>Mulanje!D67+Mulanje!E67+Mulanje!F67+Mulanje!G67+Mulanje!H67+Mulanje!I67</f>
        <v>43</v>
      </c>
      <c r="E67" s="26">
        <f>Luchenza!D67+Luchenza!E67+Luchenza!F67+Luchenza!G67+Luchenza!H67+Luchenza!I67</f>
        <v>113</v>
      </c>
      <c r="F67" s="26">
        <f>Thyolo!D67+Thyolo!E67+Thyolo!F67+Thyolo!G67+Thyolo!H67+Thyolo!I67</f>
        <v>52</v>
      </c>
      <c r="G67" s="26">
        <f>Muloza!D67+Muloza!E67+Muloza!F67+Muloza!G67+Muloza!H67+Muloza!I67</f>
        <v>99</v>
      </c>
      <c r="H67" s="26">
        <f>MUST!D67+MUST!E67+MUST!F67+MUST!G67+MUST!H67+MUST!I67</f>
        <v>28</v>
      </c>
      <c r="I67" s="26">
        <f>Phalombe!D67+Phalombe!E67+Phalombe!F67+Phalombe!G67+Phalombe!H67+Phalombe!I67</f>
        <v>14</v>
      </c>
      <c r="J67" s="26">
        <f>Mikolongwe!D67+Mikolongwe!E67+Mikolongwe!F67+Mikolongwe!G67+Mikolongwe!H67+Mikolongwe!I67</f>
        <v>0</v>
      </c>
      <c r="K67" s="26">
        <f>Migowi!D67+Migowi!E67+Migowi!F67+Migowi!G67+Migowi!H67+Migowi!I67</f>
        <v>0</v>
      </c>
      <c r="L67" s="174">
        <f>SUM(D67:K67)</f>
        <v>349</v>
      </c>
    </row>
    <row r="68" spans="1:12" ht="27" x14ac:dyDescent="0.3">
      <c r="A68" s="689"/>
      <c r="B68" s="24" t="s">
        <v>103</v>
      </c>
      <c r="C68" s="5" t="s">
        <v>3</v>
      </c>
      <c r="D68" s="26">
        <f>Mulanje!D68+Mulanje!E68+Mulanje!F68+Mulanje!G68+Mulanje!H68+Mulanje!I68</f>
        <v>131</v>
      </c>
      <c r="E68" s="26">
        <f>Luchenza!D68+Luchenza!E68+Luchenza!F68+Luchenza!G68+Luchenza!H68+Luchenza!I68</f>
        <v>85</v>
      </c>
      <c r="F68" s="26">
        <f>Thyolo!D68+Thyolo!E68+Thyolo!F68+Thyolo!G68+Thyolo!H68+Thyolo!I68</f>
        <v>56</v>
      </c>
      <c r="G68" s="26">
        <f>Muloza!D68+Muloza!E68+Muloza!F68+Muloza!G68+Muloza!H68+Muloza!I68</f>
        <v>78</v>
      </c>
      <c r="H68" s="26">
        <f>MUST!D68+MUST!E68+MUST!F68+MUST!G68+MUST!H68+MUST!I68</f>
        <v>16</v>
      </c>
      <c r="I68" s="26">
        <f>Phalombe!D68+Phalombe!E68+Phalombe!F68+Phalombe!G68+Phalombe!H68+Phalombe!I68</f>
        <v>31</v>
      </c>
      <c r="J68" s="26">
        <f>Mikolongwe!D68+Mikolongwe!E68+Mikolongwe!F68+Mikolongwe!G68+Mikolongwe!H68+Mikolongwe!I68</f>
        <v>0</v>
      </c>
      <c r="K68" s="26">
        <f>Migowi!D68+Migowi!E68+Migowi!F68+Migowi!G68+Migowi!H68+Migowi!I68</f>
        <v>0</v>
      </c>
      <c r="L68" s="174">
        <f>SUM(D68:K68)</f>
        <v>397</v>
      </c>
    </row>
    <row r="69" spans="1:12" s="2" customFormat="1" ht="27" x14ac:dyDescent="0.3">
      <c r="A69" s="689"/>
      <c r="B69" s="24" t="s">
        <v>102</v>
      </c>
      <c r="C69" s="11" t="s">
        <v>3</v>
      </c>
      <c r="D69" s="26">
        <f>Mulanje!D69+Mulanje!E69+Mulanje!F69+Mulanje!G69+Mulanje!H69+Mulanje!I69</f>
        <v>0</v>
      </c>
      <c r="E69" s="26">
        <f>Luchenza!D69+Luchenza!E69+Luchenza!F69+Luchenza!G69+Luchenza!H69+Luchenza!I69</f>
        <v>0</v>
      </c>
      <c r="F69" s="26">
        <f>Thyolo!D69+Thyolo!E69+Thyolo!F69+Thyolo!G69+Thyolo!H69+Thyolo!I69</f>
        <v>0</v>
      </c>
      <c r="G69" s="26">
        <f>Muloza!D69+Muloza!E69+Muloza!F69+Muloza!G69+Muloza!H69+Muloza!I69</f>
        <v>0</v>
      </c>
      <c r="H69" s="26">
        <f>MUST!D69+MUST!E69+MUST!F69+MUST!G69+MUST!H69+MUST!I69</f>
        <v>8</v>
      </c>
      <c r="I69" s="26">
        <f>Phalombe!D69+Phalombe!E69+Phalombe!F69+Phalombe!G69+Phalombe!H69+Phalombe!I69</f>
        <v>32</v>
      </c>
      <c r="J69" s="26">
        <f>Mikolongwe!D69+Mikolongwe!E69+Mikolongwe!F69+Mikolongwe!G69+Mikolongwe!H69+Mikolongwe!I69</f>
        <v>0</v>
      </c>
      <c r="K69" s="26">
        <f>Migowi!D69+Migowi!E69+Migowi!F69+Migowi!G69+Migowi!H69+Migowi!I69</f>
        <v>0</v>
      </c>
      <c r="L69" s="174">
        <f>SUM(D69:K69)</f>
        <v>40</v>
      </c>
    </row>
    <row r="70" spans="1:12" s="2" customFormat="1" ht="15.6" x14ac:dyDescent="0.3">
      <c r="A70" s="689"/>
      <c r="B70" s="24" t="s">
        <v>188</v>
      </c>
      <c r="C70" s="11" t="s">
        <v>3</v>
      </c>
      <c r="D70" s="4">
        <f>D68+D69</f>
        <v>131</v>
      </c>
      <c r="E70" s="4">
        <f t="shared" ref="E70:L70" si="18">E68+E69</f>
        <v>85</v>
      </c>
      <c r="F70" s="4">
        <f t="shared" si="18"/>
        <v>56</v>
      </c>
      <c r="G70" s="4">
        <f t="shared" si="18"/>
        <v>78</v>
      </c>
      <c r="H70" s="4">
        <f t="shared" si="18"/>
        <v>24</v>
      </c>
      <c r="I70" s="4">
        <f t="shared" si="18"/>
        <v>63</v>
      </c>
      <c r="J70" s="4">
        <f t="shared" si="18"/>
        <v>0</v>
      </c>
      <c r="K70" s="4">
        <f t="shared" si="18"/>
        <v>0</v>
      </c>
      <c r="L70" s="162">
        <f t="shared" si="18"/>
        <v>437</v>
      </c>
    </row>
    <row r="71" spans="1:12" ht="15.6" x14ac:dyDescent="0.3">
      <c r="A71" s="690"/>
      <c r="B71" s="37" t="s">
        <v>81</v>
      </c>
      <c r="C71" s="5" t="s">
        <v>3</v>
      </c>
      <c r="D71" s="26">
        <f>D66+D67-D70</f>
        <v>501</v>
      </c>
      <c r="E71" s="26">
        <f t="shared" ref="E71:K71" si="19">E66+E67-E70</f>
        <v>38</v>
      </c>
      <c r="F71" s="26">
        <f t="shared" si="19"/>
        <v>7</v>
      </c>
      <c r="G71" s="26">
        <f t="shared" si="19"/>
        <v>119</v>
      </c>
      <c r="H71" s="26">
        <f t="shared" si="19"/>
        <v>9</v>
      </c>
      <c r="I71" s="26">
        <f t="shared" si="19"/>
        <v>29</v>
      </c>
      <c r="J71" s="26">
        <f t="shared" si="19"/>
        <v>0</v>
      </c>
      <c r="K71" s="26">
        <f t="shared" si="19"/>
        <v>0</v>
      </c>
      <c r="L71" s="160">
        <f>L66+L67-L70</f>
        <v>703</v>
      </c>
    </row>
    <row r="72" spans="1:12" ht="15.6" x14ac:dyDescent="0.3">
      <c r="A72" s="688" t="s">
        <v>108</v>
      </c>
      <c r="B72" s="37" t="s">
        <v>85</v>
      </c>
      <c r="C72" s="5" t="s">
        <v>3</v>
      </c>
      <c r="D72" s="26">
        <f>Mulanje!D72</f>
        <v>1</v>
      </c>
      <c r="E72" s="26">
        <f>Luchenza!D72</f>
        <v>0</v>
      </c>
      <c r="F72" s="26">
        <f>Thyolo!D72</f>
        <v>0</v>
      </c>
      <c r="G72" s="26">
        <f>Muloza!D72</f>
        <v>0</v>
      </c>
      <c r="H72" s="26">
        <f>MUST!D72</f>
        <v>0</v>
      </c>
      <c r="I72" s="26">
        <f>Phalombe!D72</f>
        <v>0</v>
      </c>
      <c r="J72" s="26">
        <f>Mikolongwe!D72</f>
        <v>0</v>
      </c>
      <c r="K72" s="26">
        <f>Migowi!D72</f>
        <v>0</v>
      </c>
      <c r="L72" s="174">
        <f>SUM(D72:K72)</f>
        <v>1</v>
      </c>
    </row>
    <row r="73" spans="1:12" ht="15.6" x14ac:dyDescent="0.3">
      <c r="A73" s="689"/>
      <c r="B73" s="24" t="s">
        <v>104</v>
      </c>
      <c r="C73" s="5" t="s">
        <v>3</v>
      </c>
      <c r="D73" s="26">
        <f>Mulanje!D73+Mulanje!E73+Mulanje!F73+Mulanje!G73+Mulanje!H73+Mulanje!I73</f>
        <v>0</v>
      </c>
      <c r="E73" s="26">
        <f>Luchenza!D73+Luchenza!E73+Luchenza!F73+Luchenza!G73+Luchenza!H73+Luchenza!I73</f>
        <v>3</v>
      </c>
      <c r="F73" s="26">
        <f>Thyolo!D73+Thyolo!E73+Thyolo!F73+Thyolo!G73+Thyolo!H73+Thyolo!I73</f>
        <v>0</v>
      </c>
      <c r="G73" s="26">
        <f>Muloza!D73+Muloza!E73+Muloza!F73+Muloza!G73+Muloza!H73+Muloza!I73</f>
        <v>1</v>
      </c>
      <c r="H73" s="26">
        <f>MUST!D73+MUST!E73+MUST!F73+MUST!G73+MUST!H73+MUST!I73</f>
        <v>0</v>
      </c>
      <c r="I73" s="26">
        <f>Phalombe!D73+Phalombe!E73+Phalombe!F73+Phalombe!G73+Phalombe!H73+Phalombe!I73</f>
        <v>0</v>
      </c>
      <c r="J73" s="26">
        <f>Mikolongwe!D73+Mikolongwe!E73+Mikolongwe!F73+Mikolongwe!G73+Mikolongwe!H73+Mikolongwe!I73</f>
        <v>0</v>
      </c>
      <c r="K73" s="26">
        <f>Migowi!D73+Migowi!E73+Migowi!F73+Migowi!G73+Migowi!H73+Migowi!I73</f>
        <v>0</v>
      </c>
      <c r="L73" s="174">
        <f>SUM(D73:K73)</f>
        <v>4</v>
      </c>
    </row>
    <row r="74" spans="1:12" ht="27" x14ac:dyDescent="0.3">
      <c r="A74" s="689"/>
      <c r="B74" s="24" t="s">
        <v>103</v>
      </c>
      <c r="C74" s="5" t="s">
        <v>3</v>
      </c>
      <c r="D74" s="26">
        <f>Mulanje!D74+Mulanje!E74+Mulanje!F74+Mulanje!G74+Mulanje!H74+Mulanje!I74</f>
        <v>0</v>
      </c>
      <c r="E74" s="26">
        <f>Luchenza!D74+Luchenza!E74+Luchenza!F74+Luchenza!G74+Luchenza!H74+Luchenza!I74</f>
        <v>1</v>
      </c>
      <c r="F74" s="26">
        <f>Thyolo!D74+Thyolo!E74+Thyolo!F74+Thyolo!G74+Thyolo!H74+Thyolo!I74</f>
        <v>0</v>
      </c>
      <c r="G74" s="26">
        <f>Muloza!D74+Muloza!E74+Muloza!F74+Muloza!G74+Muloza!H74+Muloza!I74</f>
        <v>0</v>
      </c>
      <c r="H74" s="26">
        <f>MUST!D74+MUST!E74+MUST!F74+MUST!G74+MUST!H74+MUST!I74</f>
        <v>0</v>
      </c>
      <c r="I74" s="26">
        <f>Phalombe!D74+Phalombe!E74+Phalombe!F74+Phalombe!G74+Phalombe!H74+Phalombe!I74</f>
        <v>0</v>
      </c>
      <c r="J74" s="26">
        <f>Mikolongwe!D74+Mikolongwe!E74+Mikolongwe!F74+Mikolongwe!G74+Mikolongwe!H74+Mikolongwe!I74</f>
        <v>0</v>
      </c>
      <c r="K74" s="26">
        <f>Migowi!D74+Migowi!E74+Migowi!F74+Migowi!G74+Migowi!H74+Migowi!I74</f>
        <v>0</v>
      </c>
      <c r="L74" s="174">
        <f>SUM(D74:K74)</f>
        <v>1</v>
      </c>
    </row>
    <row r="75" spans="1:12" s="2" customFormat="1" ht="27" x14ac:dyDescent="0.3">
      <c r="A75" s="689"/>
      <c r="B75" s="24" t="s">
        <v>102</v>
      </c>
      <c r="C75" s="11" t="s">
        <v>3</v>
      </c>
      <c r="D75" s="26">
        <f>Mulanje!D75+Mulanje!E75+Mulanje!F75+Mulanje!G75+Mulanje!H75+Mulanje!I75</f>
        <v>0</v>
      </c>
      <c r="E75" s="26">
        <f>Luchenza!D75+Luchenza!E75+Luchenza!F75+Luchenza!G75+Luchenza!H75+Luchenza!I75</f>
        <v>1</v>
      </c>
      <c r="F75" s="26">
        <f>Thyolo!D75+Thyolo!E75+Thyolo!F75+Thyolo!G75+Thyolo!H75+Thyolo!I75</f>
        <v>0</v>
      </c>
      <c r="G75" s="26">
        <f>Muloza!D75+Muloza!E75+Muloza!F75+Muloza!G75+Muloza!H75+Muloza!I75</f>
        <v>0</v>
      </c>
      <c r="H75" s="26">
        <f>MUST!D75+MUST!E75+MUST!F75+MUST!G75+MUST!H75+MUST!I75</f>
        <v>0</v>
      </c>
      <c r="I75" s="26">
        <f>Phalombe!D75+Phalombe!E75+Phalombe!F75+Phalombe!G75+Phalombe!H75+Phalombe!I75</f>
        <v>0</v>
      </c>
      <c r="J75" s="26">
        <f>Mikolongwe!D75+Mikolongwe!E75+Mikolongwe!F75+Mikolongwe!G75+Mikolongwe!H75+Mikolongwe!I75</f>
        <v>0</v>
      </c>
      <c r="K75" s="26">
        <f>Migowi!D75+Migowi!E75+Migowi!F75+Migowi!G75+Migowi!H75+Migowi!I75</f>
        <v>0</v>
      </c>
      <c r="L75" s="159">
        <f>SUM(D75:K75)</f>
        <v>1</v>
      </c>
    </row>
    <row r="76" spans="1:12" s="2" customFormat="1" ht="15.6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L76" si="20">E74+E75</f>
        <v>2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162">
        <f t="shared" si="20"/>
        <v>2</v>
      </c>
    </row>
    <row r="77" spans="1:12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L77" si="21">E73+E74-E76</f>
        <v>2</v>
      </c>
      <c r="F77" s="26">
        <f t="shared" si="21"/>
        <v>0</v>
      </c>
      <c r="G77" s="26">
        <f t="shared" si="21"/>
        <v>1</v>
      </c>
      <c r="H77" s="26">
        <f t="shared" si="21"/>
        <v>0</v>
      </c>
      <c r="I77" s="26">
        <f t="shared" si="21"/>
        <v>0</v>
      </c>
      <c r="J77" s="26">
        <f t="shared" si="21"/>
        <v>0</v>
      </c>
      <c r="K77" s="26">
        <f t="shared" si="21"/>
        <v>0</v>
      </c>
      <c r="L77" s="160">
        <f t="shared" si="21"/>
        <v>3</v>
      </c>
    </row>
    <row r="78" spans="1:12" ht="15.6" customHeight="1" x14ac:dyDescent="0.3">
      <c r="A78" s="688" t="s">
        <v>107</v>
      </c>
      <c r="B78" s="37" t="s">
        <v>85</v>
      </c>
      <c r="C78" s="5" t="s">
        <v>3</v>
      </c>
      <c r="D78" s="26">
        <f>Mulanje!D78</f>
        <v>1</v>
      </c>
      <c r="E78" s="26">
        <f>Luchenza!D78</f>
        <v>0</v>
      </c>
      <c r="F78" s="26">
        <f>Thyolo!D78</f>
        <v>0</v>
      </c>
      <c r="G78" s="26">
        <f>Muloza!D78</f>
        <v>0</v>
      </c>
      <c r="H78" s="26">
        <f>MUST!D78</f>
        <v>0</v>
      </c>
      <c r="I78" s="26">
        <f>Phalombe!D78</f>
        <v>4</v>
      </c>
      <c r="J78" s="26">
        <f>Mikolongwe!D78</f>
        <v>0</v>
      </c>
      <c r="K78" s="26">
        <f>Migowi!D78</f>
        <v>0</v>
      </c>
      <c r="L78" s="174">
        <f>SUM(D78:K78)</f>
        <v>5</v>
      </c>
    </row>
    <row r="79" spans="1:12" ht="15.6" x14ac:dyDescent="0.3">
      <c r="A79" s="689"/>
      <c r="B79" s="24" t="s">
        <v>104</v>
      </c>
      <c r="C79" s="5" t="s">
        <v>3</v>
      </c>
      <c r="D79" s="26">
        <f>Mulanje!D79+Mulanje!E79+Mulanje!F79+Mulanje!G79+Mulanje!H79+Mulanje!I79</f>
        <v>12</v>
      </c>
      <c r="E79" s="26">
        <f>Luchenza!D79+Luchenza!E79+Luchenza!F79+Luchenza!G79+Luchenza!H79+Luchenza!I79</f>
        <v>0</v>
      </c>
      <c r="F79" s="26">
        <f>Thyolo!D79+Thyolo!E79+Thyolo!F79+Thyolo!G79+Thyolo!H79+Thyolo!I79</f>
        <v>1</v>
      </c>
      <c r="G79" s="26">
        <f>Muloza!D79+Muloza!E79+Muloza!F79+Muloza!G79+Muloza!H79+Muloza!I79</f>
        <v>1</v>
      </c>
      <c r="H79" s="26">
        <f>MUST!D79+MUST!E79+MUST!F79+MUST!G79+MUST!H79+MUST!I79</f>
        <v>0</v>
      </c>
      <c r="I79" s="26">
        <f>Phalombe!D79+Phalombe!E79+Phalombe!F79+Phalombe!G79+Phalombe!H79+Phalombe!I79</f>
        <v>0</v>
      </c>
      <c r="J79" s="26">
        <f>Mikolongwe!D79+Mikolongwe!E79+Mikolongwe!F79+Mikolongwe!G79+Mikolongwe!H79+Mikolongwe!I79</f>
        <v>0</v>
      </c>
      <c r="K79" s="26">
        <f>Migowi!D79+Migowi!E79+Migowi!F79+Migowi!G79+Migowi!H79+Migowi!I79</f>
        <v>0</v>
      </c>
      <c r="L79" s="174">
        <f>SUM(D79:K79)</f>
        <v>14</v>
      </c>
    </row>
    <row r="80" spans="1:12" ht="27" x14ac:dyDescent="0.3">
      <c r="A80" s="689"/>
      <c r="B80" s="24" t="s">
        <v>103</v>
      </c>
      <c r="C80" s="5" t="s">
        <v>3</v>
      </c>
      <c r="D80" s="26">
        <f>Mulanje!D80+Mulanje!E80+Mulanje!F80+Mulanje!G80+Mulanje!H80+Mulanje!I80</f>
        <v>8</v>
      </c>
      <c r="E80" s="26">
        <f>Luchenza!D80+Luchenza!E80+Luchenza!F80+Luchenza!G80+Luchenza!H80+Luchenza!I80</f>
        <v>0</v>
      </c>
      <c r="F80" s="26">
        <f>Thyolo!D80+Thyolo!E80+Thyolo!F80+Thyolo!G80+Thyolo!H80+Thyolo!I80</f>
        <v>0</v>
      </c>
      <c r="G80" s="26">
        <f>Muloza!D80+Muloza!E80+Muloza!F80+Muloza!G80+Muloza!H80+Muloza!I80</f>
        <v>1</v>
      </c>
      <c r="H80" s="26">
        <f>MUST!D80+MUST!E80+MUST!F80+MUST!G80+MUST!H80+MUST!I80</f>
        <v>0</v>
      </c>
      <c r="I80" s="26">
        <f>Phalombe!D80+Phalombe!E80+Phalombe!F80+Phalombe!G80+Phalombe!H80+Phalombe!I80</f>
        <v>0</v>
      </c>
      <c r="J80" s="26">
        <f>Mikolongwe!D80+Mikolongwe!E80+Mikolongwe!F80+Mikolongwe!G80+Mikolongwe!H80+Mikolongwe!I80</f>
        <v>0</v>
      </c>
      <c r="K80" s="26">
        <f>Migowi!D80+Migowi!E80+Migowi!F80+Migowi!G80+Migowi!H80+Migowi!I80</f>
        <v>0</v>
      </c>
      <c r="L80" s="174">
        <f>SUM(D80:K80)</f>
        <v>9</v>
      </c>
    </row>
    <row r="81" spans="1:12" s="2" customFormat="1" ht="27" x14ac:dyDescent="0.3">
      <c r="A81" s="689"/>
      <c r="B81" s="24" t="s">
        <v>102</v>
      </c>
      <c r="C81" s="11" t="s">
        <v>3</v>
      </c>
      <c r="D81" s="26">
        <f>Mulanje!D81+Mulanje!E81+Mulanje!F81+Mulanje!G81+Mulanje!H81+Mulanje!I81</f>
        <v>4</v>
      </c>
      <c r="E81" s="26">
        <f>Luchenza!D81+Luchenza!E81+Luchenza!F81+Luchenza!G81+Luchenza!H81+Luchenza!I81</f>
        <v>0</v>
      </c>
      <c r="F81" s="26">
        <f>Thyolo!D81+Thyolo!E81+Thyolo!F81+Thyolo!G81+Thyolo!H81+Thyolo!I81</f>
        <v>1</v>
      </c>
      <c r="G81" s="26">
        <f>Muloza!D81+Muloza!E81+Muloza!F81+Muloza!G81+Muloza!H81+Muloza!I81</f>
        <v>0</v>
      </c>
      <c r="H81" s="26">
        <f>MUST!D81+MUST!E81+MUST!F81+MUST!G81+MUST!H81+MUST!I81</f>
        <v>0</v>
      </c>
      <c r="I81" s="26">
        <f>Phalombe!D81+Phalombe!E81+Phalombe!F81+Phalombe!G81+Phalombe!H81+Phalombe!I81</f>
        <v>0</v>
      </c>
      <c r="J81" s="26">
        <f>Mikolongwe!D81+Mikolongwe!E81+Mikolongwe!F81+Mikolongwe!G81+Mikolongwe!H81+Mikolongwe!I81</f>
        <v>0</v>
      </c>
      <c r="K81" s="26">
        <f>Migowi!D81+Migowi!E81+Migowi!F81+Migowi!G81+Migowi!H81+Migowi!I81</f>
        <v>0</v>
      </c>
      <c r="L81" s="159">
        <f>SUM(D81:K81)</f>
        <v>5</v>
      </c>
    </row>
    <row r="82" spans="1:12" s="2" customFormat="1" ht="15.6" x14ac:dyDescent="0.3">
      <c r="A82" s="689"/>
      <c r="B82" s="24" t="s">
        <v>188</v>
      </c>
      <c r="C82" s="11" t="s">
        <v>3</v>
      </c>
      <c r="D82" s="4">
        <f>D81+D80</f>
        <v>12</v>
      </c>
      <c r="E82" s="4">
        <f t="shared" ref="E82:L82" si="22">E81+E80</f>
        <v>0</v>
      </c>
      <c r="F82" s="4">
        <f t="shared" si="22"/>
        <v>1</v>
      </c>
      <c r="G82" s="4">
        <f t="shared" si="22"/>
        <v>1</v>
      </c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162">
        <f t="shared" si="22"/>
        <v>14</v>
      </c>
    </row>
    <row r="83" spans="1:12" ht="15.6" x14ac:dyDescent="0.3">
      <c r="A83" s="690"/>
      <c r="B83" s="37" t="s">
        <v>81</v>
      </c>
      <c r="C83" s="5" t="s">
        <v>3</v>
      </c>
      <c r="D83" s="26">
        <f>D78+D79-D82</f>
        <v>1</v>
      </c>
      <c r="E83" s="26">
        <f t="shared" ref="E83:L83" si="23">E78+E79-E82</f>
        <v>0</v>
      </c>
      <c r="F83" s="26">
        <f t="shared" si="23"/>
        <v>0</v>
      </c>
      <c r="G83" s="26">
        <f t="shared" si="23"/>
        <v>0</v>
      </c>
      <c r="H83" s="26">
        <f t="shared" si="23"/>
        <v>0</v>
      </c>
      <c r="I83" s="26">
        <f t="shared" si="23"/>
        <v>4</v>
      </c>
      <c r="J83" s="26">
        <f t="shared" si="23"/>
        <v>0</v>
      </c>
      <c r="K83" s="26">
        <f t="shared" si="23"/>
        <v>0</v>
      </c>
      <c r="L83" s="160">
        <f t="shared" si="23"/>
        <v>5</v>
      </c>
    </row>
    <row r="84" spans="1:12" ht="15.6" x14ac:dyDescent="0.3">
      <c r="A84" s="691" t="s">
        <v>106</v>
      </c>
      <c r="B84" s="37" t="s">
        <v>85</v>
      </c>
      <c r="C84" s="5" t="s">
        <v>3</v>
      </c>
      <c r="D84" s="26">
        <f>Mulanje!D84</f>
        <v>0</v>
      </c>
      <c r="E84" s="26">
        <f>Luchenza!D84</f>
        <v>0</v>
      </c>
      <c r="F84" s="26">
        <f>Thyolo!D84</f>
        <v>0</v>
      </c>
      <c r="G84" s="26">
        <f>Muloza!D84</f>
        <v>0</v>
      </c>
      <c r="H84" s="26">
        <f>MUST!D84</f>
        <v>0</v>
      </c>
      <c r="I84" s="26">
        <f>Phalombe!D84</f>
        <v>0</v>
      </c>
      <c r="J84" s="26">
        <f>Mikolongwe!D84</f>
        <v>0</v>
      </c>
      <c r="K84" s="26">
        <f>Migowi!D84</f>
        <v>0</v>
      </c>
      <c r="L84" s="174">
        <f>SUM(D84:K84)</f>
        <v>0</v>
      </c>
    </row>
    <row r="85" spans="1:12" ht="15.6" x14ac:dyDescent="0.3">
      <c r="A85" s="692"/>
      <c r="B85" s="37" t="s">
        <v>104</v>
      </c>
      <c r="C85" s="5" t="s">
        <v>3</v>
      </c>
      <c r="D85" s="26">
        <f>Mulanje!D85+Mulanje!E85+Mulanje!F85+Mulanje!G85+Mulanje!H85+Mulanje!I85</f>
        <v>0</v>
      </c>
      <c r="E85" s="26">
        <f>Luchenza!D85+Luchenza!E85+Luchenza!F85+Luchenza!G85+Luchenza!H85+Luchenza!I85</f>
        <v>0</v>
      </c>
      <c r="F85" s="26">
        <f>Thyolo!D85+Thyolo!E85+Thyolo!F85+Thyolo!G85+Thyolo!H85+Thyolo!I85</f>
        <v>0</v>
      </c>
      <c r="G85" s="26">
        <f>Muloza!D85+Muloza!E85+Muloza!F85+Muloza!G85+Muloza!H85+Muloza!I85</f>
        <v>0</v>
      </c>
      <c r="H85" s="26">
        <f>MUST!D85+MUST!E85+MUST!F85+MUST!G85+MUST!H85+MUST!I85</f>
        <v>0</v>
      </c>
      <c r="I85" s="26">
        <f>Phalombe!D85+Phalombe!E85+Phalombe!F85+Phalombe!G85+Phalombe!H85+Phalombe!I85</f>
        <v>0</v>
      </c>
      <c r="J85" s="26">
        <f>Mikolongwe!D85+Mikolongwe!E85+Mikolongwe!F85+Mikolongwe!G85+Mikolongwe!H85+Mikolongwe!I85</f>
        <v>0</v>
      </c>
      <c r="K85" s="26">
        <f>Migowi!D85+Migowi!E85+Migowi!F85+Migowi!G85+Migowi!H85+Migowi!I85</f>
        <v>0</v>
      </c>
      <c r="L85" s="174">
        <f>SUM(D85:K85)</f>
        <v>0</v>
      </c>
    </row>
    <row r="86" spans="1:12" ht="27" x14ac:dyDescent="0.3">
      <c r="A86" s="692"/>
      <c r="B86" s="37" t="s">
        <v>103</v>
      </c>
      <c r="C86" s="5" t="s">
        <v>3</v>
      </c>
      <c r="D86" s="26">
        <f>Mulanje!D86+Mulanje!E86+Mulanje!F86+Mulanje!G86+Mulanje!H86+Mulanje!I86</f>
        <v>0</v>
      </c>
      <c r="E86" s="26">
        <f>Luchenza!D86+Luchenza!E86+Luchenza!F86+Luchenza!G86+Luchenza!H86+Luchenza!I86</f>
        <v>0</v>
      </c>
      <c r="F86" s="26">
        <f>Thyolo!D86+Thyolo!E86+Thyolo!F86+Thyolo!G86+Thyolo!H86+Thyolo!I86</f>
        <v>0</v>
      </c>
      <c r="G86" s="26">
        <f>Muloza!D86+Muloza!E86+Muloza!F86+Muloza!G86+Muloza!H86+Muloza!I86</f>
        <v>0</v>
      </c>
      <c r="H86" s="26">
        <f>MUST!D86+MUST!E86+MUST!F86+MUST!G86+MUST!H86+MUST!I86</f>
        <v>0</v>
      </c>
      <c r="I86" s="26">
        <f>Phalombe!D86+Phalombe!E86+Phalombe!F86+Phalombe!G86+Phalombe!H86+Phalombe!I86</f>
        <v>0</v>
      </c>
      <c r="J86" s="26">
        <f>Mikolongwe!D86+Mikolongwe!E86+Mikolongwe!F86+Mikolongwe!G86+Mikolongwe!H86+Mikolongwe!I86</f>
        <v>0</v>
      </c>
      <c r="K86" s="26">
        <f>Migowi!D86+Migowi!E86+Migowi!F86+Migowi!G86+Migowi!H86+Migowi!I86</f>
        <v>0</v>
      </c>
      <c r="L86" s="174">
        <f>SUM(D86:K86)</f>
        <v>0</v>
      </c>
    </row>
    <row r="87" spans="1:12" s="2" customFormat="1" ht="27" x14ac:dyDescent="0.3">
      <c r="A87" s="692"/>
      <c r="B87" s="24" t="s">
        <v>102</v>
      </c>
      <c r="C87" s="11" t="s">
        <v>3</v>
      </c>
      <c r="D87" s="26">
        <f>Mulanje!D87+Mulanje!E87+Mulanje!F87+Mulanje!G87+Mulanje!H87+Mulanje!I87</f>
        <v>0</v>
      </c>
      <c r="E87" s="26">
        <f>Luchenza!D87+Luchenza!E87+Luchenza!F87+Luchenza!G87+Luchenza!H87+Luchenza!I87</f>
        <v>0</v>
      </c>
      <c r="F87" s="26">
        <f>Thyolo!D87+Thyolo!E87+Thyolo!F87+Thyolo!G87+Thyolo!H87+Thyolo!I87</f>
        <v>0</v>
      </c>
      <c r="G87" s="26">
        <f>Muloza!D87+Muloza!E87+Muloza!F87+Muloza!G87+Muloza!H87+Muloza!I87</f>
        <v>0</v>
      </c>
      <c r="H87" s="26">
        <f>MUST!D87+MUST!E87+MUST!F87+MUST!G87+MUST!H87+MUST!I87</f>
        <v>0</v>
      </c>
      <c r="I87" s="26">
        <f>Phalombe!D87+Phalombe!E87+Phalombe!F87+Phalombe!G87+Phalombe!H87+Phalombe!I87</f>
        <v>0</v>
      </c>
      <c r="J87" s="26">
        <f>Mikolongwe!D87+Mikolongwe!E87+Mikolongwe!F87+Mikolongwe!G87+Mikolongwe!H87+Mikolongwe!I87</f>
        <v>0</v>
      </c>
      <c r="K87" s="26">
        <f>Migowi!D87+Migowi!E87+Migowi!F87+Migowi!G87+Migowi!H87+Migowi!I87</f>
        <v>0</v>
      </c>
      <c r="L87" s="159">
        <f>SUM(D87:K87)</f>
        <v>0</v>
      </c>
    </row>
    <row r="88" spans="1:12" s="2" customFormat="1" ht="15.6" x14ac:dyDescent="0.3">
      <c r="A88" s="692"/>
      <c r="B88" s="24" t="s">
        <v>188</v>
      </c>
      <c r="C88" s="11" t="s">
        <v>3</v>
      </c>
      <c r="D88" s="4">
        <f>D87+D86</f>
        <v>0</v>
      </c>
      <c r="E88" s="4">
        <f t="shared" ref="E88:K88" si="24">E87+E86</f>
        <v>0</v>
      </c>
      <c r="F88" s="4">
        <f t="shared" si="24"/>
        <v>0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4">
        <f t="shared" si="24"/>
        <v>0</v>
      </c>
      <c r="K88" s="4">
        <f t="shared" si="24"/>
        <v>0</v>
      </c>
      <c r="L88" s="159">
        <f>SUM(D88:K88)</f>
        <v>0</v>
      </c>
    </row>
    <row r="89" spans="1:12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f t="shared" ref="E89:K89" si="25">E84+E85-E88</f>
        <v>0</v>
      </c>
      <c r="F89" s="26">
        <f t="shared" si="25"/>
        <v>0</v>
      </c>
      <c r="G89" s="26">
        <f t="shared" si="25"/>
        <v>0</v>
      </c>
      <c r="H89" s="26">
        <f t="shared" si="25"/>
        <v>0</v>
      </c>
      <c r="I89" s="26">
        <f t="shared" si="25"/>
        <v>0</v>
      </c>
      <c r="J89" s="26">
        <f t="shared" si="25"/>
        <v>0</v>
      </c>
      <c r="K89" s="26">
        <f t="shared" si="25"/>
        <v>0</v>
      </c>
      <c r="L89" s="160">
        <f t="shared" ref="L89" si="26">L84+L85-L86-L87</f>
        <v>0</v>
      </c>
    </row>
    <row r="90" spans="1:12" ht="15.6" x14ac:dyDescent="0.3">
      <c r="A90" s="694" t="s">
        <v>105</v>
      </c>
      <c r="B90" s="24" t="s">
        <v>85</v>
      </c>
      <c r="C90" s="11" t="s">
        <v>3</v>
      </c>
      <c r="D90" s="135">
        <f>D66+D72+D78+D84</f>
        <v>591</v>
      </c>
      <c r="E90" s="135">
        <f t="shared" ref="E90:K90" si="27">E66+E72+E78+E84</f>
        <v>10</v>
      </c>
      <c r="F90" s="135">
        <f t="shared" si="27"/>
        <v>11</v>
      </c>
      <c r="G90" s="135">
        <f t="shared" si="27"/>
        <v>98</v>
      </c>
      <c r="H90" s="135">
        <f t="shared" si="27"/>
        <v>5</v>
      </c>
      <c r="I90" s="135">
        <f t="shared" si="27"/>
        <v>82</v>
      </c>
      <c r="J90" s="135">
        <f t="shared" si="27"/>
        <v>0</v>
      </c>
      <c r="K90" s="135">
        <f t="shared" si="27"/>
        <v>0</v>
      </c>
      <c r="L90" s="174">
        <f>SUM(D90:K90)</f>
        <v>797</v>
      </c>
    </row>
    <row r="91" spans="1:12" ht="15.6" x14ac:dyDescent="0.3">
      <c r="A91" s="695"/>
      <c r="B91" s="24" t="s">
        <v>104</v>
      </c>
      <c r="C91" s="11" t="s">
        <v>3</v>
      </c>
      <c r="D91" s="135">
        <f t="shared" ref="D91:K93" si="28">D67+D73+D79+D85</f>
        <v>55</v>
      </c>
      <c r="E91" s="135">
        <f t="shared" si="28"/>
        <v>116</v>
      </c>
      <c r="F91" s="135">
        <f t="shared" si="28"/>
        <v>53</v>
      </c>
      <c r="G91" s="135">
        <f t="shared" si="28"/>
        <v>101</v>
      </c>
      <c r="H91" s="135">
        <f t="shared" si="28"/>
        <v>28</v>
      </c>
      <c r="I91" s="135">
        <f t="shared" si="28"/>
        <v>14</v>
      </c>
      <c r="J91" s="135">
        <f t="shared" si="28"/>
        <v>0</v>
      </c>
      <c r="K91" s="135">
        <f t="shared" si="28"/>
        <v>0</v>
      </c>
      <c r="L91" s="174">
        <f>SUM(D91:K91)</f>
        <v>367</v>
      </c>
    </row>
    <row r="92" spans="1:12" ht="27" x14ac:dyDescent="0.3">
      <c r="A92" s="695"/>
      <c r="B92" s="24" t="s">
        <v>103</v>
      </c>
      <c r="C92" s="11" t="s">
        <v>3</v>
      </c>
      <c r="D92" s="135">
        <f t="shared" si="28"/>
        <v>139</v>
      </c>
      <c r="E92" s="135">
        <f t="shared" si="28"/>
        <v>86</v>
      </c>
      <c r="F92" s="135">
        <f t="shared" si="28"/>
        <v>56</v>
      </c>
      <c r="G92" s="135">
        <f t="shared" si="28"/>
        <v>79</v>
      </c>
      <c r="H92" s="135">
        <f t="shared" si="28"/>
        <v>16</v>
      </c>
      <c r="I92" s="135">
        <f t="shared" si="28"/>
        <v>31</v>
      </c>
      <c r="J92" s="135">
        <f t="shared" si="28"/>
        <v>0</v>
      </c>
      <c r="K92" s="135">
        <f t="shared" si="28"/>
        <v>0</v>
      </c>
      <c r="L92" s="174">
        <f>SUM(D92:K92)</f>
        <v>407</v>
      </c>
    </row>
    <row r="93" spans="1:12" s="2" customFormat="1" ht="27" x14ac:dyDescent="0.3">
      <c r="A93" s="695"/>
      <c r="B93" s="24" t="s">
        <v>102</v>
      </c>
      <c r="C93" s="11"/>
      <c r="D93" s="135">
        <f t="shared" si="28"/>
        <v>4</v>
      </c>
      <c r="E93" s="135">
        <f t="shared" si="28"/>
        <v>1</v>
      </c>
      <c r="F93" s="135">
        <f t="shared" si="28"/>
        <v>1</v>
      </c>
      <c r="G93" s="135">
        <f t="shared" si="28"/>
        <v>0</v>
      </c>
      <c r="H93" s="135">
        <f t="shared" si="28"/>
        <v>8</v>
      </c>
      <c r="I93" s="135">
        <f t="shared" si="28"/>
        <v>32</v>
      </c>
      <c r="J93" s="135">
        <f t="shared" si="28"/>
        <v>0</v>
      </c>
      <c r="K93" s="135">
        <f t="shared" si="28"/>
        <v>0</v>
      </c>
      <c r="L93" s="174">
        <f>SUM(D93:K93)</f>
        <v>46</v>
      </c>
    </row>
    <row r="94" spans="1:12" s="2" customFormat="1" ht="15.6" x14ac:dyDescent="0.3">
      <c r="A94" s="695"/>
      <c r="B94" s="24" t="s">
        <v>188</v>
      </c>
      <c r="C94" s="11" t="s">
        <v>3</v>
      </c>
      <c r="D94" s="136">
        <f>D93+D92</f>
        <v>143</v>
      </c>
      <c r="E94" s="136">
        <f t="shared" ref="E94:L94" si="29">E93+E92</f>
        <v>87</v>
      </c>
      <c r="F94" s="136">
        <f t="shared" si="29"/>
        <v>57</v>
      </c>
      <c r="G94" s="136">
        <f t="shared" si="29"/>
        <v>79</v>
      </c>
      <c r="H94" s="136">
        <f t="shared" si="29"/>
        <v>24</v>
      </c>
      <c r="I94" s="136">
        <f t="shared" si="29"/>
        <v>63</v>
      </c>
      <c r="J94" s="136">
        <f t="shared" si="29"/>
        <v>0</v>
      </c>
      <c r="K94" s="136">
        <f t="shared" si="29"/>
        <v>0</v>
      </c>
      <c r="L94" s="175">
        <f t="shared" si="29"/>
        <v>453</v>
      </c>
    </row>
    <row r="95" spans="1:12" ht="16.2" thickBot="1" x14ac:dyDescent="0.35">
      <c r="A95" s="696"/>
      <c r="B95" s="24" t="s">
        <v>81</v>
      </c>
      <c r="C95" s="11" t="s">
        <v>3</v>
      </c>
      <c r="D95" s="137">
        <f>D90+D91-D94</f>
        <v>503</v>
      </c>
      <c r="E95" s="137">
        <f t="shared" ref="E95:L95" si="30">E90+E91-E94</f>
        <v>39</v>
      </c>
      <c r="F95" s="137">
        <f t="shared" si="30"/>
        <v>7</v>
      </c>
      <c r="G95" s="137">
        <f t="shared" si="30"/>
        <v>120</v>
      </c>
      <c r="H95" s="137">
        <f t="shared" si="30"/>
        <v>9</v>
      </c>
      <c r="I95" s="137">
        <f t="shared" si="30"/>
        <v>33</v>
      </c>
      <c r="J95" s="137">
        <f t="shared" si="30"/>
        <v>0</v>
      </c>
      <c r="K95" s="137">
        <f t="shared" si="30"/>
        <v>0</v>
      </c>
      <c r="L95" s="176">
        <f t="shared" si="30"/>
        <v>711</v>
      </c>
    </row>
    <row r="96" spans="1:12" ht="16.2" customHeight="1" thickBot="1" x14ac:dyDescent="0.35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4"/>
    </row>
    <row r="97" spans="1:12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9"/>
    </row>
    <row r="98" spans="1:12" ht="15.6" x14ac:dyDescent="0.3">
      <c r="A98" s="88" t="s">
        <v>190</v>
      </c>
      <c r="B98" s="69"/>
      <c r="C98" s="11" t="s">
        <v>3</v>
      </c>
      <c r="D98" s="26">
        <f>Mulanje!D98+Mulanje!E98+Mulanje!F98+Mulanje!G98+Mulanje!H98+Mulanje!I98</f>
        <v>8</v>
      </c>
      <c r="E98" s="26">
        <f>Luchenza!D98+Luchenza!E98+Luchenza!F98+Luchenza!G98+Luchenza!H98+Luchenza!I98</f>
        <v>11</v>
      </c>
      <c r="F98" s="26">
        <f>Thyolo!D98+Thyolo!E98+Thyolo!F98+Thyolo!G98+Thyolo!H98+Thyolo!I98</f>
        <v>49</v>
      </c>
      <c r="G98" s="26">
        <f>Muloza!D98+Muloza!E98+Muloza!F98+Muloza!G98+Muloza!H98+Muloza!I98</f>
        <v>0</v>
      </c>
      <c r="H98" s="26">
        <f>MUST!D98+MUST!E98+MUST!F98+MUST!G98+MUST!H98+MUST!I98</f>
        <v>14</v>
      </c>
      <c r="I98" s="26">
        <f>Phalombe!D98+Phalombe!E98+Phalombe!F98+Phalombe!G98+Phalombe!H98+Phalombe!I98</f>
        <v>41</v>
      </c>
      <c r="J98" s="26">
        <f>Mikolongwe!D98+Mikolongwe!E98+Mikolongwe!F98+Mikolongwe!G98+Mikolongwe!H98+Mikolongwe!I98</f>
        <v>0</v>
      </c>
      <c r="K98" s="26">
        <f>Migowi!D98+Migowi!E98+Migowi!F98+Migowi!G98+Migowi!H98+Migowi!I98</f>
        <v>1</v>
      </c>
      <c r="L98" s="171">
        <f>SUM(D98:K98)</f>
        <v>124</v>
      </c>
    </row>
    <row r="99" spans="1:12" ht="15.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106"/>
    </row>
    <row r="100" spans="1:12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2"/>
    </row>
    <row r="101" spans="1:12" ht="15.6" x14ac:dyDescent="0.3">
      <c r="A101" s="661" t="s">
        <v>100</v>
      </c>
      <c r="B101" s="662"/>
      <c r="C101" s="11" t="s">
        <v>3</v>
      </c>
      <c r="D101" s="26">
        <f>Mulanje!I101</f>
        <v>612</v>
      </c>
      <c r="E101" s="26">
        <f>Luchenza!I101</f>
        <v>986</v>
      </c>
      <c r="F101" s="26">
        <f>Thyolo!I101</f>
        <v>482</v>
      </c>
      <c r="G101" s="26">
        <f>Muloza!I101</f>
        <v>465</v>
      </c>
      <c r="H101" s="26">
        <f>MUST!I101</f>
        <v>18</v>
      </c>
      <c r="I101" s="26">
        <f>Phalombe!I101</f>
        <v>219</v>
      </c>
      <c r="J101" s="26">
        <f>Mikolongwe!I101</f>
        <v>15</v>
      </c>
      <c r="K101" s="26">
        <f>Migowi!I101</f>
        <v>0</v>
      </c>
      <c r="L101" s="32">
        <f>SUM(D101:K101)</f>
        <v>2797</v>
      </c>
    </row>
    <row r="102" spans="1:12" ht="15.6" x14ac:dyDescent="0.3">
      <c r="A102" s="661" t="s">
        <v>99</v>
      </c>
      <c r="B102" s="662"/>
      <c r="C102" s="11" t="s">
        <v>3</v>
      </c>
      <c r="D102" s="26">
        <f>Mulanje!I102</f>
        <v>45</v>
      </c>
      <c r="E102" s="26">
        <f>Luchenza!I102</f>
        <v>12</v>
      </c>
      <c r="F102" s="26">
        <f>Thyolo!I102</f>
        <v>15</v>
      </c>
      <c r="G102" s="26">
        <f>Muloza!I102</f>
        <v>18</v>
      </c>
      <c r="H102" s="26">
        <f>MUST!I102</f>
        <v>1</v>
      </c>
      <c r="I102" s="26">
        <f>Phalombe!I102</f>
        <v>17</v>
      </c>
      <c r="J102" s="26">
        <f>Mikolongwe!I102</f>
        <v>2</v>
      </c>
      <c r="K102" s="26">
        <f>Migowi!I102</f>
        <v>0</v>
      </c>
      <c r="L102" s="32">
        <f>SUM(D102:K102)</f>
        <v>110</v>
      </c>
    </row>
    <row r="103" spans="1:12" ht="15.6" customHeight="1" x14ac:dyDescent="0.3">
      <c r="A103" s="663" t="s">
        <v>98</v>
      </c>
      <c r="B103" s="664"/>
      <c r="C103" s="11" t="s">
        <v>3</v>
      </c>
      <c r="D103" s="26">
        <f>Mulanje!I103</f>
        <v>82</v>
      </c>
      <c r="E103" s="26">
        <f>Luchenza!I103</f>
        <v>35</v>
      </c>
      <c r="F103" s="26">
        <f>Thyolo!I103</f>
        <v>60</v>
      </c>
      <c r="G103" s="26">
        <f>Muloza!I103</f>
        <v>74</v>
      </c>
      <c r="H103" s="26">
        <f>MUST!I103</f>
        <v>11</v>
      </c>
      <c r="I103" s="26">
        <f>Phalombe!I103</f>
        <v>25</v>
      </c>
      <c r="J103" s="26">
        <f>Mikolongwe!I103</f>
        <v>0</v>
      </c>
      <c r="K103" s="26">
        <f>Migowi!I103</f>
        <v>0</v>
      </c>
      <c r="L103" s="32">
        <f>SUM(D103:K103)</f>
        <v>287</v>
      </c>
    </row>
    <row r="104" spans="1:12" ht="15.6" x14ac:dyDescent="0.3">
      <c r="A104" s="663" t="s">
        <v>97</v>
      </c>
      <c r="B104" s="664"/>
      <c r="C104" s="11" t="s">
        <v>3</v>
      </c>
      <c r="D104" s="26">
        <f>Mulanje!I104</f>
        <v>15</v>
      </c>
      <c r="E104" s="26">
        <f>Luchenza!I104</f>
        <v>21</v>
      </c>
      <c r="F104" s="26">
        <f>Thyolo!I104</f>
        <v>16</v>
      </c>
      <c r="G104" s="26">
        <f>Muloza!I104</f>
        <v>0</v>
      </c>
      <c r="H104" s="26">
        <f>MUST!I104</f>
        <v>0</v>
      </c>
      <c r="I104" s="26">
        <f>Phalombe!I104</f>
        <v>0</v>
      </c>
      <c r="J104" s="26">
        <f>Mikolongwe!I104</f>
        <v>0</v>
      </c>
      <c r="K104" s="26">
        <f>Migowi!I104</f>
        <v>0</v>
      </c>
      <c r="L104" s="32">
        <f>SUM(D104:K104)</f>
        <v>52</v>
      </c>
    </row>
    <row r="105" spans="1:12" ht="15.6" x14ac:dyDescent="0.3">
      <c r="A105" s="686" t="s">
        <v>96</v>
      </c>
      <c r="B105" s="687"/>
      <c r="C105" s="11" t="s">
        <v>3</v>
      </c>
      <c r="D105" s="33">
        <f>SUM(D101:D104)</f>
        <v>754</v>
      </c>
      <c r="E105" s="33">
        <f t="shared" ref="E105:K105" si="31">SUM(E101:E104)</f>
        <v>1054</v>
      </c>
      <c r="F105" s="33">
        <f t="shared" si="31"/>
        <v>573</v>
      </c>
      <c r="G105" s="33">
        <f t="shared" si="31"/>
        <v>557</v>
      </c>
      <c r="H105" s="33">
        <f t="shared" si="31"/>
        <v>30</v>
      </c>
      <c r="I105" s="33">
        <f t="shared" si="31"/>
        <v>261</v>
      </c>
      <c r="J105" s="33">
        <f t="shared" si="31"/>
        <v>17</v>
      </c>
      <c r="K105" s="33">
        <f t="shared" si="31"/>
        <v>0</v>
      </c>
      <c r="L105" s="55">
        <f>SUM(D105:K105)</f>
        <v>3246</v>
      </c>
    </row>
    <row r="106" spans="1:12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5"/>
    </row>
    <row r="107" spans="1:12" ht="15.6" x14ac:dyDescent="0.3">
      <c r="A107" s="661" t="s">
        <v>193</v>
      </c>
      <c r="B107" s="662"/>
      <c r="C107" s="11" t="s">
        <v>3</v>
      </c>
      <c r="D107" s="26">
        <f>Mulanje!I107</f>
        <v>2099</v>
      </c>
      <c r="E107" s="26">
        <f>Luchenza!I107</f>
        <v>1064</v>
      </c>
      <c r="F107" s="26">
        <f>Thyolo!I107</f>
        <v>996</v>
      </c>
      <c r="G107" s="26">
        <f>Muloza!I107</f>
        <v>513</v>
      </c>
      <c r="H107" s="26">
        <f>MUST!I107</f>
        <v>78</v>
      </c>
      <c r="I107" s="26">
        <f>Phalombe!I107</f>
        <v>552</v>
      </c>
      <c r="J107" s="26">
        <f>Mikolongwe!I107</f>
        <v>21</v>
      </c>
      <c r="K107" s="26">
        <f>Migowi!I107</f>
        <v>0</v>
      </c>
      <c r="L107" s="32">
        <f>SUM(D107:K107)</f>
        <v>5323</v>
      </c>
    </row>
    <row r="108" spans="1:12" ht="15.6" x14ac:dyDescent="0.3">
      <c r="A108" s="661" t="s">
        <v>194</v>
      </c>
      <c r="B108" s="662"/>
      <c r="C108" s="11" t="s">
        <v>3</v>
      </c>
      <c r="D108" s="26">
        <f>Mulanje!I108</f>
        <v>26</v>
      </c>
      <c r="E108" s="26">
        <f>Luchenza!I108</f>
        <v>17</v>
      </c>
      <c r="F108" s="26">
        <f>Thyolo!I108</f>
        <v>11</v>
      </c>
      <c r="G108" s="26">
        <f>Muloza!I108</f>
        <v>4</v>
      </c>
      <c r="H108" s="26">
        <f>MUST!I108</f>
        <v>0</v>
      </c>
      <c r="I108" s="26">
        <f>Phalombe!I108</f>
        <v>3</v>
      </c>
      <c r="J108" s="26">
        <f>Mikolongwe!I108</f>
        <v>0</v>
      </c>
      <c r="K108" s="26">
        <f>Migowi!I108</f>
        <v>0</v>
      </c>
      <c r="L108" s="32">
        <f>SUM(D108:K108)</f>
        <v>61</v>
      </c>
    </row>
    <row r="109" spans="1:12" ht="15.6" x14ac:dyDescent="0.3">
      <c r="A109" s="661" t="s">
        <v>195</v>
      </c>
      <c r="B109" s="662"/>
      <c r="C109" s="11" t="s">
        <v>3</v>
      </c>
      <c r="D109" s="26">
        <f>Mulanje!I109</f>
        <v>15</v>
      </c>
      <c r="E109" s="26">
        <f>Luchenza!I109</f>
        <v>36</v>
      </c>
      <c r="F109" s="26">
        <f>Thyolo!I109</f>
        <v>31</v>
      </c>
      <c r="G109" s="26">
        <f>Muloza!I109</f>
        <v>39</v>
      </c>
      <c r="H109" s="26">
        <f>MUST!I109</f>
        <v>2</v>
      </c>
      <c r="I109" s="26">
        <f>Phalombe!I109</f>
        <v>3</v>
      </c>
      <c r="J109" s="26">
        <f>Mikolongwe!I109</f>
        <v>0</v>
      </c>
      <c r="K109" s="26">
        <f>Migowi!I109</f>
        <v>0</v>
      </c>
      <c r="L109" s="32">
        <f>SUM(D109:K109)</f>
        <v>126</v>
      </c>
    </row>
    <row r="110" spans="1:12" ht="15.6" x14ac:dyDescent="0.3">
      <c r="A110" s="661" t="s">
        <v>196</v>
      </c>
      <c r="B110" s="662"/>
      <c r="C110" s="11" t="s">
        <v>3</v>
      </c>
      <c r="D110" s="26">
        <f>Mulanje!I110</f>
        <v>15</v>
      </c>
      <c r="E110" s="26">
        <f>Luchenza!I110</f>
        <v>2</v>
      </c>
      <c r="F110" s="26">
        <f>Thyolo!I110</f>
        <v>2</v>
      </c>
      <c r="G110" s="26">
        <f>Muloza!I110</f>
        <v>1</v>
      </c>
      <c r="H110" s="26">
        <f>MUST!I110</f>
        <v>0</v>
      </c>
      <c r="I110" s="26">
        <f>Phalombe!I110</f>
        <v>0</v>
      </c>
      <c r="J110" s="26">
        <f>Mikolongwe!I110</f>
        <v>0</v>
      </c>
      <c r="K110" s="26">
        <f>Migowi!I110</f>
        <v>0</v>
      </c>
      <c r="L110" s="32">
        <f>SUM(D110:K110)</f>
        <v>20</v>
      </c>
    </row>
    <row r="111" spans="1:12" ht="15.6" x14ac:dyDescent="0.3">
      <c r="A111" s="676" t="s">
        <v>95</v>
      </c>
      <c r="B111" s="677"/>
      <c r="C111" s="11" t="s">
        <v>3</v>
      </c>
      <c r="D111" s="33">
        <f>SUM(D107:D110)</f>
        <v>2155</v>
      </c>
      <c r="E111" s="33">
        <f t="shared" ref="E111:K111" si="32">SUM(E107:E110)</f>
        <v>1119</v>
      </c>
      <c r="F111" s="33">
        <f t="shared" si="32"/>
        <v>1040</v>
      </c>
      <c r="G111" s="33">
        <f t="shared" si="32"/>
        <v>557</v>
      </c>
      <c r="H111" s="33">
        <f t="shared" si="32"/>
        <v>80</v>
      </c>
      <c r="I111" s="33">
        <f t="shared" si="32"/>
        <v>558</v>
      </c>
      <c r="J111" s="33">
        <f t="shared" si="32"/>
        <v>21</v>
      </c>
      <c r="K111" s="33">
        <f t="shared" si="32"/>
        <v>0</v>
      </c>
      <c r="L111" s="55">
        <f>SUM(D111:K111)</f>
        <v>5530</v>
      </c>
    </row>
    <row r="112" spans="1:12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2"/>
    </row>
    <row r="113" spans="1:12" ht="15.6" x14ac:dyDescent="0.3">
      <c r="A113" s="661" t="s">
        <v>197</v>
      </c>
      <c r="B113" s="662"/>
      <c r="C113" s="11" t="s">
        <v>3</v>
      </c>
      <c r="D113" s="26">
        <f>Mulanje!I113</f>
        <v>538</v>
      </c>
      <c r="E113" s="26">
        <f>Luchenza!I113</f>
        <v>288</v>
      </c>
      <c r="F113" s="26">
        <f>Thyolo!I113</f>
        <v>340</v>
      </c>
      <c r="G113" s="26">
        <f>Muloza!I113</f>
        <v>237</v>
      </c>
      <c r="H113" s="26">
        <f>MUST!I113</f>
        <v>56</v>
      </c>
      <c r="I113" s="26">
        <f>Phalombe!I113</f>
        <v>199</v>
      </c>
      <c r="J113" s="26">
        <f>Mikolongwe!I113</f>
        <v>17</v>
      </c>
      <c r="K113" s="26">
        <f>Migowi!I113</f>
        <v>75</v>
      </c>
      <c r="L113" s="32">
        <f t="shared" ref="L113:L119" si="33">SUM(D113:K113)</f>
        <v>1750</v>
      </c>
    </row>
    <row r="114" spans="1:12" ht="15.6" x14ac:dyDescent="0.3">
      <c r="A114" s="661" t="s">
        <v>198</v>
      </c>
      <c r="B114" s="662"/>
      <c r="C114" s="11" t="s">
        <v>3</v>
      </c>
      <c r="D114" s="26">
        <f>Mulanje!I114</f>
        <v>47</v>
      </c>
      <c r="E114" s="26">
        <f>Luchenza!I114</f>
        <v>13</v>
      </c>
      <c r="F114" s="26">
        <f>Thyolo!I114</f>
        <v>35</v>
      </c>
      <c r="G114" s="26">
        <f>Muloza!I114</f>
        <v>7</v>
      </c>
      <c r="H114" s="26">
        <f>MUST!I114</f>
        <v>7</v>
      </c>
      <c r="I114" s="26">
        <f>Phalombe!I114</f>
        <v>18</v>
      </c>
      <c r="J114" s="26">
        <f>Mikolongwe!I114</f>
        <v>8</v>
      </c>
      <c r="K114" s="26">
        <f>Migowi!I114</f>
        <v>1</v>
      </c>
      <c r="L114" s="32">
        <f t="shared" si="33"/>
        <v>136</v>
      </c>
    </row>
    <row r="115" spans="1:12" ht="15.6" x14ac:dyDescent="0.3">
      <c r="A115" s="661" t="s">
        <v>199</v>
      </c>
      <c r="B115" s="662"/>
      <c r="C115" s="11" t="s">
        <v>3</v>
      </c>
      <c r="D115" s="26">
        <f>Mulanje!I115</f>
        <v>96</v>
      </c>
      <c r="E115" s="26">
        <f>Luchenza!I115</f>
        <v>52</v>
      </c>
      <c r="F115" s="26">
        <f>Thyolo!I115</f>
        <v>20</v>
      </c>
      <c r="G115" s="26">
        <f>Muloza!I115</f>
        <v>23</v>
      </c>
      <c r="H115" s="26">
        <f>MUST!I115</f>
        <v>8</v>
      </c>
      <c r="I115" s="26">
        <f>Phalombe!I115</f>
        <v>16</v>
      </c>
      <c r="J115" s="26">
        <f>Mikolongwe!I115</f>
        <v>0</v>
      </c>
      <c r="K115" s="26">
        <f>Migowi!I115</f>
        <v>0</v>
      </c>
      <c r="L115" s="32">
        <f t="shared" si="33"/>
        <v>215</v>
      </c>
    </row>
    <row r="116" spans="1:12" ht="15.6" x14ac:dyDescent="0.3">
      <c r="A116" s="661" t="s">
        <v>200</v>
      </c>
      <c r="B116" s="662"/>
      <c r="C116" s="11" t="s">
        <v>3</v>
      </c>
      <c r="D116" s="26">
        <f>Mulanje!I116</f>
        <v>2</v>
      </c>
      <c r="E116" s="26">
        <f>Luchenza!I116</f>
        <v>0</v>
      </c>
      <c r="F116" s="26">
        <f>Thyolo!I116</f>
        <v>2</v>
      </c>
      <c r="G116" s="26">
        <f>Muloza!I116</f>
        <v>0</v>
      </c>
      <c r="H116" s="26">
        <f>MUST!I116</f>
        <v>0</v>
      </c>
      <c r="I116" s="26">
        <f>Phalombe!I116</f>
        <v>0</v>
      </c>
      <c r="J116" s="26">
        <f>Mikolongwe!I116</f>
        <v>0</v>
      </c>
      <c r="K116" s="26">
        <f>Migowi!I116</f>
        <v>0</v>
      </c>
      <c r="L116" s="32">
        <f t="shared" si="33"/>
        <v>4</v>
      </c>
    </row>
    <row r="117" spans="1:12" ht="15.6" x14ac:dyDescent="0.3">
      <c r="A117" s="676" t="s">
        <v>94</v>
      </c>
      <c r="B117" s="677"/>
      <c r="C117" s="11" t="s">
        <v>3</v>
      </c>
      <c r="D117" s="33">
        <f>SUM(D113:D116)</f>
        <v>683</v>
      </c>
      <c r="E117" s="33">
        <f t="shared" ref="E117:K117" si="34">SUM(E113:E116)</f>
        <v>353</v>
      </c>
      <c r="F117" s="33">
        <f t="shared" si="34"/>
        <v>397</v>
      </c>
      <c r="G117" s="33">
        <f t="shared" si="34"/>
        <v>267</v>
      </c>
      <c r="H117" s="33">
        <f t="shared" si="34"/>
        <v>71</v>
      </c>
      <c r="I117" s="33">
        <f t="shared" si="34"/>
        <v>233</v>
      </c>
      <c r="J117" s="33">
        <f t="shared" si="34"/>
        <v>25</v>
      </c>
      <c r="K117" s="33">
        <f t="shared" si="34"/>
        <v>76</v>
      </c>
      <c r="L117" s="55">
        <f t="shared" si="33"/>
        <v>2105</v>
      </c>
    </row>
    <row r="118" spans="1:12" s="2" customFormat="1" ht="15.6" x14ac:dyDescent="0.3">
      <c r="A118" s="577" t="s">
        <v>191</v>
      </c>
      <c r="B118" s="578"/>
      <c r="C118" s="11" t="s">
        <v>3</v>
      </c>
      <c r="D118" s="33">
        <f>D111+D117</f>
        <v>2838</v>
      </c>
      <c r="E118" s="33">
        <f t="shared" ref="E118:K118" si="35">E111+E117</f>
        <v>1472</v>
      </c>
      <c r="F118" s="33">
        <f t="shared" si="35"/>
        <v>1437</v>
      </c>
      <c r="G118" s="33">
        <f t="shared" si="35"/>
        <v>824</v>
      </c>
      <c r="H118" s="33">
        <f t="shared" si="35"/>
        <v>151</v>
      </c>
      <c r="I118" s="33">
        <f t="shared" si="35"/>
        <v>791</v>
      </c>
      <c r="J118" s="33">
        <f t="shared" si="35"/>
        <v>46</v>
      </c>
      <c r="K118" s="33">
        <f t="shared" si="35"/>
        <v>76</v>
      </c>
      <c r="L118" s="55">
        <f t="shared" si="33"/>
        <v>7635</v>
      </c>
    </row>
    <row r="119" spans="1:12" ht="15.6" x14ac:dyDescent="0.3">
      <c r="A119" s="676" t="s">
        <v>192</v>
      </c>
      <c r="B119" s="677"/>
      <c r="C119" s="11" t="s">
        <v>3</v>
      </c>
      <c r="D119" s="33">
        <f>D118+D105</f>
        <v>3592</v>
      </c>
      <c r="E119" s="33">
        <f t="shared" ref="E119:K119" si="36">E118+E105</f>
        <v>2526</v>
      </c>
      <c r="F119" s="33">
        <f t="shared" si="36"/>
        <v>2010</v>
      </c>
      <c r="G119" s="33">
        <f t="shared" si="36"/>
        <v>1381</v>
      </c>
      <c r="H119" s="33">
        <f t="shared" si="36"/>
        <v>181</v>
      </c>
      <c r="I119" s="33">
        <f t="shared" si="36"/>
        <v>1052</v>
      </c>
      <c r="J119" s="33">
        <f t="shared" si="36"/>
        <v>63</v>
      </c>
      <c r="K119" s="33">
        <f t="shared" si="36"/>
        <v>76</v>
      </c>
      <c r="L119" s="55">
        <f t="shared" si="33"/>
        <v>10881</v>
      </c>
    </row>
    <row r="120" spans="1:12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1"/>
    </row>
    <row r="121" spans="1:12" ht="15.6" x14ac:dyDescent="0.3">
      <c r="A121" s="661" t="s">
        <v>93</v>
      </c>
      <c r="B121" s="662"/>
      <c r="C121" s="5" t="s">
        <v>3</v>
      </c>
      <c r="D121" s="26">
        <f>Mulanje!I121</f>
        <v>24328</v>
      </c>
      <c r="E121" s="26">
        <f>Luchenza!I121</f>
        <v>17993</v>
      </c>
      <c r="F121" s="26">
        <f>Thyolo!I121</f>
        <v>11818</v>
      </c>
      <c r="G121" s="26">
        <f>Muloza!I121</f>
        <v>9639</v>
      </c>
      <c r="H121" s="26">
        <f>MUST!I121</f>
        <v>4268</v>
      </c>
      <c r="I121" s="26">
        <f>Phalombe!I121</f>
        <v>9958</v>
      </c>
      <c r="J121" s="26">
        <f>Mikolongwe!I121</f>
        <v>1254</v>
      </c>
      <c r="K121" s="26">
        <f>Migowi!I121</f>
        <v>537</v>
      </c>
      <c r="L121" s="32">
        <f>SUM(D121:K121)</f>
        <v>79795</v>
      </c>
    </row>
    <row r="122" spans="1:12" ht="15.6" x14ac:dyDescent="0.3">
      <c r="A122" s="661" t="s">
        <v>92</v>
      </c>
      <c r="B122" s="662"/>
      <c r="C122" s="5" t="s">
        <v>3</v>
      </c>
      <c r="D122" s="26">
        <f>Mulanje!I122</f>
        <v>21932</v>
      </c>
      <c r="E122" s="26">
        <f>Luchenza!I122</f>
        <v>16015</v>
      </c>
      <c r="F122" s="26">
        <f>Thyolo!I122</f>
        <v>10772</v>
      </c>
      <c r="G122" s="26">
        <f>Muloza!I122</f>
        <v>8916</v>
      </c>
      <c r="H122" s="26">
        <f>MUST!I122</f>
        <v>3977</v>
      </c>
      <c r="I122" s="26">
        <f>Phalombe!I122</f>
        <v>7347</v>
      </c>
      <c r="J122" s="26">
        <f>Mikolongwe!I122</f>
        <v>1030</v>
      </c>
      <c r="K122" s="26">
        <f>Migowi!I122</f>
        <v>537</v>
      </c>
      <c r="L122" s="32">
        <f>SUM(D122:K122)</f>
        <v>70526</v>
      </c>
    </row>
    <row r="123" spans="1:12" ht="15.6" x14ac:dyDescent="0.3">
      <c r="A123" s="678" t="s">
        <v>91</v>
      </c>
      <c r="B123" s="679"/>
      <c r="C123" s="30" t="s">
        <v>6</v>
      </c>
      <c r="D123" s="573">
        <f t="shared" ref="D123:L123" si="37">D122/D121</f>
        <v>0.90151266030910882</v>
      </c>
      <c r="E123" s="573">
        <f t="shared" si="37"/>
        <v>0.8900683599177458</v>
      </c>
      <c r="F123" s="573">
        <f t="shared" si="37"/>
        <v>0.91149094601455405</v>
      </c>
      <c r="G123" s="573">
        <f t="shared" si="37"/>
        <v>0.92499221910986618</v>
      </c>
      <c r="H123" s="573">
        <f t="shared" si="37"/>
        <v>0.93181818181818177</v>
      </c>
      <c r="I123" s="573">
        <f t="shared" si="37"/>
        <v>0.73779875477003409</v>
      </c>
      <c r="J123" s="573">
        <f t="shared" si="37"/>
        <v>0.82137161084529509</v>
      </c>
      <c r="K123" s="573">
        <f t="shared" si="37"/>
        <v>1</v>
      </c>
      <c r="L123" s="108">
        <f t="shared" si="37"/>
        <v>0.88383983958894663</v>
      </c>
    </row>
    <row r="124" spans="1:12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6"/>
    </row>
    <row r="125" spans="1:12" ht="15.6" x14ac:dyDescent="0.3">
      <c r="A125" s="673" t="s">
        <v>230</v>
      </c>
      <c r="B125" s="24" t="s">
        <v>85</v>
      </c>
      <c r="C125" s="11" t="s">
        <v>3</v>
      </c>
      <c r="D125" s="26">
        <f>Mulanje!D125</f>
        <v>0</v>
      </c>
      <c r="E125" s="26">
        <f>Luchenza!D125</f>
        <v>0</v>
      </c>
      <c r="F125" s="26">
        <f>Thyolo!D125</f>
        <v>0</v>
      </c>
      <c r="G125" s="26">
        <f>Muloza!D125</f>
        <v>0</v>
      </c>
      <c r="H125" s="26">
        <f>MUST!D125</f>
        <v>0</v>
      </c>
      <c r="I125" s="26">
        <f>Phalombe!D125</f>
        <v>0</v>
      </c>
      <c r="J125" s="26">
        <f>Mikolongwe!D125</f>
        <v>0</v>
      </c>
      <c r="K125" s="26">
        <f>Migowi!D125</f>
        <v>0</v>
      </c>
      <c r="L125" s="174">
        <f>D125</f>
        <v>0</v>
      </c>
    </row>
    <row r="126" spans="1:12" ht="15.6" x14ac:dyDescent="0.3">
      <c r="A126" s="674"/>
      <c r="B126" s="24" t="s">
        <v>84</v>
      </c>
      <c r="C126" s="11" t="s">
        <v>3</v>
      </c>
      <c r="D126" s="26">
        <f>Mulanje!D126+Mulanje!E126+Mulanje!F126+Mulanje!G126+Mulanje!H126+Mulanje!I126</f>
        <v>0</v>
      </c>
      <c r="E126" s="26">
        <f>Luchenza!D126+Luchenza!E126+Luchenza!F126+Luchenza!G126+Luchenza!H126+Luchenza!I126</f>
        <v>0</v>
      </c>
      <c r="F126" s="26">
        <f>Thyolo!D126+Thyolo!E126+Thyolo!F126+Thyolo!G126+Thyolo!H126+Thyolo!I126</f>
        <v>0</v>
      </c>
      <c r="G126" s="26">
        <f>Muloza!D126+Muloza!E126+Muloza!F126+Muloza!G126+Muloza!H126+Muloza!I126</f>
        <v>5</v>
      </c>
      <c r="H126" s="26">
        <f>MUST!D126+MUST!E126+MUST!F126+MUST!G126+MUST!H126+MUST!I126</f>
        <v>1</v>
      </c>
      <c r="I126" s="26">
        <f>Phalombe!D126+Phalombe!E126+Phalombe!F126+Phalombe!G126+Phalombe!H126+Phalombe!I126</f>
        <v>1</v>
      </c>
      <c r="J126" s="26">
        <f>Mikolongwe!D126+Mikolongwe!E126+Mikolongwe!F126+Mikolongwe!G126+Mikolongwe!H126+Mikolongwe!I126</f>
        <v>2</v>
      </c>
      <c r="K126" s="26">
        <f>Migowi!D126+Migowi!E126+Migowi!F126+Migowi!G126+Migowi!H126+Migowi!I126</f>
        <v>0</v>
      </c>
      <c r="L126" s="174">
        <f>SUM(D126:K126)</f>
        <v>9</v>
      </c>
    </row>
    <row r="127" spans="1:12" ht="15.6" x14ac:dyDescent="0.3">
      <c r="A127" s="674"/>
      <c r="B127" s="82" t="s">
        <v>88</v>
      </c>
      <c r="C127" s="11" t="s">
        <v>3</v>
      </c>
      <c r="D127" s="26">
        <f>Mulanje!D127+Mulanje!E127+Mulanje!F127+Mulanje!G127+Mulanje!H127+Mulanje!I127</f>
        <v>0</v>
      </c>
      <c r="E127" s="26">
        <f>Luchenza!D127+Luchenza!E127+Luchenza!F127+Luchenza!G127+Luchenza!H127+Luchenza!I127</f>
        <v>0</v>
      </c>
      <c r="F127" s="26">
        <f>Thyolo!D127+Thyolo!E127+Thyolo!F127+Thyolo!G127+Thyolo!H127+Thyolo!I127</f>
        <v>0</v>
      </c>
      <c r="G127" s="26">
        <f>Muloza!D127+Muloza!E127+Muloza!F127+Muloza!G127+Muloza!H127+Muloza!I127</f>
        <v>5</v>
      </c>
      <c r="H127" s="26">
        <f>MUST!D127+MUST!E127+MUST!F127+MUST!G127+MUST!H127+MUST!I127</f>
        <v>1</v>
      </c>
      <c r="I127" s="26">
        <f>Phalombe!D127+Phalombe!E127+Phalombe!F127+Phalombe!G127+Phalombe!H127+Phalombe!I127</f>
        <v>1</v>
      </c>
      <c r="J127" s="26">
        <f>Mikolongwe!D127+Mikolongwe!E127+Mikolongwe!F127+Mikolongwe!G127+Mikolongwe!H127+Mikolongwe!I127</f>
        <v>0</v>
      </c>
      <c r="K127" s="26">
        <f>Migowi!D127+Migowi!E127+Migowi!F127+Migowi!G127+Migowi!H127+Migowi!I127</f>
        <v>0</v>
      </c>
      <c r="L127" s="174">
        <f>SUM(D127:K127)</f>
        <v>7</v>
      </c>
    </row>
    <row r="128" spans="1:12" ht="15.6" x14ac:dyDescent="0.3">
      <c r="A128" s="674"/>
      <c r="B128" s="24" t="s">
        <v>82</v>
      </c>
      <c r="C128" s="11" t="s">
        <v>3</v>
      </c>
      <c r="D128" s="26">
        <f>Mulanje!D128+Mulanje!E128+Mulanje!F128+Mulanje!G128+Mulanje!H128+Mulanje!I128</f>
        <v>0</v>
      </c>
      <c r="E128" s="26">
        <f>Luchenza!D128+Luchenza!E128+Luchenza!F128+Luchenza!G128+Luchenza!H128+Luchenza!I128</f>
        <v>0</v>
      </c>
      <c r="F128" s="26">
        <f>Thyolo!D128+Thyolo!E128+Thyolo!F128+Thyolo!G128+Thyolo!H128+Thyolo!I128</f>
        <v>0</v>
      </c>
      <c r="G128" s="26">
        <f>Muloza!D128+Muloza!E128+Muloza!F128+Muloza!G128+Muloza!H128+Muloza!I128</f>
        <v>0</v>
      </c>
      <c r="H128" s="26">
        <f>MUST!D128+MUST!E128+MUST!F128+MUST!G128+MUST!H128+MUST!I128</f>
        <v>0</v>
      </c>
      <c r="I128" s="26">
        <f>Phalombe!D128+Phalombe!E128+Phalombe!F128+Phalombe!G128+Phalombe!H128+Phalombe!I128</f>
        <v>0</v>
      </c>
      <c r="J128" s="26">
        <f>Mikolongwe!D128+Mikolongwe!E128+Mikolongwe!F128+Mikolongwe!G128+Mikolongwe!H128+Mikolongwe!I128</f>
        <v>0</v>
      </c>
      <c r="K128" s="26">
        <f>Migowi!D128+Migowi!E128+Migowi!F128+Migowi!G128+Migowi!H128+Migowi!I128</f>
        <v>0</v>
      </c>
      <c r="L128" s="174">
        <f>SUM(D128:K128)</f>
        <v>0</v>
      </c>
    </row>
    <row r="129" spans="1:12" ht="15.6" x14ac:dyDescent="0.3">
      <c r="A129" s="675"/>
      <c r="B129" s="24" t="s">
        <v>81</v>
      </c>
      <c r="C129" s="11" t="s">
        <v>3</v>
      </c>
      <c r="D129" s="139">
        <f t="shared" ref="D129:L129" si="38">D125+D126-D127-D128</f>
        <v>0</v>
      </c>
      <c r="E129" s="139">
        <f t="shared" si="38"/>
        <v>0</v>
      </c>
      <c r="F129" s="139">
        <f t="shared" si="38"/>
        <v>0</v>
      </c>
      <c r="G129" s="139">
        <f t="shared" si="38"/>
        <v>0</v>
      </c>
      <c r="H129" s="139">
        <f t="shared" si="38"/>
        <v>0</v>
      </c>
      <c r="I129" s="139">
        <f t="shared" si="38"/>
        <v>0</v>
      </c>
      <c r="J129" s="139">
        <f t="shared" si="38"/>
        <v>2</v>
      </c>
      <c r="K129" s="139">
        <f t="shared" si="38"/>
        <v>0</v>
      </c>
      <c r="L129" s="35">
        <f t="shared" si="38"/>
        <v>2</v>
      </c>
    </row>
    <row r="130" spans="1:12" ht="15.6" x14ac:dyDescent="0.3">
      <c r="A130" s="673" t="s">
        <v>231</v>
      </c>
      <c r="B130" s="28" t="s">
        <v>85</v>
      </c>
      <c r="C130" s="27" t="s">
        <v>3</v>
      </c>
      <c r="D130" s="26">
        <f>Mulanje!D130</f>
        <v>0</v>
      </c>
      <c r="E130" s="26">
        <f>Luchenza!D130</f>
        <v>0</v>
      </c>
      <c r="F130" s="26">
        <f>Thyolo!D130</f>
        <v>2</v>
      </c>
      <c r="G130" s="26">
        <f>Muloza!D130</f>
        <v>0</v>
      </c>
      <c r="H130" s="26">
        <f>MUST!D130</f>
        <v>0</v>
      </c>
      <c r="I130" s="26">
        <f>Phalombe!D130</f>
        <v>0</v>
      </c>
      <c r="J130" s="26">
        <f>Mikolongwe!D130</f>
        <v>0</v>
      </c>
      <c r="K130" s="26">
        <f>Migowi!D130</f>
        <v>0</v>
      </c>
      <c r="L130" s="174">
        <f>D130</f>
        <v>0</v>
      </c>
    </row>
    <row r="131" spans="1:12" ht="15.6" x14ac:dyDescent="0.3">
      <c r="A131" s="674"/>
      <c r="B131" s="24" t="s">
        <v>84</v>
      </c>
      <c r="C131" s="11" t="s">
        <v>3</v>
      </c>
      <c r="D131" s="26">
        <f>Mulanje!D131+Mulanje!E131+Mulanje!F131+Mulanje!G131+Mulanje!H131+Mulanje!I131</f>
        <v>0</v>
      </c>
      <c r="E131" s="26">
        <f>Luchenza!D131+Luchenza!E131+Luchenza!F131+Luchenza!G131+Luchenza!H131+Luchenza!I131</f>
        <v>0</v>
      </c>
      <c r="F131" s="26">
        <f>Thyolo!D131+Thyolo!E131+Thyolo!F131+Thyolo!G131+Thyolo!H131+Thyolo!I131</f>
        <v>2</v>
      </c>
      <c r="G131" s="26">
        <f>Muloza!D131+Muloza!E131+Muloza!F131+Muloza!G131+Muloza!H131+Muloza!I131</f>
        <v>0</v>
      </c>
      <c r="H131" s="26">
        <f>MUST!D131+MUST!E131+MUST!F131+MUST!G131+MUST!H131+MUST!I131</f>
        <v>0</v>
      </c>
      <c r="I131" s="26">
        <f>Phalombe!D131+Phalombe!E131+Phalombe!F131+Phalombe!G131+Phalombe!H131+Phalombe!I131</f>
        <v>0</v>
      </c>
      <c r="J131" s="26">
        <f>Mikolongwe!D131+Mikolongwe!E131+Mikolongwe!F131+Mikolongwe!G131+Mikolongwe!H131+Mikolongwe!I131</f>
        <v>0</v>
      </c>
      <c r="K131" s="26">
        <f>Migowi!D131+Migowi!E131+Migowi!F131+Migowi!G131+Migowi!H131+Migowi!I131</f>
        <v>0</v>
      </c>
      <c r="L131" s="174">
        <f>SUM(D131:K131)</f>
        <v>2</v>
      </c>
    </row>
    <row r="132" spans="1:12" ht="15.6" x14ac:dyDescent="0.3">
      <c r="A132" s="674"/>
      <c r="B132" s="82" t="s">
        <v>88</v>
      </c>
      <c r="C132" s="11" t="s">
        <v>3</v>
      </c>
      <c r="D132" s="26">
        <f>Mulanje!D132+Mulanje!E132+Mulanje!F132+Mulanje!G132+Mulanje!H132+Mulanje!I132</f>
        <v>0</v>
      </c>
      <c r="E132" s="26">
        <f>Luchenza!D132+Luchenza!E132+Luchenza!F132+Luchenza!G132+Luchenza!H132+Luchenza!I132</f>
        <v>0</v>
      </c>
      <c r="F132" s="26">
        <f>Thyolo!D132+Thyolo!E132+Thyolo!F132+Thyolo!G132+Thyolo!H132+Thyolo!I132</f>
        <v>3</v>
      </c>
      <c r="G132" s="26">
        <f>Muloza!D132+Muloza!E132+Muloza!F132+Muloza!G132+Muloza!H132+Muloza!I132</f>
        <v>0</v>
      </c>
      <c r="H132" s="26">
        <f>MUST!D132+MUST!E132+MUST!F132+MUST!G132+MUST!H132+MUST!I132</f>
        <v>0</v>
      </c>
      <c r="I132" s="26">
        <f>Phalombe!D132+Phalombe!E132+Phalombe!F132+Phalombe!G132+Phalombe!H132+Phalombe!I132</f>
        <v>0</v>
      </c>
      <c r="J132" s="26">
        <f>Mikolongwe!D132+Mikolongwe!E132+Mikolongwe!F132+Mikolongwe!G132+Mikolongwe!H132+Mikolongwe!I132</f>
        <v>0</v>
      </c>
      <c r="K132" s="26">
        <f>Migowi!D132+Migowi!E132+Migowi!F132+Migowi!G132+Migowi!H132+Migowi!I132</f>
        <v>0</v>
      </c>
      <c r="L132" s="174">
        <f>SUM(D132:K132)</f>
        <v>3</v>
      </c>
    </row>
    <row r="133" spans="1:12" ht="15.6" x14ac:dyDescent="0.3">
      <c r="A133" s="674"/>
      <c r="B133" s="24" t="s">
        <v>82</v>
      </c>
      <c r="C133" s="11" t="s">
        <v>3</v>
      </c>
      <c r="D133" s="26">
        <f>Mulanje!D133+Mulanje!E133+Mulanje!F133+Mulanje!G133+Mulanje!H133+Mulanje!I133</f>
        <v>0</v>
      </c>
      <c r="E133" s="26">
        <f>Luchenza!D133+Luchenza!E133+Luchenza!F133+Luchenza!G133+Luchenza!H133+Luchenza!I133</f>
        <v>0</v>
      </c>
      <c r="F133" s="26">
        <f>Thyolo!D133+Thyolo!E133+Thyolo!F133+Thyolo!G133+Thyolo!H133+Thyolo!I133</f>
        <v>1</v>
      </c>
      <c r="G133" s="26">
        <f>Muloza!D133+Muloza!E133+Muloza!F133+Muloza!G133+Muloza!H133+Muloza!I133</f>
        <v>0</v>
      </c>
      <c r="H133" s="26">
        <f>MUST!D133+MUST!E133+MUST!F133+MUST!G133+MUST!H133+MUST!I133</f>
        <v>0</v>
      </c>
      <c r="I133" s="26">
        <f>Phalombe!D133+Phalombe!E133+Phalombe!F133+Phalombe!G133+Phalombe!H133+Phalombe!I133</f>
        <v>0</v>
      </c>
      <c r="J133" s="26">
        <f>Mikolongwe!D133+Mikolongwe!E133+Mikolongwe!F133+Mikolongwe!G133+Mikolongwe!H133+Mikolongwe!I133</f>
        <v>0</v>
      </c>
      <c r="K133" s="26">
        <f>Migowi!D133+Migowi!E133+Migowi!F133+Migowi!G133+Migowi!H133+Migowi!I133</f>
        <v>0</v>
      </c>
      <c r="L133" s="174">
        <f>SUM(D133:K133)</f>
        <v>1</v>
      </c>
    </row>
    <row r="134" spans="1:12" ht="15.6" x14ac:dyDescent="0.3">
      <c r="A134" s="675"/>
      <c r="B134" s="24" t="s">
        <v>81</v>
      </c>
      <c r="C134" s="11" t="s">
        <v>3</v>
      </c>
      <c r="D134" s="139">
        <f t="shared" ref="D134:L134" si="39">D130+D131-D132-D133</f>
        <v>0</v>
      </c>
      <c r="E134" s="139">
        <f t="shared" si="39"/>
        <v>0</v>
      </c>
      <c r="F134" s="139">
        <f t="shared" si="39"/>
        <v>0</v>
      </c>
      <c r="G134" s="139">
        <f t="shared" si="39"/>
        <v>0</v>
      </c>
      <c r="H134" s="139">
        <f t="shared" si="39"/>
        <v>0</v>
      </c>
      <c r="I134" s="139">
        <f t="shared" si="39"/>
        <v>0</v>
      </c>
      <c r="J134" s="139">
        <f t="shared" si="39"/>
        <v>0</v>
      </c>
      <c r="K134" s="139">
        <f t="shared" si="39"/>
        <v>0</v>
      </c>
      <c r="L134" s="35">
        <f t="shared" si="39"/>
        <v>-2</v>
      </c>
    </row>
    <row r="135" spans="1:12" ht="15.6" x14ac:dyDescent="0.3">
      <c r="A135" s="673" t="s">
        <v>89</v>
      </c>
      <c r="B135" s="24" t="s">
        <v>85</v>
      </c>
      <c r="C135" s="11" t="s">
        <v>3</v>
      </c>
      <c r="D135" s="26">
        <f>Mulanje!D135</f>
        <v>0</v>
      </c>
      <c r="E135" s="26">
        <f>Luchenza!D135</f>
        <v>0</v>
      </c>
      <c r="F135" s="26">
        <f>Thyolo!D135</f>
        <v>0</v>
      </c>
      <c r="G135" s="26">
        <f>Muloza!D135</f>
        <v>0</v>
      </c>
      <c r="H135" s="26">
        <f>MUST!D135</f>
        <v>0</v>
      </c>
      <c r="I135" s="26">
        <f>Phalombe!D135</f>
        <v>0</v>
      </c>
      <c r="J135" s="26">
        <f>Mikolongwe!D135</f>
        <v>0</v>
      </c>
      <c r="K135" s="26">
        <f>Migowi!D135</f>
        <v>0</v>
      </c>
      <c r="L135" s="174">
        <f>D135</f>
        <v>0</v>
      </c>
    </row>
    <row r="136" spans="1:12" ht="15.6" x14ac:dyDescent="0.3">
      <c r="A136" s="674"/>
      <c r="B136" s="24" t="s">
        <v>84</v>
      </c>
      <c r="C136" s="11" t="s">
        <v>3</v>
      </c>
      <c r="D136" s="26">
        <f>Mulanje!D136+Mulanje!E136+Mulanje!F136+Mulanje!G136+Mulanje!H136+Mulanje!I136</f>
        <v>1</v>
      </c>
      <c r="E136" s="26">
        <f>Luchenza!D136+Luchenza!E136+Luchenza!F136+Luchenza!G136+Luchenza!H136+Luchenza!I136</f>
        <v>0</v>
      </c>
      <c r="F136" s="26">
        <f>Thyolo!D136+Thyolo!E136+Thyolo!F136+Thyolo!G136+Thyolo!H136+Thyolo!I136</f>
        <v>0</v>
      </c>
      <c r="G136" s="26">
        <f>Muloza!D136+Muloza!E136+Muloza!F136+Muloza!G136+Muloza!H136+Muloza!I136</f>
        <v>0</v>
      </c>
      <c r="H136" s="26">
        <f>MUST!D136+MUST!E136+MUST!F136+MUST!G136+MUST!H136+MUST!I136</f>
        <v>0</v>
      </c>
      <c r="I136" s="26">
        <f>Phalombe!D136+Phalombe!E136+Phalombe!F136+Phalombe!G136+Phalombe!H136+Phalombe!I136</f>
        <v>0</v>
      </c>
      <c r="J136" s="26">
        <f>Mikolongwe!D136+Mikolongwe!E136+Mikolongwe!F136+Mikolongwe!G136+Mikolongwe!H136+Mikolongwe!I136</f>
        <v>0</v>
      </c>
      <c r="K136" s="26">
        <f>Migowi!D136+Migowi!E136+Migowi!F136+Migowi!G136+Migowi!H136+Migowi!I136</f>
        <v>0</v>
      </c>
      <c r="L136" s="174">
        <f>SUM(D136:K136)</f>
        <v>1</v>
      </c>
    </row>
    <row r="137" spans="1:12" ht="15.6" x14ac:dyDescent="0.3">
      <c r="A137" s="674"/>
      <c r="B137" s="82" t="s">
        <v>88</v>
      </c>
      <c r="C137" s="11" t="s">
        <v>3</v>
      </c>
      <c r="D137" s="26">
        <f>Mulanje!D137+Mulanje!E137+Mulanje!F137+Mulanje!G137+Mulanje!H137+Mulanje!I137</f>
        <v>1</v>
      </c>
      <c r="E137" s="26">
        <f>Luchenza!D137+Luchenza!E137+Luchenza!F137+Luchenza!G137+Luchenza!H137+Luchenza!I137</f>
        <v>0</v>
      </c>
      <c r="F137" s="26">
        <f>Thyolo!D137+Thyolo!E137+Thyolo!F137+Thyolo!G137+Thyolo!H137+Thyolo!I137</f>
        <v>0</v>
      </c>
      <c r="G137" s="26">
        <f>Muloza!D137+Muloza!E137+Muloza!F137+Muloza!G137+Muloza!H137+Muloza!I137</f>
        <v>0</v>
      </c>
      <c r="H137" s="26">
        <f>MUST!D137+MUST!E137+MUST!F137+MUST!G137+MUST!H137+MUST!I137</f>
        <v>0</v>
      </c>
      <c r="I137" s="26">
        <f>Phalombe!D137+Phalombe!E137+Phalombe!F137+Phalombe!G137+Phalombe!H137+Phalombe!I137</f>
        <v>0</v>
      </c>
      <c r="J137" s="26">
        <f>Mikolongwe!D137+Mikolongwe!E137+Mikolongwe!F137+Mikolongwe!G137+Mikolongwe!H137+Mikolongwe!I137</f>
        <v>0</v>
      </c>
      <c r="K137" s="26">
        <f>Migowi!D137+Migowi!E137+Migowi!F137+Migowi!G137+Migowi!H137+Migowi!I137</f>
        <v>0</v>
      </c>
      <c r="L137" s="174">
        <f>SUM(D137:K137)</f>
        <v>1</v>
      </c>
    </row>
    <row r="138" spans="1:12" ht="15.6" x14ac:dyDescent="0.3">
      <c r="A138" s="674"/>
      <c r="B138" s="24" t="s">
        <v>82</v>
      </c>
      <c r="C138" s="11" t="s">
        <v>3</v>
      </c>
      <c r="D138" s="26">
        <f>Mulanje!D138+Mulanje!E138+Mulanje!F138+Mulanje!G138+Mulanje!H138+Mulanje!I138</f>
        <v>0</v>
      </c>
      <c r="E138" s="26">
        <f>Luchenza!D138+Luchenza!E138+Luchenza!F138+Luchenza!G138+Luchenza!H138+Luchenza!I138</f>
        <v>0</v>
      </c>
      <c r="F138" s="26">
        <f>Thyolo!D138+Thyolo!E138+Thyolo!F138+Thyolo!G138+Thyolo!H138+Thyolo!I138</f>
        <v>0</v>
      </c>
      <c r="G138" s="26">
        <f>Muloza!D138+Muloza!E138+Muloza!F138+Muloza!G138+Muloza!H138+Muloza!I138</f>
        <v>0</v>
      </c>
      <c r="H138" s="26">
        <f>MUST!D138+MUST!E138+MUST!F138+MUST!G138+MUST!H138+MUST!I138</f>
        <v>0</v>
      </c>
      <c r="I138" s="26">
        <f>Phalombe!D138+Phalombe!E138+Phalombe!F138+Phalombe!G138+Phalombe!H138+Phalombe!I138</f>
        <v>0</v>
      </c>
      <c r="J138" s="26">
        <f>Mikolongwe!D138+Mikolongwe!E138+Mikolongwe!F138+Mikolongwe!G138+Mikolongwe!H138+Mikolongwe!I138</f>
        <v>0</v>
      </c>
      <c r="K138" s="26">
        <f>Migowi!D138+Migowi!E138+Migowi!F138+Migowi!G138+Migowi!H138+Migowi!I138</f>
        <v>0</v>
      </c>
      <c r="L138" s="174">
        <f>SUM(D138:K138)</f>
        <v>0</v>
      </c>
    </row>
    <row r="139" spans="1:12" ht="15.6" x14ac:dyDescent="0.3">
      <c r="A139" s="675"/>
      <c r="B139" s="24" t="s">
        <v>81</v>
      </c>
      <c r="C139" s="11" t="s">
        <v>3</v>
      </c>
      <c r="D139" s="139">
        <f t="shared" ref="D139:L139" si="40">D135+D136-D137-D138</f>
        <v>0</v>
      </c>
      <c r="E139" s="139">
        <f t="shared" si="40"/>
        <v>0</v>
      </c>
      <c r="F139" s="139">
        <f t="shared" si="40"/>
        <v>0</v>
      </c>
      <c r="G139" s="139">
        <f t="shared" si="40"/>
        <v>0</v>
      </c>
      <c r="H139" s="139">
        <f t="shared" si="40"/>
        <v>0</v>
      </c>
      <c r="I139" s="139">
        <f t="shared" si="40"/>
        <v>0</v>
      </c>
      <c r="J139" s="139">
        <f t="shared" si="40"/>
        <v>0</v>
      </c>
      <c r="K139" s="139">
        <f t="shared" si="40"/>
        <v>0</v>
      </c>
      <c r="L139" s="35">
        <f t="shared" si="40"/>
        <v>0</v>
      </c>
    </row>
    <row r="140" spans="1:12" ht="15.6" x14ac:dyDescent="0.3">
      <c r="A140" s="673" t="s">
        <v>87</v>
      </c>
      <c r="B140" s="24" t="s">
        <v>85</v>
      </c>
      <c r="C140" s="11" t="s">
        <v>3</v>
      </c>
      <c r="D140" s="26">
        <f>Mulanje!D140</f>
        <v>218</v>
      </c>
      <c r="E140" s="26">
        <f>Luchenza!D140</f>
        <v>19</v>
      </c>
      <c r="F140" s="26">
        <f>Thyolo!D140</f>
        <v>36</v>
      </c>
      <c r="G140" s="26">
        <f>Muloza!D140</f>
        <v>0</v>
      </c>
      <c r="H140" s="26">
        <f>MUST!D140</f>
        <v>0</v>
      </c>
      <c r="I140" s="26">
        <f>Phalombe!D140</f>
        <v>15</v>
      </c>
      <c r="J140" s="26">
        <f>Mikolongwe!D140</f>
        <v>0</v>
      </c>
      <c r="K140" s="26">
        <f>Migowi!D140</f>
        <v>0</v>
      </c>
      <c r="L140" s="174">
        <f>D140</f>
        <v>218</v>
      </c>
    </row>
    <row r="141" spans="1:12" ht="15.6" x14ac:dyDescent="0.3">
      <c r="A141" s="674"/>
      <c r="B141" s="24" t="s">
        <v>84</v>
      </c>
      <c r="C141" s="11" t="s">
        <v>3</v>
      </c>
      <c r="D141" s="26">
        <f>Mulanje!D141+Mulanje!E141+Mulanje!F141+Mulanje!G141+Mulanje!H141+Mulanje!I141</f>
        <v>95</v>
      </c>
      <c r="E141" s="26">
        <f>Luchenza!D141+Luchenza!E141+Luchenza!F141+Luchenza!G141+Luchenza!H141+Luchenza!I141</f>
        <v>110</v>
      </c>
      <c r="F141" s="26">
        <f>Thyolo!D141+Thyolo!E141+Thyolo!F141+Thyolo!G141+Thyolo!H141+Thyolo!I141</f>
        <v>112</v>
      </c>
      <c r="G141" s="26">
        <f>Muloza!D141+Muloza!E141+Muloza!F141+Muloza!G141+Muloza!H141+Muloza!I141</f>
        <v>36</v>
      </c>
      <c r="H141" s="26">
        <f>MUST!D141+MUST!E141+MUST!F141+MUST!G141+MUST!H141+MUST!I141</f>
        <v>2</v>
      </c>
      <c r="I141" s="26">
        <f>Phalombe!D141+Phalombe!E141+Phalombe!F141+Phalombe!G141+Phalombe!H141+Phalombe!I141</f>
        <v>143</v>
      </c>
      <c r="J141" s="26">
        <f>Mikolongwe!D141+Mikolongwe!E141+Mikolongwe!F141+Mikolongwe!G141+Mikolongwe!H141+Mikolongwe!I141</f>
        <v>1</v>
      </c>
      <c r="K141" s="26">
        <f>Migowi!D141+Migowi!E141+Migowi!F141+Migowi!G141+Migowi!H141+Migowi!I141</f>
        <v>0</v>
      </c>
      <c r="L141" s="174">
        <f>SUM(D141:K141)</f>
        <v>499</v>
      </c>
    </row>
    <row r="142" spans="1:12" ht="15.6" x14ac:dyDescent="0.3">
      <c r="A142" s="674"/>
      <c r="B142" s="24" t="s">
        <v>83</v>
      </c>
      <c r="C142" s="11" t="s">
        <v>3</v>
      </c>
      <c r="D142" s="26">
        <f>Mulanje!D142+Mulanje!E142+Mulanje!F142+Mulanje!G142+Mulanje!H142+Mulanje!I142</f>
        <v>202</v>
      </c>
      <c r="E142" s="26">
        <f>Luchenza!D142+Luchenza!E142+Luchenza!F142+Luchenza!G142+Luchenza!H142+Luchenza!I142</f>
        <v>74</v>
      </c>
      <c r="F142" s="26">
        <f>Thyolo!D142+Thyolo!E142+Thyolo!F142+Thyolo!G142+Thyolo!H142+Thyolo!I142</f>
        <v>68</v>
      </c>
      <c r="G142" s="26">
        <f>Muloza!D142+Muloza!E142+Muloza!F142+Muloza!G142+Muloza!H142+Muloza!I142</f>
        <v>25</v>
      </c>
      <c r="H142" s="26">
        <f>MUST!D142+MUST!E142+MUST!F142+MUST!G142+MUST!H142+MUST!I142</f>
        <v>1</v>
      </c>
      <c r="I142" s="26">
        <f>Phalombe!D142+Phalombe!E142+Phalombe!F142+Phalombe!G142+Phalombe!H142+Phalombe!I142</f>
        <v>92</v>
      </c>
      <c r="J142" s="26">
        <f>Mikolongwe!D142+Mikolongwe!E142+Mikolongwe!F142+Mikolongwe!G142+Mikolongwe!H142+Mikolongwe!I142</f>
        <v>1</v>
      </c>
      <c r="K142" s="26">
        <f>Migowi!D142+Migowi!E142+Migowi!F142+Migowi!G142+Migowi!H142+Migowi!I142</f>
        <v>0</v>
      </c>
      <c r="L142" s="174">
        <f>SUM(D142:K142)</f>
        <v>463</v>
      </c>
    </row>
    <row r="143" spans="1:12" ht="15.6" x14ac:dyDescent="0.3">
      <c r="A143" s="674"/>
      <c r="B143" s="24" t="s">
        <v>82</v>
      </c>
      <c r="C143" s="11" t="s">
        <v>3</v>
      </c>
      <c r="D143" s="26">
        <f>Mulanje!D143+Mulanje!E143+Mulanje!F143+Mulanje!G143+Mulanje!H143+Mulanje!I143</f>
        <v>12</v>
      </c>
      <c r="E143" s="26">
        <f>Luchenza!D143+Luchenza!E143+Luchenza!F143+Luchenza!G143+Luchenza!H143+Luchenza!I143</f>
        <v>19</v>
      </c>
      <c r="F143" s="26">
        <f>Thyolo!D143+Thyolo!E143+Thyolo!F143+Thyolo!G143+Thyolo!H143+Thyolo!I143</f>
        <v>28</v>
      </c>
      <c r="G143" s="26">
        <f>Muloza!D143+Muloza!E143+Muloza!F143+Muloza!G143+Muloza!H143+Muloza!I143</f>
        <v>11</v>
      </c>
      <c r="H143" s="26">
        <f>MUST!D143+MUST!E143+MUST!F143+MUST!G143+MUST!H143+MUST!I143</f>
        <v>1</v>
      </c>
      <c r="I143" s="26">
        <f>Phalombe!D143+Phalombe!E143+Phalombe!F143+Phalombe!G143+Phalombe!H143+Phalombe!I143</f>
        <v>56</v>
      </c>
      <c r="J143" s="26">
        <f>Mikolongwe!D143+Mikolongwe!E143+Mikolongwe!F143+Mikolongwe!G143+Mikolongwe!H143+Mikolongwe!I143</f>
        <v>0</v>
      </c>
      <c r="K143" s="26">
        <f>Migowi!D143+Migowi!E143+Migowi!F143+Migowi!G143+Migowi!H143+Migowi!I143</f>
        <v>0</v>
      </c>
      <c r="L143" s="174">
        <f>SUM(D143:K143)</f>
        <v>127</v>
      </c>
    </row>
    <row r="144" spans="1:12" ht="15.6" x14ac:dyDescent="0.3">
      <c r="A144" s="675"/>
      <c r="B144" s="24" t="s">
        <v>81</v>
      </c>
      <c r="C144" s="11" t="s">
        <v>3</v>
      </c>
      <c r="D144" s="139">
        <f t="shared" ref="D144:L144" si="41">D140+D141-D142-D143</f>
        <v>99</v>
      </c>
      <c r="E144" s="139">
        <f t="shared" si="41"/>
        <v>36</v>
      </c>
      <c r="F144" s="139">
        <f t="shared" si="41"/>
        <v>52</v>
      </c>
      <c r="G144" s="139">
        <f t="shared" si="41"/>
        <v>0</v>
      </c>
      <c r="H144" s="139">
        <f t="shared" si="41"/>
        <v>0</v>
      </c>
      <c r="I144" s="139">
        <f t="shared" si="41"/>
        <v>10</v>
      </c>
      <c r="J144" s="139">
        <f t="shared" si="41"/>
        <v>0</v>
      </c>
      <c r="K144" s="139">
        <f t="shared" si="41"/>
        <v>0</v>
      </c>
      <c r="L144" s="35">
        <f t="shared" si="41"/>
        <v>127</v>
      </c>
    </row>
    <row r="145" spans="1:12" s="2" customFormat="1" ht="15.6" x14ac:dyDescent="0.3">
      <c r="A145" s="673" t="s">
        <v>86</v>
      </c>
      <c r="B145" s="24" t="s">
        <v>85</v>
      </c>
      <c r="C145" s="11" t="s">
        <v>3</v>
      </c>
      <c r="D145" s="140">
        <f t="shared" ref="D145:L149" si="42">D125+D130+D135+D140</f>
        <v>218</v>
      </c>
      <c r="E145" s="140">
        <f t="shared" si="42"/>
        <v>19</v>
      </c>
      <c r="F145" s="140">
        <f t="shared" si="42"/>
        <v>38</v>
      </c>
      <c r="G145" s="140">
        <f t="shared" si="42"/>
        <v>0</v>
      </c>
      <c r="H145" s="140">
        <f t="shared" si="42"/>
        <v>0</v>
      </c>
      <c r="I145" s="140">
        <f t="shared" si="42"/>
        <v>15</v>
      </c>
      <c r="J145" s="140">
        <f t="shared" si="42"/>
        <v>0</v>
      </c>
      <c r="K145" s="140">
        <f t="shared" si="42"/>
        <v>0</v>
      </c>
      <c r="L145" s="109">
        <f t="shared" si="42"/>
        <v>218</v>
      </c>
    </row>
    <row r="146" spans="1:12" ht="15.6" x14ac:dyDescent="0.3">
      <c r="A146" s="674"/>
      <c r="B146" s="24" t="s">
        <v>84</v>
      </c>
      <c r="C146" s="11" t="s">
        <v>3</v>
      </c>
      <c r="D146" s="140">
        <f t="shared" si="42"/>
        <v>96</v>
      </c>
      <c r="E146" s="140">
        <f t="shared" si="42"/>
        <v>110</v>
      </c>
      <c r="F146" s="140">
        <f t="shared" si="42"/>
        <v>114</v>
      </c>
      <c r="G146" s="140">
        <f t="shared" si="42"/>
        <v>41</v>
      </c>
      <c r="H146" s="140">
        <f t="shared" si="42"/>
        <v>3</v>
      </c>
      <c r="I146" s="140">
        <f t="shared" si="42"/>
        <v>144</v>
      </c>
      <c r="J146" s="140">
        <f t="shared" si="42"/>
        <v>3</v>
      </c>
      <c r="K146" s="140">
        <f t="shared" si="42"/>
        <v>0</v>
      </c>
      <c r="L146" s="109">
        <f t="shared" si="42"/>
        <v>511</v>
      </c>
    </row>
    <row r="147" spans="1:12" ht="15.6" x14ac:dyDescent="0.3">
      <c r="A147" s="674"/>
      <c r="B147" s="24" t="s">
        <v>83</v>
      </c>
      <c r="C147" s="11" t="s">
        <v>3</v>
      </c>
      <c r="D147" s="140">
        <f t="shared" si="42"/>
        <v>203</v>
      </c>
      <c r="E147" s="140">
        <f t="shared" si="42"/>
        <v>74</v>
      </c>
      <c r="F147" s="140">
        <f t="shared" si="42"/>
        <v>71</v>
      </c>
      <c r="G147" s="140">
        <f t="shared" si="42"/>
        <v>30</v>
      </c>
      <c r="H147" s="140">
        <f t="shared" si="42"/>
        <v>2</v>
      </c>
      <c r="I147" s="140">
        <f t="shared" si="42"/>
        <v>93</v>
      </c>
      <c r="J147" s="140">
        <f t="shared" si="42"/>
        <v>1</v>
      </c>
      <c r="K147" s="140">
        <f t="shared" si="42"/>
        <v>0</v>
      </c>
      <c r="L147" s="109">
        <f t="shared" si="42"/>
        <v>474</v>
      </c>
    </row>
    <row r="148" spans="1:12" ht="15.6" x14ac:dyDescent="0.3">
      <c r="A148" s="674"/>
      <c r="B148" s="24" t="s">
        <v>82</v>
      </c>
      <c r="C148" s="11" t="s">
        <v>3</v>
      </c>
      <c r="D148" s="140">
        <f t="shared" si="42"/>
        <v>12</v>
      </c>
      <c r="E148" s="140">
        <f t="shared" si="42"/>
        <v>19</v>
      </c>
      <c r="F148" s="140">
        <f t="shared" si="42"/>
        <v>29</v>
      </c>
      <c r="G148" s="140">
        <f t="shared" si="42"/>
        <v>11</v>
      </c>
      <c r="H148" s="140">
        <f t="shared" si="42"/>
        <v>1</v>
      </c>
      <c r="I148" s="140">
        <f t="shared" si="42"/>
        <v>56</v>
      </c>
      <c r="J148" s="140">
        <f t="shared" si="42"/>
        <v>0</v>
      </c>
      <c r="K148" s="140">
        <f t="shared" si="42"/>
        <v>0</v>
      </c>
      <c r="L148" s="109">
        <f t="shared" si="42"/>
        <v>128</v>
      </c>
    </row>
    <row r="149" spans="1:12" ht="15.6" x14ac:dyDescent="0.3">
      <c r="A149" s="675"/>
      <c r="B149" s="24" t="s">
        <v>81</v>
      </c>
      <c r="C149" s="11" t="s">
        <v>3</v>
      </c>
      <c r="D149" s="139">
        <f t="shared" ref="D149:K149" si="43">D145+D146-D147-D148</f>
        <v>99</v>
      </c>
      <c r="E149" s="139">
        <f t="shared" si="43"/>
        <v>36</v>
      </c>
      <c r="F149" s="139">
        <f t="shared" si="43"/>
        <v>52</v>
      </c>
      <c r="G149" s="139">
        <f t="shared" si="43"/>
        <v>0</v>
      </c>
      <c r="H149" s="139">
        <f t="shared" si="43"/>
        <v>0</v>
      </c>
      <c r="I149" s="139">
        <f t="shared" si="43"/>
        <v>10</v>
      </c>
      <c r="J149" s="139">
        <f t="shared" si="43"/>
        <v>2</v>
      </c>
      <c r="K149" s="139">
        <f t="shared" si="43"/>
        <v>0</v>
      </c>
      <c r="L149" s="109">
        <f t="shared" si="42"/>
        <v>127</v>
      </c>
    </row>
    <row r="150" spans="1:12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1"/>
    </row>
    <row r="151" spans="1:12" ht="15.6" customHeight="1" x14ac:dyDescent="0.3">
      <c r="A151" s="729" t="s">
        <v>79</v>
      </c>
      <c r="B151" s="730"/>
      <c r="C151" s="730"/>
      <c r="D151" s="730"/>
      <c r="E151" s="730"/>
      <c r="F151" s="730"/>
      <c r="G151" s="730"/>
      <c r="H151" s="730"/>
      <c r="I151" s="730"/>
      <c r="J151" s="730"/>
      <c r="K151" s="730"/>
      <c r="L151" s="731"/>
    </row>
    <row r="152" spans="1:12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9"/>
    </row>
    <row r="153" spans="1:12" ht="15.6" x14ac:dyDescent="0.3">
      <c r="A153" s="671"/>
      <c r="B153" s="19" t="s">
        <v>73</v>
      </c>
      <c r="C153" s="11" t="s">
        <v>57</v>
      </c>
      <c r="D153" s="26">
        <f>Mulanje!D153+Mulanje!E153+Mulanje!F153+Mulanje!G153+Mulanje!H153+Mulanje!I153</f>
        <v>129</v>
      </c>
      <c r="E153" s="26">
        <f>Luchenza!D153+Luchenza!E153+Luchenza!F153+Luchenza!G153+Luchenza!H153+Luchenza!I153</f>
        <v>481</v>
      </c>
      <c r="F153" s="26">
        <f>Thyolo!D153+Thyolo!E153+Thyolo!F153+Thyolo!G153+Thyolo!H153+Thyolo!I153</f>
        <v>277</v>
      </c>
      <c r="G153" s="26">
        <f>Muloza!D153+Muloza!E153+Muloza!F153+Muloza!G153+Muloza!H153+Muloza!I153</f>
        <v>59</v>
      </c>
      <c r="H153" s="26">
        <f>MUST!D153+MUST!E153+MUST!F153+MUST!G153+MUST!H153+MUST!I153</f>
        <v>9</v>
      </c>
      <c r="I153" s="26">
        <f>Phalombe!D153+Phalombe!E153+Phalombe!F153+Phalombe!G153+Phalombe!H153+Phalombe!I153</f>
        <v>53</v>
      </c>
      <c r="J153" s="26">
        <f>Mikolongwe!D153+Mikolongwe!E153+Mikolongwe!F153+Mikolongwe!G153+Mikolongwe!H153+Mikolongwe!I153</f>
        <v>3</v>
      </c>
      <c r="K153" s="26">
        <f>Migowi!D153+Migowi!E153+Migowi!F153+Migowi!G153+Migowi!H153+Migowi!I153</f>
        <v>2</v>
      </c>
      <c r="L153" s="74">
        <f t="shared" ref="L153:L165" si="44">SUM(D153:K153)</f>
        <v>1013</v>
      </c>
    </row>
    <row r="154" spans="1:12" ht="15.6" x14ac:dyDescent="0.3">
      <c r="A154" s="671"/>
      <c r="B154" s="19" t="s">
        <v>72</v>
      </c>
      <c r="C154" s="11" t="s">
        <v>57</v>
      </c>
      <c r="D154" s="26">
        <f>Mulanje!D154+Mulanje!E154+Mulanje!F154+Mulanje!G154+Mulanje!H154+Mulanje!I154</f>
        <v>60</v>
      </c>
      <c r="E154" s="26">
        <f>Luchenza!D154+Luchenza!E154+Luchenza!F154+Luchenza!G154+Luchenza!H154+Luchenza!I154</f>
        <v>203</v>
      </c>
      <c r="F154" s="26">
        <f>Thyolo!D154+Thyolo!E154+Thyolo!F154+Thyolo!G154+Thyolo!H154+Thyolo!I154</f>
        <v>160</v>
      </c>
      <c r="G154" s="26">
        <f>Muloza!D154+Muloza!E154+Muloza!F154+Muloza!G154+Muloza!H154+Muloza!I154</f>
        <v>26</v>
      </c>
      <c r="H154" s="26">
        <f>MUST!D154+MUST!E154+MUST!F154+MUST!G154+MUST!H154+MUST!I154</f>
        <v>7</v>
      </c>
      <c r="I154" s="26">
        <f>Phalombe!D154+Phalombe!E154+Phalombe!F154+Phalombe!G154+Phalombe!H154+Phalombe!I154</f>
        <v>31</v>
      </c>
      <c r="J154" s="26">
        <f>Mikolongwe!D154+Mikolongwe!E154+Mikolongwe!F154+Mikolongwe!G154+Mikolongwe!H154+Mikolongwe!I154</f>
        <v>0</v>
      </c>
      <c r="K154" s="26">
        <f>Migowi!D154+Migowi!E154+Migowi!F154+Migowi!G154+Migowi!H154+Migowi!I154</f>
        <v>0</v>
      </c>
      <c r="L154" s="74">
        <f t="shared" si="44"/>
        <v>487</v>
      </c>
    </row>
    <row r="155" spans="1:12" ht="15.6" x14ac:dyDescent="0.3">
      <c r="A155" s="671"/>
      <c r="B155" s="19" t="s">
        <v>53</v>
      </c>
      <c r="C155" s="11" t="s">
        <v>57</v>
      </c>
      <c r="D155" s="26">
        <f>Mulanje!D155+Mulanje!E155+Mulanje!F155+Mulanje!G155+Mulanje!H155+Mulanje!I155</f>
        <v>23</v>
      </c>
      <c r="E155" s="26">
        <f>Luchenza!D155+Luchenza!E155+Luchenza!F155+Luchenza!G155+Luchenza!H155+Luchenza!I155</f>
        <v>71</v>
      </c>
      <c r="F155" s="26">
        <f>Thyolo!D155+Thyolo!E155+Thyolo!F155+Thyolo!G155+Thyolo!H155+Thyolo!I155</f>
        <v>116</v>
      </c>
      <c r="G155" s="26">
        <f>Muloza!D155+Muloza!E155+Muloza!F155+Muloza!G155+Muloza!H155+Muloza!I155</f>
        <v>15</v>
      </c>
      <c r="H155" s="26">
        <f>MUST!D155+MUST!E155+MUST!F155+MUST!G155+MUST!H155+MUST!I155</f>
        <v>0</v>
      </c>
      <c r="I155" s="26">
        <f>Phalombe!D155+Phalombe!E155+Phalombe!F155+Phalombe!G155+Phalombe!H155+Phalombe!I155</f>
        <v>34</v>
      </c>
      <c r="J155" s="26">
        <f>Mikolongwe!D155+Mikolongwe!E155+Mikolongwe!F155+Mikolongwe!G155+Mikolongwe!H155+Mikolongwe!I155</f>
        <v>0</v>
      </c>
      <c r="K155" s="26">
        <f>Migowi!D155+Migowi!E155+Migowi!F155+Migowi!G155+Migowi!H155+Migowi!I155</f>
        <v>0</v>
      </c>
      <c r="L155" s="74">
        <f t="shared" si="44"/>
        <v>259</v>
      </c>
    </row>
    <row r="156" spans="1:12" ht="15.6" x14ac:dyDescent="0.3">
      <c r="A156" s="671"/>
      <c r="B156" s="19" t="s">
        <v>71</v>
      </c>
      <c r="C156" s="11" t="s">
        <v>57</v>
      </c>
      <c r="D156" s="26">
        <f>Mulanje!D156+Mulanje!E156+Mulanje!F156+Mulanje!G156+Mulanje!H156+Mulanje!I156</f>
        <v>5</v>
      </c>
      <c r="E156" s="26">
        <f>Luchenza!D156+Luchenza!E156+Luchenza!F156+Luchenza!G156+Luchenza!H156+Luchenza!I156</f>
        <v>9</v>
      </c>
      <c r="F156" s="26">
        <f>Thyolo!D156+Thyolo!E156+Thyolo!F156+Thyolo!G156+Thyolo!H156+Thyolo!I156</f>
        <v>9</v>
      </c>
      <c r="G156" s="26">
        <f>Muloza!D156+Muloza!E156+Muloza!F156+Muloza!G156+Muloza!H156+Muloza!I156</f>
        <v>7</v>
      </c>
      <c r="H156" s="26">
        <f>MUST!D156+MUST!E156+MUST!F156+MUST!G156+MUST!H156+MUST!I156</f>
        <v>1</v>
      </c>
      <c r="I156" s="26">
        <f>Phalombe!D156+Phalombe!E156+Phalombe!F156+Phalombe!G156+Phalombe!H156+Phalombe!I156</f>
        <v>5</v>
      </c>
      <c r="J156" s="26">
        <f>Mikolongwe!D156+Mikolongwe!E156+Mikolongwe!F156+Mikolongwe!G156+Mikolongwe!H156+Mikolongwe!I156</f>
        <v>0</v>
      </c>
      <c r="K156" s="26">
        <f>Migowi!D156+Migowi!E156+Migowi!F156+Migowi!G156+Migowi!H156+Migowi!I156</f>
        <v>0</v>
      </c>
      <c r="L156" s="74">
        <f t="shared" si="44"/>
        <v>36</v>
      </c>
    </row>
    <row r="157" spans="1:12" ht="15.6" x14ac:dyDescent="0.3">
      <c r="A157" s="671"/>
      <c r="B157" s="19" t="s">
        <v>52</v>
      </c>
      <c r="C157" s="11" t="s">
        <v>57</v>
      </c>
      <c r="D157" s="26">
        <f>Mulanje!D157+Mulanje!E157+Mulanje!F157+Mulanje!G157+Mulanje!H157+Mulanje!I157</f>
        <v>10</v>
      </c>
      <c r="E157" s="26">
        <f>Luchenza!D157+Luchenza!E157+Luchenza!F157+Luchenza!G157+Luchenza!H157+Luchenza!I157</f>
        <v>15</v>
      </c>
      <c r="F157" s="26">
        <f>Thyolo!D157+Thyolo!E157+Thyolo!F157+Thyolo!G157+Thyolo!H157+Thyolo!I157</f>
        <v>18</v>
      </c>
      <c r="G157" s="26">
        <f>Muloza!D157+Muloza!E157+Muloza!F157+Muloza!G157+Muloza!H157+Muloza!I157</f>
        <v>1</v>
      </c>
      <c r="H157" s="26">
        <f>MUST!D157+MUST!E157+MUST!F157+MUST!G157+MUST!H157+MUST!I157</f>
        <v>3</v>
      </c>
      <c r="I157" s="26">
        <f>Phalombe!D157+Phalombe!E157+Phalombe!F157+Phalombe!G157+Phalombe!H157+Phalombe!I157</f>
        <v>14</v>
      </c>
      <c r="J157" s="26">
        <f>Mikolongwe!D157+Mikolongwe!E157+Mikolongwe!F157+Mikolongwe!G157+Mikolongwe!H157+Mikolongwe!I157</f>
        <v>1</v>
      </c>
      <c r="K157" s="26">
        <f>Migowi!D157+Migowi!E157+Migowi!F157+Migowi!G157+Migowi!H157+Migowi!I157</f>
        <v>0</v>
      </c>
      <c r="L157" s="74">
        <f t="shared" si="44"/>
        <v>62</v>
      </c>
    </row>
    <row r="158" spans="1:12" ht="15.6" x14ac:dyDescent="0.3">
      <c r="A158" s="671"/>
      <c r="B158" s="19" t="s">
        <v>51</v>
      </c>
      <c r="C158" s="11" t="s">
        <v>57</v>
      </c>
      <c r="D158" s="26">
        <f>Mulanje!D158+Mulanje!E158+Mulanje!F158+Mulanje!G158+Mulanje!H158+Mulanje!I158</f>
        <v>5</v>
      </c>
      <c r="E158" s="26">
        <f>Luchenza!D158+Luchenza!E158+Luchenza!F158+Luchenza!G158+Luchenza!H158+Luchenza!I158</f>
        <v>12</v>
      </c>
      <c r="F158" s="26">
        <f>Thyolo!D158+Thyolo!E158+Thyolo!F158+Thyolo!G158+Thyolo!H158+Thyolo!I158</f>
        <v>10</v>
      </c>
      <c r="G158" s="26">
        <f>Muloza!D158+Muloza!E158+Muloza!F158+Muloza!G158+Muloza!H158+Muloza!I158</f>
        <v>3</v>
      </c>
      <c r="H158" s="26">
        <f>MUST!D158+MUST!E158+MUST!F158+MUST!G158+MUST!H158+MUST!I158</f>
        <v>1</v>
      </c>
      <c r="I158" s="26">
        <f>Phalombe!D158+Phalombe!E158+Phalombe!F158+Phalombe!G158+Phalombe!H158+Phalombe!I158</f>
        <v>14</v>
      </c>
      <c r="J158" s="26">
        <f>Mikolongwe!D158+Mikolongwe!E158+Mikolongwe!F158+Mikolongwe!G158+Mikolongwe!H158+Mikolongwe!I158</f>
        <v>4</v>
      </c>
      <c r="K158" s="26">
        <f>Migowi!D158+Migowi!E158+Migowi!F158+Migowi!G158+Migowi!H158+Migowi!I158</f>
        <v>0</v>
      </c>
      <c r="L158" s="74">
        <f t="shared" si="44"/>
        <v>49</v>
      </c>
    </row>
    <row r="159" spans="1:12" ht="15.6" x14ac:dyDescent="0.3">
      <c r="A159" s="671"/>
      <c r="B159" s="19" t="s">
        <v>62</v>
      </c>
      <c r="C159" s="11" t="s">
        <v>57</v>
      </c>
      <c r="D159" s="26">
        <f>Mulanje!D159+Mulanje!E159+Mulanje!F159+Mulanje!G159+Mulanje!H159+Mulanje!I159</f>
        <v>1</v>
      </c>
      <c r="E159" s="26">
        <f>Luchenza!D159+Luchenza!E159+Luchenza!F159+Luchenza!G159+Luchenza!H159+Luchenza!I159</f>
        <v>0</v>
      </c>
      <c r="F159" s="26">
        <f>Thyolo!D159+Thyolo!E159+Thyolo!F159+Thyolo!G159+Thyolo!H159+Thyolo!I159</f>
        <v>1</v>
      </c>
      <c r="G159" s="26">
        <f>Muloza!D159+Muloza!E159+Muloza!F159+Muloza!G159+Muloza!H159+Muloza!I159</f>
        <v>0</v>
      </c>
      <c r="H159" s="26">
        <f>MUST!D159+MUST!E159+MUST!F159+MUST!G159+MUST!H159+MUST!I159</f>
        <v>1</v>
      </c>
      <c r="I159" s="26">
        <f>Phalombe!D159+Phalombe!E159+Phalombe!F159+Phalombe!G159+Phalombe!H159+Phalombe!I159</f>
        <v>0</v>
      </c>
      <c r="J159" s="26">
        <f>Mikolongwe!D159+Mikolongwe!E159+Mikolongwe!F159+Mikolongwe!G159+Mikolongwe!H159+Mikolongwe!I159</f>
        <v>0</v>
      </c>
      <c r="K159" s="26">
        <f>Migowi!D159+Migowi!E159+Migowi!F159+Migowi!G159+Migowi!H159+Migowi!I159</f>
        <v>0</v>
      </c>
      <c r="L159" s="74">
        <f t="shared" si="44"/>
        <v>3</v>
      </c>
    </row>
    <row r="160" spans="1:12" ht="15.6" x14ac:dyDescent="0.3">
      <c r="A160" s="671"/>
      <c r="B160" s="19" t="s">
        <v>50</v>
      </c>
      <c r="C160" s="11" t="s">
        <v>57</v>
      </c>
      <c r="D160" s="26">
        <f>Mulanje!D160+Mulanje!E160+Mulanje!F160+Mulanje!G160+Mulanje!H160+Mulanje!I160</f>
        <v>1</v>
      </c>
      <c r="E160" s="26">
        <f>Luchenza!D160+Luchenza!E160+Luchenza!F160+Luchenza!G160+Luchenza!H160+Luchenza!I160</f>
        <v>3</v>
      </c>
      <c r="F160" s="26">
        <f>Thyolo!D160+Thyolo!E160+Thyolo!F160+Thyolo!G160+Thyolo!H160+Thyolo!I160</f>
        <v>12</v>
      </c>
      <c r="G160" s="26">
        <f>Muloza!D160+Muloza!E160+Muloza!F160+Muloza!G160+Muloza!H160+Muloza!I160</f>
        <v>0</v>
      </c>
      <c r="H160" s="26">
        <f>MUST!D160+MUST!E160+MUST!F160+MUST!G160+MUST!H160+MUST!I160</f>
        <v>1</v>
      </c>
      <c r="I160" s="26">
        <f>Phalombe!D160+Phalombe!E160+Phalombe!F160+Phalombe!G160+Phalombe!H160+Phalombe!I160</f>
        <v>6</v>
      </c>
      <c r="J160" s="26">
        <f>Mikolongwe!D160+Mikolongwe!E160+Mikolongwe!F160+Mikolongwe!G160+Mikolongwe!H160+Mikolongwe!I160</f>
        <v>0</v>
      </c>
      <c r="K160" s="26">
        <f>Migowi!D160+Migowi!E160+Migowi!F160+Migowi!G160+Migowi!H160+Migowi!I160</f>
        <v>0</v>
      </c>
      <c r="L160" s="74">
        <f t="shared" si="44"/>
        <v>23</v>
      </c>
    </row>
    <row r="161" spans="1:12" ht="15.6" x14ac:dyDescent="0.3">
      <c r="A161" s="671"/>
      <c r="B161" s="19" t="s">
        <v>49</v>
      </c>
      <c r="C161" s="11" t="s">
        <v>57</v>
      </c>
      <c r="D161" s="26">
        <f>Mulanje!D161+Mulanje!E161+Mulanje!F161+Mulanje!G161+Mulanje!H161+Mulanje!I161</f>
        <v>0</v>
      </c>
      <c r="E161" s="26">
        <f>Luchenza!D161+Luchenza!E161+Luchenza!F161+Luchenza!G161+Luchenza!H161+Luchenza!I161</f>
        <v>5</v>
      </c>
      <c r="F161" s="26">
        <f>Thyolo!D161+Thyolo!E161+Thyolo!F161+Thyolo!G161+Thyolo!H161+Thyolo!I161</f>
        <v>16</v>
      </c>
      <c r="G161" s="26">
        <f>Muloza!D161+Muloza!E161+Muloza!F161+Muloza!G161+Muloza!H161+Muloza!I161</f>
        <v>0</v>
      </c>
      <c r="H161" s="26">
        <f>MUST!D161+MUST!E161+MUST!F161+MUST!G161+MUST!H161+MUST!I161</f>
        <v>1</v>
      </c>
      <c r="I161" s="26">
        <f>Phalombe!D161+Phalombe!E161+Phalombe!F161+Phalombe!G161+Phalombe!H161+Phalombe!I161</f>
        <v>8</v>
      </c>
      <c r="J161" s="26">
        <f>Mikolongwe!D161+Mikolongwe!E161+Mikolongwe!F161+Mikolongwe!G161+Mikolongwe!H161+Mikolongwe!I161</f>
        <v>0</v>
      </c>
      <c r="K161" s="26">
        <f>Migowi!D161+Migowi!E161+Migowi!F161+Migowi!G161+Migowi!H161+Migowi!I161</f>
        <v>0</v>
      </c>
      <c r="L161" s="74">
        <f t="shared" si="44"/>
        <v>30</v>
      </c>
    </row>
    <row r="162" spans="1:12" ht="15.6" x14ac:dyDescent="0.3">
      <c r="A162" s="671"/>
      <c r="B162" s="19" t="s">
        <v>77</v>
      </c>
      <c r="C162" s="11" t="s">
        <v>57</v>
      </c>
      <c r="D162" s="26">
        <f>Mulanje!D162+Mulanje!E162+Mulanje!F162+Mulanje!G162+Mulanje!H162+Mulanje!I162</f>
        <v>9</v>
      </c>
      <c r="E162" s="26">
        <f>Luchenza!D162+Luchenza!E162+Luchenza!F162+Luchenza!G162+Luchenza!H162+Luchenza!I162</f>
        <v>7</v>
      </c>
      <c r="F162" s="26">
        <f>Thyolo!D162+Thyolo!E162+Thyolo!F162+Thyolo!G162+Thyolo!H162+Thyolo!I162</f>
        <v>13</v>
      </c>
      <c r="G162" s="26">
        <f>Muloza!D162+Muloza!E162+Muloza!F162+Muloza!G162+Muloza!H162+Muloza!I162</f>
        <v>1</v>
      </c>
      <c r="H162" s="26">
        <f>MUST!D162+MUST!E162+MUST!F162+MUST!G162+MUST!H162+MUST!I162</f>
        <v>1</v>
      </c>
      <c r="I162" s="26">
        <f>Phalombe!D162+Phalombe!E162+Phalombe!F162+Phalombe!G162+Phalombe!H162+Phalombe!I162</f>
        <v>0</v>
      </c>
      <c r="J162" s="26">
        <f>Mikolongwe!D162+Mikolongwe!E162+Mikolongwe!F162+Mikolongwe!G162+Mikolongwe!H162+Mikolongwe!I162</f>
        <v>0</v>
      </c>
      <c r="K162" s="26">
        <f>Migowi!D162+Migowi!E162+Migowi!F162+Migowi!G162+Migowi!H162+Migowi!I162</f>
        <v>0</v>
      </c>
      <c r="L162" s="74">
        <f t="shared" si="44"/>
        <v>31</v>
      </c>
    </row>
    <row r="163" spans="1:12" ht="15.6" x14ac:dyDescent="0.3">
      <c r="A163" s="671"/>
      <c r="B163" s="19" t="s">
        <v>69</v>
      </c>
      <c r="C163" s="11" t="s">
        <v>57</v>
      </c>
      <c r="D163" s="26">
        <f>Mulanje!D163+Mulanje!E163+Mulanje!F163+Mulanje!G163+Mulanje!H163+Mulanje!I163</f>
        <v>2</v>
      </c>
      <c r="E163" s="26">
        <f>Luchenza!D163+Luchenza!E163+Luchenza!F163+Luchenza!G163+Luchenza!H163+Luchenza!I163</f>
        <v>3</v>
      </c>
      <c r="F163" s="26">
        <f>Thyolo!D163+Thyolo!E163+Thyolo!F163+Thyolo!G163+Thyolo!H163+Thyolo!I163</f>
        <v>0</v>
      </c>
      <c r="G163" s="26">
        <f>Muloza!D163+Muloza!E163+Muloza!F163+Muloza!G163+Muloza!H163+Muloza!I163</f>
        <v>0</v>
      </c>
      <c r="H163" s="26">
        <f>MUST!D163+MUST!E163+MUST!F163+MUST!G163+MUST!H163+MUST!I163</f>
        <v>0</v>
      </c>
      <c r="I163" s="26">
        <f>Phalombe!D163+Phalombe!E163+Phalombe!F163+Phalombe!G163+Phalombe!H163+Phalombe!I163</f>
        <v>0</v>
      </c>
      <c r="J163" s="26">
        <f>Mikolongwe!D163+Mikolongwe!E163+Mikolongwe!F163+Mikolongwe!G163+Mikolongwe!H163+Mikolongwe!I163</f>
        <v>0</v>
      </c>
      <c r="K163" s="26">
        <f>Migowi!D163+Migowi!E163+Migowi!F163+Migowi!G163+Migowi!H163+Migowi!I163</f>
        <v>0</v>
      </c>
      <c r="L163" s="74">
        <f t="shared" si="44"/>
        <v>5</v>
      </c>
    </row>
    <row r="164" spans="1:12" ht="15.6" x14ac:dyDescent="0.3">
      <c r="A164" s="671"/>
      <c r="B164" s="19" t="s">
        <v>68</v>
      </c>
      <c r="C164" s="11" t="s">
        <v>57</v>
      </c>
      <c r="D164" s="26">
        <f>Mulanje!D164+Mulanje!E164+Mulanje!F164+Mulanje!G164+Mulanje!H164+Mulanje!I164</f>
        <v>0</v>
      </c>
      <c r="E164" s="26">
        <f>Luchenza!D164+Luchenza!E164+Luchenza!F164+Luchenza!G164+Luchenza!H164+Luchenza!I164</f>
        <v>0</v>
      </c>
      <c r="F164" s="26">
        <f>Thyolo!D164+Thyolo!E164+Thyolo!F164+Thyolo!G164+Thyolo!H164+Thyolo!I164</f>
        <v>0</v>
      </c>
      <c r="G164" s="26">
        <f>Muloza!D164+Muloza!E164+Muloza!F164+Muloza!G164+Muloza!H164+Muloza!I164</f>
        <v>0</v>
      </c>
      <c r="H164" s="26">
        <f>MUST!D164+MUST!E164+MUST!F164+MUST!G164+MUST!H164+MUST!I164</f>
        <v>0</v>
      </c>
      <c r="I164" s="26">
        <f>Phalombe!D164+Phalombe!E164+Phalombe!F164+Phalombe!G164+Phalombe!H164+Phalombe!I164</f>
        <v>0</v>
      </c>
      <c r="J164" s="26">
        <f>Mikolongwe!D164+Mikolongwe!E164+Mikolongwe!F164+Mikolongwe!G164+Mikolongwe!H164+Mikolongwe!I164</f>
        <v>0</v>
      </c>
      <c r="K164" s="26">
        <f>Migowi!D164+Migowi!E164+Migowi!F164+Migowi!G164+Migowi!H164+Migowi!I164</f>
        <v>0</v>
      </c>
      <c r="L164" s="74">
        <f t="shared" si="44"/>
        <v>0</v>
      </c>
    </row>
    <row r="165" spans="1:12" ht="15.6" x14ac:dyDescent="0.3">
      <c r="A165" s="672"/>
      <c r="B165" s="19" t="s">
        <v>76</v>
      </c>
      <c r="C165" s="11" t="s">
        <v>57</v>
      </c>
      <c r="D165" s="26">
        <f>Mulanje!D165+Mulanje!E165+Mulanje!F165+Mulanje!G165+Mulanje!H165+Mulanje!I165</f>
        <v>0</v>
      </c>
      <c r="E165" s="26">
        <f>Luchenza!D165+Luchenza!E165+Luchenza!F165+Luchenza!G165+Luchenza!H165+Luchenza!I165</f>
        <v>0</v>
      </c>
      <c r="F165" s="26">
        <f>Thyolo!D165+Thyolo!E165+Thyolo!F165+Thyolo!G165+Thyolo!H165+Thyolo!I165</f>
        <v>0</v>
      </c>
      <c r="G165" s="26">
        <f>Muloza!D165+Muloza!E165+Muloza!F165+Muloza!G165+Muloza!H165+Muloza!I165</f>
        <v>0</v>
      </c>
      <c r="H165" s="26">
        <f>MUST!D165+MUST!E165+MUST!F165+MUST!G165+MUST!H165+MUST!I165</f>
        <v>0</v>
      </c>
      <c r="I165" s="26">
        <f>Phalombe!D165+Phalombe!E165+Phalombe!F165+Phalombe!G165+Phalombe!H165+Phalombe!I165</f>
        <v>0</v>
      </c>
      <c r="J165" s="26">
        <f>Mikolongwe!D165+Mikolongwe!E165+Mikolongwe!F165+Mikolongwe!G165+Mikolongwe!H165+Mikolongwe!I165</f>
        <v>0</v>
      </c>
      <c r="K165" s="26">
        <f>Migowi!D165+Migowi!E165+Migowi!F165+Migowi!G165+Migowi!H165+Migowi!I165</f>
        <v>0</v>
      </c>
      <c r="L165" s="74">
        <f t="shared" si="44"/>
        <v>0</v>
      </c>
    </row>
    <row r="166" spans="1:12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74"/>
    </row>
    <row r="167" spans="1:12" ht="15.6" x14ac:dyDescent="0.3">
      <c r="A167" s="671"/>
      <c r="B167" s="19" t="s">
        <v>74</v>
      </c>
      <c r="C167" s="11" t="s">
        <v>57</v>
      </c>
      <c r="D167" s="26">
        <f>Mulanje!D167+Mulanje!E167+Mulanje!F167+Mulanje!G167+Mulanje!H167+Mulanje!I167</f>
        <v>0</v>
      </c>
      <c r="E167" s="26">
        <f>Luchenza!D167+Luchenza!E167+Luchenza!F167+Luchenza!G167+Luchenza!H167+Luchenza!I167</f>
        <v>0</v>
      </c>
      <c r="F167" s="26">
        <f>Thyolo!D167+Thyolo!E167+Thyolo!F167+Thyolo!G167+Thyolo!H167+Thyolo!I167</f>
        <v>17</v>
      </c>
      <c r="G167" s="26">
        <f>Muloza!D167+Muloza!E167+Muloza!F167+Muloza!G167+Muloza!H167+Muloza!I167</f>
        <v>0</v>
      </c>
      <c r="H167" s="26">
        <f>MUST!D167+MUST!E167+MUST!F167+MUST!G167+MUST!H167+MUST!I167</f>
        <v>0</v>
      </c>
      <c r="I167" s="26">
        <f>Phalombe!D167+Phalombe!E167+Phalombe!F167+Phalombe!G167+Phalombe!H167+Phalombe!I167</f>
        <v>2</v>
      </c>
      <c r="J167" s="26">
        <f>Mikolongwe!D167+Mikolongwe!E167+Mikolongwe!F167+Mikolongwe!G167+Mikolongwe!H167+Mikolongwe!I167</f>
        <v>1</v>
      </c>
      <c r="K167" s="26">
        <f>Migowi!D167+Migowi!E167+Migowi!F167+Migowi!G167+Migowi!H167+Migowi!I167</f>
        <v>0</v>
      </c>
      <c r="L167" s="74">
        <f t="shared" ref="L167:L175" si="45">SUM(D167:K167)</f>
        <v>20</v>
      </c>
    </row>
    <row r="168" spans="1:12" ht="15.6" x14ac:dyDescent="0.3">
      <c r="A168" s="671"/>
      <c r="B168" s="19" t="s">
        <v>73</v>
      </c>
      <c r="C168" s="11" t="s">
        <v>57</v>
      </c>
      <c r="D168" s="26">
        <f>Mulanje!D168+Mulanje!E168+Mulanje!F168+Mulanje!G168+Mulanje!H168+Mulanje!I168</f>
        <v>1</v>
      </c>
      <c r="E168" s="26">
        <f>Luchenza!D168+Luchenza!E168+Luchenza!F168+Luchenza!G168+Luchenza!H168+Luchenza!I168</f>
        <v>0</v>
      </c>
      <c r="F168" s="26">
        <f>Thyolo!D168+Thyolo!E168+Thyolo!F168+Thyolo!G168+Thyolo!H168+Thyolo!I168</f>
        <v>6</v>
      </c>
      <c r="G168" s="26">
        <f>Muloza!D168+Muloza!E168+Muloza!F168+Muloza!G168+Muloza!H168+Muloza!I168</f>
        <v>0</v>
      </c>
      <c r="H168" s="26">
        <f>MUST!D168+MUST!E168+MUST!F168+MUST!G168+MUST!H168+MUST!I168</f>
        <v>0</v>
      </c>
      <c r="I168" s="26">
        <f>Phalombe!D168+Phalombe!E168+Phalombe!F168+Phalombe!G168+Phalombe!H168+Phalombe!I168</f>
        <v>1</v>
      </c>
      <c r="J168" s="26">
        <f>Mikolongwe!D168+Mikolongwe!E168+Mikolongwe!F168+Mikolongwe!G168+Mikolongwe!H168+Mikolongwe!I168</f>
        <v>2</v>
      </c>
      <c r="K168" s="26">
        <f>Migowi!D168+Migowi!E168+Migowi!F168+Migowi!G168+Migowi!H168+Migowi!I168</f>
        <v>0</v>
      </c>
      <c r="L168" s="74">
        <f t="shared" si="45"/>
        <v>10</v>
      </c>
    </row>
    <row r="169" spans="1:12" ht="15.6" x14ac:dyDescent="0.3">
      <c r="A169" s="671"/>
      <c r="B169" s="19" t="s">
        <v>72</v>
      </c>
      <c r="C169" s="11" t="s">
        <v>57</v>
      </c>
      <c r="D169" s="26">
        <f>Mulanje!D169+Mulanje!E169+Mulanje!F169+Mulanje!G169+Mulanje!H169+Mulanje!I169</f>
        <v>0</v>
      </c>
      <c r="E169" s="26">
        <f>Luchenza!D169+Luchenza!E169+Luchenza!F169+Luchenza!G169+Luchenza!H169+Luchenza!I169</f>
        <v>0</v>
      </c>
      <c r="F169" s="26">
        <f>Thyolo!D169+Thyolo!E169+Thyolo!F169+Thyolo!G169+Thyolo!H169+Thyolo!I169</f>
        <v>0</v>
      </c>
      <c r="G169" s="26">
        <f>Muloza!D169+Muloza!E169+Muloza!F169+Muloza!G169+Muloza!H169+Muloza!I169</f>
        <v>0</v>
      </c>
      <c r="H169" s="26">
        <f>MUST!D169+MUST!E169+MUST!F169+MUST!G169+MUST!H169+MUST!I169</f>
        <v>0</v>
      </c>
      <c r="I169" s="26">
        <f>Phalombe!D169+Phalombe!E169+Phalombe!F169+Phalombe!G169+Phalombe!H169+Phalombe!I169</f>
        <v>0</v>
      </c>
      <c r="J169" s="26">
        <f>Mikolongwe!D169+Mikolongwe!E169+Mikolongwe!F169+Mikolongwe!G169+Mikolongwe!H169+Mikolongwe!I169</f>
        <v>0</v>
      </c>
      <c r="K169" s="26">
        <f>Migowi!D169+Migowi!E169+Migowi!F169+Migowi!G169+Migowi!H169+Migowi!I169</f>
        <v>0</v>
      </c>
      <c r="L169" s="74">
        <f t="shared" si="45"/>
        <v>0</v>
      </c>
    </row>
    <row r="170" spans="1:12" ht="15.6" x14ac:dyDescent="0.3">
      <c r="A170" s="671"/>
      <c r="B170" s="19" t="s">
        <v>71</v>
      </c>
      <c r="C170" s="11" t="s">
        <v>57</v>
      </c>
      <c r="D170" s="26">
        <f>Mulanje!D170+Mulanje!E170+Mulanje!F170+Mulanje!G170+Mulanje!H170+Mulanje!I170</f>
        <v>0</v>
      </c>
      <c r="E170" s="26">
        <f>Luchenza!D170+Luchenza!E170+Luchenza!F170+Luchenza!G170+Luchenza!H170+Luchenza!I170</f>
        <v>0</v>
      </c>
      <c r="F170" s="26">
        <f>Thyolo!D170+Thyolo!E170+Thyolo!F170+Thyolo!G170+Thyolo!H170+Thyolo!I170</f>
        <v>0</v>
      </c>
      <c r="G170" s="26">
        <f>Muloza!D170+Muloza!E170+Muloza!F170+Muloza!G170+Muloza!H170+Muloza!I170</f>
        <v>0</v>
      </c>
      <c r="H170" s="26">
        <f>MUST!D170+MUST!E170+MUST!F170+MUST!G170+MUST!H170+MUST!I170</f>
        <v>0</v>
      </c>
      <c r="I170" s="26">
        <f>Phalombe!D170+Phalombe!E170+Phalombe!F170+Phalombe!G170+Phalombe!H170+Phalombe!I170</f>
        <v>0</v>
      </c>
      <c r="J170" s="26">
        <f>Mikolongwe!D170+Mikolongwe!E170+Mikolongwe!F170+Mikolongwe!G170+Mikolongwe!H170+Mikolongwe!I170</f>
        <v>0</v>
      </c>
      <c r="K170" s="26">
        <f>Migowi!D170+Migowi!E170+Migowi!F170+Migowi!G170+Migowi!H170+Migowi!I170</f>
        <v>0</v>
      </c>
      <c r="L170" s="74">
        <f t="shared" si="45"/>
        <v>0</v>
      </c>
    </row>
    <row r="171" spans="1:12" ht="15.6" x14ac:dyDescent="0.3">
      <c r="A171" s="671"/>
      <c r="B171" s="19" t="s">
        <v>52</v>
      </c>
      <c r="C171" s="11" t="s">
        <v>57</v>
      </c>
      <c r="D171" s="26">
        <f>Mulanje!D171+Mulanje!E171+Mulanje!F171+Mulanje!G171+Mulanje!H171+Mulanje!I171</f>
        <v>0</v>
      </c>
      <c r="E171" s="26">
        <f>Luchenza!D171+Luchenza!E171+Luchenza!F171+Luchenza!G171+Luchenza!H171+Luchenza!I171</f>
        <v>0</v>
      </c>
      <c r="F171" s="26">
        <f>Thyolo!D171+Thyolo!E171+Thyolo!F171+Thyolo!G171+Thyolo!H171+Thyolo!I171</f>
        <v>1</v>
      </c>
      <c r="G171" s="26">
        <f>Muloza!D171+Muloza!E171+Muloza!F171+Muloza!G171+Muloza!H171+Muloza!I171</f>
        <v>0</v>
      </c>
      <c r="H171" s="26">
        <f>MUST!D171+MUST!E171+MUST!F171+MUST!G171+MUST!H171+MUST!I171</f>
        <v>0</v>
      </c>
      <c r="I171" s="26">
        <f>Phalombe!D171+Phalombe!E171+Phalombe!F171+Phalombe!G171+Phalombe!H171+Phalombe!I171</f>
        <v>0</v>
      </c>
      <c r="J171" s="26">
        <f>Mikolongwe!D171+Mikolongwe!E171+Mikolongwe!F171+Mikolongwe!G171+Mikolongwe!H171+Mikolongwe!I171</f>
        <v>0</v>
      </c>
      <c r="K171" s="26">
        <f>Migowi!D171+Migowi!E171+Migowi!F171+Migowi!G171+Migowi!H171+Migowi!I171</f>
        <v>0</v>
      </c>
      <c r="L171" s="74">
        <f t="shared" si="45"/>
        <v>1</v>
      </c>
    </row>
    <row r="172" spans="1:12" ht="15.6" x14ac:dyDescent="0.3">
      <c r="A172" s="671"/>
      <c r="B172" s="19" t="s">
        <v>62</v>
      </c>
      <c r="C172" s="11" t="s">
        <v>57</v>
      </c>
      <c r="D172" s="26">
        <f>Mulanje!D172+Mulanje!E172+Mulanje!F172+Mulanje!G172+Mulanje!H172+Mulanje!I172</f>
        <v>0</v>
      </c>
      <c r="E172" s="26">
        <f>Luchenza!D172+Luchenza!E172+Luchenza!F172+Luchenza!G172+Luchenza!H172+Luchenza!I172</f>
        <v>0</v>
      </c>
      <c r="F172" s="26">
        <f>Thyolo!D172+Thyolo!E172+Thyolo!F172+Thyolo!G172+Thyolo!H172+Thyolo!I172</f>
        <v>0</v>
      </c>
      <c r="G172" s="26">
        <f>Muloza!D172+Muloza!E172+Muloza!F172+Muloza!G172+Muloza!H172+Muloza!I172</f>
        <v>0</v>
      </c>
      <c r="H172" s="26">
        <f>MUST!D172+MUST!E172+MUST!F172+MUST!G172+MUST!H172+MUST!I172</f>
        <v>0</v>
      </c>
      <c r="I172" s="26">
        <f>Phalombe!D172+Phalombe!E172+Phalombe!F172+Phalombe!G172+Phalombe!H172+Phalombe!I172</f>
        <v>0</v>
      </c>
      <c r="J172" s="26">
        <f>Mikolongwe!D172+Mikolongwe!E172+Mikolongwe!F172+Mikolongwe!G172+Mikolongwe!H172+Mikolongwe!I172</f>
        <v>0</v>
      </c>
      <c r="K172" s="26">
        <f>Migowi!D172+Migowi!E172+Migowi!F172+Migowi!G172+Migowi!H172+Migowi!I172</f>
        <v>0</v>
      </c>
      <c r="L172" s="74">
        <f t="shared" si="45"/>
        <v>0</v>
      </c>
    </row>
    <row r="173" spans="1:12" ht="15.6" x14ac:dyDescent="0.3">
      <c r="A173" s="671"/>
      <c r="B173" s="19" t="s">
        <v>61</v>
      </c>
      <c r="C173" s="11" t="s">
        <v>57</v>
      </c>
      <c r="D173" s="26">
        <f>Mulanje!D173+Mulanje!E173+Mulanje!F173+Mulanje!G173+Mulanje!H173+Mulanje!I173</f>
        <v>0</v>
      </c>
      <c r="E173" s="26">
        <f>Luchenza!D173+Luchenza!E173+Luchenza!F173+Luchenza!G173+Luchenza!H173+Luchenza!I173</f>
        <v>0</v>
      </c>
      <c r="F173" s="26">
        <f>Thyolo!D173+Thyolo!E173+Thyolo!F173+Thyolo!G173+Thyolo!H173+Thyolo!I173</f>
        <v>0</v>
      </c>
      <c r="G173" s="26">
        <f>Muloza!D173+Muloza!E173+Muloza!F173+Muloza!G173+Muloza!H173+Muloza!I173</f>
        <v>0</v>
      </c>
      <c r="H173" s="26">
        <f>MUST!D173+MUST!E173+MUST!F173+MUST!G173+MUST!H173+MUST!I173</f>
        <v>0</v>
      </c>
      <c r="I173" s="26">
        <f>Phalombe!D173+Phalombe!E173+Phalombe!F173+Phalombe!G173+Phalombe!H173+Phalombe!I173</f>
        <v>0</v>
      </c>
      <c r="J173" s="26">
        <f>Mikolongwe!D173+Mikolongwe!E173+Mikolongwe!F173+Mikolongwe!G173+Mikolongwe!H173+Mikolongwe!I173</f>
        <v>0</v>
      </c>
      <c r="K173" s="26">
        <f>Migowi!D173+Migowi!E173+Migowi!F173+Migowi!G173+Migowi!H173+Migowi!I173</f>
        <v>0</v>
      </c>
      <c r="L173" s="74">
        <f t="shared" si="45"/>
        <v>0</v>
      </c>
    </row>
    <row r="174" spans="1:12" ht="15.6" x14ac:dyDescent="0.3">
      <c r="A174" s="671"/>
      <c r="B174" s="19" t="s">
        <v>60</v>
      </c>
      <c r="C174" s="11" t="s">
        <v>57</v>
      </c>
      <c r="D174" s="26">
        <f>Mulanje!D174+Mulanje!E174+Mulanje!F174+Mulanje!G174+Mulanje!H174+Mulanje!I174</f>
        <v>0</v>
      </c>
      <c r="E174" s="26">
        <f>Luchenza!D174+Luchenza!E174+Luchenza!F174+Luchenza!G174+Luchenza!H174+Luchenza!I174</f>
        <v>0</v>
      </c>
      <c r="F174" s="26">
        <f>Thyolo!D174+Thyolo!E174+Thyolo!F174+Thyolo!G174+Thyolo!H174+Thyolo!I174</f>
        <v>0</v>
      </c>
      <c r="G174" s="26">
        <f>Muloza!D174+Muloza!E174+Muloza!F174+Muloza!G174+Muloza!H174+Muloza!I174</f>
        <v>0</v>
      </c>
      <c r="H174" s="26">
        <f>MUST!D174+MUST!E174+MUST!F174+MUST!G174+MUST!H174+MUST!I174</f>
        <v>0</v>
      </c>
      <c r="I174" s="26">
        <f>Phalombe!D174+Phalombe!E174+Phalombe!F174+Phalombe!G174+Phalombe!H174+Phalombe!I174</f>
        <v>0</v>
      </c>
      <c r="J174" s="26">
        <f>Mikolongwe!D174+Mikolongwe!E174+Mikolongwe!F174+Mikolongwe!G174+Mikolongwe!H174+Mikolongwe!I174</f>
        <v>0</v>
      </c>
      <c r="K174" s="26">
        <f>Migowi!D174+Migowi!E174+Migowi!F174+Migowi!G174+Migowi!H174+Migowi!I174</f>
        <v>0</v>
      </c>
      <c r="L174" s="74">
        <f t="shared" si="45"/>
        <v>0</v>
      </c>
    </row>
    <row r="175" spans="1:12" ht="15.6" x14ac:dyDescent="0.3">
      <c r="A175" s="672"/>
      <c r="B175" s="19" t="s">
        <v>69</v>
      </c>
      <c r="C175" s="11" t="s">
        <v>57</v>
      </c>
      <c r="D175" s="26">
        <f>Mulanje!D175+Mulanje!E175+Mulanje!F175+Mulanje!G175+Mulanje!H175+Mulanje!I175</f>
        <v>0</v>
      </c>
      <c r="E175" s="26">
        <f>Luchenza!D175+Luchenza!E175+Luchenza!F175+Luchenza!G175+Luchenza!H175+Luchenza!I175</f>
        <v>0</v>
      </c>
      <c r="F175" s="26">
        <f>Thyolo!D175+Thyolo!E175+Thyolo!F175+Thyolo!G175+Thyolo!H175+Thyolo!I175</f>
        <v>0</v>
      </c>
      <c r="G175" s="26">
        <f>Muloza!D175+Muloza!E175+Muloza!F175+Muloza!G175+Muloza!H175+Muloza!I175</f>
        <v>0</v>
      </c>
      <c r="H175" s="26">
        <f>MUST!D175+MUST!E175+MUST!F175+MUST!G175+MUST!H175+MUST!I175</f>
        <v>0</v>
      </c>
      <c r="I175" s="26">
        <f>Phalombe!D175+Phalombe!E175+Phalombe!F175+Phalombe!G175+Phalombe!H175+Phalombe!I175</f>
        <v>0</v>
      </c>
      <c r="J175" s="26">
        <f>Mikolongwe!D175+Mikolongwe!E175+Mikolongwe!F175+Mikolongwe!G175+Mikolongwe!H175+Mikolongwe!I175</f>
        <v>0</v>
      </c>
      <c r="K175" s="26">
        <f>Migowi!D175+Migowi!E175+Migowi!F175+Migowi!G175+Migowi!H175+Migowi!I175</f>
        <v>0</v>
      </c>
      <c r="L175" s="74">
        <f t="shared" si="45"/>
        <v>0</v>
      </c>
    </row>
    <row r="176" spans="1:12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74"/>
    </row>
    <row r="177" spans="1:12" ht="15.6" x14ac:dyDescent="0.3">
      <c r="A177" s="671"/>
      <c r="B177" s="19" t="s">
        <v>60</v>
      </c>
      <c r="C177" s="11" t="s">
        <v>57</v>
      </c>
      <c r="D177" s="26">
        <f>Mulanje!D177+Mulanje!E177+Mulanje!F177+Mulanje!G177+Mulanje!H177+Mulanje!I177</f>
        <v>0</v>
      </c>
      <c r="E177" s="26">
        <f>Luchenza!D177+Luchenza!E177+Luchenza!F177+Luchenza!G177+Luchenza!H177+Luchenza!I177</f>
        <v>0</v>
      </c>
      <c r="F177" s="26">
        <f>Thyolo!D177+Thyolo!E177+Thyolo!F177+Thyolo!G177+Thyolo!H177+Thyolo!I177</f>
        <v>0</v>
      </c>
      <c r="G177" s="26">
        <f>Muloza!D177+Muloza!E177+Muloza!F177+Muloza!G177+Muloza!H177+Muloza!I177</f>
        <v>0</v>
      </c>
      <c r="H177" s="26">
        <f>MUST!D177+MUST!E177+MUST!F177+MUST!G177+MUST!H177+MUST!I177</f>
        <v>0</v>
      </c>
      <c r="I177" s="26">
        <f>Phalombe!D177+Phalombe!E177+Phalombe!F177+Phalombe!G177+Phalombe!H177+Phalombe!I177</f>
        <v>0</v>
      </c>
      <c r="J177" s="26">
        <f>Mikolongwe!D177+Mikolongwe!E177+Mikolongwe!F177+Mikolongwe!G177+Mikolongwe!H177+Mikolongwe!I177</f>
        <v>0</v>
      </c>
      <c r="K177" s="26">
        <f>Migowi!D177+Migowi!E177+Migowi!F177+Migowi!G177+Migowi!H177+Migowi!I177</f>
        <v>0</v>
      </c>
      <c r="L177" s="74">
        <f t="shared" ref="L177:L182" si="46">SUM(D177:K177)</f>
        <v>0</v>
      </c>
    </row>
    <row r="178" spans="1:12" ht="15.6" x14ac:dyDescent="0.3">
      <c r="A178" s="671"/>
      <c r="B178" s="19" t="s">
        <v>69</v>
      </c>
      <c r="C178" s="11" t="s">
        <v>57</v>
      </c>
      <c r="D178" s="26">
        <f>Mulanje!D178+Mulanje!E178+Mulanje!F178+Mulanje!G178+Mulanje!H178+Mulanje!I178</f>
        <v>0</v>
      </c>
      <c r="E178" s="26">
        <f>Luchenza!D178+Luchenza!E178+Luchenza!F178+Luchenza!G178+Luchenza!H178+Luchenza!I178</f>
        <v>0</v>
      </c>
      <c r="F178" s="26">
        <f>Thyolo!D178+Thyolo!E178+Thyolo!F178+Thyolo!G178+Thyolo!H178+Thyolo!I178</f>
        <v>0</v>
      </c>
      <c r="G178" s="26">
        <f>Muloza!D178+Muloza!E178+Muloza!F178+Muloza!G178+Muloza!H178+Muloza!I178</f>
        <v>0</v>
      </c>
      <c r="H178" s="26">
        <f>MUST!D178+MUST!E178+MUST!F178+MUST!G178+MUST!H178+MUST!I178</f>
        <v>0</v>
      </c>
      <c r="I178" s="26">
        <f>Phalombe!D178+Phalombe!E178+Phalombe!F178+Phalombe!G178+Phalombe!H178+Phalombe!I178</f>
        <v>0</v>
      </c>
      <c r="J178" s="26">
        <f>Mikolongwe!D178+Mikolongwe!E178+Mikolongwe!F178+Mikolongwe!G178+Mikolongwe!H178+Mikolongwe!I178</f>
        <v>0</v>
      </c>
      <c r="K178" s="26">
        <f>Migowi!D178+Migowi!E178+Migowi!F178+Migowi!G178+Migowi!H178+Migowi!I178</f>
        <v>0</v>
      </c>
      <c r="L178" s="74">
        <f t="shared" si="46"/>
        <v>0</v>
      </c>
    </row>
    <row r="179" spans="1:12" ht="15.6" x14ac:dyDescent="0.3">
      <c r="A179" s="671"/>
      <c r="B179" s="19" t="s">
        <v>68</v>
      </c>
      <c r="C179" s="11" t="s">
        <v>57</v>
      </c>
      <c r="D179" s="26">
        <f>Mulanje!D179+Mulanje!E179+Mulanje!F179+Mulanje!G179+Mulanje!H179+Mulanje!I179</f>
        <v>0</v>
      </c>
      <c r="E179" s="26">
        <f>Luchenza!D179+Luchenza!E179+Luchenza!F179+Luchenza!G179+Luchenza!H179+Luchenza!I179</f>
        <v>0</v>
      </c>
      <c r="F179" s="26">
        <f>Thyolo!D179+Thyolo!E179+Thyolo!F179+Thyolo!G179+Thyolo!H179+Thyolo!I179</f>
        <v>0</v>
      </c>
      <c r="G179" s="26">
        <f>Muloza!D179+Muloza!E179+Muloza!F179+Muloza!G179+Muloza!H179+Muloza!I179</f>
        <v>0</v>
      </c>
      <c r="H179" s="26">
        <f>MUST!D179+MUST!E179+MUST!F179+MUST!G179+MUST!H179+MUST!I179</f>
        <v>0</v>
      </c>
      <c r="I179" s="26">
        <f>Phalombe!D179+Phalombe!E179+Phalombe!F179+Phalombe!G179+Phalombe!H179+Phalombe!I179</f>
        <v>0</v>
      </c>
      <c r="J179" s="26">
        <f>Mikolongwe!D179+Mikolongwe!E179+Mikolongwe!F179+Mikolongwe!G179+Mikolongwe!H179+Mikolongwe!I179</f>
        <v>0</v>
      </c>
      <c r="K179" s="26">
        <f>Migowi!D179+Migowi!E179+Migowi!F179+Migowi!G179+Migowi!H179+Migowi!I179</f>
        <v>0</v>
      </c>
      <c r="L179" s="74">
        <f t="shared" si="46"/>
        <v>0</v>
      </c>
    </row>
    <row r="180" spans="1:12" ht="15.6" x14ac:dyDescent="0.3">
      <c r="A180" s="671"/>
      <c r="B180" s="19" t="s">
        <v>67</v>
      </c>
      <c r="C180" s="11" t="s">
        <v>57</v>
      </c>
      <c r="D180" s="26">
        <f>Mulanje!D180+Mulanje!E180+Mulanje!F180+Mulanje!G180+Mulanje!H180+Mulanje!I180</f>
        <v>0</v>
      </c>
      <c r="E180" s="26">
        <f>Luchenza!D180+Luchenza!E180+Luchenza!F180+Luchenza!G180+Luchenza!H180+Luchenza!I180</f>
        <v>0</v>
      </c>
      <c r="F180" s="26">
        <f>Thyolo!D180+Thyolo!E180+Thyolo!F180+Thyolo!G180+Thyolo!H180+Thyolo!I180</f>
        <v>0</v>
      </c>
      <c r="G180" s="26">
        <f>Muloza!D180+Muloza!E180+Muloza!F180+Muloza!G180+Muloza!H180+Muloza!I180</f>
        <v>0</v>
      </c>
      <c r="H180" s="26">
        <f>MUST!D180+MUST!E180+MUST!F180+MUST!G180+MUST!H180+MUST!I180</f>
        <v>0</v>
      </c>
      <c r="I180" s="26">
        <f>Phalombe!D180+Phalombe!E180+Phalombe!F180+Phalombe!G180+Phalombe!H180+Phalombe!I180</f>
        <v>0</v>
      </c>
      <c r="J180" s="26">
        <f>Mikolongwe!D180+Mikolongwe!E180+Mikolongwe!F180+Mikolongwe!G180+Mikolongwe!H180+Mikolongwe!I180</f>
        <v>0</v>
      </c>
      <c r="K180" s="26">
        <f>Migowi!D180+Migowi!E180+Migowi!F180+Migowi!G180+Migowi!H180+Migowi!I180</f>
        <v>0</v>
      </c>
      <c r="L180" s="74">
        <f t="shared" si="46"/>
        <v>0</v>
      </c>
    </row>
    <row r="181" spans="1:12" ht="15.6" x14ac:dyDescent="0.3">
      <c r="A181" s="671"/>
      <c r="B181" s="19" t="s">
        <v>66</v>
      </c>
      <c r="C181" s="11" t="s">
        <v>57</v>
      </c>
      <c r="D181" s="26">
        <f>Mulanje!D181+Mulanje!E181+Mulanje!F181+Mulanje!G181+Mulanje!H181+Mulanje!I181</f>
        <v>0</v>
      </c>
      <c r="E181" s="26">
        <f>Luchenza!D181+Luchenza!E181+Luchenza!F181+Luchenza!G181+Luchenza!H181+Luchenza!I181</f>
        <v>0</v>
      </c>
      <c r="F181" s="26">
        <f>Thyolo!D181+Thyolo!E181+Thyolo!F181+Thyolo!G181+Thyolo!H181+Thyolo!I181</f>
        <v>0</v>
      </c>
      <c r="G181" s="26">
        <f>Muloza!D181+Muloza!E181+Muloza!F181+Muloza!G181+Muloza!H181+Muloza!I181</f>
        <v>0</v>
      </c>
      <c r="H181" s="26">
        <f>MUST!D181+MUST!E181+MUST!F181+MUST!G181+MUST!H181+MUST!I181</f>
        <v>0</v>
      </c>
      <c r="I181" s="26">
        <f>Phalombe!D181+Phalombe!E181+Phalombe!F181+Phalombe!G181+Phalombe!H181+Phalombe!I181</f>
        <v>0</v>
      </c>
      <c r="J181" s="26">
        <f>Mikolongwe!D181+Mikolongwe!E181+Mikolongwe!F181+Mikolongwe!G181+Mikolongwe!H181+Mikolongwe!I181</f>
        <v>0</v>
      </c>
      <c r="K181" s="26">
        <f>Migowi!D181+Migowi!E181+Migowi!F181+Migowi!G181+Migowi!H181+Migowi!I181</f>
        <v>0</v>
      </c>
      <c r="L181" s="74">
        <f t="shared" si="46"/>
        <v>0</v>
      </c>
    </row>
    <row r="182" spans="1:12" ht="15.6" x14ac:dyDescent="0.3">
      <c r="A182" s="672"/>
      <c r="B182" s="19" t="s">
        <v>65</v>
      </c>
      <c r="C182" s="11" t="s">
        <v>57</v>
      </c>
      <c r="D182" s="26">
        <f>Mulanje!D182+Mulanje!E182+Mulanje!F182+Mulanje!G182+Mulanje!H182+Mulanje!I182</f>
        <v>0</v>
      </c>
      <c r="E182" s="26">
        <f>Luchenza!D182+Luchenza!E182+Luchenza!F182+Luchenza!G182+Luchenza!H182+Luchenza!I182</f>
        <v>0</v>
      </c>
      <c r="F182" s="26">
        <f>Thyolo!D182+Thyolo!E182+Thyolo!F182+Thyolo!G182+Thyolo!H182+Thyolo!I182</f>
        <v>0</v>
      </c>
      <c r="G182" s="26">
        <f>Muloza!D182+Muloza!E182+Muloza!F182+Muloza!G182+Muloza!H182+Muloza!I182</f>
        <v>0</v>
      </c>
      <c r="H182" s="26">
        <f>MUST!D182+MUST!E182+MUST!F182+MUST!G182+MUST!H182+MUST!I182</f>
        <v>0</v>
      </c>
      <c r="I182" s="26">
        <f>Phalombe!D182+Phalombe!E182+Phalombe!F182+Phalombe!G182+Phalombe!H182+Phalombe!I182</f>
        <v>0</v>
      </c>
      <c r="J182" s="26">
        <f>Mikolongwe!D182+Mikolongwe!E182+Mikolongwe!F182+Mikolongwe!G182+Mikolongwe!H182+Mikolongwe!I182</f>
        <v>0</v>
      </c>
      <c r="K182" s="26">
        <f>Migowi!D182+Migowi!E182+Migowi!F182+Migowi!G182+Migowi!H182+Migowi!I182</f>
        <v>0</v>
      </c>
      <c r="L182" s="74">
        <f t="shared" si="46"/>
        <v>0</v>
      </c>
    </row>
    <row r="183" spans="1:12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74"/>
    </row>
    <row r="184" spans="1:12" ht="15.6" x14ac:dyDescent="0.3">
      <c r="A184" s="671"/>
      <c r="B184" s="19" t="s">
        <v>73</v>
      </c>
      <c r="C184" s="11" t="s">
        <v>57</v>
      </c>
      <c r="D184" s="26">
        <f>Mulanje!D184+Mulanje!E184+Mulanje!F184+Mulanje!G184+Mulanje!H184+Mulanje!I184</f>
        <v>0</v>
      </c>
      <c r="E184" s="26">
        <f>Luchenza!D184+Luchenza!E184+Luchenza!F184+Luchenza!G184+Luchenza!H184+Luchenza!I184</f>
        <v>0</v>
      </c>
      <c r="F184" s="26">
        <f>Thyolo!D184+Thyolo!E184+Thyolo!F184+Thyolo!G184+Thyolo!H184+Thyolo!I184</f>
        <v>0</v>
      </c>
      <c r="G184" s="26">
        <f>Muloza!D184+Muloza!E184+Muloza!F184+Muloza!G184+Muloza!H184+Muloza!I184</f>
        <v>0</v>
      </c>
      <c r="H184" s="26">
        <f>MUST!D184+MUST!E184+MUST!F184+MUST!G184+MUST!H184+MUST!I184</f>
        <v>0</v>
      </c>
      <c r="I184" s="26">
        <f>Phalombe!D184+Phalombe!E184+Phalombe!F184+Phalombe!G184+Phalombe!H184+Phalombe!I184</f>
        <v>0</v>
      </c>
      <c r="J184" s="26">
        <f>Mikolongwe!D184+Mikolongwe!E184+Mikolongwe!F184+Mikolongwe!G184+Mikolongwe!H184+Mikolongwe!I184</f>
        <v>0</v>
      </c>
      <c r="K184" s="26">
        <f>Migowi!D184+Migowi!E184+Migowi!F184+Migowi!G184+Migowi!H184+Migowi!I184</f>
        <v>0</v>
      </c>
      <c r="L184" s="74">
        <f>SUM(D184:K184)</f>
        <v>0</v>
      </c>
    </row>
    <row r="185" spans="1:12" ht="15.6" x14ac:dyDescent="0.3">
      <c r="A185" s="671"/>
      <c r="B185" s="19" t="s">
        <v>72</v>
      </c>
      <c r="C185" s="11" t="s">
        <v>57</v>
      </c>
      <c r="D185" s="26">
        <f>Mulanje!D185+Mulanje!E185+Mulanje!F185+Mulanje!G185+Mulanje!H185+Mulanje!I185</f>
        <v>0</v>
      </c>
      <c r="E185" s="26">
        <f>Luchenza!D185+Luchenza!E185+Luchenza!F185+Luchenza!G185+Luchenza!H185+Luchenza!I185</f>
        <v>0</v>
      </c>
      <c r="F185" s="26">
        <f>Thyolo!D185+Thyolo!E185+Thyolo!F185+Thyolo!G185+Thyolo!H185+Thyolo!I185</f>
        <v>0</v>
      </c>
      <c r="G185" s="26">
        <f>Muloza!D185+Muloza!E185+Muloza!F185+Muloza!G185+Muloza!H185+Muloza!I185</f>
        <v>0</v>
      </c>
      <c r="H185" s="26">
        <f>MUST!D185+MUST!E185+MUST!F185+MUST!G185+MUST!H185+MUST!I185</f>
        <v>0</v>
      </c>
      <c r="I185" s="26">
        <f>Phalombe!D185+Phalombe!E185+Phalombe!F185+Phalombe!G185+Phalombe!H185+Phalombe!I185</f>
        <v>0</v>
      </c>
      <c r="J185" s="26">
        <f>Mikolongwe!D185+Mikolongwe!E185+Mikolongwe!F185+Mikolongwe!G185+Mikolongwe!H185+Mikolongwe!I185</f>
        <v>0</v>
      </c>
      <c r="K185" s="26">
        <f>Migowi!D185+Migowi!E185+Migowi!F185+Migowi!G185+Migowi!H185+Migowi!I185</f>
        <v>0</v>
      </c>
      <c r="L185" s="74">
        <f>SUM(D185:K185)</f>
        <v>0</v>
      </c>
    </row>
    <row r="186" spans="1:12" ht="15.6" x14ac:dyDescent="0.3">
      <c r="A186" s="671"/>
      <c r="B186" s="19" t="s">
        <v>53</v>
      </c>
      <c r="C186" s="11" t="s">
        <v>57</v>
      </c>
      <c r="D186" s="26">
        <f>Mulanje!D186+Mulanje!E186+Mulanje!F186+Mulanje!G186+Mulanje!H186+Mulanje!I186</f>
        <v>0</v>
      </c>
      <c r="E186" s="26">
        <f>Luchenza!D186+Luchenza!E186+Luchenza!F186+Luchenza!G186+Luchenza!H186+Luchenza!I186</f>
        <v>0</v>
      </c>
      <c r="F186" s="26">
        <f>Thyolo!D186+Thyolo!E186+Thyolo!F186+Thyolo!G186+Thyolo!H186+Thyolo!I186</f>
        <v>0</v>
      </c>
      <c r="G186" s="26">
        <f>Muloza!D186+Muloza!E186+Muloza!F186+Muloza!G186+Muloza!H186+Muloza!I186</f>
        <v>0</v>
      </c>
      <c r="H186" s="26">
        <f>MUST!D186+MUST!E186+MUST!F186+MUST!G186+MUST!H186+MUST!I186</f>
        <v>0</v>
      </c>
      <c r="I186" s="26">
        <f>Phalombe!D186+Phalombe!E186+Phalombe!F186+Phalombe!G186+Phalombe!H186+Phalombe!I186</f>
        <v>0</v>
      </c>
      <c r="J186" s="26">
        <f>Mikolongwe!D186+Mikolongwe!E186+Mikolongwe!F186+Mikolongwe!G186+Mikolongwe!H186+Mikolongwe!I186</f>
        <v>0</v>
      </c>
      <c r="K186" s="26">
        <f>Migowi!D186+Migowi!E186+Migowi!F186+Migowi!G186+Migowi!H186+Migowi!I186</f>
        <v>0</v>
      </c>
      <c r="L186" s="74">
        <f>SUM(D186:K186)</f>
        <v>0</v>
      </c>
    </row>
    <row r="187" spans="1:12" ht="15.6" x14ac:dyDescent="0.3">
      <c r="A187" s="672"/>
      <c r="B187" s="19" t="s">
        <v>52</v>
      </c>
      <c r="C187" s="11" t="s">
        <v>57</v>
      </c>
      <c r="D187" s="26">
        <f>Mulanje!D187+Mulanje!E187+Mulanje!F187+Mulanje!G187+Mulanje!H187+Mulanje!I187</f>
        <v>0</v>
      </c>
      <c r="E187" s="26">
        <f>Luchenza!D187+Luchenza!E187+Luchenza!F187+Luchenza!G187+Luchenza!H187+Luchenza!I187</f>
        <v>0</v>
      </c>
      <c r="F187" s="26">
        <f>Thyolo!D187+Thyolo!E187+Thyolo!F187+Thyolo!G187+Thyolo!H187+Thyolo!I187</f>
        <v>0</v>
      </c>
      <c r="G187" s="26">
        <f>Muloza!D187+Muloza!E187+Muloza!F187+Muloza!G187+Muloza!H187+Muloza!I187</f>
        <v>0</v>
      </c>
      <c r="H187" s="26">
        <f>MUST!D187+MUST!E187+MUST!F187+MUST!G187+MUST!H187+MUST!I187</f>
        <v>0</v>
      </c>
      <c r="I187" s="26">
        <f>Phalombe!D187+Phalombe!E187+Phalombe!F187+Phalombe!G187+Phalombe!H187+Phalombe!I187</f>
        <v>0</v>
      </c>
      <c r="J187" s="26">
        <f>Mikolongwe!D187+Mikolongwe!E187+Mikolongwe!F187+Mikolongwe!G187+Mikolongwe!H187+Mikolongwe!I187</f>
        <v>0</v>
      </c>
      <c r="K187" s="26">
        <f>Migowi!D187+Migowi!E187+Migowi!F187+Migowi!G187+Migowi!H187+Migowi!I187</f>
        <v>0</v>
      </c>
      <c r="L187" s="74">
        <f>SUM(D187:K187)</f>
        <v>0</v>
      </c>
    </row>
    <row r="188" spans="1:12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74"/>
    </row>
    <row r="189" spans="1:12" ht="15.6" x14ac:dyDescent="0.3">
      <c r="A189" s="671"/>
      <c r="B189" s="20" t="s">
        <v>52</v>
      </c>
      <c r="C189" s="11" t="s">
        <v>57</v>
      </c>
      <c r="D189" s="26">
        <f>Mulanje!D189+Mulanje!E189+Mulanje!F189+Mulanje!G189+Mulanje!H189+Mulanje!I189</f>
        <v>0</v>
      </c>
      <c r="E189" s="26">
        <f>Luchenza!D189+Luchenza!E189+Luchenza!F189+Luchenza!G189+Luchenza!H189+Luchenza!I189</f>
        <v>0</v>
      </c>
      <c r="F189" s="26">
        <f>Thyolo!D189+Thyolo!E189+Thyolo!F189+Thyolo!G189+Thyolo!H189+Thyolo!I189</f>
        <v>0</v>
      </c>
      <c r="G189" s="26">
        <f>Muloza!D189+Muloza!E189+Muloza!F189+Muloza!G189+Muloza!H189+Muloza!I189</f>
        <v>0</v>
      </c>
      <c r="H189" s="26">
        <f>MUST!D189+MUST!E189+MUST!F189+MUST!G189+MUST!H189+MUST!I189</f>
        <v>0</v>
      </c>
      <c r="I189" s="26">
        <f>Phalombe!D189+Phalombe!E189+Phalombe!F189+Phalombe!G189+Phalombe!H189+Phalombe!I189</f>
        <v>0</v>
      </c>
      <c r="J189" s="26">
        <f>Mikolongwe!D189+Mikolongwe!E189+Mikolongwe!F189+Mikolongwe!G189+Mikolongwe!H189+Mikolongwe!I189</f>
        <v>0</v>
      </c>
      <c r="K189" s="26">
        <f>Migowi!D189+Migowi!E189+Migowi!F189+Migowi!G189+Migowi!H189+Migowi!I189</f>
        <v>0</v>
      </c>
      <c r="L189" s="74">
        <f>SUM(D189:K189)</f>
        <v>0</v>
      </c>
    </row>
    <row r="190" spans="1:12" ht="15.6" x14ac:dyDescent="0.3">
      <c r="A190" s="671"/>
      <c r="B190" s="19" t="s">
        <v>62</v>
      </c>
      <c r="C190" s="11" t="s">
        <v>57</v>
      </c>
      <c r="D190" s="26">
        <f>Mulanje!D190+Mulanje!E190+Mulanje!F190+Mulanje!G190+Mulanje!H190+Mulanje!I190</f>
        <v>0</v>
      </c>
      <c r="E190" s="26">
        <f>Luchenza!D190+Luchenza!E190+Luchenza!F190+Luchenza!G190+Luchenza!H190+Luchenza!I190</f>
        <v>0</v>
      </c>
      <c r="F190" s="26">
        <f>Thyolo!D190+Thyolo!E190+Thyolo!F190+Thyolo!G190+Thyolo!H190+Thyolo!I190</f>
        <v>5</v>
      </c>
      <c r="G190" s="26">
        <f>Muloza!D190+Muloza!E190+Muloza!F190+Muloza!G190+Muloza!H190+Muloza!I190</f>
        <v>0</v>
      </c>
      <c r="H190" s="26">
        <f>MUST!D190+MUST!E190+MUST!F190+MUST!G190+MUST!H190+MUST!I190</f>
        <v>0</v>
      </c>
      <c r="I190" s="26">
        <f>Phalombe!D190+Phalombe!E190+Phalombe!F190+Phalombe!G190+Phalombe!H190+Phalombe!I190</f>
        <v>0</v>
      </c>
      <c r="J190" s="26">
        <f>Mikolongwe!D190+Mikolongwe!E190+Mikolongwe!F190+Mikolongwe!G190+Mikolongwe!H190+Mikolongwe!I190</f>
        <v>0</v>
      </c>
      <c r="K190" s="26">
        <f>Migowi!D190+Migowi!E190+Migowi!F190+Migowi!G190+Migowi!H190+Migowi!I190</f>
        <v>0</v>
      </c>
      <c r="L190" s="74">
        <f>SUM(D190:K190)</f>
        <v>5</v>
      </c>
    </row>
    <row r="191" spans="1:12" ht="15.6" x14ac:dyDescent="0.3">
      <c r="A191" s="671"/>
      <c r="B191" s="19" t="s">
        <v>61</v>
      </c>
      <c r="C191" s="11" t="s">
        <v>57</v>
      </c>
      <c r="D191" s="26">
        <f>Mulanje!D191+Mulanje!E191+Mulanje!F191+Mulanje!G191+Mulanje!H191+Mulanje!I191</f>
        <v>0</v>
      </c>
      <c r="E191" s="26">
        <f>Luchenza!D191+Luchenza!E191+Luchenza!F191+Luchenza!G191+Luchenza!H191+Luchenza!I191</f>
        <v>0</v>
      </c>
      <c r="F191" s="26">
        <f>Thyolo!D191+Thyolo!E191+Thyolo!F191+Thyolo!G191+Thyolo!H191+Thyolo!I191</f>
        <v>5</v>
      </c>
      <c r="G191" s="26">
        <f>Muloza!D191+Muloza!E191+Muloza!F191+Muloza!G191+Muloza!H191+Muloza!I191</f>
        <v>0</v>
      </c>
      <c r="H191" s="26">
        <f>MUST!D191+MUST!E191+MUST!F191+MUST!G191+MUST!H191+MUST!I191</f>
        <v>0</v>
      </c>
      <c r="I191" s="26">
        <f>Phalombe!D191+Phalombe!E191+Phalombe!F191+Phalombe!G191+Phalombe!H191+Phalombe!I191</f>
        <v>0</v>
      </c>
      <c r="J191" s="26">
        <f>Mikolongwe!D191+Mikolongwe!E191+Mikolongwe!F191+Mikolongwe!G191+Mikolongwe!H191+Mikolongwe!I191</f>
        <v>0</v>
      </c>
      <c r="K191" s="26">
        <f>Migowi!D191+Migowi!E191+Migowi!F191+Migowi!G191+Migowi!H191+Migowi!I191</f>
        <v>0</v>
      </c>
      <c r="L191" s="74">
        <f>SUM(D191:K191)</f>
        <v>5</v>
      </c>
    </row>
    <row r="192" spans="1:12" ht="15.6" x14ac:dyDescent="0.3">
      <c r="A192" s="672"/>
      <c r="B192" s="19" t="s">
        <v>60</v>
      </c>
      <c r="C192" s="11" t="s">
        <v>57</v>
      </c>
      <c r="D192" s="26">
        <f>Mulanje!D192+Mulanje!E192+Mulanje!F192+Mulanje!G192+Mulanje!H192+Mulanje!I192</f>
        <v>0</v>
      </c>
      <c r="E192" s="26">
        <f>Luchenza!D192+Luchenza!E192+Luchenza!F192+Luchenza!G192+Luchenza!H192+Luchenza!I192</f>
        <v>0</v>
      </c>
      <c r="F192" s="26">
        <f>Thyolo!D192+Thyolo!E192+Thyolo!F192+Thyolo!G192+Thyolo!H192+Thyolo!I192</f>
        <v>4</v>
      </c>
      <c r="G192" s="26">
        <f>Muloza!D192+Muloza!E192+Muloza!F192+Muloza!G192+Muloza!H192+Muloza!I192</f>
        <v>0</v>
      </c>
      <c r="H192" s="26">
        <f>MUST!D192+MUST!E192+MUST!F192+MUST!G192+MUST!H192+MUST!I192</f>
        <v>0</v>
      </c>
      <c r="I192" s="26">
        <f>Phalombe!D192+Phalombe!E192+Phalombe!F192+Phalombe!G192+Phalombe!H192+Phalombe!I192</f>
        <v>0</v>
      </c>
      <c r="J192" s="26">
        <f>Mikolongwe!D192+Mikolongwe!E192+Mikolongwe!F192+Mikolongwe!G192+Mikolongwe!H192+Mikolongwe!I192</f>
        <v>0</v>
      </c>
      <c r="K192" s="26">
        <f>Migowi!D192+Migowi!E192+Migowi!F192+Migowi!G192+Migowi!H192+Migowi!I192</f>
        <v>0</v>
      </c>
      <c r="L192" s="74">
        <f>SUM(D192:K192)</f>
        <v>4</v>
      </c>
    </row>
    <row r="193" spans="1:12" ht="15.6" x14ac:dyDescent="0.3">
      <c r="A193" s="727" t="s">
        <v>59</v>
      </c>
      <c r="B193" s="728"/>
      <c r="C193" s="11"/>
      <c r="D193" s="10">
        <f>SUM(D153:D192)</f>
        <v>246</v>
      </c>
      <c r="E193" s="10">
        <f t="shared" ref="E193:K193" si="47">SUM(E153:E192)</f>
        <v>809</v>
      </c>
      <c r="F193" s="10">
        <f t="shared" si="47"/>
        <v>670</v>
      </c>
      <c r="G193" s="10">
        <f t="shared" si="47"/>
        <v>112</v>
      </c>
      <c r="H193" s="10">
        <f t="shared" si="47"/>
        <v>25</v>
      </c>
      <c r="I193" s="10">
        <f t="shared" si="47"/>
        <v>168</v>
      </c>
      <c r="J193" s="10">
        <f t="shared" si="47"/>
        <v>11</v>
      </c>
      <c r="K193" s="10">
        <f t="shared" si="47"/>
        <v>2</v>
      </c>
      <c r="L193" s="160">
        <f>SUM(L153:L192)</f>
        <v>2043</v>
      </c>
    </row>
    <row r="194" spans="1:12" ht="15.6" x14ac:dyDescent="0.3">
      <c r="A194" s="665" t="s">
        <v>58</v>
      </c>
      <c r="B194" s="666"/>
      <c r="C194" s="11" t="s">
        <v>57</v>
      </c>
      <c r="D194" s="26">
        <f>Mulanje!D194+Mulanje!E194+Mulanje!F194+Mulanje!G194+Mulanje!H194+Mulanje!I194</f>
        <v>0</v>
      </c>
      <c r="E194" s="26">
        <f>Luchenza!D194+Luchenza!E194+Luchenza!F194+Luchenza!G194+Luchenza!H194+Luchenza!I194</f>
        <v>1</v>
      </c>
      <c r="F194" s="26">
        <f>Thyolo!D194+Thyolo!E194+Thyolo!F194+Thyolo!G194+Thyolo!H194+Thyolo!I194</f>
        <v>4</v>
      </c>
      <c r="G194" s="26">
        <f>Muloza!D194+Muloza!E194+Muloza!F194+Muloza!G194+Muloza!H194+Muloza!I194</f>
        <v>1</v>
      </c>
      <c r="H194" s="26">
        <f>MUST!D194+MUST!E194+MUST!F194+MUST!G194+MUST!H194+MUST!I194</f>
        <v>17</v>
      </c>
      <c r="I194" s="26">
        <f>Phalombe!D194+Phalombe!E194+Phalombe!F194+Phalombe!G194+Phalombe!H194+Phalombe!I194</f>
        <v>0</v>
      </c>
      <c r="J194" s="26">
        <f>Mikolongwe!D194+Mikolongwe!E194+Mikolongwe!F194+Mikolongwe!G194+Mikolongwe!H194+Mikolongwe!I194</f>
        <v>6</v>
      </c>
      <c r="K194" s="26">
        <f>Migowi!D194+Migowi!E194+Migowi!F194+Migowi!G194+Migowi!H194+Migowi!I194</f>
        <v>0</v>
      </c>
      <c r="L194" s="74">
        <f>SUM(D194:K194)</f>
        <v>29</v>
      </c>
    </row>
    <row r="195" spans="1:12" ht="15.6" x14ac:dyDescent="0.3">
      <c r="A195" s="667"/>
      <c r="B195" s="668"/>
      <c r="C195" s="16" t="s">
        <v>55</v>
      </c>
      <c r="D195" s="26">
        <f>Mulanje!D195+Mulanje!E195+Mulanje!F195+Mulanje!G195+Mulanje!H195+Mulanje!I195</f>
        <v>0</v>
      </c>
      <c r="E195" s="26">
        <f>Luchenza!D195+Luchenza!E195+Luchenza!F195+Luchenza!G195+Luchenza!H195+Luchenza!I195</f>
        <v>698</v>
      </c>
      <c r="F195" s="26">
        <f>Thyolo!D195+Thyolo!E195+Thyolo!F195+Thyolo!G195+Thyolo!H195+Thyolo!I195</f>
        <v>907</v>
      </c>
      <c r="G195" s="26">
        <f>Muloza!D195+Muloza!E195+Muloza!F195+Muloza!G195+Muloza!H195+Muloza!I195</f>
        <v>216</v>
      </c>
      <c r="H195" s="26">
        <f>MUST!D195+MUST!E195+MUST!F195+MUST!G195+MUST!H195+MUST!I195</f>
        <v>528</v>
      </c>
      <c r="I195" s="26">
        <f>Phalombe!D195+Phalombe!E195+Phalombe!F195+Phalombe!G195+Phalombe!H195+Phalombe!I195</f>
        <v>0</v>
      </c>
      <c r="J195" s="26">
        <f>Mikolongwe!D195+Mikolongwe!E195+Mikolongwe!F195+Mikolongwe!G195+Mikolongwe!H195+Mikolongwe!I195</f>
        <v>144</v>
      </c>
      <c r="K195" s="26">
        <f>Migowi!D195+Migowi!E195+Migowi!F195+Migowi!G195+Migowi!H195+Migowi!I195</f>
        <v>0</v>
      </c>
      <c r="L195" s="74">
        <f>SUM(D195:K195)</f>
        <v>2493</v>
      </c>
    </row>
    <row r="196" spans="1:12" ht="15.6" x14ac:dyDescent="0.3">
      <c r="A196" s="581" t="s">
        <v>202</v>
      </c>
      <c r="B196" s="582"/>
      <c r="C196" s="16" t="s">
        <v>55</v>
      </c>
      <c r="D196" s="26">
        <f>Mulanje!I196</f>
        <v>24</v>
      </c>
      <c r="E196" s="26">
        <f>Luchenza!I196</f>
        <v>6</v>
      </c>
      <c r="F196" s="26">
        <f>Thyolo!I196</f>
        <v>8</v>
      </c>
      <c r="G196" s="26">
        <f>Muloza!I196</f>
        <v>8</v>
      </c>
      <c r="H196" s="26">
        <f>MUST!I196</f>
        <v>24</v>
      </c>
      <c r="I196" s="26">
        <f>Phalombe!I196</f>
        <v>24</v>
      </c>
      <c r="J196" s="26">
        <f>Mikolongwe!I196</f>
        <v>24</v>
      </c>
      <c r="K196" s="26">
        <f>Migowi!I196</f>
        <v>24</v>
      </c>
      <c r="L196" s="74">
        <f>SUM(D196:K196)/10</f>
        <v>14.2</v>
      </c>
    </row>
    <row r="197" spans="1:12" ht="15.6" x14ac:dyDescent="0.3">
      <c r="A197" s="661" t="s">
        <v>56</v>
      </c>
      <c r="B197" s="662"/>
      <c r="C197" s="16" t="s">
        <v>55</v>
      </c>
      <c r="D197" s="26">
        <f>Mulanje!D197+Mulanje!E197+Mulanje!F197+Mulanje!G197+Mulanje!H197+Mulanje!I197</f>
        <v>0</v>
      </c>
      <c r="E197" s="26">
        <f>Luchenza!D197+Luchenza!E197+Luchenza!F197+Luchenza!G197+Luchenza!H197+Luchenza!I197</f>
        <v>136</v>
      </c>
      <c r="F197" s="26">
        <f>Thyolo!D197+Thyolo!E197+Thyolo!F197+Thyolo!G197+Thyolo!H197+Thyolo!I197</f>
        <v>326</v>
      </c>
      <c r="G197" s="26">
        <f>Muloza!D197+Muloza!E197+Muloza!F197+Muloza!G197+Muloza!H197+Muloza!I197</f>
        <v>165</v>
      </c>
      <c r="H197" s="26">
        <f>MUST!D197+MUST!E197+MUST!F197+MUST!G197+MUST!H197+MUST!I197</f>
        <v>420</v>
      </c>
      <c r="I197" s="26">
        <f>Phalombe!D197+Phalombe!E197+Phalombe!F197+Phalombe!G197+Phalombe!H197+Phalombe!I197</f>
        <v>0</v>
      </c>
      <c r="J197" s="26">
        <f>Mikolongwe!D197+Mikolongwe!E197+Mikolongwe!F197+Mikolongwe!G197+Mikolongwe!H197+Mikolongwe!I197</f>
        <v>228</v>
      </c>
      <c r="K197" s="26">
        <f>Migowi!D197+Migowi!E197+Migowi!F197+Migowi!G197+Migowi!H197+Migowi!I197</f>
        <v>247</v>
      </c>
      <c r="L197" s="74">
        <f>SUM(D197:K197)</f>
        <v>1522</v>
      </c>
    </row>
    <row r="198" spans="1:12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1"/>
    </row>
    <row r="199" spans="1:12" ht="15.6" x14ac:dyDescent="0.3">
      <c r="A199" s="665" t="s">
        <v>54</v>
      </c>
      <c r="B199" s="576" t="s">
        <v>53</v>
      </c>
      <c r="C199" s="11" t="s">
        <v>47</v>
      </c>
      <c r="D199" s="26">
        <f>Mulanje!D199+Mulanje!E199+Mulanje!F199+Mulanje!G199+Mulanje!H199+Mulanje!I199</f>
        <v>0</v>
      </c>
      <c r="E199" s="26">
        <f>Luchenza!D199+Luchenza!E199+Luchenza!F199+Luchenza!G199+Luchenza!H199+Luchenza!I199</f>
        <v>0</v>
      </c>
      <c r="F199" s="26">
        <f>Thyolo!D199+Thyolo!E199+Thyolo!F199+Thyolo!G199+Thyolo!H199+Thyolo!I199</f>
        <v>144</v>
      </c>
      <c r="G199" s="26">
        <f>Muloza!D199+Muloza!E199+Muloza!F199+Muloza!G199+Muloza!H199+Muloza!I199</f>
        <v>14</v>
      </c>
      <c r="H199" s="26">
        <f>MUST!D199+MUST!E199+MUST!F199+MUST!G199+MUST!H199+MUST!I199</f>
        <v>180</v>
      </c>
      <c r="I199" s="26">
        <f>Phalombe!D199+Phalombe!E199+Phalombe!F199+Phalombe!G199+Phalombe!H199+Phalombe!I199</f>
        <v>258</v>
      </c>
      <c r="J199" s="26">
        <f>Mikolongwe!D199+Mikolongwe!E199+Mikolongwe!F199+Mikolongwe!G199+Mikolongwe!H199+Mikolongwe!I199</f>
        <v>0</v>
      </c>
      <c r="K199" s="26">
        <f>Migowi!D199+Migowi!E199+Migowi!F199+Migowi!G199+Migowi!H199+Migowi!I199</f>
        <v>0</v>
      </c>
      <c r="L199" s="167">
        <f t="shared" ref="L199:L204" si="48">SUM(D199:K199)</f>
        <v>596</v>
      </c>
    </row>
    <row r="200" spans="1:12" ht="15.6" x14ac:dyDescent="0.3">
      <c r="A200" s="669"/>
      <c r="B200" s="576" t="s">
        <v>52</v>
      </c>
      <c r="C200" s="11" t="s">
        <v>47</v>
      </c>
      <c r="D200" s="26">
        <f>Mulanje!D200+Mulanje!E200+Mulanje!F200+Mulanje!G200+Mulanje!H200+Mulanje!I200</f>
        <v>0</v>
      </c>
      <c r="E200" s="26">
        <f>Luchenza!D200+Luchenza!E200+Luchenza!F200+Luchenza!G200+Luchenza!H200+Luchenza!I200</f>
        <v>0</v>
      </c>
      <c r="F200" s="26">
        <f>Thyolo!D200+Thyolo!E200+Thyolo!F200+Thyolo!G200+Thyolo!H200+Thyolo!I200</f>
        <v>0</v>
      </c>
      <c r="G200" s="26">
        <f>Muloza!D200+Muloza!E200+Muloza!F200+Muloza!G200+Muloza!H200+Muloza!I200</f>
        <v>0</v>
      </c>
      <c r="H200" s="26">
        <f>MUST!D200+MUST!E200+MUST!F200+MUST!G200+MUST!H200+MUST!I200</f>
        <v>240</v>
      </c>
      <c r="I200" s="26">
        <f>Phalombe!D200+Phalombe!E200+Phalombe!F200+Phalombe!G200+Phalombe!H200+Phalombe!I200</f>
        <v>156</v>
      </c>
      <c r="J200" s="26">
        <f>Mikolongwe!D200+Mikolongwe!E200+Mikolongwe!F200+Mikolongwe!G200+Mikolongwe!H200+Mikolongwe!I200</f>
        <v>0</v>
      </c>
      <c r="K200" s="26">
        <f>Migowi!D200+Migowi!E200+Migowi!F200+Migowi!G200+Migowi!H200+Migowi!I200</f>
        <v>0</v>
      </c>
      <c r="L200" s="167">
        <f t="shared" si="48"/>
        <v>396</v>
      </c>
    </row>
    <row r="201" spans="1:12" ht="15.6" x14ac:dyDescent="0.3">
      <c r="A201" s="669"/>
      <c r="B201" s="576" t="s">
        <v>51</v>
      </c>
      <c r="C201" s="11" t="s">
        <v>47</v>
      </c>
      <c r="D201" s="26">
        <f>Mulanje!D201+Mulanje!E201+Mulanje!F201+Mulanje!G201+Mulanje!H201+Mulanje!I201</f>
        <v>0</v>
      </c>
      <c r="E201" s="26">
        <f>Luchenza!D201+Luchenza!E201+Luchenza!F201+Luchenza!G201+Luchenza!H201+Luchenza!I201</f>
        <v>0</v>
      </c>
      <c r="F201" s="26">
        <f>Thyolo!D201+Thyolo!E201+Thyolo!F201+Thyolo!G201+Thyolo!H201+Thyolo!I201</f>
        <v>0</v>
      </c>
      <c r="G201" s="26">
        <f>Muloza!D201+Muloza!E201+Muloza!F201+Muloza!G201+Muloza!H201+Muloza!I201</f>
        <v>44</v>
      </c>
      <c r="H201" s="26">
        <f>MUST!D201+MUST!E201+MUST!F201+MUST!G201+MUST!H201+MUST!I201</f>
        <v>84</v>
      </c>
      <c r="I201" s="26">
        <f>Phalombe!D201+Phalombe!E201+Phalombe!F201+Phalombe!G201+Phalombe!H201+Phalombe!I201</f>
        <v>0</v>
      </c>
      <c r="J201" s="26">
        <f>Mikolongwe!D201+Mikolongwe!E201+Mikolongwe!F201+Mikolongwe!G201+Mikolongwe!H201+Mikolongwe!I201</f>
        <v>0</v>
      </c>
      <c r="K201" s="26">
        <f>Migowi!D201+Migowi!E201+Migowi!F201+Migowi!G201+Migowi!H201+Migowi!I201</f>
        <v>0</v>
      </c>
      <c r="L201" s="167">
        <f t="shared" si="48"/>
        <v>128</v>
      </c>
    </row>
    <row r="202" spans="1:12" ht="15.6" x14ac:dyDescent="0.3">
      <c r="A202" s="669"/>
      <c r="B202" s="576" t="s">
        <v>50</v>
      </c>
      <c r="C202" s="11" t="s">
        <v>47</v>
      </c>
      <c r="D202" s="26">
        <f>Mulanje!D202+Mulanje!E202+Mulanje!F202+Mulanje!G202+Mulanje!H202+Mulanje!I202</f>
        <v>0</v>
      </c>
      <c r="E202" s="26">
        <f>Luchenza!D202+Luchenza!E202+Luchenza!F202+Luchenza!G202+Luchenza!H202+Luchenza!I202</f>
        <v>0</v>
      </c>
      <c r="F202" s="26">
        <f>Thyolo!D202+Thyolo!E202+Thyolo!F202+Thyolo!G202+Thyolo!H202+Thyolo!I202</f>
        <v>0</v>
      </c>
      <c r="G202" s="26">
        <f>Muloza!D202+Muloza!E202+Muloza!F202+Muloza!G202+Muloza!H202+Muloza!I202</f>
        <v>0</v>
      </c>
      <c r="H202" s="26">
        <f>MUST!D202+MUST!E202+MUST!F202+MUST!G202+MUST!H202+MUST!I202</f>
        <v>0</v>
      </c>
      <c r="I202" s="26">
        <f>Phalombe!D202+Phalombe!E202+Phalombe!F202+Phalombe!G202+Phalombe!H202+Phalombe!I202</f>
        <v>0</v>
      </c>
      <c r="J202" s="26">
        <f>Mikolongwe!D202+Mikolongwe!E202+Mikolongwe!F202+Mikolongwe!G202+Mikolongwe!H202+Mikolongwe!I202</f>
        <v>0</v>
      </c>
      <c r="K202" s="26">
        <f>Migowi!D202+Migowi!E202+Migowi!F202+Migowi!G202+Migowi!H202+Migowi!I202</f>
        <v>0</v>
      </c>
      <c r="L202" s="167">
        <f t="shared" si="48"/>
        <v>0</v>
      </c>
    </row>
    <row r="203" spans="1:12" ht="15.6" x14ac:dyDescent="0.3">
      <c r="A203" s="667"/>
      <c r="B203" s="576" t="s">
        <v>49</v>
      </c>
      <c r="C203" s="11" t="s">
        <v>47</v>
      </c>
      <c r="D203" s="26">
        <f>Mulanje!D203+Mulanje!E203+Mulanje!F203+Mulanje!G203+Mulanje!H203+Mulanje!I203</f>
        <v>0</v>
      </c>
      <c r="E203" s="26">
        <f>Luchenza!D203+Luchenza!E203+Luchenza!F203+Luchenza!G203+Luchenza!H203+Luchenza!I203</f>
        <v>0</v>
      </c>
      <c r="F203" s="26">
        <f>Thyolo!D203+Thyolo!E203+Thyolo!F203+Thyolo!G203+Thyolo!H203+Thyolo!I203</f>
        <v>0</v>
      </c>
      <c r="G203" s="26">
        <f>Muloza!D203+Muloza!E203+Muloza!F203+Muloza!G203+Muloza!H203+Muloza!I203</f>
        <v>18</v>
      </c>
      <c r="H203" s="26">
        <f>MUST!D203+MUST!E203+MUST!F203+MUST!G203+MUST!H203+MUST!I203</f>
        <v>0</v>
      </c>
      <c r="I203" s="26">
        <f>Phalombe!D203+Phalombe!E203+Phalombe!F203+Phalombe!G203+Phalombe!H203+Phalombe!I203</f>
        <v>0</v>
      </c>
      <c r="J203" s="26">
        <f>Mikolongwe!D203+Mikolongwe!E203+Mikolongwe!F203+Mikolongwe!G203+Mikolongwe!H203+Mikolongwe!I203</f>
        <v>0</v>
      </c>
      <c r="K203" s="26">
        <f>Migowi!D203+Migowi!E203+Migowi!F203+Migowi!G203+Migowi!H203+Migowi!I203</f>
        <v>0</v>
      </c>
      <c r="L203" s="167">
        <f t="shared" si="48"/>
        <v>18</v>
      </c>
    </row>
    <row r="204" spans="1:12" ht="15.6" x14ac:dyDescent="0.3">
      <c r="A204" s="83" t="s">
        <v>48</v>
      </c>
      <c r="B204" s="576"/>
      <c r="C204" s="11" t="s">
        <v>47</v>
      </c>
      <c r="D204" s="15">
        <f t="shared" ref="D204:K204" si="49">SUM(D199:D203)</f>
        <v>0</v>
      </c>
      <c r="E204" s="15">
        <f t="shared" si="49"/>
        <v>0</v>
      </c>
      <c r="F204" s="15">
        <f t="shared" si="49"/>
        <v>144</v>
      </c>
      <c r="G204" s="15">
        <f t="shared" si="49"/>
        <v>76</v>
      </c>
      <c r="H204" s="15">
        <f t="shared" si="49"/>
        <v>504</v>
      </c>
      <c r="I204" s="15">
        <f t="shared" si="49"/>
        <v>414</v>
      </c>
      <c r="J204" s="15">
        <f t="shared" si="49"/>
        <v>0</v>
      </c>
      <c r="K204" s="15">
        <f t="shared" si="49"/>
        <v>0</v>
      </c>
      <c r="L204" s="167">
        <f t="shared" si="48"/>
        <v>1138</v>
      </c>
    </row>
    <row r="205" spans="1:12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1"/>
    </row>
    <row r="206" spans="1:12" ht="15.6" x14ac:dyDescent="0.3">
      <c r="A206" s="661" t="s">
        <v>43</v>
      </c>
      <c r="B206" s="662"/>
      <c r="C206" s="11" t="s">
        <v>31</v>
      </c>
      <c r="D206" s="15">
        <f>Mulanje!D206+Mulanje!E206+Mulanje!F206+Mulanje!G206+Mulanje!H206+Mulanje!I206</f>
        <v>114626945.98</v>
      </c>
      <c r="E206" s="15">
        <f>Luchenza!D206+Luchenza!E206+Luchenza!F206+Luchenza!G206+Luchenza!H206+Luchenza!I206</f>
        <v>30288013.18</v>
      </c>
      <c r="F206" s="15">
        <f>Thyolo!D206+Thyolo!E206+Thyolo!F206+Thyolo!G206+Thyolo!H206+Thyolo!I206</f>
        <v>36624568.870000005</v>
      </c>
      <c r="G206" s="15">
        <f>Muloza!D206+Muloza!E206+Muloza!F206+Muloza!G206+Muloza!H206+Muloza!I206</f>
        <v>24405546</v>
      </c>
      <c r="H206" s="15">
        <f>MUST!D206+MUST!E206+MUST!F206+MUST!G206+MUST!H206+MUST!I206</f>
        <v>1753951.07</v>
      </c>
      <c r="I206" s="15">
        <f>Phalombe!D206+Phalombe!E206+Phalombe!F206+Phalombe!G206+Phalombe!H206+Phalombe!I206</f>
        <v>18097905.109999999</v>
      </c>
      <c r="J206" s="15">
        <f>Mikolongwe!D206+Mikolongwe!E206+Mikolongwe!F206+Mikolongwe!G206+Mikolongwe!H206+Mikolongwe!I206</f>
        <v>1244157.1100000001</v>
      </c>
      <c r="K206" s="15">
        <f>Migowi!D206+Migowi!E206+Migowi!F206+Migowi!G206+Migowi!H206+Migowi!I206</f>
        <v>0</v>
      </c>
      <c r="L206" s="39">
        <f>SUM(D206:K206)</f>
        <v>227041087.31999999</v>
      </c>
    </row>
    <row r="207" spans="1:12" ht="15.6" x14ac:dyDescent="0.3">
      <c r="A207" s="661" t="s">
        <v>42</v>
      </c>
      <c r="B207" s="662"/>
      <c r="C207" s="11" t="s">
        <v>31</v>
      </c>
      <c r="D207" s="15">
        <f>Mulanje!D207+Mulanje!E207+Mulanje!F207+Mulanje!G207+Mulanje!H207+Mulanje!I207</f>
        <v>1427200</v>
      </c>
      <c r="E207" s="15">
        <f>Luchenza!D207+Luchenza!E207+Luchenza!F207+Luchenza!G207+Luchenza!H207+Luchenza!I207</f>
        <v>12000</v>
      </c>
      <c r="F207" s="15">
        <f>Thyolo!D207+Thyolo!E207+Thyolo!F207+Thyolo!G207+Thyolo!H207+Thyolo!I207</f>
        <v>72000</v>
      </c>
      <c r="G207" s="15">
        <f>Muloza!D207+Muloza!E207+Muloza!F207+Muloza!G207+Muloza!H207+Muloza!I207</f>
        <v>25100</v>
      </c>
      <c r="H207" s="15">
        <f>MUST!D207+MUST!E207+MUST!F207+MUST!G207+MUST!H207+MUST!I207</f>
        <v>0</v>
      </c>
      <c r="I207" s="15">
        <f>Phalombe!D207+Phalombe!E207+Phalombe!F207+Phalombe!G207+Phalombe!H207+Phalombe!I207</f>
        <v>0</v>
      </c>
      <c r="J207" s="15">
        <f>Mikolongwe!D207+Mikolongwe!E207+Mikolongwe!F207+Mikolongwe!G207+Mikolongwe!H207+Mikolongwe!I207</f>
        <v>0</v>
      </c>
      <c r="K207" s="15">
        <f>Migowi!D207+Migowi!E207+Migowi!F207+Migowi!G207+Migowi!H207+Migowi!I207</f>
        <v>0</v>
      </c>
      <c r="L207" s="39">
        <f>SUM(D207:K207)</f>
        <v>1536300</v>
      </c>
    </row>
    <row r="208" spans="1:12" ht="15.6" x14ac:dyDescent="0.3">
      <c r="A208" s="663" t="s">
        <v>41</v>
      </c>
      <c r="B208" s="664"/>
      <c r="C208" s="11" t="s">
        <v>31</v>
      </c>
      <c r="D208" s="15">
        <f>Mulanje!D208+Mulanje!E208+Mulanje!F208+Mulanje!G208+Mulanje!H208+Mulanje!I208</f>
        <v>599350</v>
      </c>
      <c r="E208" s="15">
        <f>Luchenza!D208+Luchenza!E208+Luchenza!F208+Luchenza!G208+Luchenza!H208+Luchenza!I208</f>
        <v>1450717.58</v>
      </c>
      <c r="F208" s="15">
        <f>Thyolo!D208+Thyolo!E208+Thyolo!F208+Thyolo!G208+Thyolo!H208+Thyolo!I208</f>
        <v>3013392.08</v>
      </c>
      <c r="G208" s="15">
        <f>Muloza!D208+Muloza!E208+Muloza!F208+Muloza!G208+Muloza!H208+Muloza!I208</f>
        <v>1218500</v>
      </c>
      <c r="H208" s="15">
        <f>MUST!D208+MUST!E208+MUST!F208+MUST!G208+MUST!H208+MUST!I208</f>
        <v>1430000</v>
      </c>
      <c r="I208" s="15">
        <f>Phalombe!D208+Phalombe!E208+Phalombe!F208+Phalombe!G208+Phalombe!H208+Phalombe!I208</f>
        <v>1073337.08</v>
      </c>
      <c r="J208" s="15">
        <f>Mikolongwe!D208+Mikolongwe!E208+Mikolongwe!F208+Mikolongwe!G208+Mikolongwe!H208+Mikolongwe!I208</f>
        <v>0</v>
      </c>
      <c r="K208" s="15">
        <f>Migowi!D208+Migowi!E208+Migowi!F208+Migowi!G208+Migowi!H208+Migowi!I208</f>
        <v>0</v>
      </c>
      <c r="L208" s="39">
        <f>SUM(D208:K208)</f>
        <v>8785296.7400000002</v>
      </c>
    </row>
    <row r="209" spans="1:12" ht="15.6" x14ac:dyDescent="0.3">
      <c r="A209" s="661" t="s">
        <v>40</v>
      </c>
      <c r="B209" s="662"/>
      <c r="C209" s="11" t="s">
        <v>31</v>
      </c>
      <c r="D209" s="15">
        <f>Mulanje!D209+Mulanje!E209+Mulanje!F209+Mulanje!G209+Mulanje!H209+Mulanje!I209</f>
        <v>60206864.049999997</v>
      </c>
      <c r="E209" s="15">
        <f>Luchenza!D209+Luchenza!E209+Luchenza!F209+Luchenza!G209+Luchenza!H209+Luchenza!I209</f>
        <v>14926326.83</v>
      </c>
      <c r="F209" s="15">
        <f>Thyolo!D209+Thyolo!E209+Thyolo!F209+Thyolo!G209+Thyolo!H209+Thyolo!I209</f>
        <v>1156023.1599999999</v>
      </c>
      <c r="G209" s="15">
        <f>Muloza!D209+Muloza!E209+Muloza!F209+Muloza!G209+Muloza!H209+Muloza!I209</f>
        <v>444225.93</v>
      </c>
      <c r="H209" s="15">
        <f>MUST!D209+MUST!E209+MUST!F209+MUST!G209+MUST!H209+MUST!I209</f>
        <v>316893305.44</v>
      </c>
      <c r="I209" s="15">
        <f>Phalombe!D209+Phalombe!E209+Phalombe!F209+Phalombe!G209+Phalombe!H209+Phalombe!I209</f>
        <v>13777652</v>
      </c>
      <c r="J209" s="15">
        <f>Mikolongwe!D209+Mikolongwe!E209+Mikolongwe!F209+Mikolongwe!G209+Mikolongwe!H209+Mikolongwe!I209</f>
        <v>0</v>
      </c>
      <c r="K209" s="15">
        <f>Migowi!D209+Migowi!E209+Migowi!F209+Migowi!G209+Migowi!H209+Migowi!I209</f>
        <v>0</v>
      </c>
      <c r="L209" s="39">
        <f>SUM(D209:K209)</f>
        <v>407404397.40999997</v>
      </c>
    </row>
    <row r="210" spans="1:12" ht="15.6" x14ac:dyDescent="0.3">
      <c r="A210" s="647" t="s">
        <v>45</v>
      </c>
      <c r="B210" s="648"/>
      <c r="C210" s="11" t="s">
        <v>31</v>
      </c>
      <c r="D210" s="10">
        <f t="shared" ref="D210:K210" si="50">SUM(D206:D209)</f>
        <v>176860360.03</v>
      </c>
      <c r="E210" s="10">
        <f t="shared" si="50"/>
        <v>46677057.589999996</v>
      </c>
      <c r="F210" s="10">
        <f t="shared" si="50"/>
        <v>40865984.109999999</v>
      </c>
      <c r="G210" s="10">
        <f t="shared" si="50"/>
        <v>26093371.93</v>
      </c>
      <c r="H210" s="10">
        <f t="shared" si="50"/>
        <v>320077256.50999999</v>
      </c>
      <c r="I210" s="10">
        <f t="shared" si="50"/>
        <v>32948894.189999998</v>
      </c>
      <c r="J210" s="10">
        <f t="shared" si="50"/>
        <v>1244157.1100000001</v>
      </c>
      <c r="K210" s="10">
        <f t="shared" si="50"/>
        <v>0</v>
      </c>
      <c r="L210" s="39">
        <f>SUM(D210:K210)</f>
        <v>644767081.47000015</v>
      </c>
    </row>
    <row r="211" spans="1:12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1"/>
    </row>
    <row r="212" spans="1:12" ht="15.6" x14ac:dyDescent="0.3">
      <c r="A212" s="661" t="s">
        <v>43</v>
      </c>
      <c r="B212" s="662"/>
      <c r="C212" s="11" t="s">
        <v>31</v>
      </c>
      <c r="D212" s="15">
        <f>Mulanje!D212+Mulanje!E212+Mulanje!F212+Mulanje!G212+Mulanje!H212+Mulanje!I212</f>
        <v>36742402</v>
      </c>
      <c r="E212" s="15">
        <f>Luchenza!D212+Luchenza!E212+Luchenza!F212+Luchenza!G212+Luchenza!H212+Luchenza!I212</f>
        <v>11018582.65</v>
      </c>
      <c r="F212" s="15">
        <f>Thyolo!D212+Thyolo!E212+Thyolo!F212+Thyolo!G212+Thyolo!H212+Thyolo!I212</f>
        <v>9785704.2400000002</v>
      </c>
      <c r="G212" s="15">
        <f>Muloza!D212+Muloza!E212+Muloza!F212+Muloza!G212+Muloza!H212+Muloza!I212</f>
        <v>6729208.2000000002</v>
      </c>
      <c r="H212" s="15">
        <f>MUST!D212+MUST!E212+MUST!F212+MUST!G212+MUST!H212+MUST!I212</f>
        <v>1656098.27</v>
      </c>
      <c r="I212" s="15">
        <f>Phalombe!D212+Phalombe!E212+Phalombe!F212+Phalombe!G212+Phalombe!H212+Phalombe!I212</f>
        <v>5504692.4299999997</v>
      </c>
      <c r="J212" s="15">
        <f>Mikolongwe!D212+Mikolongwe!E212+Mikolongwe!F212+Mikolongwe!G212+Mikolongwe!H212+Mikolongwe!I212</f>
        <v>1268050</v>
      </c>
      <c r="K212" s="15">
        <f>Migowi!D212+Migowi!E212+Migowi!F212+Migowi!G212+Migowi!H212+Migowi!I212</f>
        <v>5177943.8499999996</v>
      </c>
      <c r="L212" s="39">
        <f>SUM(D212:K212)</f>
        <v>77882681.640000001</v>
      </c>
    </row>
    <row r="213" spans="1:12" ht="15.6" x14ac:dyDescent="0.3">
      <c r="A213" s="661" t="s">
        <v>42</v>
      </c>
      <c r="B213" s="662"/>
      <c r="C213" s="11" t="s">
        <v>31</v>
      </c>
      <c r="D213" s="15">
        <f>Mulanje!D213+Mulanje!E213+Mulanje!F213+Mulanje!G213+Mulanje!H213+Mulanje!I213</f>
        <v>896986</v>
      </c>
      <c r="E213" s="15">
        <f>Luchenza!D213+Luchenza!E213+Luchenza!F213+Luchenza!G213+Luchenza!H213+Luchenza!I213</f>
        <v>0</v>
      </c>
      <c r="F213" s="15">
        <f>Thyolo!D213+Thyolo!E213+Thyolo!F213+Thyolo!G213+Thyolo!H213+Thyolo!I213</f>
        <v>0</v>
      </c>
      <c r="G213" s="15">
        <f>Muloza!D213+Muloza!E213+Muloza!F213+Muloza!G213+Muloza!H213+Muloza!I213</f>
        <v>0</v>
      </c>
      <c r="H213" s="15">
        <f>MUST!D213+MUST!E213+MUST!F213+MUST!G213+MUST!H213+MUST!I213</f>
        <v>0</v>
      </c>
      <c r="I213" s="15">
        <f>Phalombe!D213+Phalombe!E213+Phalombe!F213+Phalombe!G213+Phalombe!H213+Phalombe!I213</f>
        <v>0</v>
      </c>
      <c r="J213" s="15">
        <f>Mikolongwe!D213+Mikolongwe!E213+Mikolongwe!F213+Mikolongwe!G213+Mikolongwe!H213+Mikolongwe!I213</f>
        <v>0</v>
      </c>
      <c r="K213" s="15">
        <f>Migowi!D213+Migowi!E213+Migowi!F213+Migowi!G213+Migowi!H213+Migowi!I213</f>
        <v>0</v>
      </c>
      <c r="L213" s="39">
        <f>SUM(D213:K213)</f>
        <v>896986</v>
      </c>
    </row>
    <row r="214" spans="1:12" ht="15.6" x14ac:dyDescent="0.3">
      <c r="A214" s="663" t="s">
        <v>41</v>
      </c>
      <c r="B214" s="664"/>
      <c r="C214" s="11" t="s">
        <v>31</v>
      </c>
      <c r="D214" s="15">
        <f>Mulanje!D214+Mulanje!E214+Mulanje!F214+Mulanje!G214+Mulanje!H214+Mulanje!I214</f>
        <v>8164192.29</v>
      </c>
      <c r="E214" s="15">
        <f>Luchenza!D214+Luchenza!E214+Luchenza!F214+Luchenza!G214+Luchenza!H214+Luchenza!I214</f>
        <v>3539170.26</v>
      </c>
      <c r="F214" s="15">
        <f>Thyolo!D214+Thyolo!E214+Thyolo!F214+Thyolo!G214+Thyolo!H214+Thyolo!I214</f>
        <v>2570264</v>
      </c>
      <c r="G214" s="15">
        <f>Muloza!D214+Muloza!E214+Muloza!F214+Muloza!G214+Muloza!H214+Muloza!I214</f>
        <v>2350075</v>
      </c>
      <c r="H214" s="15">
        <f>MUST!D214+MUST!E214+MUST!F214+MUST!G214+MUST!H214+MUST!I214</f>
        <v>16491800</v>
      </c>
      <c r="I214" s="15">
        <f>Phalombe!D214+Phalombe!E214+Phalombe!F214+Phalombe!G214+Phalombe!H214+Phalombe!I214</f>
        <v>1873957</v>
      </c>
      <c r="J214" s="15">
        <f>Mikolongwe!D214+Mikolongwe!E214+Mikolongwe!F214+Mikolongwe!G214+Mikolongwe!H214+Mikolongwe!I214</f>
        <v>0</v>
      </c>
      <c r="K214" s="15">
        <f>Migowi!D214+Migowi!E214+Migowi!F214+Migowi!G214+Migowi!H214+Migowi!I214</f>
        <v>0</v>
      </c>
      <c r="L214" s="39">
        <f>SUM(D214:K214)</f>
        <v>34989458.549999997</v>
      </c>
    </row>
    <row r="215" spans="1:12" ht="15.6" x14ac:dyDescent="0.3">
      <c r="A215" s="661" t="s">
        <v>40</v>
      </c>
      <c r="B215" s="662"/>
      <c r="C215" s="11" t="s">
        <v>31</v>
      </c>
      <c r="D215" s="15">
        <f>Mulanje!D215+Mulanje!E215+Mulanje!F215+Mulanje!G215+Mulanje!H215+Mulanje!I215</f>
        <v>56711609.049999997</v>
      </c>
      <c r="E215" s="15">
        <f>Luchenza!D215+Luchenza!E215+Luchenza!F215+Luchenza!G215+Luchenza!H215+Luchenza!I215</f>
        <v>7534512.1000000006</v>
      </c>
      <c r="F215" s="15">
        <f>Thyolo!D215+Thyolo!E215+Thyolo!F215+Thyolo!G215+Thyolo!H215+Thyolo!I215</f>
        <v>21026138.43</v>
      </c>
      <c r="G215" s="15">
        <f>Muloza!D215+Muloza!E215+Muloza!F215+Muloza!G215+Muloza!H215+Muloza!I215</f>
        <v>1834404.3800000001</v>
      </c>
      <c r="H215" s="15">
        <f>MUST!D215+MUST!E215+MUST!F215+MUST!G215+MUST!H215+MUST!I215</f>
        <v>63298039.760000005</v>
      </c>
      <c r="I215" s="15">
        <f>Phalombe!D215+Phalombe!E215+Phalombe!F215+Phalombe!G215+Phalombe!H215+Phalombe!I215</f>
        <v>10810385.539999999</v>
      </c>
      <c r="J215" s="15">
        <f>Mikolongwe!D215+Mikolongwe!E215+Mikolongwe!F215+Mikolongwe!G215+Mikolongwe!H215+Mikolongwe!I215</f>
        <v>3518400</v>
      </c>
      <c r="K215" s="15">
        <f>Migowi!D215+Migowi!E215+Migowi!F215+Migowi!G215+Migowi!H215+Migowi!I215</f>
        <v>23581842.060000002</v>
      </c>
      <c r="L215" s="39">
        <f>SUM(D215:K215)</f>
        <v>188315331.31999999</v>
      </c>
    </row>
    <row r="216" spans="1:12" ht="15.6" x14ac:dyDescent="0.3">
      <c r="A216" s="647" t="s">
        <v>39</v>
      </c>
      <c r="B216" s="648"/>
      <c r="C216" s="11" t="s">
        <v>31</v>
      </c>
      <c r="D216" s="10">
        <f t="shared" ref="D216:K216" si="51">SUM(D212:D215)</f>
        <v>102515189.34</v>
      </c>
      <c r="E216" s="10">
        <f t="shared" si="51"/>
        <v>22092265.010000002</v>
      </c>
      <c r="F216" s="10">
        <f t="shared" si="51"/>
        <v>33382106.670000002</v>
      </c>
      <c r="G216" s="10">
        <f t="shared" si="51"/>
        <v>10913687.58</v>
      </c>
      <c r="H216" s="10">
        <f>SUM(H212:H215)</f>
        <v>81445938.030000001</v>
      </c>
      <c r="I216" s="10">
        <f t="shared" si="51"/>
        <v>18189034.969999999</v>
      </c>
      <c r="J216" s="10">
        <f t="shared" si="51"/>
        <v>4786450</v>
      </c>
      <c r="K216" s="10">
        <f t="shared" si="51"/>
        <v>28759785.910000004</v>
      </c>
      <c r="L216" s="39">
        <f>SUM(D216:K216)</f>
        <v>302084457.51000005</v>
      </c>
    </row>
    <row r="217" spans="1:12" s="2" customFormat="1" ht="15.6" x14ac:dyDescent="0.3">
      <c r="A217" s="579" t="s">
        <v>38</v>
      </c>
      <c r="B217" s="580"/>
      <c r="C217" s="11" t="s">
        <v>31</v>
      </c>
      <c r="D217" s="10">
        <f>D210+D216</f>
        <v>279375549.37</v>
      </c>
      <c r="E217" s="10">
        <f t="shared" ref="E217:L217" si="52">E210+E216</f>
        <v>68769322.599999994</v>
      </c>
      <c r="F217" s="10">
        <f t="shared" si="52"/>
        <v>74248090.780000001</v>
      </c>
      <c r="G217" s="10">
        <f t="shared" si="52"/>
        <v>37007059.509999998</v>
      </c>
      <c r="H217" s="10">
        <f t="shared" si="52"/>
        <v>401523194.53999996</v>
      </c>
      <c r="I217" s="10">
        <f t="shared" si="52"/>
        <v>51137929.159999996</v>
      </c>
      <c r="J217" s="10">
        <f t="shared" si="52"/>
        <v>6030607.1100000003</v>
      </c>
      <c r="K217" s="10">
        <f t="shared" si="52"/>
        <v>28759785.910000004</v>
      </c>
      <c r="L217" s="40">
        <f t="shared" si="52"/>
        <v>946851538.98000026</v>
      </c>
    </row>
    <row r="218" spans="1:12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1"/>
    </row>
    <row r="219" spans="1:12" ht="15.6" x14ac:dyDescent="0.3">
      <c r="A219" s="661" t="s">
        <v>35</v>
      </c>
      <c r="B219" s="662"/>
      <c r="C219" s="11" t="s">
        <v>31</v>
      </c>
      <c r="D219" s="15">
        <f>Mulanje!D219+Mulanje!E219+Mulanje!F219+Mulanje!G219+Mulanje!H219+Mulanje!I219</f>
        <v>94297811.780000001</v>
      </c>
      <c r="E219" s="15">
        <f>Luchenza!D219+Luchenza!E219+Luchenza!F219+Luchenza!G219+Luchenza!H219+Luchenza!I219</f>
        <v>31706813.07</v>
      </c>
      <c r="F219" s="15">
        <f>Thyolo!D219+Thyolo!E219+Thyolo!F219+Thyolo!G219+Thyolo!H219+Thyolo!I219</f>
        <v>36222296.870000005</v>
      </c>
      <c r="G219" s="15">
        <f>Muloza!D219+Muloza!E219+Muloza!F219+Muloza!G219+Muloza!H219+Muloza!I219</f>
        <v>17929595.869999997</v>
      </c>
      <c r="H219" s="15">
        <f>MUST!D219+MUST!E219+MUST!F219+MUST!G219+MUST!H219+MUST!I219</f>
        <v>4270347.6000000006</v>
      </c>
      <c r="I219" s="15">
        <f>Phalombe!D219+Phalombe!E219+Phalombe!F219+Phalombe!G219+Phalombe!H219+Phalombe!I219</f>
        <v>30646277.010000002</v>
      </c>
      <c r="J219" s="15">
        <f>Mikolongwe!D219+Mikolongwe!E219+Mikolongwe!F219+Mikolongwe!G219+Mikolongwe!H219+Mikolongwe!I219</f>
        <v>538418.65</v>
      </c>
      <c r="K219" s="15">
        <f>Migowi!D219+Migowi!E219+Migowi!F219+Migowi!G219+Migowi!H219+Migowi!I219</f>
        <v>0</v>
      </c>
      <c r="L219" s="39">
        <f>SUM(D219:K219)</f>
        <v>215611560.84999999</v>
      </c>
    </row>
    <row r="220" spans="1:12" ht="15.6" x14ac:dyDescent="0.3">
      <c r="A220" s="661" t="s">
        <v>34</v>
      </c>
      <c r="B220" s="662"/>
      <c r="C220" s="11" t="s">
        <v>31</v>
      </c>
      <c r="D220" s="15">
        <f>Mulanje!D220+Mulanje!E220+Mulanje!F220+Mulanje!G220+Mulanje!H220+Mulanje!I220</f>
        <v>1128372.0899999999</v>
      </c>
      <c r="E220" s="15">
        <f>Luchenza!D220+Luchenza!E220+Luchenza!F220+Luchenza!G220+Luchenza!H220+Luchenza!I220</f>
        <v>20692.910000000003</v>
      </c>
      <c r="F220" s="15">
        <f>Thyolo!D220+Thyolo!E220+Thyolo!F220+Thyolo!G220+Thyolo!H220+Thyolo!I220</f>
        <v>21214.11</v>
      </c>
      <c r="G220" s="15">
        <f>Muloza!D220+Muloza!E220+Muloza!F220+Muloza!G220+Muloza!H220+Muloza!I220</f>
        <v>10954.93</v>
      </c>
      <c r="H220" s="15">
        <f>MUST!D220+MUST!E220+MUST!F220+MUST!G220+MUST!H220+MUST!I220</f>
        <v>0</v>
      </c>
      <c r="I220" s="15">
        <f>Phalombe!D220+Phalombe!E220+Phalombe!F220+Phalombe!G220+Phalombe!H220+Phalombe!I220</f>
        <v>0</v>
      </c>
      <c r="J220" s="15">
        <f>Mikolongwe!D220+Mikolongwe!E220+Mikolongwe!F220+Mikolongwe!G220+Mikolongwe!H220+Mikolongwe!I220</f>
        <v>0</v>
      </c>
      <c r="K220" s="15">
        <f>Migowi!D220+Migowi!E220+Migowi!F220+Migowi!G220+Migowi!H220+Migowi!I220</f>
        <v>0</v>
      </c>
      <c r="L220" s="39">
        <f>SUM(D220:K220)</f>
        <v>1181234.0399999998</v>
      </c>
    </row>
    <row r="221" spans="1:12" ht="15.6" x14ac:dyDescent="0.3">
      <c r="A221" s="661" t="s">
        <v>33</v>
      </c>
      <c r="B221" s="662"/>
      <c r="C221" s="11" t="s">
        <v>31</v>
      </c>
      <c r="D221" s="15">
        <f>Mulanje!D221+Mulanje!E221+Mulanje!F221+Mulanje!G221+Mulanje!H221+Mulanje!I221</f>
        <v>10912306.860000001</v>
      </c>
      <c r="E221" s="15">
        <f>Luchenza!D221+Luchenza!E221+Luchenza!F221+Luchenza!G221+Luchenza!H221+Luchenza!I221</f>
        <v>52112728.719999999</v>
      </c>
      <c r="F221" s="15">
        <f>Thyolo!D221+Thyolo!E221+Thyolo!F221+Thyolo!G221+Thyolo!H221+Thyolo!I221</f>
        <v>17709462.599999998</v>
      </c>
      <c r="G221" s="15">
        <f>Muloza!D221+Muloza!E221+Muloza!F221+Muloza!G221+Muloza!H221+Muloza!I221</f>
        <v>7513673.2200000007</v>
      </c>
      <c r="H221" s="15">
        <f>MUST!D221+MUST!E221+MUST!F221+MUST!G221+MUST!H221+MUST!I221</f>
        <v>139340243</v>
      </c>
      <c r="I221" s="15">
        <f>Phalombe!D221+Phalombe!E221+Phalombe!F221+Phalombe!G221+Phalombe!H221+Phalombe!I221</f>
        <v>3596720.96</v>
      </c>
      <c r="J221" s="15">
        <f>Mikolongwe!D221+Mikolongwe!E221+Mikolongwe!F221+Mikolongwe!G221+Mikolongwe!H221+Mikolongwe!I221</f>
        <v>0</v>
      </c>
      <c r="K221" s="15">
        <f>Migowi!D221+Migowi!E221+Migowi!F221+Migowi!G221+Migowi!H221+Migowi!I221</f>
        <v>0</v>
      </c>
      <c r="L221" s="39">
        <f>SUM(D221:K221)</f>
        <v>231185135.35999998</v>
      </c>
    </row>
    <row r="222" spans="1:12" ht="15.6" x14ac:dyDescent="0.3">
      <c r="A222" s="661" t="s">
        <v>32</v>
      </c>
      <c r="B222" s="662"/>
      <c r="C222" s="11" t="s">
        <v>31</v>
      </c>
      <c r="D222" s="15">
        <f>Mulanje!D222+Mulanje!E222+Mulanje!F222+Mulanje!G222+Mulanje!H222+Mulanje!I222</f>
        <v>807709.65</v>
      </c>
      <c r="E222" s="15">
        <f>Luchenza!D222+Luchenza!E222+Luchenza!F222+Luchenza!G222+Luchenza!H222+Luchenza!I222</f>
        <v>2704235.8</v>
      </c>
      <c r="F222" s="15">
        <f>Thyolo!D222+Thyolo!E222+Thyolo!F222+Thyolo!G222+Thyolo!H222+Thyolo!I222</f>
        <v>5525434.2999999998</v>
      </c>
      <c r="G222" s="15">
        <f>Muloza!D222+Muloza!E222+Muloza!F222+Muloza!G222+Muloza!H222+Muloza!I222</f>
        <v>1841042.53</v>
      </c>
      <c r="H222" s="15">
        <f>MUST!D222+MUST!E222+MUST!F222+MUST!G222+MUST!H222+MUST!I222</f>
        <v>1368566.74</v>
      </c>
      <c r="I222" s="15">
        <f>Phalombe!D222+Phalombe!E222+Phalombe!F222+Phalombe!G222+Phalombe!H222+Phalombe!I222</f>
        <v>722291.41999999993</v>
      </c>
      <c r="J222" s="15">
        <f>Mikolongwe!D222+Mikolongwe!E222+Mikolongwe!F222+Mikolongwe!G222+Mikolongwe!H222+Mikolongwe!I222</f>
        <v>0</v>
      </c>
      <c r="K222" s="15">
        <f>Migowi!D222+Migowi!E222+Migowi!F222+Migowi!G222+Migowi!H222+Migowi!I222</f>
        <v>0</v>
      </c>
      <c r="L222" s="39">
        <f>SUM(D222:K222)</f>
        <v>12969280.439999999</v>
      </c>
    </row>
    <row r="223" spans="1:12" ht="15.6" x14ac:dyDescent="0.3">
      <c r="A223" s="647" t="s">
        <v>36</v>
      </c>
      <c r="B223" s="648"/>
      <c r="C223" s="11" t="s">
        <v>31</v>
      </c>
      <c r="D223" s="12">
        <f t="shared" ref="D223:K223" si="53">SUM(D219:D222)</f>
        <v>107146200.38000001</v>
      </c>
      <c r="E223" s="10">
        <f t="shared" si="53"/>
        <v>86544470.5</v>
      </c>
      <c r="F223" s="10">
        <f t="shared" si="53"/>
        <v>59478407.879999995</v>
      </c>
      <c r="G223" s="10">
        <f t="shared" si="53"/>
        <v>27295266.549999997</v>
      </c>
      <c r="H223" s="10">
        <f t="shared" si="53"/>
        <v>144979157.34</v>
      </c>
      <c r="I223" s="10">
        <f t="shared" si="53"/>
        <v>34965289.390000001</v>
      </c>
      <c r="J223" s="14">
        <f t="shared" si="53"/>
        <v>538418.65</v>
      </c>
      <c r="K223" s="14">
        <f t="shared" si="53"/>
        <v>0</v>
      </c>
      <c r="L223" s="39">
        <f>SUM(D223:K223)</f>
        <v>460947210.68999994</v>
      </c>
    </row>
    <row r="224" spans="1:12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1"/>
    </row>
    <row r="225" spans="1:12" ht="15.6" x14ac:dyDescent="0.3">
      <c r="A225" s="661" t="s">
        <v>35</v>
      </c>
      <c r="B225" s="662"/>
      <c r="C225" s="11" t="s">
        <v>31</v>
      </c>
      <c r="D225" s="15">
        <f>Mulanje!D225+Mulanje!E225+Mulanje!F225+Mulanje!G225+Mulanje!H225+Mulanje!I225</f>
        <v>0</v>
      </c>
      <c r="E225" s="15">
        <f>Luchenza!D225+Luchenza!E225+Luchenza!F225+Luchenza!G225+Luchenza!H225+Luchenza!I225</f>
        <v>0</v>
      </c>
      <c r="F225" s="15">
        <f>Thyolo!D225+Thyolo!E225+Thyolo!F225+Thyolo!G225+Thyolo!H225+Thyolo!I225</f>
        <v>0</v>
      </c>
      <c r="G225" s="15">
        <f>Muloza!D225+Muloza!E225+Muloza!F225+Muloza!G225+Muloza!H225+Muloza!I225</f>
        <v>0</v>
      </c>
      <c r="H225" s="15">
        <f>MUST!D225+MUST!E225+MUST!F225+MUST!G225+MUST!H225+MUST!I225</f>
        <v>0</v>
      </c>
      <c r="I225" s="15">
        <f>Phalombe!D225+Phalombe!E225+Phalombe!F225+Phalombe!G225+Phalombe!H225+Phalombe!I225</f>
        <v>0</v>
      </c>
      <c r="J225" s="15">
        <f>Mikolongwe!D225+Mikolongwe!E225+Mikolongwe!F225+Mikolongwe!G225+Mikolongwe!H225+Mikolongwe!I225</f>
        <v>0</v>
      </c>
      <c r="K225" s="15">
        <f>Migowi!D225+Migowi!E225+Migowi!F225+Migowi!G225+Migowi!H225+Migowi!I225</f>
        <v>0</v>
      </c>
      <c r="L225" s="39">
        <f t="shared" ref="L225:L230" si="54">SUM(D225:K225)</f>
        <v>0</v>
      </c>
    </row>
    <row r="226" spans="1:12" ht="15.6" x14ac:dyDescent="0.3">
      <c r="A226" s="661" t="s">
        <v>34</v>
      </c>
      <c r="B226" s="662"/>
      <c r="C226" s="11" t="s">
        <v>31</v>
      </c>
      <c r="D226" s="15">
        <f>Mulanje!D226+Mulanje!E226+Mulanje!F226+Mulanje!G226+Mulanje!H226+Mulanje!I226</f>
        <v>0</v>
      </c>
      <c r="E226" s="15">
        <f>Luchenza!D226+Luchenza!E226+Luchenza!F226+Luchenza!G226+Luchenza!H226+Luchenza!I226</f>
        <v>0</v>
      </c>
      <c r="F226" s="15">
        <f>Thyolo!D226+Thyolo!E226+Thyolo!F226+Thyolo!G226+Thyolo!H226+Thyolo!I226</f>
        <v>0</v>
      </c>
      <c r="G226" s="15">
        <f>Muloza!D226+Muloza!E226+Muloza!F226+Muloza!G226+Muloza!H226+Muloza!I226</f>
        <v>0</v>
      </c>
      <c r="H226" s="15">
        <f>MUST!D226+MUST!E226+MUST!F226+MUST!G226+MUST!H226+MUST!I226</f>
        <v>0</v>
      </c>
      <c r="I226" s="15">
        <f>Phalombe!D226+Phalombe!E226+Phalombe!F226+Phalombe!G226+Phalombe!H226+Phalombe!I226</f>
        <v>0</v>
      </c>
      <c r="J226" s="15">
        <f>Mikolongwe!D226+Mikolongwe!E226+Mikolongwe!F226+Mikolongwe!G226+Mikolongwe!H226+Mikolongwe!I226</f>
        <v>0</v>
      </c>
      <c r="K226" s="15">
        <f>Migowi!D226+Migowi!E226+Migowi!F226+Migowi!G226+Migowi!H226+Migowi!I226</f>
        <v>0</v>
      </c>
      <c r="L226" s="39">
        <f t="shared" si="54"/>
        <v>0</v>
      </c>
    </row>
    <row r="227" spans="1:12" ht="15.6" x14ac:dyDescent="0.3">
      <c r="A227" s="661" t="s">
        <v>33</v>
      </c>
      <c r="B227" s="662"/>
      <c r="C227" s="11" t="s">
        <v>31</v>
      </c>
      <c r="D227" s="15">
        <f>Mulanje!D227+Mulanje!E227+Mulanje!F227+Mulanje!G227+Mulanje!H227+Mulanje!I227</f>
        <v>0</v>
      </c>
      <c r="E227" s="15">
        <f>Luchenza!D227+Luchenza!E227+Luchenza!F227+Luchenza!G227+Luchenza!H227+Luchenza!I227</f>
        <v>0</v>
      </c>
      <c r="F227" s="15">
        <f>Thyolo!D227+Thyolo!E227+Thyolo!F227+Thyolo!G227+Thyolo!H227+Thyolo!I227</f>
        <v>0</v>
      </c>
      <c r="G227" s="15">
        <f>Muloza!D227+Muloza!E227+Muloza!F227+Muloza!G227+Muloza!H227+Muloza!I227</f>
        <v>0</v>
      </c>
      <c r="H227" s="15">
        <f>MUST!D227+MUST!E227+MUST!F227+MUST!G227+MUST!H227+MUST!I227</f>
        <v>0</v>
      </c>
      <c r="I227" s="15">
        <f>Phalombe!D227+Phalombe!E227+Phalombe!F227+Phalombe!G227+Phalombe!H227+Phalombe!I227</f>
        <v>0</v>
      </c>
      <c r="J227" s="15">
        <f>Mikolongwe!D227+Mikolongwe!E227+Mikolongwe!F227+Mikolongwe!G227+Mikolongwe!H227+Mikolongwe!I227</f>
        <v>0</v>
      </c>
      <c r="K227" s="15">
        <f>Migowi!D227+Migowi!E227+Migowi!F227+Migowi!G227+Migowi!H227+Migowi!I227</f>
        <v>0</v>
      </c>
      <c r="L227" s="39">
        <f t="shared" si="54"/>
        <v>0</v>
      </c>
    </row>
    <row r="228" spans="1:12" ht="15.6" x14ac:dyDescent="0.3">
      <c r="A228" s="661" t="s">
        <v>32</v>
      </c>
      <c r="B228" s="662"/>
      <c r="C228" s="11" t="s">
        <v>31</v>
      </c>
      <c r="D228" s="15">
        <f>Mulanje!D228+Mulanje!E228+Mulanje!F228+Mulanje!G228+Mulanje!H228+Mulanje!I228</f>
        <v>0</v>
      </c>
      <c r="E228" s="15">
        <f>Luchenza!D228+Luchenza!E228+Luchenza!F228+Luchenza!G228+Luchenza!H228+Luchenza!I228</f>
        <v>0</v>
      </c>
      <c r="F228" s="15">
        <f>Thyolo!D228+Thyolo!E228+Thyolo!F228+Thyolo!G228+Thyolo!H228+Thyolo!I228</f>
        <v>0</v>
      </c>
      <c r="G228" s="15">
        <f>Muloza!D228+Muloza!E228+Muloza!F228+Muloza!G228+Muloza!H228+Muloza!I228</f>
        <v>0</v>
      </c>
      <c r="H228" s="15">
        <f>MUST!D228+MUST!E228+MUST!F228+MUST!G228+MUST!H228+MUST!I228</f>
        <v>0</v>
      </c>
      <c r="I228" s="15">
        <f>Phalombe!D228+Phalombe!E228+Phalombe!F228+Phalombe!G228+Phalombe!H228+Phalombe!I228</f>
        <v>0</v>
      </c>
      <c r="J228" s="15">
        <f>Mikolongwe!D228+Mikolongwe!E228+Mikolongwe!F228+Mikolongwe!G228+Mikolongwe!H228+Mikolongwe!I228</f>
        <v>0</v>
      </c>
      <c r="K228" s="15">
        <f>Migowi!D228+Migowi!E228+Migowi!F228+Migowi!G228+Migowi!H228+Migowi!I228</f>
        <v>0</v>
      </c>
      <c r="L228" s="39">
        <f t="shared" si="54"/>
        <v>0</v>
      </c>
    </row>
    <row r="229" spans="1:12" ht="15.6" x14ac:dyDescent="0.3">
      <c r="A229" s="647" t="s">
        <v>212</v>
      </c>
      <c r="B229" s="648"/>
      <c r="C229" s="11" t="s">
        <v>31</v>
      </c>
      <c r="D229" s="12">
        <f t="shared" ref="D229:K229" si="55">SUM(D225:D228)</f>
        <v>0</v>
      </c>
      <c r="E229" s="10">
        <f t="shared" si="55"/>
        <v>0</v>
      </c>
      <c r="F229" s="10">
        <f t="shared" si="55"/>
        <v>0</v>
      </c>
      <c r="G229" s="10">
        <f t="shared" si="55"/>
        <v>0</v>
      </c>
      <c r="H229" s="10">
        <f t="shared" si="55"/>
        <v>0</v>
      </c>
      <c r="I229" s="10">
        <f t="shared" si="55"/>
        <v>0</v>
      </c>
      <c r="J229" s="14">
        <f t="shared" si="55"/>
        <v>0</v>
      </c>
      <c r="K229" s="14">
        <f t="shared" si="55"/>
        <v>0</v>
      </c>
      <c r="L229" s="39">
        <f t="shared" si="54"/>
        <v>0</v>
      </c>
    </row>
    <row r="230" spans="1:12" ht="15.6" x14ac:dyDescent="0.3">
      <c r="A230" s="579" t="s">
        <v>213</v>
      </c>
      <c r="B230" s="119"/>
      <c r="C230" s="11" t="s">
        <v>31</v>
      </c>
      <c r="D230" s="12">
        <f>D223+D229</f>
        <v>107146200.38000001</v>
      </c>
      <c r="E230" s="12">
        <f t="shared" ref="E230:K230" si="56">E223+E229</f>
        <v>86544470.5</v>
      </c>
      <c r="F230" s="12">
        <f t="shared" si="56"/>
        <v>59478407.879999995</v>
      </c>
      <c r="G230" s="12">
        <f t="shared" si="56"/>
        <v>27295266.549999997</v>
      </c>
      <c r="H230" s="12">
        <f t="shared" si="56"/>
        <v>144979157.34</v>
      </c>
      <c r="I230" s="12">
        <f t="shared" si="56"/>
        <v>34965289.390000001</v>
      </c>
      <c r="J230" s="12">
        <f t="shared" si="56"/>
        <v>538418.65</v>
      </c>
      <c r="K230" s="12">
        <f t="shared" si="56"/>
        <v>0</v>
      </c>
      <c r="L230" s="39">
        <f t="shared" si="54"/>
        <v>460947210.68999994</v>
      </c>
    </row>
    <row r="231" spans="1:12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1"/>
    </row>
    <row r="232" spans="1:12" ht="15.6" x14ac:dyDescent="0.3">
      <c r="A232" s="661" t="s">
        <v>29</v>
      </c>
      <c r="B232" s="662"/>
      <c r="C232" s="11" t="s">
        <v>18</v>
      </c>
      <c r="D232" s="15">
        <f>Mulanje!D232+Mulanje!E232+Mulanje!F232+Mulanje!G232+Mulanje!H232+Mulanje!I232</f>
        <v>5850370.1699999999</v>
      </c>
      <c r="E232" s="15">
        <f>Luchenza!D232+Luchenza!E232+Luchenza!F232+Luchenza!G232+Luchenza!H232+Luchenza!I232</f>
        <v>2740673.2</v>
      </c>
      <c r="F232" s="15">
        <f>Thyolo!D232+Thyolo!E232+Thyolo!F232+Thyolo!G232+Thyolo!H232+Thyolo!I232</f>
        <v>2460803.0799999996</v>
      </c>
      <c r="G232" s="15">
        <f>Muloza!D232+Muloza!E232+Muloza!F232+Muloza!G232+Muloza!H232+Muloza!I232</f>
        <v>1358450.65</v>
      </c>
      <c r="H232" s="15">
        <f>MUST!D232+MUST!E232+MUST!F232+MUST!G232+MUST!H232+MUST!I232</f>
        <v>218456.43</v>
      </c>
      <c r="I232" s="15">
        <f>Phalombe!D232+Phalombe!E232+Phalombe!F232+Phalombe!G232+Phalombe!H232+Phalombe!I232</f>
        <v>1519706</v>
      </c>
      <c r="J232" s="15">
        <f>Mikolongwe!D232+Mikolongwe!E232+Mikolongwe!F232+Mikolongwe!G232+Mikolongwe!H232+Mikolongwe!I232</f>
        <v>67028.75</v>
      </c>
      <c r="K232" s="15">
        <f>Migowi!D232+Migowi!E232+Migowi!F232+Migowi!G232+Migowi!H232+Migowi!I232</f>
        <v>0</v>
      </c>
      <c r="L232" s="39">
        <f>SUM(D232:K232)</f>
        <v>14215488.280000001</v>
      </c>
    </row>
    <row r="233" spans="1:12" ht="15.6" x14ac:dyDescent="0.3">
      <c r="A233" s="661" t="s">
        <v>28</v>
      </c>
      <c r="B233" s="662"/>
      <c r="C233" s="11" t="s">
        <v>18</v>
      </c>
      <c r="D233" s="15">
        <f>Mulanje!D233+Mulanje!E233+Mulanje!F233+Mulanje!G233+Mulanje!H233+Mulanje!I233</f>
        <v>15997.53</v>
      </c>
      <c r="E233" s="15">
        <f>Luchenza!D233+Luchenza!E233+Luchenza!F233+Luchenza!G233+Luchenza!H233+Luchenza!I233</f>
        <v>2956.13</v>
      </c>
      <c r="F233" s="15">
        <f>Thyolo!D233+Thyolo!E233+Thyolo!F233+Thyolo!G233+Thyolo!H233+Thyolo!I233</f>
        <v>2086.8999999999996</v>
      </c>
      <c r="G233" s="15">
        <f>Muloza!D233+Muloza!E233+Muloza!F233+Muloza!G233+Muloza!H233+Muloza!I233</f>
        <v>1043.56</v>
      </c>
      <c r="H233" s="15">
        <f>MUST!D233+MUST!E233+MUST!F233+MUST!G233+MUST!H233+MUST!I233</f>
        <v>0</v>
      </c>
      <c r="I233" s="15">
        <f>Phalombe!D233+Phalombe!E233+Phalombe!F233+Phalombe!G233+Phalombe!H233+Phalombe!I233</f>
        <v>0</v>
      </c>
      <c r="J233" s="15">
        <f>Mikolongwe!D233+Mikolongwe!E233+Mikolongwe!F233+Mikolongwe!G233+Mikolongwe!H233+Mikolongwe!I233</f>
        <v>0</v>
      </c>
      <c r="K233" s="15">
        <f>Migowi!D233+Migowi!E233+Migowi!F233+Migowi!G233+Migowi!H233+Migowi!I233</f>
        <v>0</v>
      </c>
      <c r="L233" s="39">
        <f>SUM(D233:K233)</f>
        <v>22084.12</v>
      </c>
    </row>
    <row r="234" spans="1:12" ht="15.6" x14ac:dyDescent="0.3">
      <c r="A234" s="661" t="s">
        <v>27</v>
      </c>
      <c r="B234" s="662"/>
      <c r="C234" s="11" t="s">
        <v>18</v>
      </c>
      <c r="D234" s="15">
        <f>Mulanje!D234+Mulanje!E234+Mulanje!F234+Mulanje!G234+Mulanje!H234+Mulanje!I234</f>
        <v>478194.67000000004</v>
      </c>
      <c r="E234" s="15">
        <f>Luchenza!D234+Luchenza!E234+Luchenza!F234+Luchenza!G234+Luchenza!H234+Luchenza!I234</f>
        <v>161455.10999999999</v>
      </c>
      <c r="F234" s="15">
        <f>Thyolo!D234+Thyolo!E234+Thyolo!F234+Thyolo!G234+Thyolo!H234+Thyolo!I234</f>
        <v>238583.52000000002</v>
      </c>
      <c r="G234" s="15">
        <f>Muloza!D234+Muloza!E234+Muloza!F234+Muloza!G234+Muloza!H234+Muloza!I234</f>
        <v>79185.69</v>
      </c>
      <c r="H234" s="15">
        <f>MUST!D234+MUST!E234+MUST!F234+MUST!G234+MUST!H234+MUST!I234</f>
        <v>106951.15000000001</v>
      </c>
      <c r="I234" s="15">
        <f>Phalombe!D234+Phalombe!E234+Phalombe!F234+Phalombe!G234+Phalombe!H234+Phalombe!I234</f>
        <v>124433.89</v>
      </c>
      <c r="J234" s="15">
        <f>Mikolongwe!D234+Mikolongwe!E234+Mikolongwe!F234+Mikolongwe!G234+Mikolongwe!H234+Mikolongwe!I234</f>
        <v>0</v>
      </c>
      <c r="K234" s="15">
        <f>Migowi!D234+Migowi!E234+Migowi!F234+Migowi!G234+Migowi!H234+Migowi!I234</f>
        <v>0</v>
      </c>
      <c r="L234" s="39">
        <f>SUM(D234:K234)</f>
        <v>1188804.0299999998</v>
      </c>
    </row>
    <row r="235" spans="1:12" ht="15.6" x14ac:dyDescent="0.3">
      <c r="A235" s="661" t="s">
        <v>26</v>
      </c>
      <c r="B235" s="662"/>
      <c r="C235" s="11" t="s">
        <v>18</v>
      </c>
      <c r="D235" s="15">
        <f>Mulanje!D235+Mulanje!E235+Mulanje!F235+Mulanje!G235+Mulanje!H235+Mulanje!I235</f>
        <v>250136.11</v>
      </c>
      <c r="E235" s="15">
        <f>Luchenza!D235+Luchenza!E235+Luchenza!F235+Luchenza!G235+Luchenza!H235+Luchenza!I235</f>
        <v>472166.19000000006</v>
      </c>
      <c r="F235" s="15">
        <f>Thyolo!D235+Thyolo!E235+Thyolo!F235+Thyolo!G235+Thyolo!H235+Thyolo!I235</f>
        <v>361226.04</v>
      </c>
      <c r="G235" s="15">
        <f>Muloza!D235+Muloza!E235+Muloza!F235+Muloza!G235+Muloza!H235+Muloza!I235</f>
        <v>296509.33</v>
      </c>
      <c r="H235" s="15">
        <f>MUST!D235+MUST!E235+MUST!F235+MUST!G235+MUST!H235+MUST!I235</f>
        <v>23889.360000000004</v>
      </c>
      <c r="I235" s="15">
        <f>Phalombe!D235+Phalombe!E235+Phalombe!F235+Phalombe!G235+Phalombe!H235+Phalombe!I235</f>
        <v>115231.18</v>
      </c>
      <c r="J235" s="15">
        <f>Mikolongwe!D235+Mikolongwe!E235+Mikolongwe!F235+Mikolongwe!G235+Mikolongwe!H235+Mikolongwe!I235</f>
        <v>0</v>
      </c>
      <c r="K235" s="15">
        <f>Migowi!D235+Migowi!E235+Migowi!F235+Migowi!G235+Migowi!H235+Migowi!I235</f>
        <v>0</v>
      </c>
      <c r="L235" s="39">
        <f>SUM(D235:K235)</f>
        <v>1519158.2100000002</v>
      </c>
    </row>
    <row r="236" spans="1:12" ht="15.6" x14ac:dyDescent="0.3">
      <c r="A236" s="647" t="s">
        <v>25</v>
      </c>
      <c r="B236" s="648"/>
      <c r="C236" s="11" t="s">
        <v>18</v>
      </c>
      <c r="D236" s="12">
        <f t="shared" ref="D236:K236" si="57">SUM(D232:D235)</f>
        <v>6594698.4800000004</v>
      </c>
      <c r="E236" s="10">
        <f t="shared" si="57"/>
        <v>3377250.63</v>
      </c>
      <c r="F236" s="10">
        <f t="shared" si="57"/>
        <v>3062699.5399999996</v>
      </c>
      <c r="G236" s="10">
        <f t="shared" si="57"/>
        <v>1735189.23</v>
      </c>
      <c r="H236" s="10">
        <f t="shared" si="57"/>
        <v>349296.94</v>
      </c>
      <c r="I236" s="10">
        <f t="shared" si="57"/>
        <v>1759371.0699999998</v>
      </c>
      <c r="J236" s="14">
        <f t="shared" si="57"/>
        <v>67028.75</v>
      </c>
      <c r="K236" s="14">
        <f t="shared" si="57"/>
        <v>0</v>
      </c>
      <c r="L236" s="40">
        <f>SUM(L232:L235)</f>
        <v>16945534.640000001</v>
      </c>
    </row>
    <row r="237" spans="1:12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1"/>
    </row>
    <row r="238" spans="1:12" ht="15.6" x14ac:dyDescent="0.3">
      <c r="A238" s="661" t="s">
        <v>23</v>
      </c>
      <c r="B238" s="662"/>
      <c r="C238" s="11" t="s">
        <v>18</v>
      </c>
      <c r="D238" s="15">
        <f>Mulanje!D238+Mulanje!E238+Mulanje!F238+Mulanje!G238+Mulanje!H238+Mulanje!I238</f>
        <v>10755292</v>
      </c>
      <c r="E238" s="15">
        <f>Luchenza!D238+Luchenza!E238+Luchenza!F238+Luchenza!G238+Luchenza!H238+Luchenza!I238</f>
        <v>5032948</v>
      </c>
      <c r="F238" s="15">
        <f>Thyolo!D238+Thyolo!E238+Thyolo!F238+Thyolo!G238+Thyolo!H238+Thyolo!I238</f>
        <v>4770406</v>
      </c>
      <c r="G238" s="15">
        <f>Muloza!D238+Muloza!E238+Muloza!F238+Muloza!G238+Muloza!H238+Muloza!I238</f>
        <v>2701325</v>
      </c>
      <c r="H238" s="15">
        <f>MUST!D238+MUST!E238+MUST!F238+MUST!G238+MUST!H238+MUST!I238</f>
        <v>387562</v>
      </c>
      <c r="I238" s="15">
        <f>Phalombe!D238+Phalombe!E238+Phalombe!F238+Phalombe!G238+Phalombe!H238+Phalombe!I238</f>
        <v>2775444</v>
      </c>
      <c r="J238" s="15">
        <f>Mikolongwe!D238+Mikolongwe!E238+Mikolongwe!F238+Mikolongwe!G238+Mikolongwe!H238+Mikolongwe!I238</f>
        <v>115197</v>
      </c>
      <c r="K238" s="15">
        <f>Migowi!D238+Migowi!E238+Migowi!F238+Migowi!G238+Migowi!H238+Migowi!I238</f>
        <v>0</v>
      </c>
      <c r="L238" s="39">
        <f>SUM(D238:K238)</f>
        <v>26538174</v>
      </c>
    </row>
    <row r="239" spans="1:12" ht="15.6" x14ac:dyDescent="0.3">
      <c r="A239" s="661" t="s">
        <v>22</v>
      </c>
      <c r="B239" s="662"/>
      <c r="C239" s="11" t="s">
        <v>18</v>
      </c>
      <c r="D239" s="15">
        <f>Mulanje!D239+Mulanje!E239+Mulanje!F239+Mulanje!G239+Mulanje!H239+Mulanje!I239</f>
        <v>82156</v>
      </c>
      <c r="E239" s="15">
        <f>Luchenza!D239+Luchenza!E239+Luchenza!F239+Luchenza!G239+Luchenza!H239+Luchenza!I239</f>
        <v>15181</v>
      </c>
      <c r="F239" s="15">
        <f>Thyolo!D239+Thyolo!E239+Thyolo!F239+Thyolo!G239+Thyolo!H239+Thyolo!I239</f>
        <v>10716</v>
      </c>
      <c r="G239" s="15">
        <f>Muloza!D239+Muloza!E239+Muloza!F239+Muloza!G239+Muloza!H239+Muloza!I239</f>
        <v>5358</v>
      </c>
      <c r="H239" s="15">
        <f>MUST!D239+MUST!E239+MUST!F239+MUST!G239+MUST!H239+MUST!I239</f>
        <v>0</v>
      </c>
      <c r="I239" s="15">
        <f>Phalombe!D239+Phalombe!E239+Phalombe!F239+Phalombe!G239+Phalombe!H239+Phalombe!I239</f>
        <v>0</v>
      </c>
      <c r="J239" s="15">
        <f>Mikolongwe!D239+Mikolongwe!E239+Mikolongwe!F239+Mikolongwe!G239+Mikolongwe!H239+Mikolongwe!I239</f>
        <v>0</v>
      </c>
      <c r="K239" s="15">
        <f>Migowi!D239+Migowi!E239+Migowi!F239+Migowi!G239+Migowi!H239+Migowi!I239</f>
        <v>0</v>
      </c>
      <c r="L239" s="39">
        <f>SUM(D239:K239)</f>
        <v>113411</v>
      </c>
    </row>
    <row r="240" spans="1:12" ht="15.6" x14ac:dyDescent="0.3">
      <c r="A240" s="661" t="s">
        <v>21</v>
      </c>
      <c r="B240" s="662"/>
      <c r="C240" s="11" t="s">
        <v>18</v>
      </c>
      <c r="D240" s="15">
        <f>Mulanje!D240+Mulanje!E240+Mulanje!F240+Mulanje!G240+Mulanje!H240+Mulanje!I240</f>
        <v>147345</v>
      </c>
      <c r="E240" s="15">
        <f>Luchenza!D240+Luchenza!E240+Luchenza!F240+Luchenza!G240+Luchenza!H240+Luchenza!I240</f>
        <v>49115</v>
      </c>
      <c r="F240" s="15">
        <f>Thyolo!D240+Thyolo!E240+Thyolo!F240+Thyolo!G240+Thyolo!H240+Thyolo!I240</f>
        <v>73226</v>
      </c>
      <c r="G240" s="15">
        <f>Muloza!D240+Muloza!E240+Muloza!F240+Muloza!G240+Muloza!H240+Muloza!I240</f>
        <v>24111</v>
      </c>
      <c r="H240" s="15">
        <f>MUST!D240+MUST!E240+MUST!F240+MUST!G240+MUST!H240+MUST!I240</f>
        <v>33040</v>
      </c>
      <c r="I240" s="15">
        <f>Phalombe!D240+Phalombe!E240+Phalombe!F240+Phalombe!G240+Phalombe!H240+Phalombe!I240</f>
        <v>39292</v>
      </c>
      <c r="J240" s="15">
        <f>Mikolongwe!D240+Mikolongwe!E240+Mikolongwe!F240+Mikolongwe!G240+Mikolongwe!H240+Mikolongwe!I240</f>
        <v>0</v>
      </c>
      <c r="K240" s="15">
        <f>Migowi!D240+Migowi!E240+Migowi!F240+Migowi!G240+Migowi!H240+Migowi!I240</f>
        <v>0</v>
      </c>
      <c r="L240" s="39">
        <f>SUM(D240:K240)</f>
        <v>366129</v>
      </c>
    </row>
    <row r="241" spans="1:12" ht="15.6" x14ac:dyDescent="0.3">
      <c r="A241" s="661" t="s">
        <v>20</v>
      </c>
      <c r="B241" s="662"/>
      <c r="C241" s="11" t="s">
        <v>18</v>
      </c>
      <c r="D241" s="15">
        <f>Mulanje!D241+Mulanje!E241+Mulanje!F241+Mulanje!G241+Mulanje!H241+Mulanje!I241</f>
        <v>55366</v>
      </c>
      <c r="E241" s="15">
        <f>Luchenza!D241+Luchenza!E241+Luchenza!F241+Luchenza!G241+Luchenza!H241+Luchenza!I241</f>
        <v>453421.62</v>
      </c>
      <c r="F241" s="15">
        <f>Thyolo!D241+Thyolo!E241+Thyolo!F241+Thyolo!G241+Thyolo!H241+Thyolo!I241</f>
        <v>98230</v>
      </c>
      <c r="G241" s="15">
        <f>Muloza!D241+Muloza!E241+Muloza!F241+Muloza!G241+Muloza!H241+Muloza!I241</f>
        <v>66082</v>
      </c>
      <c r="H241" s="15">
        <f>MUST!D241+MUST!E241+MUST!F241+MUST!G241+MUST!H241+MUST!I241</f>
        <v>13396</v>
      </c>
      <c r="I241" s="15">
        <f>Phalombe!D241+Phalombe!E241+Phalombe!F241+Phalombe!G241+Phalombe!H241+Phalombe!I241</f>
        <v>25897</v>
      </c>
      <c r="J241" s="15">
        <f>Mikolongwe!D241+Mikolongwe!E241+Mikolongwe!F241+Mikolongwe!G241+Mikolongwe!H241+Mikolongwe!I241</f>
        <v>0</v>
      </c>
      <c r="K241" s="15">
        <f>Migowi!D241+Migowi!E241+Migowi!F241+Migowi!G241+Migowi!H241+Migowi!I241</f>
        <v>0</v>
      </c>
      <c r="L241" s="39">
        <f>SUM(D241:K241)</f>
        <v>712392.62</v>
      </c>
    </row>
    <row r="242" spans="1:12" ht="15.6" x14ac:dyDescent="0.3">
      <c r="A242" s="647" t="s">
        <v>19</v>
      </c>
      <c r="B242" s="648"/>
      <c r="C242" s="11" t="s">
        <v>18</v>
      </c>
      <c r="D242" s="12">
        <f t="shared" ref="D242:L242" si="58">SUM(D238:D241)</f>
        <v>11040159</v>
      </c>
      <c r="E242" s="12">
        <f t="shared" si="58"/>
        <v>5550665.6200000001</v>
      </c>
      <c r="F242" s="12">
        <f t="shared" si="58"/>
        <v>4952578</v>
      </c>
      <c r="G242" s="12">
        <f t="shared" si="58"/>
        <v>2796876</v>
      </c>
      <c r="H242" s="12">
        <f t="shared" si="58"/>
        <v>433998</v>
      </c>
      <c r="I242" s="12">
        <f t="shared" si="58"/>
        <v>2840633</v>
      </c>
      <c r="J242" s="12">
        <f t="shared" si="58"/>
        <v>115197</v>
      </c>
      <c r="K242" s="12">
        <f t="shared" si="58"/>
        <v>0</v>
      </c>
      <c r="L242" s="40">
        <f t="shared" si="58"/>
        <v>27730106.620000001</v>
      </c>
    </row>
    <row r="243" spans="1:12" ht="15.6" x14ac:dyDescent="0.3">
      <c r="A243" s="647" t="s">
        <v>214</v>
      </c>
      <c r="B243" s="648"/>
      <c r="C243" s="11" t="s">
        <v>18</v>
      </c>
      <c r="D243" s="10">
        <f>D230+D236+D242</f>
        <v>124781057.86000001</v>
      </c>
      <c r="E243" s="10">
        <f t="shared" ref="E243:K243" si="59">E230+E236+E242</f>
        <v>95472386.75</v>
      </c>
      <c r="F243" s="10">
        <f t="shared" si="59"/>
        <v>67493685.419999987</v>
      </c>
      <c r="G243" s="10">
        <f t="shared" si="59"/>
        <v>31827331.779999997</v>
      </c>
      <c r="H243" s="10">
        <f t="shared" si="59"/>
        <v>145762452.28</v>
      </c>
      <c r="I243" s="10">
        <f t="shared" si="59"/>
        <v>39565293.460000001</v>
      </c>
      <c r="J243" s="10">
        <f t="shared" si="59"/>
        <v>720644.4</v>
      </c>
      <c r="K243" s="10">
        <f t="shared" si="59"/>
        <v>0</v>
      </c>
      <c r="L243" s="40">
        <f t="shared" ref="L243" si="60">L216+L223+L236+L242</f>
        <v>807707309.46000004</v>
      </c>
    </row>
    <row r="244" spans="1:12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1"/>
    </row>
    <row r="245" spans="1:12" ht="15.6" x14ac:dyDescent="0.3">
      <c r="A245" s="657" t="s">
        <v>205</v>
      </c>
      <c r="B245" s="658"/>
      <c r="C245" s="11" t="s">
        <v>18</v>
      </c>
      <c r="D245" s="26">
        <f>Mulanje!I245</f>
        <v>120183192.38</v>
      </c>
      <c r="E245" s="26">
        <f>Luchenza!I245</f>
        <v>139520961.10000002</v>
      </c>
      <c r="F245" s="26">
        <f>Thyolo!I245</f>
        <v>51136761.109999999</v>
      </c>
      <c r="G245" s="26">
        <f>Muloza!I245</f>
        <v>46349131.100000009</v>
      </c>
      <c r="H245" s="26">
        <f>MUST!I245</f>
        <v>5838300.5100000054</v>
      </c>
      <c r="I245" s="26">
        <f>Phalombe!I245</f>
        <v>44342347.599999994</v>
      </c>
      <c r="J245" s="26">
        <f>Mikolongwe!I245</f>
        <v>2034203.5</v>
      </c>
      <c r="K245" s="26">
        <f>Migowi!I245</f>
        <v>0</v>
      </c>
      <c r="L245" s="39">
        <f>SUM(D245:K245)</f>
        <v>409404897.30000007</v>
      </c>
    </row>
    <row r="246" spans="1:12" ht="15.6" x14ac:dyDescent="0.3">
      <c r="A246" s="657" t="s">
        <v>206</v>
      </c>
      <c r="B246" s="658"/>
      <c r="C246" s="11" t="s">
        <v>18</v>
      </c>
      <c r="D246" s="26">
        <f>Mulanje!I246</f>
        <v>173398159.88</v>
      </c>
      <c r="E246" s="26">
        <f>Luchenza!I246</f>
        <v>42221905.229999997</v>
      </c>
      <c r="F246" s="26">
        <f>Thyolo!I246</f>
        <v>82050539.120000005</v>
      </c>
      <c r="G246" s="26">
        <f>Muloza!I246</f>
        <v>42694244.189999998</v>
      </c>
      <c r="H246" s="26">
        <f>MUST!I246</f>
        <v>38485538.759999998</v>
      </c>
      <c r="I246" s="26">
        <f>Phalombe!I246</f>
        <v>8644937.0600000005</v>
      </c>
      <c r="J246" s="26">
        <f>Mikolongwe!I246</f>
        <v>0</v>
      </c>
      <c r="K246" s="26">
        <f>Migowi!I246</f>
        <v>0</v>
      </c>
      <c r="L246" s="39">
        <f>SUM(D246:K246)</f>
        <v>387495324.24000001</v>
      </c>
    </row>
    <row r="247" spans="1:12" ht="15.6" x14ac:dyDescent="0.3">
      <c r="A247" s="659" t="s">
        <v>207</v>
      </c>
      <c r="B247" s="660"/>
      <c r="C247" s="11" t="s">
        <v>18</v>
      </c>
      <c r="D247" s="72">
        <f>D245+D246</f>
        <v>293581352.25999999</v>
      </c>
      <c r="E247" s="72">
        <f t="shared" ref="E247:L247" si="61">E245+E246</f>
        <v>181742866.33000001</v>
      </c>
      <c r="F247" s="72">
        <f t="shared" si="61"/>
        <v>133187300.23</v>
      </c>
      <c r="G247" s="72">
        <f t="shared" si="61"/>
        <v>89043375.290000007</v>
      </c>
      <c r="H247" s="72">
        <f t="shared" si="61"/>
        <v>44323839.270000003</v>
      </c>
      <c r="I247" s="72">
        <f t="shared" si="61"/>
        <v>52987284.659999996</v>
      </c>
      <c r="J247" s="72">
        <f t="shared" si="61"/>
        <v>2034203.5</v>
      </c>
      <c r="K247" s="72">
        <f t="shared" si="61"/>
        <v>0</v>
      </c>
      <c r="L247" s="165">
        <f t="shared" si="61"/>
        <v>796900221.54000008</v>
      </c>
    </row>
    <row r="248" spans="1:12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1"/>
    </row>
    <row r="249" spans="1:12" ht="15.6" x14ac:dyDescent="0.3">
      <c r="A249" s="643" t="s">
        <v>16</v>
      </c>
      <c r="B249" s="644"/>
      <c r="C249" s="5" t="s">
        <v>6</v>
      </c>
      <c r="D249" s="571">
        <f>D58/D243%</f>
        <v>32.577994807199971</v>
      </c>
      <c r="E249" s="571">
        <f t="shared" ref="E249:L249" si="62">E58/E243%</f>
        <v>42.421565900571764</v>
      </c>
      <c r="F249" s="571">
        <f t="shared" si="62"/>
        <v>67.462629878371047</v>
      </c>
      <c r="G249" s="571">
        <f t="shared" si="62"/>
        <v>92.640797096375394</v>
      </c>
      <c r="H249" s="571">
        <f t="shared" si="62"/>
        <v>14.170412018263008</v>
      </c>
      <c r="I249" s="571">
        <f t="shared" si="62"/>
        <v>41.043456481303188</v>
      </c>
      <c r="J249" s="571">
        <f t="shared" si="62"/>
        <v>207.84153552940489</v>
      </c>
      <c r="K249" s="571" t="e">
        <f t="shared" si="62"/>
        <v>#DIV/0!</v>
      </c>
      <c r="L249" s="111">
        <f t="shared" si="62"/>
        <v>24.392105123142397</v>
      </c>
    </row>
    <row r="250" spans="1:12" ht="15.6" x14ac:dyDescent="0.3">
      <c r="A250" s="643" t="s">
        <v>208</v>
      </c>
      <c r="B250" s="644"/>
      <c r="C250" s="5" t="s">
        <v>6</v>
      </c>
      <c r="D250" s="573">
        <f>D210/(D223+D245)%</f>
        <v>77.799160892809837</v>
      </c>
      <c r="E250" s="573">
        <f t="shared" ref="E250:L250" si="63">E210/(E223+E245)%</f>
        <v>20.647587408494346</v>
      </c>
      <c r="F250" s="573">
        <f t="shared" si="63"/>
        <v>36.94428574592191</v>
      </c>
      <c r="G250" s="573">
        <f t="shared" si="63"/>
        <v>35.431577638818524</v>
      </c>
      <c r="H250" s="573">
        <f t="shared" si="63"/>
        <v>212.22825332883033</v>
      </c>
      <c r="I250" s="573">
        <f t="shared" si="63"/>
        <v>41.545676356685007</v>
      </c>
      <c r="J250" s="573">
        <f t="shared" si="63"/>
        <v>48.361439708509081</v>
      </c>
      <c r="K250" s="573" t="e">
        <f t="shared" si="63"/>
        <v>#DIV/0!</v>
      </c>
      <c r="L250" s="108">
        <f t="shared" si="63"/>
        <v>74.081176520504073</v>
      </c>
    </row>
    <row r="251" spans="1:12" ht="16.2" thickBot="1" x14ac:dyDescent="0.35">
      <c r="A251" s="652" t="s">
        <v>15</v>
      </c>
      <c r="B251" s="653"/>
      <c r="C251" s="5" t="s">
        <v>6</v>
      </c>
      <c r="D251" s="7">
        <f>D210/D223%</f>
        <v>165.06451876291911</v>
      </c>
      <c r="E251" s="7">
        <f t="shared" ref="E251:L251" si="64">E210/E223%</f>
        <v>53.934188192878246</v>
      </c>
      <c r="F251" s="7">
        <f t="shared" si="64"/>
        <v>68.707259603264291</v>
      </c>
      <c r="G251" s="7">
        <f t="shared" si="64"/>
        <v>95.596692130489586</v>
      </c>
      <c r="H251" s="7">
        <f t="shared" si="64"/>
        <v>220.77467022336603</v>
      </c>
      <c r="I251" s="7">
        <f t="shared" si="64"/>
        <v>94.233151690783117</v>
      </c>
      <c r="J251" s="7">
        <f t="shared" si="64"/>
        <v>231.07615421568332</v>
      </c>
      <c r="K251" s="7" t="e">
        <f t="shared" si="64"/>
        <v>#DIV/0!</v>
      </c>
      <c r="L251" s="112">
        <f t="shared" si="64"/>
        <v>139.87872505071397</v>
      </c>
    </row>
    <row r="252" spans="1:12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6"/>
    </row>
    <row r="253" spans="1:12" s="2" customFormat="1" ht="15" customHeight="1" x14ac:dyDescent="0.3">
      <c r="A253" s="643" t="s">
        <v>13</v>
      </c>
      <c r="B253" s="644"/>
      <c r="C253" s="5" t="s">
        <v>3</v>
      </c>
      <c r="D253" s="15">
        <f>Mulanje!D253+Mulanje!E253+Mulanje!F253+Mulanje!G253+Mulanje!H253+Mulanje!I253</f>
        <v>203</v>
      </c>
      <c r="E253" s="15">
        <f>Luchenza!D253+Luchenza!E253+Luchenza!F253+Luchenza!G253+Luchenza!H253+Luchenza!I253</f>
        <v>177</v>
      </c>
      <c r="F253" s="15">
        <f>Thyolo!D253+Thyolo!E253+Thyolo!F253+Thyolo!G253+Thyolo!H253+Thyolo!I253</f>
        <v>268</v>
      </c>
      <c r="G253" s="15">
        <f>Muloza!D253+Muloza!E253+Muloza!F253+Muloza!G253+Muloza!H253+Muloza!I253</f>
        <v>98</v>
      </c>
      <c r="H253" s="15">
        <f>MUST!D253+MUST!E253+MUST!F253+MUST!G253+MUST!H253+MUST!I253</f>
        <v>28</v>
      </c>
      <c r="I253" s="15">
        <f>Phalombe!D253+Phalombe!E253+Phalombe!F253+Phalombe!G253+Phalombe!H253+Phalombe!I253</f>
        <v>195</v>
      </c>
      <c r="J253" s="15">
        <f>Mikolongwe!D253+Mikolongwe!E253+Mikolongwe!F253+Mikolongwe!G253+Mikolongwe!H253+Mikolongwe!I253</f>
        <v>0</v>
      </c>
      <c r="K253" s="15">
        <f>Migowi!D253+Migowi!E253+Migowi!F253+Migowi!G253+Migowi!H253+Migowi!I253</f>
        <v>0</v>
      </c>
      <c r="L253" s="113">
        <f>SUM(D253:K253)</f>
        <v>969</v>
      </c>
    </row>
    <row r="254" spans="1:12" s="2" customFormat="1" ht="15.6" x14ac:dyDescent="0.3">
      <c r="A254" s="643" t="s">
        <v>12</v>
      </c>
      <c r="B254" s="644"/>
      <c r="C254" s="5" t="s">
        <v>3</v>
      </c>
      <c r="D254" s="15">
        <f>Mulanje!D254+Mulanje!E254+Mulanje!F254+Mulanje!G254+Mulanje!H254+Mulanje!I254</f>
        <v>37</v>
      </c>
      <c r="E254" s="15">
        <f>Luchenza!D254+Luchenza!E254+Luchenza!F254+Luchenza!G254+Luchenza!H254+Luchenza!I254</f>
        <v>39</v>
      </c>
      <c r="F254" s="15">
        <f>Thyolo!D254+Thyolo!E254+Thyolo!F254+Thyolo!G254+Thyolo!H254+Thyolo!I254</f>
        <v>32</v>
      </c>
      <c r="G254" s="15">
        <f>Muloza!D254+Muloza!E254+Muloza!F254+Muloza!G254+Muloza!H254+Muloza!I254</f>
        <v>43</v>
      </c>
      <c r="H254" s="15">
        <f>MUST!D254+MUST!E254+MUST!F254+MUST!G254+MUST!H254+MUST!I254</f>
        <v>17</v>
      </c>
      <c r="I254" s="15">
        <f>Phalombe!D254+Phalombe!E254+Phalombe!F254+Phalombe!G254+Phalombe!H254+Phalombe!I254</f>
        <v>52</v>
      </c>
      <c r="J254" s="15">
        <f>Mikolongwe!D254+Mikolongwe!E254+Mikolongwe!F254+Mikolongwe!G254+Mikolongwe!H254+Mikolongwe!I254</f>
        <v>0</v>
      </c>
      <c r="K254" s="15">
        <f>Migowi!D254+Migowi!E254+Migowi!F254+Migowi!G254+Migowi!H254+Migowi!I254</f>
        <v>0</v>
      </c>
      <c r="L254" s="113">
        <f>SUM(D254:K254)</f>
        <v>220</v>
      </c>
    </row>
    <row r="255" spans="1:12" ht="15.75" customHeight="1" x14ac:dyDescent="0.3">
      <c r="A255" s="643" t="s">
        <v>11</v>
      </c>
      <c r="B255" s="644"/>
      <c r="C255" s="5" t="s">
        <v>3</v>
      </c>
      <c r="D255" s="4">
        <f>D95</f>
        <v>503</v>
      </c>
      <c r="E255" s="4">
        <f t="shared" ref="E255:K255" si="65">E95</f>
        <v>39</v>
      </c>
      <c r="F255" s="4">
        <f t="shared" si="65"/>
        <v>7</v>
      </c>
      <c r="G255" s="4">
        <f t="shared" si="65"/>
        <v>120</v>
      </c>
      <c r="H255" s="4">
        <f t="shared" si="65"/>
        <v>9</v>
      </c>
      <c r="I255" s="4">
        <f t="shared" si="65"/>
        <v>33</v>
      </c>
      <c r="J255" s="4">
        <f t="shared" si="65"/>
        <v>0</v>
      </c>
      <c r="K255" s="4">
        <f t="shared" si="65"/>
        <v>0</v>
      </c>
      <c r="L255" s="113">
        <f>SUM(D255:K255)</f>
        <v>711</v>
      </c>
    </row>
    <row r="256" spans="1:12" ht="15.6" x14ac:dyDescent="0.3">
      <c r="A256" s="643" t="s">
        <v>10</v>
      </c>
      <c r="B256" s="644"/>
      <c r="C256" s="5" t="s">
        <v>3</v>
      </c>
      <c r="D256" s="4">
        <f>D91</f>
        <v>55</v>
      </c>
      <c r="E256" s="4">
        <f t="shared" ref="E256:K256" si="66">E91</f>
        <v>116</v>
      </c>
      <c r="F256" s="4">
        <f t="shared" si="66"/>
        <v>53</v>
      </c>
      <c r="G256" s="4">
        <f t="shared" si="66"/>
        <v>101</v>
      </c>
      <c r="H256" s="4">
        <f t="shared" si="66"/>
        <v>28</v>
      </c>
      <c r="I256" s="4">
        <f t="shared" si="66"/>
        <v>14</v>
      </c>
      <c r="J256" s="4">
        <f t="shared" si="66"/>
        <v>0</v>
      </c>
      <c r="K256" s="4">
        <f t="shared" si="66"/>
        <v>0</v>
      </c>
      <c r="L256" s="113">
        <f>SUM(D256:K256)</f>
        <v>367</v>
      </c>
    </row>
    <row r="257" spans="1:12" ht="15.6" customHeight="1" x14ac:dyDescent="0.3">
      <c r="A257" s="643" t="s">
        <v>9</v>
      </c>
      <c r="B257" s="644"/>
      <c r="C257" s="5" t="s">
        <v>3</v>
      </c>
      <c r="D257" s="15">
        <f>Mulanje!D257+Mulanje!E257+Mulanje!F257+Mulanje!G257+Mulanje!H257+Mulanje!I257</f>
        <v>181</v>
      </c>
      <c r="E257" s="15">
        <f>Luchenza!D257+Luchenza!E257+Luchenza!F257+Luchenza!G257+Luchenza!H257+Luchenza!I257</f>
        <v>107</v>
      </c>
      <c r="F257" s="15">
        <f>Thyolo!D257+Thyolo!E257+Thyolo!F257+Thyolo!G257+Thyolo!H257+Thyolo!I257</f>
        <v>117</v>
      </c>
      <c r="G257" s="15">
        <f>Muloza!D257+Muloza!E257+Muloza!F257+Muloza!G257+Muloza!H257+Muloza!I257</f>
        <v>39</v>
      </c>
      <c r="H257" s="15">
        <f>MUST!D257+MUST!E257+MUST!F257+MUST!G257+MUST!H257+MUST!I257</f>
        <v>50</v>
      </c>
      <c r="I257" s="15">
        <f>Phalombe!D257+Phalombe!E257+Phalombe!F257+Phalombe!G257+Phalombe!H257+Phalombe!I257</f>
        <v>47</v>
      </c>
      <c r="J257" s="15">
        <f>Mikolongwe!D257+Mikolongwe!E257+Mikolongwe!F257+Mikolongwe!G257+Mikolongwe!H257+Mikolongwe!I257</f>
        <v>0</v>
      </c>
      <c r="K257" s="15">
        <f>Migowi!D257+Migowi!E257+Migowi!F257+Migowi!G257+Migowi!H257+Migowi!I257</f>
        <v>0</v>
      </c>
      <c r="L257" s="113">
        <f>SUM(D257:K257)</f>
        <v>541</v>
      </c>
    </row>
    <row r="258" spans="1:12" ht="15.6" x14ac:dyDescent="0.3">
      <c r="A258" s="647" t="s">
        <v>8</v>
      </c>
      <c r="B258" s="648"/>
      <c r="C258" s="5" t="s">
        <v>3</v>
      </c>
      <c r="D258" s="1">
        <f t="shared" ref="D258:L258" si="67">D257/D256</f>
        <v>3.290909090909091</v>
      </c>
      <c r="E258" s="1">
        <f t="shared" si="67"/>
        <v>0.92241379310344829</v>
      </c>
      <c r="F258" s="1">
        <f t="shared" si="67"/>
        <v>2.2075471698113209</v>
      </c>
      <c r="G258" s="3">
        <f t="shared" si="67"/>
        <v>0.38613861386138615</v>
      </c>
      <c r="H258" s="3">
        <f t="shared" si="67"/>
        <v>1.7857142857142858</v>
      </c>
      <c r="I258" s="3">
        <f t="shared" si="67"/>
        <v>3.3571428571428572</v>
      </c>
      <c r="J258" s="3" t="e">
        <f t="shared" si="67"/>
        <v>#DIV/0!</v>
      </c>
      <c r="K258" s="3" t="e">
        <f t="shared" si="67"/>
        <v>#DIV/0!</v>
      </c>
      <c r="L258" s="113">
        <f t="shared" si="67"/>
        <v>1.4741144414168936</v>
      </c>
    </row>
    <row r="259" spans="1:12" ht="15.6" x14ac:dyDescent="0.3">
      <c r="A259" s="647" t="s">
        <v>7</v>
      </c>
      <c r="B259" s="648"/>
      <c r="C259" s="5" t="s">
        <v>6</v>
      </c>
      <c r="D259" s="1">
        <f t="shared" ref="D259:L259" si="68">D92/D255*100</f>
        <v>27.634194831013914</v>
      </c>
      <c r="E259" s="1">
        <f t="shared" si="68"/>
        <v>220.51282051282053</v>
      </c>
      <c r="F259" s="1">
        <f t="shared" si="68"/>
        <v>800</v>
      </c>
      <c r="G259" s="6">
        <f t="shared" si="68"/>
        <v>65.833333333333329</v>
      </c>
      <c r="H259" s="6">
        <f t="shared" si="68"/>
        <v>177.77777777777777</v>
      </c>
      <c r="I259" s="6">
        <f t="shared" si="68"/>
        <v>93.939393939393938</v>
      </c>
      <c r="J259" s="6" t="e">
        <f t="shared" si="68"/>
        <v>#DIV/0!</v>
      </c>
      <c r="K259" s="6" t="e">
        <f t="shared" si="68"/>
        <v>#DIV/0!</v>
      </c>
      <c r="L259" s="114">
        <f t="shared" si="68"/>
        <v>57.24331926863573</v>
      </c>
    </row>
    <row r="260" spans="1:12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1"/>
    </row>
    <row r="261" spans="1:12" s="2" customFormat="1" ht="15" customHeight="1" x14ac:dyDescent="0.3">
      <c r="A261" s="643" t="s">
        <v>4</v>
      </c>
      <c r="B261" s="644"/>
      <c r="C261" s="5" t="s">
        <v>3</v>
      </c>
      <c r="D261" s="15">
        <f>Mulanje!D261+Mulanje!E261+Mulanje!F261+Mulanje!G261+Mulanje!H261+Mulanje!I261</f>
        <v>139</v>
      </c>
      <c r="E261" s="15">
        <f>Luchenza!D261+Luchenza!E261+Luchenza!F261+Luchenza!G261+Luchenza!H261+Luchenza!I261</f>
        <v>93</v>
      </c>
      <c r="F261" s="15">
        <f>Thyolo!D261+Thyolo!E261+Thyolo!F261+Thyolo!G261+Thyolo!H261+Thyolo!I261</f>
        <v>49</v>
      </c>
      <c r="G261" s="15">
        <f>Muloza!D261+Muloza!E261+Muloza!F261+Muloza!G261+Muloza!H261+Muloza!I261</f>
        <v>18</v>
      </c>
      <c r="H261" s="15">
        <f>MUST!D261+MUST!E261+MUST!F261+MUST!G261+MUST!H261+MUST!I261</f>
        <v>0</v>
      </c>
      <c r="I261" s="15">
        <f>Phalombe!D261+Phalombe!E261+Phalombe!F261+Phalombe!G261+Phalombe!H261+Phalombe!I261</f>
        <v>94</v>
      </c>
      <c r="J261" s="15">
        <f>Mikolongwe!D261+Mikolongwe!E261+Mikolongwe!F261+Mikolongwe!G261+Mikolongwe!H261+Mikolongwe!I261</f>
        <v>0</v>
      </c>
      <c r="K261" s="15">
        <f>Migowi!D261+Migowi!E261+Migowi!F261+Migowi!G261+Migowi!H261+Migowi!I261</f>
        <v>14</v>
      </c>
      <c r="L261" s="113">
        <f>SUM(D261:K261)</f>
        <v>407</v>
      </c>
    </row>
    <row r="262" spans="1:12" s="2" customFormat="1" ht="15.75" customHeight="1" x14ac:dyDescent="0.3">
      <c r="A262" s="643" t="s">
        <v>2</v>
      </c>
      <c r="B262" s="644"/>
      <c r="C262" s="5" t="s">
        <v>0</v>
      </c>
      <c r="D262" s="15">
        <f>Mulanje!D262+Mulanje!E262+Mulanje!F262+Mulanje!G262+Mulanje!H262+Mulanje!I262</f>
        <v>17</v>
      </c>
      <c r="E262" s="15">
        <f>Luchenza!D262+Luchenza!E262+Luchenza!F262+Luchenza!G262+Luchenza!H262+Luchenza!I262</f>
        <v>181</v>
      </c>
      <c r="F262" s="15">
        <f>Thyolo!D262+Thyolo!E262+Thyolo!F262+Thyolo!G262+Thyolo!H262+Thyolo!I262</f>
        <v>30</v>
      </c>
      <c r="G262" s="15">
        <f>Muloza!D262+Muloza!E262+Muloza!F262+Muloza!G262+Muloza!H262+Muloza!I262</f>
        <v>14</v>
      </c>
      <c r="H262" s="15">
        <f>MUST!D262+MUST!E262+MUST!F262+MUST!G262+MUST!H262+MUST!I262</f>
        <v>0</v>
      </c>
      <c r="I262" s="15">
        <f>Phalombe!D262+Phalombe!E262+Phalombe!F262+Phalombe!G262+Phalombe!H262+Phalombe!I262</f>
        <v>44</v>
      </c>
      <c r="J262" s="15">
        <f>Mikolongwe!D262+Mikolongwe!E262+Mikolongwe!F262+Mikolongwe!G262+Mikolongwe!H262+Mikolongwe!I262</f>
        <v>0</v>
      </c>
      <c r="K262" s="15">
        <f>Migowi!D262+Migowi!E262+Migowi!F262+Migowi!G262+Migowi!H262+Migowi!I262</f>
        <v>3</v>
      </c>
      <c r="L262" s="113">
        <f>SUM(D262:K262)</f>
        <v>289</v>
      </c>
    </row>
    <row r="263" spans="1:12" ht="16.2" thickBot="1" x14ac:dyDescent="0.35">
      <c r="A263" s="645" t="s">
        <v>1</v>
      </c>
      <c r="B263" s="646"/>
      <c r="C263" s="115" t="s">
        <v>0</v>
      </c>
      <c r="D263" s="116">
        <f>D261/D262</f>
        <v>8.1764705882352935</v>
      </c>
      <c r="E263" s="116">
        <f t="shared" ref="E263:L263" si="69">E261/E262</f>
        <v>0.51381215469613262</v>
      </c>
      <c r="F263" s="116">
        <f t="shared" si="69"/>
        <v>1.6333333333333333</v>
      </c>
      <c r="G263" s="116">
        <f t="shared" si="69"/>
        <v>1.2857142857142858</v>
      </c>
      <c r="H263" s="116" t="e">
        <f t="shared" si="69"/>
        <v>#DIV/0!</v>
      </c>
      <c r="I263" s="116">
        <f t="shared" si="69"/>
        <v>2.1363636363636362</v>
      </c>
      <c r="J263" s="116" t="e">
        <f t="shared" si="69"/>
        <v>#DIV/0!</v>
      </c>
      <c r="K263" s="116">
        <f t="shared" si="69"/>
        <v>4.666666666666667</v>
      </c>
      <c r="L263" s="177">
        <f t="shared" si="69"/>
        <v>1.4083044982698962</v>
      </c>
    </row>
  </sheetData>
  <mergeCells count="160"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L260"/>
    <mergeCell ref="A249:B249"/>
    <mergeCell ref="A250:B250"/>
    <mergeCell ref="A251:B251"/>
    <mergeCell ref="A252:L252"/>
    <mergeCell ref="A253:B253"/>
    <mergeCell ref="A254:B254"/>
    <mergeCell ref="A243:B243"/>
    <mergeCell ref="A244:L244"/>
    <mergeCell ref="A245:B245"/>
    <mergeCell ref="A246:B246"/>
    <mergeCell ref="A247:B247"/>
    <mergeCell ref="A248:L248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7:B7"/>
    <mergeCell ref="A8:L8"/>
    <mergeCell ref="A9:B9"/>
    <mergeCell ref="A10:L10"/>
    <mergeCell ref="A11:B11"/>
    <mergeCell ref="A12:B12"/>
    <mergeCell ref="A19:B19"/>
    <mergeCell ref="A20:B20"/>
    <mergeCell ref="A21:B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263"/>
  <sheetViews>
    <sheetView workbookViewId="0">
      <pane xSplit="2" ySplit="8" topLeftCell="F108" activePane="bottomRight" state="frozen"/>
      <selection pane="topRight" activeCell="C1" sqref="C1"/>
      <selection pane="bottomLeft" activeCell="A9" sqref="A9"/>
      <selection pane="bottomRight" activeCell="K119" sqref="K11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1.44140625" style="126" bestFit="1" customWidth="1"/>
  </cols>
  <sheetData>
    <row r="1" spans="1:12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600"/>
    </row>
    <row r="2" spans="1:12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601"/>
    </row>
    <row r="3" spans="1:12" ht="18" thickBot="1" x14ac:dyDescent="0.35">
      <c r="A3" s="89" t="s">
        <v>217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602"/>
    </row>
    <row r="4" spans="1:12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603"/>
    </row>
    <row r="5" spans="1:12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604"/>
    </row>
    <row r="6" spans="1:12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605"/>
    </row>
    <row r="7" spans="1:12" ht="16.2" thickBot="1" x14ac:dyDescent="0.35">
      <c r="A7" s="720" t="s">
        <v>174</v>
      </c>
      <c r="B7" s="72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60" t="s">
        <v>225</v>
      </c>
      <c r="K7" s="60" t="s">
        <v>226</v>
      </c>
      <c r="L7" s="59" t="s">
        <v>160</v>
      </c>
    </row>
    <row r="8" spans="1:12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4"/>
    </row>
    <row r="9" spans="1:12" x14ac:dyDescent="0.3">
      <c r="A9" s="725" t="s">
        <v>176</v>
      </c>
      <c r="B9" s="726"/>
      <c r="C9" s="58" t="s">
        <v>152</v>
      </c>
      <c r="D9" s="57">
        <f>Mulanje!J9+Mulanje!K9+Mulanje!L9</f>
        <v>134499</v>
      </c>
      <c r="E9" s="57">
        <f>Luchenza!J9+Luchenza!K9+Luchenza!L9</f>
        <v>55794</v>
      </c>
      <c r="F9" s="57">
        <f>Thyolo!J9+Thyolo!K9+Thyolo!L9</f>
        <v>59560</v>
      </c>
      <c r="G9" s="57">
        <f>Muloza!J9+Muloza!K9+Muloza!L9</f>
        <v>24551</v>
      </c>
      <c r="H9" s="57">
        <f>MUST!J9+MUST!K9+MUST!L9</f>
        <v>49073</v>
      </c>
      <c r="I9" s="57">
        <f>Phalombe!J9+Phalombe!K9+Phalombe!L9</f>
        <v>29705</v>
      </c>
      <c r="J9" s="57">
        <f>Mikolongwe!J9+Mikolongwe!K9+Mikolongwe!L9</f>
        <v>2421</v>
      </c>
      <c r="K9" s="57">
        <f>Migowi!J9+Migowi!K9+Migowi!L9</f>
        <v>10457</v>
      </c>
      <c r="L9" s="152">
        <f>SUM(D9:K9)</f>
        <v>366060</v>
      </c>
    </row>
    <row r="10" spans="1:12" ht="15" thickBot="1" x14ac:dyDescent="0.35">
      <c r="A10" s="649" t="s">
        <v>177</v>
      </c>
      <c r="B10" s="650"/>
      <c r="C10" s="650"/>
      <c r="D10" s="741"/>
      <c r="E10" s="650"/>
      <c r="F10" s="650"/>
      <c r="G10" s="741"/>
      <c r="H10" s="741"/>
      <c r="I10" s="741"/>
      <c r="J10" s="741"/>
      <c r="K10" s="741"/>
      <c r="L10" s="651"/>
    </row>
    <row r="11" spans="1:12" x14ac:dyDescent="0.3">
      <c r="A11" s="663" t="s">
        <v>157</v>
      </c>
      <c r="B11" s="664"/>
      <c r="C11" s="11" t="s">
        <v>152</v>
      </c>
      <c r="D11" s="26">
        <f>Mulanje!J11+Mulanje!K11+Mulanje!L11</f>
        <v>65452</v>
      </c>
      <c r="E11" s="179">
        <f>Luchenza!J11+Luchenza!K11+Luchenza!L11</f>
        <v>18490</v>
      </c>
      <c r="F11" s="179">
        <f>Thyolo!J11+Thyolo!K11+Thyolo!L11</f>
        <v>21238</v>
      </c>
      <c r="G11" s="26">
        <f>Muloza!J11+Muloza!K11+Muloza!L11</f>
        <v>15389</v>
      </c>
      <c r="H11" s="26">
        <f>MUST!J11+MUST!K11+MUST!L11</f>
        <v>3167</v>
      </c>
      <c r="I11" s="26">
        <f>Phalombe!J11+Phalombe!K11+Phalombe!L11</f>
        <v>16402</v>
      </c>
      <c r="J11" s="26">
        <f>Mikolongwe!J11+Mikolongwe!K11+Mikolongwe!L11</f>
        <v>407</v>
      </c>
      <c r="K11" s="26">
        <f>Migowi!J11+Migowi!K11+Migowi!L11</f>
        <v>0</v>
      </c>
      <c r="L11" s="55">
        <f>SUM(D11:K11)</f>
        <v>140545</v>
      </c>
    </row>
    <row r="12" spans="1:12" x14ac:dyDescent="0.3">
      <c r="A12" s="663" t="s">
        <v>156</v>
      </c>
      <c r="B12" s="664"/>
      <c r="C12" s="11" t="s">
        <v>152</v>
      </c>
      <c r="D12" s="26">
        <f>Mulanje!J12+Mulanje!K12+Mulanje!L12</f>
        <v>3553</v>
      </c>
      <c r="E12" s="26">
        <f>Luchenza!J12+Luchenza!K12+Luchenza!L12</f>
        <v>32</v>
      </c>
      <c r="F12" s="26">
        <f>Thyolo!J12+Thyolo!K12+Thyolo!L12</f>
        <v>62</v>
      </c>
      <c r="G12" s="26">
        <f>Muloza!J12+Muloza!K12+Muloza!L12</f>
        <v>45</v>
      </c>
      <c r="H12" s="26">
        <f>MUST!J12+MUST!K12+MUST!L12</f>
        <v>0</v>
      </c>
      <c r="I12" s="26">
        <f>Phalombe!J12+Phalombe!K12+Phalombe!L12</f>
        <v>0</v>
      </c>
      <c r="J12" s="26">
        <f>Mikolongwe!J12+Mikolongwe!K12+Mikolongwe!L12</f>
        <v>0</v>
      </c>
      <c r="K12" s="26">
        <f>Migowi!J12+Migowi!K12+Migowi!L12</f>
        <v>0</v>
      </c>
      <c r="L12" s="55">
        <f>SUM(D12:K12)</f>
        <v>3692</v>
      </c>
    </row>
    <row r="13" spans="1:12" x14ac:dyDescent="0.3">
      <c r="A13" s="663" t="s">
        <v>155</v>
      </c>
      <c r="B13" s="664"/>
      <c r="C13" s="11" t="s">
        <v>152</v>
      </c>
      <c r="D13" s="26">
        <f>Mulanje!J13+Mulanje!K13+Mulanje!L13</f>
        <v>682</v>
      </c>
      <c r="E13" s="26">
        <f>Luchenza!J13+Luchenza!K13+Luchenza!L13</f>
        <v>11497</v>
      </c>
      <c r="F13" s="26">
        <f>Thyolo!J13+Thyolo!K13+Thyolo!L13</f>
        <v>250</v>
      </c>
      <c r="G13" s="26">
        <f>Muloza!J13+Muloza!K13+Muloza!L13</f>
        <v>495</v>
      </c>
      <c r="H13" s="26">
        <f>MUST!J13+MUST!K13+MUST!L13</f>
        <v>98</v>
      </c>
      <c r="I13" s="26">
        <f>Phalombe!J13+Phalombe!K13+Phalombe!L13</f>
        <v>73</v>
      </c>
      <c r="J13" s="26">
        <f>Mikolongwe!J13+Mikolongwe!K13+Mikolongwe!L13</f>
        <v>0</v>
      </c>
      <c r="K13" s="26">
        <f>Migowi!J13+Migowi!K13+Migowi!L13</f>
        <v>0</v>
      </c>
      <c r="L13" s="55">
        <f>SUM(D13:K13)</f>
        <v>13095</v>
      </c>
    </row>
    <row r="14" spans="1:12" x14ac:dyDescent="0.3">
      <c r="A14" s="661" t="s">
        <v>154</v>
      </c>
      <c r="B14" s="662"/>
      <c r="C14" s="11" t="s">
        <v>152</v>
      </c>
      <c r="D14" s="26">
        <f>Mulanje!J14+Mulanje!K14+Mulanje!L14</f>
        <v>211</v>
      </c>
      <c r="E14" s="4">
        <f>Luchenza!J14+Luchenza!K14+Luchenza!L14</f>
        <v>4853</v>
      </c>
      <c r="F14" s="26">
        <f>Thyolo!J14+Thyolo!K14+Thyolo!L14</f>
        <v>646</v>
      </c>
      <c r="G14" s="26">
        <f>Muloza!J14+Muloza!K14+Muloza!L14</f>
        <v>339</v>
      </c>
      <c r="H14" s="26">
        <f>MUST!J14+MUST!K14+MUST!L14</f>
        <v>99</v>
      </c>
      <c r="I14" s="26">
        <f>Phalombe!J14+Phalombe!K14+Phalombe!L14</f>
        <v>83</v>
      </c>
      <c r="J14" s="26">
        <f>Mikolongwe!J14+Mikolongwe!K14+Mikolongwe!L14</f>
        <v>0</v>
      </c>
      <c r="K14" s="26">
        <f>Migowi!J14+Migowi!K14+Migowi!L14</f>
        <v>0</v>
      </c>
      <c r="L14" s="55">
        <f>SUM(D14:K14)</f>
        <v>6231</v>
      </c>
    </row>
    <row r="15" spans="1:12" s="63" customFormat="1" x14ac:dyDescent="0.3">
      <c r="A15" s="676" t="s">
        <v>158</v>
      </c>
      <c r="B15" s="677"/>
      <c r="C15" s="62" t="s">
        <v>152</v>
      </c>
      <c r="D15" s="34">
        <f t="shared" ref="D15:L15" si="0">SUM(D11:D14)</f>
        <v>69898</v>
      </c>
      <c r="E15" s="34">
        <f t="shared" si="0"/>
        <v>34872</v>
      </c>
      <c r="F15" s="34">
        <f t="shared" si="0"/>
        <v>22196</v>
      </c>
      <c r="G15" s="34">
        <f t="shared" si="0"/>
        <v>16268</v>
      </c>
      <c r="H15" s="34">
        <f t="shared" si="0"/>
        <v>3364</v>
      </c>
      <c r="I15" s="34">
        <f t="shared" si="0"/>
        <v>16558</v>
      </c>
      <c r="J15" s="34">
        <f t="shared" si="0"/>
        <v>407</v>
      </c>
      <c r="K15" s="34">
        <f t="shared" si="0"/>
        <v>0</v>
      </c>
      <c r="L15" s="55">
        <f t="shared" si="0"/>
        <v>163563</v>
      </c>
    </row>
    <row r="16" spans="1:12" s="2" customFormat="1" ht="15" thickBot="1" x14ac:dyDescent="0.35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1"/>
    </row>
    <row r="17" spans="1:12" s="2" customFormat="1" x14ac:dyDescent="0.3">
      <c r="A17" s="663" t="s">
        <v>180</v>
      </c>
      <c r="B17" s="664"/>
      <c r="C17" s="11" t="s">
        <v>152</v>
      </c>
      <c r="D17" s="26">
        <f>Mulanje!J17+Mulanje!K17+Mulanje!L17</f>
        <v>10837.9</v>
      </c>
      <c r="E17" s="179">
        <f>Luchenza!J17+Luchenza!K17+Luchenza!L17</f>
        <v>2421</v>
      </c>
      <c r="F17" s="179">
        <f>Thyolo!J17+Thyolo!K17+Thyolo!L17</f>
        <v>4159</v>
      </c>
      <c r="G17" s="26">
        <f>Muloza!J17+Muloza!K17+Muloza!L17</f>
        <v>3224</v>
      </c>
      <c r="H17" s="26">
        <f>MUST!J17+MUST!K17+MUST!L17</f>
        <v>715.6</v>
      </c>
      <c r="I17" s="26">
        <f>Phalombe!J17+Phalombe!K17+Phalombe!L17</f>
        <v>2765.3</v>
      </c>
      <c r="J17" s="26">
        <f>Mikolongwe!J17+Mikolongwe!K17+Mikolongwe!L17</f>
        <v>364</v>
      </c>
      <c r="K17" s="26">
        <f>Migowi!J17+Migowi!K17+Migowi!L17</f>
        <v>2441.3000000000002</v>
      </c>
      <c r="L17" s="55">
        <f>SUM(D17:K17)</f>
        <v>26928.1</v>
      </c>
    </row>
    <row r="18" spans="1:12" s="2" customFormat="1" x14ac:dyDescent="0.3">
      <c r="A18" s="663" t="s">
        <v>181</v>
      </c>
      <c r="B18" s="664"/>
      <c r="C18" s="11" t="s">
        <v>152</v>
      </c>
      <c r="D18" s="26">
        <f>Mulanje!J18+Mulanje!K18+Mulanje!L18</f>
        <v>401</v>
      </c>
      <c r="E18" s="26">
        <f>Luchenza!J18+Luchenza!K18+Luchenza!L18</f>
        <v>0</v>
      </c>
      <c r="F18" s="26">
        <f>Thyolo!J18+Thyolo!K18+Thyolo!L18</f>
        <v>0</v>
      </c>
      <c r="G18" s="26">
        <f>Muloza!J18+Muloza!K18+Muloza!L18</f>
        <v>0</v>
      </c>
      <c r="H18" s="26">
        <f>MUST!J18+MUST!K18+MUST!L18</f>
        <v>0</v>
      </c>
      <c r="I18" s="26">
        <f>Phalombe!J18+Phalombe!K18+Phalombe!L18</f>
        <v>0</v>
      </c>
      <c r="J18" s="26">
        <f>Mikolongwe!J18+Mikolongwe!K18+Mikolongwe!L18</f>
        <v>0</v>
      </c>
      <c r="K18" s="26">
        <f>Migowi!J18+Migowi!K18+Migowi!L18</f>
        <v>0</v>
      </c>
      <c r="L18" s="55">
        <f>SUM(D18:K18)</f>
        <v>401</v>
      </c>
    </row>
    <row r="19" spans="1:12" s="2" customFormat="1" x14ac:dyDescent="0.3">
      <c r="A19" s="663" t="s">
        <v>182</v>
      </c>
      <c r="B19" s="664"/>
      <c r="C19" s="11" t="s">
        <v>152</v>
      </c>
      <c r="D19" s="26">
        <f>Mulanje!J19+Mulanje!K19+Mulanje!L19</f>
        <v>12330</v>
      </c>
      <c r="E19" s="26">
        <f>Luchenza!J19+Luchenza!K19+Luchenza!L19</f>
        <v>1158</v>
      </c>
      <c r="F19" s="26">
        <f>Thyolo!J19+Thyolo!K19+Thyolo!L19</f>
        <v>4028</v>
      </c>
      <c r="G19" s="26">
        <f>Muloza!J19+Muloza!K19+Muloza!L19</f>
        <v>345</v>
      </c>
      <c r="H19" s="26">
        <f>MUST!J19+MUST!K19+MUST!L19</f>
        <v>32935</v>
      </c>
      <c r="I19" s="26">
        <f>Phalombe!J19+Phalombe!K19+Phalombe!L19</f>
        <v>246</v>
      </c>
      <c r="J19" s="26">
        <f>Mikolongwe!J19+Mikolongwe!K19+Mikolongwe!L19</f>
        <v>1065.2</v>
      </c>
      <c r="K19" s="26">
        <f>Migowi!J19+Migowi!K19+Migowi!L19</f>
        <v>6110</v>
      </c>
      <c r="L19" s="55">
        <f>SUM(D19:K19)</f>
        <v>58217.2</v>
      </c>
    </row>
    <row r="20" spans="1:12" s="2" customFormat="1" x14ac:dyDescent="0.3">
      <c r="A20" s="661" t="s">
        <v>183</v>
      </c>
      <c r="B20" s="662"/>
      <c r="C20" s="11" t="s">
        <v>152</v>
      </c>
      <c r="D20" s="26">
        <f>Mulanje!J20+Mulanje!K20+Mulanje!L20</f>
        <v>1145.2</v>
      </c>
      <c r="E20" s="4">
        <f>Luchenza!J20+Luchenza!K20+Luchenza!L20</f>
        <v>671</v>
      </c>
      <c r="F20" s="26">
        <f>Thyolo!J20+Thyolo!K20+Thyolo!L20</f>
        <v>779</v>
      </c>
      <c r="G20" s="26">
        <f>Muloza!J20+Muloza!K20+Muloza!L20</f>
        <v>601</v>
      </c>
      <c r="H20" s="26">
        <f>MUST!J20+MUST!K20+MUST!L20</f>
        <v>2909</v>
      </c>
      <c r="I20" s="26">
        <f>Phalombe!J20+Phalombe!K20+Phalombe!L20</f>
        <v>183.89999999999998</v>
      </c>
      <c r="J20" s="26">
        <f>Mikolongwe!J20+Mikolongwe!K20+Mikolongwe!L20</f>
        <v>0</v>
      </c>
      <c r="K20" s="26">
        <f>Migowi!J20+Migowi!K20+Migowi!L20</f>
        <v>0</v>
      </c>
      <c r="L20" s="55">
        <f>SUM(D20:K20)</f>
        <v>6289.0999999999995</v>
      </c>
    </row>
    <row r="21" spans="1:12" s="73" customFormat="1" x14ac:dyDescent="0.3">
      <c r="A21" s="676" t="s">
        <v>184</v>
      </c>
      <c r="B21" s="677"/>
      <c r="C21" s="62" t="s">
        <v>152</v>
      </c>
      <c r="D21" s="34">
        <f>SUM(D17:D20)</f>
        <v>24714.100000000002</v>
      </c>
      <c r="E21" s="34">
        <f>SUM(E17:E20)</f>
        <v>4250</v>
      </c>
      <c r="F21" s="34">
        <f t="shared" ref="F21:L21" si="1">SUM(F17:F20)</f>
        <v>8966</v>
      </c>
      <c r="G21" s="34">
        <f t="shared" si="1"/>
        <v>4170</v>
      </c>
      <c r="H21" s="34">
        <f t="shared" si="1"/>
        <v>36559.599999999999</v>
      </c>
      <c r="I21" s="34">
        <f t="shared" si="1"/>
        <v>3195.2000000000003</v>
      </c>
      <c r="J21" s="34">
        <f t="shared" si="1"/>
        <v>1429.2</v>
      </c>
      <c r="K21" s="34">
        <f t="shared" si="1"/>
        <v>8551.2999999999993</v>
      </c>
      <c r="L21" s="55">
        <f t="shared" si="1"/>
        <v>91835.4</v>
      </c>
    </row>
    <row r="22" spans="1:12" s="2" customFormat="1" x14ac:dyDescent="0.3">
      <c r="A22" s="75" t="s">
        <v>185</v>
      </c>
      <c r="B22" s="79"/>
      <c r="C22" s="11" t="s">
        <v>152</v>
      </c>
      <c r="D22" s="34">
        <f>D21+D15</f>
        <v>94612.1</v>
      </c>
      <c r="E22" s="34">
        <f t="shared" ref="E22:L22" si="2">E21+E15</f>
        <v>39122</v>
      </c>
      <c r="F22" s="34">
        <f t="shared" si="2"/>
        <v>31162</v>
      </c>
      <c r="G22" s="34">
        <f t="shared" si="2"/>
        <v>20438</v>
      </c>
      <c r="H22" s="34">
        <f t="shared" si="2"/>
        <v>39923.599999999999</v>
      </c>
      <c r="I22" s="34">
        <f t="shared" si="2"/>
        <v>19753.2</v>
      </c>
      <c r="J22" s="34">
        <f t="shared" si="2"/>
        <v>1836.2</v>
      </c>
      <c r="K22" s="34">
        <f t="shared" si="2"/>
        <v>8551.2999999999993</v>
      </c>
      <c r="L22" s="55">
        <f t="shared" si="2"/>
        <v>255398.39999999999</v>
      </c>
    </row>
    <row r="23" spans="1:12" ht="14.4" x14ac:dyDescent="0.3">
      <c r="A23" s="649" t="s">
        <v>215</v>
      </c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1"/>
    </row>
    <row r="24" spans="1:12" x14ac:dyDescent="0.3">
      <c r="A24" s="715" t="s">
        <v>179</v>
      </c>
      <c r="B24" s="37" t="s">
        <v>153</v>
      </c>
      <c r="C24" s="5" t="s">
        <v>152</v>
      </c>
      <c r="D24" s="54">
        <f>D9-D22</f>
        <v>39886.899999999994</v>
      </c>
      <c r="E24" s="54">
        <f t="shared" ref="E24:L24" si="3">E9-E22</f>
        <v>16672</v>
      </c>
      <c r="F24" s="54">
        <f t="shared" si="3"/>
        <v>28398</v>
      </c>
      <c r="G24" s="54">
        <f t="shared" si="3"/>
        <v>4113</v>
      </c>
      <c r="H24" s="54">
        <f t="shared" si="3"/>
        <v>9149.4000000000015</v>
      </c>
      <c r="I24" s="54">
        <f t="shared" si="3"/>
        <v>9951.7999999999993</v>
      </c>
      <c r="J24" s="54">
        <f t="shared" si="3"/>
        <v>584.79999999999995</v>
      </c>
      <c r="K24" s="54">
        <f t="shared" si="3"/>
        <v>1905.7000000000007</v>
      </c>
      <c r="L24" s="99">
        <f t="shared" si="3"/>
        <v>110661.6</v>
      </c>
    </row>
    <row r="25" spans="1:12" x14ac:dyDescent="0.3">
      <c r="A25" s="716"/>
      <c r="B25" s="53" t="s">
        <v>151</v>
      </c>
      <c r="C25" s="52" t="s">
        <v>6</v>
      </c>
      <c r="D25" s="51">
        <f t="shared" ref="D25:L25" si="4">D24/D9</f>
        <v>0.29655908222365962</v>
      </c>
      <c r="E25" s="51">
        <f t="shared" si="4"/>
        <v>0.29881349249023192</v>
      </c>
      <c r="F25" s="51">
        <f t="shared" si="4"/>
        <v>0.47679650772330423</v>
      </c>
      <c r="G25" s="51">
        <f t="shared" si="4"/>
        <v>0.16752881756343938</v>
      </c>
      <c r="H25" s="51">
        <f t="shared" si="4"/>
        <v>0.18644468444969742</v>
      </c>
      <c r="I25" s="51">
        <f t="shared" si="4"/>
        <v>0.33502104022891765</v>
      </c>
      <c r="J25" s="51">
        <f t="shared" si="4"/>
        <v>0.24155307724080957</v>
      </c>
      <c r="K25" s="51">
        <f t="shared" si="4"/>
        <v>0.18224156067705849</v>
      </c>
      <c r="L25" s="100">
        <f t="shared" si="4"/>
        <v>0.30230454023930503</v>
      </c>
    </row>
    <row r="26" spans="1:12" ht="14.4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1"/>
    </row>
    <row r="27" spans="1:12" ht="14.4" x14ac:dyDescent="0.3">
      <c r="A27" s="738" t="s">
        <v>149</v>
      </c>
      <c r="B27" s="739"/>
      <c r="C27" s="739"/>
      <c r="D27" s="739"/>
      <c r="E27" s="739"/>
      <c r="F27" s="739"/>
      <c r="G27" s="739"/>
      <c r="H27" s="739"/>
      <c r="I27" s="739"/>
      <c r="J27" s="739"/>
      <c r="K27" s="739"/>
      <c r="L27" s="740"/>
    </row>
    <row r="28" spans="1:12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6"/>
    </row>
    <row r="29" spans="1:12" x14ac:dyDescent="0.3">
      <c r="A29" s="710" t="s">
        <v>146</v>
      </c>
      <c r="B29" s="642">
        <v>5111.67</v>
      </c>
      <c r="C29" s="5" t="s">
        <v>140</v>
      </c>
      <c r="D29" s="26">
        <f>Mulanje!J29+Mulanje!K29+Mulanje!L29</f>
        <v>274</v>
      </c>
      <c r="E29" s="4">
        <f>Luchenza!J29+Luchenza!K29+Luchenza!L29</f>
        <v>124</v>
      </c>
      <c r="F29" s="4">
        <f>Thyolo!J29+Thyolo!K29+Thyolo!L29</f>
        <v>228</v>
      </c>
      <c r="G29" s="26">
        <f>Muloza!J29+Muloza!K29+Muloza!L29</f>
        <v>25</v>
      </c>
      <c r="H29" s="26">
        <f>MUST!J29+MUST!K29+MUST!L29</f>
        <v>44</v>
      </c>
      <c r="I29" s="26">
        <f>Phalombe!J29+Phalombe!K29+Phalombe!L29</f>
        <v>72</v>
      </c>
      <c r="J29" s="26">
        <f>Mikolongwe!J29+Mikolongwe!K29+Mikolongwe!L29</f>
        <v>12</v>
      </c>
      <c r="K29" s="26">
        <f>Migowi!J29+Migowi!K29+Migowi!L29</f>
        <v>3</v>
      </c>
      <c r="L29" s="45">
        <f>SUM(D29:K29)</f>
        <v>782</v>
      </c>
    </row>
    <row r="30" spans="1:12" x14ac:dyDescent="0.3">
      <c r="A30" s="711"/>
      <c r="B30" s="642"/>
      <c r="C30" s="42" t="s">
        <v>139</v>
      </c>
      <c r="D30" s="15">
        <f t="shared" ref="D30:L30" si="5">D29/(D9/1000)</f>
        <v>2.0371898675826587</v>
      </c>
      <c r="E30" s="15">
        <f t="shared" si="5"/>
        <v>2.2224611965444314</v>
      </c>
      <c r="F30" s="15">
        <f t="shared" si="5"/>
        <v>3.8280725319006041</v>
      </c>
      <c r="G30" s="15">
        <f t="shared" si="5"/>
        <v>1.0182884607551628</v>
      </c>
      <c r="H30" s="15">
        <f t="shared" si="5"/>
        <v>0.89662339779512157</v>
      </c>
      <c r="I30" s="15">
        <f t="shared" si="5"/>
        <v>2.4238343713179602</v>
      </c>
      <c r="J30" s="15">
        <f t="shared" si="5"/>
        <v>4.9566294919454776</v>
      </c>
      <c r="K30" s="15">
        <f t="shared" si="5"/>
        <v>0.28688916515252938</v>
      </c>
      <c r="L30" s="102">
        <f t="shared" si="5"/>
        <v>2.1362618150030048</v>
      </c>
    </row>
    <row r="31" spans="1:12" x14ac:dyDescent="0.3">
      <c r="A31" s="673" t="s">
        <v>145</v>
      </c>
      <c r="B31" s="642">
        <v>1537</v>
      </c>
      <c r="C31" s="5" t="s">
        <v>140</v>
      </c>
      <c r="D31" s="26">
        <f>Mulanje!J31+Mulanje!K31+Mulanje!L31</f>
        <v>0</v>
      </c>
      <c r="E31" s="4">
        <f>Luchenza!J31+Luchenza!K31+Luchenza!L31</f>
        <v>0</v>
      </c>
      <c r="F31" s="4">
        <f>Thyolo!J31+Thyolo!K31+Thyolo!L31</f>
        <v>0</v>
      </c>
      <c r="G31" s="26">
        <f>Muloza!J31+Muloza!K31+Muloza!L31</f>
        <v>0</v>
      </c>
      <c r="H31" s="26">
        <f>MUST!J31+MUST!K31+MUST!L31</f>
        <v>0</v>
      </c>
      <c r="I31" s="26">
        <f>Phalombe!J31+Phalombe!K31+Phalombe!L31</f>
        <v>0</v>
      </c>
      <c r="J31" s="26">
        <f>Mikolongwe!J31+Mikolongwe!K31+Mikolongwe!L31</f>
        <v>0</v>
      </c>
      <c r="K31" s="26">
        <f>Migowi!J31+Migowi!K31+Migowi!L31</f>
        <v>0</v>
      </c>
      <c r="L31" s="45">
        <f>SUM(D31:K31)</f>
        <v>0</v>
      </c>
    </row>
    <row r="32" spans="1:12" x14ac:dyDescent="0.3">
      <c r="A32" s="675"/>
      <c r="B32" s="642"/>
      <c r="C32" s="42" t="s">
        <v>139</v>
      </c>
      <c r="D32" s="15">
        <f t="shared" ref="D32:L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02">
        <f t="shared" si="6"/>
        <v>0</v>
      </c>
    </row>
    <row r="33" spans="1:12" x14ac:dyDescent="0.3">
      <c r="A33" s="673" t="s">
        <v>144</v>
      </c>
      <c r="B33" s="642">
        <v>1781.02</v>
      </c>
      <c r="C33" s="5" t="s">
        <v>140</v>
      </c>
      <c r="D33" s="26">
        <f>Mulanje!J33+Mulanje!K33+Mulanje!L33</f>
        <v>0</v>
      </c>
      <c r="E33" s="4">
        <f>Luchenza!J33+Luchenza!K33+Luchenza!L33</f>
        <v>0</v>
      </c>
      <c r="F33" s="4">
        <f>Thyolo!J33+Thyolo!K33+Thyolo!L33</f>
        <v>0</v>
      </c>
      <c r="G33" s="26">
        <f>Muloza!J33+Muloza!K33+Muloza!L33</f>
        <v>0</v>
      </c>
      <c r="H33" s="26">
        <f>MUST!J33+MUST!K33+MUST!L33</f>
        <v>0</v>
      </c>
      <c r="I33" s="26">
        <f>Phalombe!J33+Phalombe!K33+Phalombe!L33</f>
        <v>0</v>
      </c>
      <c r="J33" s="26">
        <f>Mikolongwe!J33+Mikolongwe!K33+Mikolongwe!L33</f>
        <v>0</v>
      </c>
      <c r="K33" s="26">
        <f>Migowi!J33+Migowi!K33+Migowi!L33</f>
        <v>0</v>
      </c>
      <c r="L33" s="45">
        <f>SUM(D33:K33)</f>
        <v>0</v>
      </c>
    </row>
    <row r="34" spans="1:12" x14ac:dyDescent="0.3">
      <c r="A34" s="675"/>
      <c r="B34" s="642"/>
      <c r="C34" s="42" t="s">
        <v>139</v>
      </c>
      <c r="D34" s="15">
        <f t="shared" ref="D34:L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02">
        <f t="shared" si="7"/>
        <v>0</v>
      </c>
    </row>
    <row r="35" spans="1:12" x14ac:dyDescent="0.3">
      <c r="A35" s="673" t="s">
        <v>143</v>
      </c>
      <c r="B35" s="642">
        <v>5979.95</v>
      </c>
      <c r="C35" s="5" t="s">
        <v>126</v>
      </c>
      <c r="D35" s="26">
        <f>Mulanje!J35+Mulanje!K35+Mulanje!L35</f>
        <v>0</v>
      </c>
      <c r="E35" s="4">
        <f>Luchenza!J35+Luchenza!K35+Luchenza!L35</f>
        <v>0</v>
      </c>
      <c r="F35" s="4">
        <f>Thyolo!J35+Thyolo!K35+Thyolo!L35</f>
        <v>283</v>
      </c>
      <c r="G35" s="26">
        <f>Muloza!J35+Muloza!K35+Muloza!L35</f>
        <v>0</v>
      </c>
      <c r="H35" s="26">
        <f>MUST!J35+MUST!K35+MUST!L35</f>
        <v>0</v>
      </c>
      <c r="I35" s="26">
        <f>Phalombe!J35+Phalombe!K35+Phalombe!L35</f>
        <v>0</v>
      </c>
      <c r="J35" s="26">
        <f>Mikolongwe!J35+Mikolongwe!K35+Mikolongwe!L35</f>
        <v>0</v>
      </c>
      <c r="K35" s="26">
        <f>Migowi!J35+Migowi!K35+Migowi!L35</f>
        <v>0</v>
      </c>
      <c r="L35" s="102">
        <f>SUM(D35:K35)</f>
        <v>283</v>
      </c>
    </row>
    <row r="36" spans="1:12" x14ac:dyDescent="0.3">
      <c r="A36" s="675"/>
      <c r="B36" s="642"/>
      <c r="C36" s="5" t="s">
        <v>142</v>
      </c>
      <c r="D36" s="26"/>
      <c r="E36" s="15"/>
      <c r="F36" s="15"/>
      <c r="G36" s="13"/>
      <c r="H36" s="13"/>
      <c r="I36" s="13"/>
      <c r="J36" s="13"/>
      <c r="K36" s="13"/>
      <c r="L36" s="102">
        <f t="shared" si="7"/>
        <v>2.0135899533957096</v>
      </c>
    </row>
    <row r="37" spans="1:12" x14ac:dyDescent="0.3">
      <c r="A37" s="673" t="s">
        <v>186</v>
      </c>
      <c r="B37" s="642">
        <v>5403.75</v>
      </c>
      <c r="C37" s="5" t="s">
        <v>126</v>
      </c>
      <c r="D37" s="26">
        <f>Mulanje!J37+Mulanje!K37+Mulanje!L37</f>
        <v>0</v>
      </c>
      <c r="E37" s="4">
        <f>Luchenza!J37+Luchenza!K37+Luchenza!L37</f>
        <v>0</v>
      </c>
      <c r="F37" s="4">
        <f>Thyolo!J37+Thyolo!K37+Thyolo!L37</f>
        <v>0</v>
      </c>
      <c r="G37" s="26">
        <f>Muloza!J37+Muloza!K37+Muloza!L37</f>
        <v>0</v>
      </c>
      <c r="H37" s="26">
        <f>MUST!J37+MUST!K37+MUST!L37</f>
        <v>0</v>
      </c>
      <c r="I37" s="26">
        <f>Phalombe!J37+Phalombe!K37+Phalombe!L37</f>
        <v>0</v>
      </c>
      <c r="J37" s="26">
        <f>Mikolongwe!J37+Mikolongwe!K37+Mikolongwe!L37</f>
        <v>0</v>
      </c>
      <c r="K37" s="26">
        <f>Migowi!J37+Migowi!K37+Migowi!L37</f>
        <v>0</v>
      </c>
      <c r="L37" s="45">
        <f>SUM(D37:K37)</f>
        <v>0</v>
      </c>
    </row>
    <row r="38" spans="1:12" x14ac:dyDescent="0.3">
      <c r="A38" s="675"/>
      <c r="B38" s="642"/>
      <c r="C38" s="5" t="s">
        <v>142</v>
      </c>
      <c r="D38" s="15">
        <f t="shared" ref="D38:K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02">
        <f t="shared" si="7"/>
        <v>0</v>
      </c>
    </row>
    <row r="39" spans="1:12" x14ac:dyDescent="0.3">
      <c r="A39" s="673" t="s">
        <v>141</v>
      </c>
      <c r="B39" s="642">
        <v>1950</v>
      </c>
      <c r="C39" s="5" t="s">
        <v>140</v>
      </c>
      <c r="D39" s="26">
        <f>Mulanje!J39+Mulanje!K39+Mulanje!L39</f>
        <v>0</v>
      </c>
      <c r="E39" s="4">
        <f>Luchenza!J39+Luchenza!K39+Luchenza!L39</f>
        <v>0</v>
      </c>
      <c r="F39" s="4">
        <f>Thyolo!J39+Thyolo!K39+Thyolo!L39</f>
        <v>0</v>
      </c>
      <c r="G39" s="26">
        <f>Muloza!J39+Muloza!K39+Muloza!L39</f>
        <v>0</v>
      </c>
      <c r="H39" s="26">
        <f>MUST!J39+MUST!K39+MUST!L39</f>
        <v>0</v>
      </c>
      <c r="I39" s="26">
        <f>Phalombe!J39+Phalombe!K39+Phalombe!L39</f>
        <v>0</v>
      </c>
      <c r="J39" s="26">
        <f>Mikolongwe!J39+Mikolongwe!K39+Mikolongwe!L39</f>
        <v>0</v>
      </c>
      <c r="K39" s="26">
        <f>Migowi!J39+Migowi!K39+Migowi!L39</f>
        <v>0</v>
      </c>
      <c r="L39" s="45">
        <f>SUM(D39:K39)</f>
        <v>0</v>
      </c>
    </row>
    <row r="40" spans="1:12" x14ac:dyDescent="0.3">
      <c r="A40" s="675"/>
      <c r="B40" s="642"/>
      <c r="C40" s="42" t="s">
        <v>139</v>
      </c>
      <c r="D40" s="15">
        <f t="shared" ref="D40:L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02">
        <f t="shared" si="9"/>
        <v>0</v>
      </c>
    </row>
    <row r="41" spans="1:12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1400597.58</v>
      </c>
      <c r="E41" s="41">
        <f t="shared" ref="E41:K41" si="10">(E29*$B29)+(E31*$B31)+(E33*$B33)+(E35*$B35)+(E37*$B37)+(E39*$B39)</f>
        <v>633847.07999999996</v>
      </c>
      <c r="F41" s="41">
        <f t="shared" si="10"/>
        <v>2857786.61</v>
      </c>
      <c r="G41" s="41">
        <f t="shared" si="10"/>
        <v>127791.75</v>
      </c>
      <c r="H41" s="41">
        <f t="shared" si="10"/>
        <v>224913.48</v>
      </c>
      <c r="I41" s="41">
        <f t="shared" si="10"/>
        <v>368040.24</v>
      </c>
      <c r="J41" s="41">
        <f t="shared" si="10"/>
        <v>61340.04</v>
      </c>
      <c r="K41" s="41">
        <f t="shared" si="10"/>
        <v>15335.01</v>
      </c>
      <c r="L41" s="39">
        <f>SUM(D41:K41)</f>
        <v>5689651.79</v>
      </c>
    </row>
    <row r="42" spans="1:12" x14ac:dyDescent="0.3">
      <c r="A42" s="708" t="s">
        <v>137</v>
      </c>
      <c r="B42" s="709"/>
      <c r="C42" s="42" t="s">
        <v>115</v>
      </c>
      <c r="D42" s="15">
        <f t="shared" ref="D42:L42" si="11">D41/D9</f>
        <v>10.41344233042625</v>
      </c>
      <c r="E42" s="15">
        <f t="shared" si="11"/>
        <v>11.360488224540273</v>
      </c>
      <c r="F42" s="15">
        <f t="shared" si="11"/>
        <v>47.981642209536602</v>
      </c>
      <c r="G42" s="15">
        <f t="shared" si="11"/>
        <v>5.2051545761883427</v>
      </c>
      <c r="H42" s="15">
        <f t="shared" si="11"/>
        <v>4.5832429238073891</v>
      </c>
      <c r="I42" s="15">
        <f t="shared" si="11"/>
        <v>12.389841440834877</v>
      </c>
      <c r="J42" s="15">
        <f t="shared" si="11"/>
        <v>25.336654275092936</v>
      </c>
      <c r="K42" s="15">
        <f t="shared" si="11"/>
        <v>1.4664827388352299</v>
      </c>
      <c r="L42" s="44">
        <f t="shared" si="11"/>
        <v>15.542948669617003</v>
      </c>
    </row>
    <row r="43" spans="1:12" ht="15" thickBot="1" x14ac:dyDescent="0.35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7"/>
    </row>
    <row r="44" spans="1:12" x14ac:dyDescent="0.3">
      <c r="A44" s="661" t="s">
        <v>135</v>
      </c>
      <c r="B44" s="662"/>
      <c r="C44" s="11" t="s">
        <v>134</v>
      </c>
      <c r="D44" s="26">
        <f>Mulanje!J44+Mulanje!K44+Mulanje!L44</f>
        <v>85</v>
      </c>
      <c r="E44" s="179">
        <f>Luchenza!J44+Luchenza!K44+Luchenza!L44</f>
        <v>32162</v>
      </c>
      <c r="F44" s="4">
        <f>Thyolo!J44+Thyolo!K44+Thyolo!L44</f>
        <v>19028</v>
      </c>
      <c r="G44" s="26">
        <f>Muloza!J44+Muloza!K44+Muloza!L44</f>
        <v>30812</v>
      </c>
      <c r="H44" s="26">
        <f>MUST!J44+MUST!K44+MUST!L44</f>
        <v>16598</v>
      </c>
      <c r="I44" s="26">
        <f>Phalombe!J44+Phalombe!K44+Phalombe!L44</f>
        <v>0</v>
      </c>
      <c r="J44" s="26">
        <f>Mikolongwe!J44+Mikolongwe!K44+Mikolongwe!L44</f>
        <v>1106</v>
      </c>
      <c r="K44" s="26">
        <f>Migowi!J44+Migowi!K44+Migowi!L44</f>
        <v>3204</v>
      </c>
      <c r="L44" s="39">
        <f>SUM(D44:K44)</f>
        <v>102995</v>
      </c>
    </row>
    <row r="45" spans="1:12" x14ac:dyDescent="0.3">
      <c r="A45" s="708" t="s">
        <v>133</v>
      </c>
      <c r="B45" s="709"/>
      <c r="C45" s="42" t="s">
        <v>132</v>
      </c>
      <c r="D45" s="15">
        <f t="shared" ref="D45:L45" si="12">D44/D9</f>
        <v>6.3197495892162764E-4</v>
      </c>
      <c r="E45" s="15">
        <f t="shared" si="12"/>
        <v>0.57644191131662903</v>
      </c>
      <c r="F45" s="15">
        <f t="shared" si="12"/>
        <v>0.31947615849563465</v>
      </c>
      <c r="G45" s="15">
        <f t="shared" si="12"/>
        <v>1.2550201621115229</v>
      </c>
      <c r="H45" s="15">
        <f t="shared" si="12"/>
        <v>0.33823079901371428</v>
      </c>
      <c r="I45" s="15">
        <f t="shared" si="12"/>
        <v>0</v>
      </c>
      <c r="J45" s="15">
        <f t="shared" si="12"/>
        <v>0.45683601817430813</v>
      </c>
      <c r="K45" s="15">
        <f t="shared" si="12"/>
        <v>0.30639762838290141</v>
      </c>
      <c r="L45" s="102">
        <f t="shared" si="12"/>
        <v>0.28136097907446866</v>
      </c>
    </row>
    <row r="46" spans="1:12" x14ac:dyDescent="0.3">
      <c r="A46" s="643" t="s">
        <v>131</v>
      </c>
      <c r="B46" s="644"/>
      <c r="C46" s="5" t="s">
        <v>31</v>
      </c>
      <c r="D46" s="26">
        <f>Mulanje!J46+Mulanje!K46+Mulanje!L46</f>
        <v>61073.377500000002</v>
      </c>
      <c r="E46" s="4">
        <f>Luchenza!J46+Luchenza!K46+Luchenza!L46</f>
        <v>4511805.2429999998</v>
      </c>
      <c r="F46" s="4">
        <f>Thyolo!J46+Thyolo!K46+Thyolo!L46</f>
        <v>2689443.0419999999</v>
      </c>
      <c r="G46" s="26">
        <f>Muloza!J46+Muloza!K46+Muloza!L46</f>
        <v>4324490.7180000003</v>
      </c>
      <c r="H46" s="26">
        <f>MUST!J46+MUST!K46+MUST!L46</f>
        <v>2352276.8969999999</v>
      </c>
      <c r="I46" s="26">
        <f>Phalombe!J46+Phalombe!K46+Phalombe!L46</f>
        <v>49279.5</v>
      </c>
      <c r="J46" s="26">
        <f>Mikolongwe!J46+Mikolongwe!K46+Mikolongwe!L46</f>
        <v>202738.65899999999</v>
      </c>
      <c r="K46" s="26">
        <f>Migowi!J46+Migowi!K46+Migowi!L46</f>
        <v>393835.68</v>
      </c>
      <c r="L46" s="39">
        <f>SUM(D46:K46)</f>
        <v>14584943.1165</v>
      </c>
    </row>
    <row r="47" spans="1:12" s="2" customFormat="1" x14ac:dyDescent="0.3">
      <c r="A47" s="661" t="s">
        <v>130</v>
      </c>
      <c r="B47" s="662"/>
      <c r="C47" s="11" t="s">
        <v>115</v>
      </c>
      <c r="D47" s="15">
        <f t="shared" ref="D47:L47" si="13">D46/D9</f>
        <v>0.45408053219726541</v>
      </c>
      <c r="E47" s="15">
        <f t="shared" si="13"/>
        <v>80.865419991396919</v>
      </c>
      <c r="F47" s="15">
        <f t="shared" si="13"/>
        <v>45.155188750839486</v>
      </c>
      <c r="G47" s="15">
        <f t="shared" si="13"/>
        <v>176.14315987128836</v>
      </c>
      <c r="H47" s="15">
        <f t="shared" si="13"/>
        <v>47.934238725979661</v>
      </c>
      <c r="I47" s="15">
        <f t="shared" si="13"/>
        <v>1.6589631375189362</v>
      </c>
      <c r="J47" s="15">
        <f t="shared" si="13"/>
        <v>83.741701363073105</v>
      </c>
      <c r="K47" s="15">
        <f t="shared" si="13"/>
        <v>37.662396480826239</v>
      </c>
      <c r="L47" s="102">
        <f t="shared" si="13"/>
        <v>39.84303971070316</v>
      </c>
    </row>
    <row r="48" spans="1:12" ht="15" thickBot="1" x14ac:dyDescent="0.35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7"/>
    </row>
    <row r="49" spans="1:12" x14ac:dyDescent="0.3">
      <c r="A49" s="661" t="s">
        <v>128</v>
      </c>
      <c r="B49" s="662"/>
      <c r="C49" s="5" t="s">
        <v>127</v>
      </c>
      <c r="D49" s="26">
        <f>Mulanje!J49+Mulanje!K49+Mulanje!L49</f>
        <v>6869</v>
      </c>
      <c r="E49" s="179">
        <f>Luchenza!J49+Luchenza!K49+Luchenza!L49</f>
        <v>0</v>
      </c>
      <c r="F49" s="179">
        <f>Thyolo!J49+Thyolo!K49+Thyolo!L49</f>
        <v>4262</v>
      </c>
      <c r="G49" s="26">
        <f>Muloza!J49+Muloza!K49+Muloza!L49</f>
        <v>5352</v>
      </c>
      <c r="H49" s="26">
        <f>MUST!J49+MUST!K49+MUST!L49</f>
        <v>4574</v>
      </c>
      <c r="I49" s="26">
        <f>Phalombe!J49+Phalombe!K49+Phalombe!L49</f>
        <v>0</v>
      </c>
      <c r="J49" s="26">
        <f>Mikolongwe!J49+Mikolongwe!K49+Mikolongwe!L49</f>
        <v>0</v>
      </c>
      <c r="K49" s="26">
        <f>Migowi!J49+Migowi!K49+Migowi!L49</f>
        <v>0</v>
      </c>
      <c r="L49" s="39">
        <f>SUM(D49:K49)</f>
        <v>21057</v>
      </c>
    </row>
    <row r="50" spans="1:12" x14ac:dyDescent="0.3">
      <c r="A50" s="661" t="s">
        <v>187</v>
      </c>
      <c r="B50" s="662"/>
      <c r="C50" s="5" t="s">
        <v>126</v>
      </c>
      <c r="D50" s="26">
        <f>Mulanje!J50+Mulanje!K50+Mulanje!L50</f>
        <v>586</v>
      </c>
      <c r="E50" s="26">
        <f>Luchenza!J50+Luchenza!K50+Luchenza!L50</f>
        <v>0</v>
      </c>
      <c r="F50" s="26">
        <f>Thyolo!J50+Thyolo!K50+Thyolo!L50</f>
        <v>525.04109589041093</v>
      </c>
      <c r="G50" s="26">
        <f>Muloza!J50+Muloza!K50+Muloza!L50</f>
        <v>465</v>
      </c>
      <c r="H50" s="26">
        <f>MUST!J50+MUST!K50+MUST!L50</f>
        <v>379</v>
      </c>
      <c r="I50" s="26">
        <f>Phalombe!J50+Phalombe!K50+Phalombe!L50</f>
        <v>0</v>
      </c>
      <c r="J50" s="26">
        <f>Mikolongwe!J50+Mikolongwe!K50+Mikolongwe!L50</f>
        <v>0</v>
      </c>
      <c r="K50" s="26">
        <f>Migowi!J50+Migowi!K50+Migowi!L50</f>
        <v>0</v>
      </c>
      <c r="L50" s="39">
        <f>SUM(D50:K50)</f>
        <v>1955.0410958904108</v>
      </c>
    </row>
    <row r="51" spans="1:12" x14ac:dyDescent="0.3">
      <c r="A51" s="643" t="s">
        <v>125</v>
      </c>
      <c r="B51" s="644"/>
      <c r="C51" s="5" t="s">
        <v>31</v>
      </c>
      <c r="D51" s="26">
        <f>Mulanje!J51+Mulanje!K51+Mulanje!L51</f>
        <v>1494307.3</v>
      </c>
      <c r="E51" s="26">
        <f>Luchenza!J51+Luchenza!K51+Luchenza!L51</f>
        <v>0</v>
      </c>
      <c r="F51" s="26">
        <f>Thyolo!J51+Thyolo!K51+Thyolo!L51</f>
        <v>1259726</v>
      </c>
      <c r="G51" s="26">
        <f>Muloza!J51+Muloza!K51+Muloza!L51</f>
        <v>1122028.06</v>
      </c>
      <c r="H51" s="26">
        <f>MUST!J51+MUST!K51+MUST!L51</f>
        <v>926044</v>
      </c>
      <c r="I51" s="26">
        <f>Phalombe!J51+Phalombe!K51+Phalombe!L51</f>
        <v>0</v>
      </c>
      <c r="J51" s="26">
        <f>Mikolongwe!J51+Mikolongwe!K51+Mikolongwe!L51</f>
        <v>0</v>
      </c>
      <c r="K51" s="26">
        <f>Migowi!J51+Migowi!K51+Migowi!L51</f>
        <v>0</v>
      </c>
      <c r="L51" s="40">
        <f>SUM(D51:K51)</f>
        <v>4802105.3599999994</v>
      </c>
    </row>
    <row r="52" spans="1:12" x14ac:dyDescent="0.3">
      <c r="A52" s="661" t="s">
        <v>124</v>
      </c>
      <c r="B52" s="662"/>
      <c r="C52" s="5" t="s">
        <v>31</v>
      </c>
      <c r="D52" s="26">
        <f>Mulanje!J52+Mulanje!K52+Mulanje!L52</f>
        <v>80000</v>
      </c>
      <c r="E52" s="4">
        <f>Luchenza!J52+Luchenza!K52+Luchenza!L52</f>
        <v>0</v>
      </c>
      <c r="F52" s="26">
        <f>Thyolo!J52+Thyolo!K52+Thyolo!L52</f>
        <v>546800</v>
      </c>
      <c r="G52" s="26">
        <f>Muloza!J52+Muloza!K52+Muloza!L52</f>
        <v>0</v>
      </c>
      <c r="H52" s="26">
        <f>MUST!J52+MUST!K52+MUST!L52</f>
        <v>0</v>
      </c>
      <c r="I52" s="26">
        <f>Phalombe!J52+Phalombe!K52+Phalombe!L52</f>
        <v>0</v>
      </c>
      <c r="J52" s="26">
        <f>Mikolongwe!J52+Mikolongwe!K52+Mikolongwe!L52</f>
        <v>0</v>
      </c>
      <c r="K52" s="26">
        <f>Migowi!J52+Migowi!K52+Migowi!L52</f>
        <v>0</v>
      </c>
      <c r="L52" s="40">
        <f>SUM(D52:K52)</f>
        <v>626800</v>
      </c>
    </row>
    <row r="53" spans="1:12" ht="15" thickBot="1" x14ac:dyDescent="0.35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7"/>
    </row>
    <row r="54" spans="1:12" x14ac:dyDescent="0.3">
      <c r="A54" s="661" t="s">
        <v>122</v>
      </c>
      <c r="B54" s="662"/>
      <c r="C54" s="11" t="s">
        <v>18</v>
      </c>
      <c r="D54" s="26">
        <f>Mulanje!J54+Mulanje!K54+Mulanje!L54</f>
        <v>13618040.225</v>
      </c>
      <c r="E54" s="183">
        <f>Luchenza!J54+Luchenza!K54+Luchenza!L54</f>
        <v>10298285.32</v>
      </c>
      <c r="F54" s="183">
        <f>Thyolo!J54+Thyolo!K54+Thyolo!L54</f>
        <v>14078715.420000002</v>
      </c>
      <c r="G54" s="26">
        <f>Muloza!J54+Muloza!K54+Muloza!L54</f>
        <v>7747521.6220000004</v>
      </c>
      <c r="H54" s="26">
        <f>MUST!J54+MUST!K54+MUST!L54</f>
        <v>5509448.7350000003</v>
      </c>
      <c r="I54" s="26">
        <f>Phalombe!J54+Phalombe!K54+Phalombe!L54</f>
        <v>5727193.1210000003</v>
      </c>
      <c r="J54" s="26">
        <f>Mikolongwe!J54+Mikolongwe!K54+Mikolongwe!L54</f>
        <v>0</v>
      </c>
      <c r="K54" s="26">
        <f>Migowi!J54+Migowi!K54+Migowi!L54</f>
        <v>742356.08000000007</v>
      </c>
      <c r="L54" s="39">
        <f>SUM(D54:K54)</f>
        <v>57721560.523000002</v>
      </c>
    </row>
    <row r="55" spans="1:12" x14ac:dyDescent="0.3">
      <c r="A55" s="78" t="s">
        <v>121</v>
      </c>
      <c r="B55" s="79"/>
      <c r="C55" s="11" t="s">
        <v>18</v>
      </c>
      <c r="D55" s="26">
        <f>Mulanje!J55+Mulanje!K55+Mulanje!L55</f>
        <v>4121451.4699999997</v>
      </c>
      <c r="E55" s="26">
        <f>Luchenza!J55+Luchenza!K55+Luchenza!L55</f>
        <v>3480990.3</v>
      </c>
      <c r="F55" s="26">
        <f>Thyolo!J55+Thyolo!K55+Thyolo!L55</f>
        <v>3196158.8600000003</v>
      </c>
      <c r="G55" s="26">
        <f>Muloza!J55+Muloza!K55+Muloza!L55</f>
        <v>1769355.06</v>
      </c>
      <c r="H55" s="26">
        <f>MUST!J55+MUST!K55+MUST!L55</f>
        <v>1205461.3399999999</v>
      </c>
      <c r="I55" s="26">
        <f>Phalombe!J55+Phalombe!K55+Phalombe!L55</f>
        <v>1235542.06</v>
      </c>
      <c r="J55" s="26">
        <f>Mikolongwe!J55+Mikolongwe!K55+Mikolongwe!L55</f>
        <v>369258.23999999999</v>
      </c>
      <c r="K55" s="26">
        <f>Migowi!J55+Migowi!K55+Migowi!L55</f>
        <v>333032.26277777774</v>
      </c>
      <c r="L55" s="39">
        <f>SUM(D55:K55)</f>
        <v>15711249.592777777</v>
      </c>
    </row>
    <row r="56" spans="1:12" x14ac:dyDescent="0.3">
      <c r="A56" s="661" t="s">
        <v>120</v>
      </c>
      <c r="B56" s="662"/>
      <c r="C56" s="5" t="s">
        <v>18</v>
      </c>
      <c r="D56" s="26">
        <f>Mulanje!J56+Mulanje!K56+Mulanje!L56</f>
        <v>1494060.8</v>
      </c>
      <c r="E56" s="4">
        <f>Luchenza!J56+Luchenza!K56+Luchenza!L56</f>
        <v>1502881.95</v>
      </c>
      <c r="F56" s="4">
        <f>Thyolo!J56+Thyolo!K56+Thyolo!L56</f>
        <v>1024766.5313333333</v>
      </c>
      <c r="G56" s="26">
        <f>Muloza!J56+Muloza!K56+Muloza!L56</f>
        <v>1157682.8699999999</v>
      </c>
      <c r="H56" s="26">
        <f>MUST!J56+MUST!K56+MUST!L56</f>
        <v>566000</v>
      </c>
      <c r="I56" s="26">
        <f>Phalombe!J56+Phalombe!K56+Phalombe!L56</f>
        <v>529744.64399999997</v>
      </c>
      <c r="J56" s="26">
        <f>Mikolongwe!J56+Mikolongwe!K56+Mikolongwe!L56</f>
        <v>32200</v>
      </c>
      <c r="K56" s="26">
        <f>Migowi!J56+Migowi!K56+Migowi!L56</f>
        <v>254068.12222222221</v>
      </c>
      <c r="L56" s="39">
        <f>SUM(D56:K56)</f>
        <v>6561404.9175555557</v>
      </c>
    </row>
    <row r="57" spans="1:12" ht="14.4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7"/>
    </row>
    <row r="58" spans="1:12" x14ac:dyDescent="0.3">
      <c r="A58" s="643" t="s">
        <v>118</v>
      </c>
      <c r="B58" s="644"/>
      <c r="C58" s="5" t="s">
        <v>18</v>
      </c>
      <c r="D58" s="13">
        <f>D41+D46+D51+D52+D54+D55+D56</f>
        <v>22269530.752500001</v>
      </c>
      <c r="E58" s="13">
        <f t="shared" ref="E58:K58" si="14">E41+E46+E51+E52+E54+E55+E56</f>
        <v>20427809.892999999</v>
      </c>
      <c r="F58" s="13">
        <f t="shared" si="14"/>
        <v>25653396.463333335</v>
      </c>
      <c r="G58" s="13">
        <f t="shared" si="14"/>
        <v>16248870.080000002</v>
      </c>
      <c r="H58" s="13">
        <f t="shared" si="14"/>
        <v>10784144.452</v>
      </c>
      <c r="I58" s="13">
        <f t="shared" si="14"/>
        <v>7909799.5650000004</v>
      </c>
      <c r="J58" s="13">
        <f t="shared" si="14"/>
        <v>665536.93900000001</v>
      </c>
      <c r="K58" s="13">
        <f t="shared" si="14"/>
        <v>1738627.155</v>
      </c>
      <c r="L58" s="64">
        <f>SUM(D58:K58)</f>
        <v>105697715.29983334</v>
      </c>
    </row>
    <row r="59" spans="1:12" x14ac:dyDescent="0.3">
      <c r="A59" s="643" t="s">
        <v>117</v>
      </c>
      <c r="B59" s="644"/>
      <c r="C59" s="5" t="s">
        <v>115</v>
      </c>
      <c r="D59" s="15">
        <f t="shared" ref="D59:L59" si="15">D58/D9</f>
        <v>165.57395038253074</v>
      </c>
      <c r="E59" s="15">
        <f t="shared" si="15"/>
        <v>366.12915175466895</v>
      </c>
      <c r="F59" s="15">
        <f t="shared" si="15"/>
        <v>430.71518575106336</v>
      </c>
      <c r="G59" s="15">
        <f t="shared" si="15"/>
        <v>661.84147611095284</v>
      </c>
      <c r="H59" s="15">
        <f t="shared" si="15"/>
        <v>219.75718729240111</v>
      </c>
      <c r="I59" s="15">
        <f t="shared" si="15"/>
        <v>266.27838966503958</v>
      </c>
      <c r="J59" s="15">
        <f t="shared" si="15"/>
        <v>274.90166831887649</v>
      </c>
      <c r="K59" s="15">
        <f t="shared" si="15"/>
        <v>166.26443100315578</v>
      </c>
      <c r="L59" s="102">
        <f t="shared" si="15"/>
        <v>288.74423673669162</v>
      </c>
    </row>
    <row r="60" spans="1:12" x14ac:dyDescent="0.3">
      <c r="A60" s="643" t="s">
        <v>116</v>
      </c>
      <c r="B60" s="644"/>
      <c r="C60" s="5" t="s">
        <v>115</v>
      </c>
      <c r="D60" s="15">
        <f>D58/D22</f>
        <v>235.37719543800424</v>
      </c>
      <c r="E60" s="15">
        <f t="shared" ref="E60:K60" si="16">E58/E22</f>
        <v>522.15658435151579</v>
      </c>
      <c r="F60" s="15">
        <f t="shared" si="16"/>
        <v>823.22689375949346</v>
      </c>
      <c r="G60" s="15">
        <f t="shared" si="16"/>
        <v>795.0322967022214</v>
      </c>
      <c r="H60" s="15">
        <f t="shared" si="16"/>
        <v>270.11953962067548</v>
      </c>
      <c r="I60" s="15">
        <f t="shared" si="16"/>
        <v>400.43130049814715</v>
      </c>
      <c r="J60" s="15">
        <f t="shared" si="16"/>
        <v>362.45340322404968</v>
      </c>
      <c r="K60" s="15">
        <f t="shared" si="16"/>
        <v>203.31729152292635</v>
      </c>
      <c r="L60" s="103">
        <f>L58/L22</f>
        <v>413.85425789602965</v>
      </c>
    </row>
    <row r="61" spans="1:12" x14ac:dyDescent="0.3">
      <c r="A61" s="661" t="s">
        <v>114</v>
      </c>
      <c r="B61" s="662"/>
      <c r="C61" s="5" t="s">
        <v>3</v>
      </c>
      <c r="D61" s="26">
        <f>Mulanje!J61+Mulanje!K61+Mulanje!L61</f>
        <v>36</v>
      </c>
      <c r="E61" s="4">
        <f>Luchenza!J61+Luchenza!K61+Luchenza!L61</f>
        <v>23</v>
      </c>
      <c r="F61" s="4">
        <f>Thyolo!J61+Thyolo!K61+Thyolo!L61</f>
        <v>29</v>
      </c>
      <c r="G61" s="4"/>
      <c r="H61" s="4"/>
      <c r="I61" s="4"/>
      <c r="J61" s="4"/>
      <c r="K61" s="4"/>
      <c r="L61" s="4">
        <f>SUM(D61:K61)</f>
        <v>88</v>
      </c>
    </row>
    <row r="62" spans="1:12" ht="15.6" customHeight="1" x14ac:dyDescent="0.3">
      <c r="A62" s="643" t="s">
        <v>113</v>
      </c>
      <c r="B62" s="644"/>
      <c r="C62" s="5" t="s">
        <v>112</v>
      </c>
      <c r="D62" s="15">
        <f t="shared" ref="D62:L62" si="17">(D61*1000*31)/D9</f>
        <v>8.2974594606651344</v>
      </c>
      <c r="E62" s="15">
        <f t="shared" si="17"/>
        <v>12.779151880130479</v>
      </c>
      <c r="F62" s="15">
        <f t="shared" si="17"/>
        <v>15.094022834116856</v>
      </c>
      <c r="G62" s="15">
        <f t="shared" si="17"/>
        <v>0</v>
      </c>
      <c r="H62" s="15">
        <f t="shared" si="17"/>
        <v>0</v>
      </c>
      <c r="I62" s="15">
        <f t="shared" si="17"/>
        <v>0</v>
      </c>
      <c r="J62" s="15">
        <f t="shared" si="17"/>
        <v>0</v>
      </c>
      <c r="K62" s="15">
        <f t="shared" si="17"/>
        <v>0</v>
      </c>
      <c r="L62" s="102">
        <f t="shared" si="17"/>
        <v>7.4523302190897667</v>
      </c>
    </row>
    <row r="63" spans="1:12" x14ac:dyDescent="0.3">
      <c r="A63" s="700" t="s">
        <v>111</v>
      </c>
      <c r="B63" s="701"/>
      <c r="C63" s="38" t="s">
        <v>3</v>
      </c>
      <c r="D63" s="26">
        <f>Mulanje!J63+Mulanje!K63+Mulanje!L63</f>
        <v>81</v>
      </c>
      <c r="E63" s="4">
        <f>Luchenza!J63+Luchenza!K63+Luchenza!L63</f>
        <v>39</v>
      </c>
      <c r="F63" s="4">
        <f>Thyolo!J63+Thyolo!K63+Thyolo!L63</f>
        <v>57</v>
      </c>
      <c r="G63" s="4"/>
      <c r="H63" s="4"/>
      <c r="I63" s="4"/>
      <c r="J63" s="4"/>
      <c r="K63" s="4"/>
      <c r="L63" s="39">
        <f>SUM(D63:K63)</f>
        <v>177</v>
      </c>
    </row>
    <row r="64" spans="1:12" ht="14.4" x14ac:dyDescent="0.3">
      <c r="A64" s="735"/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7"/>
    </row>
    <row r="65" spans="1:12" ht="14.4" customHeight="1" x14ac:dyDescent="0.3">
      <c r="A65" s="705" t="s">
        <v>110</v>
      </c>
      <c r="B65" s="706"/>
      <c r="C65" s="706"/>
      <c r="D65" s="706"/>
      <c r="E65" s="743"/>
      <c r="F65" s="743"/>
      <c r="G65" s="706"/>
      <c r="H65" s="706"/>
      <c r="I65" s="706"/>
      <c r="J65" s="706"/>
      <c r="K65" s="706"/>
      <c r="L65" s="707"/>
    </row>
    <row r="66" spans="1:12" x14ac:dyDescent="0.3">
      <c r="A66" s="688" t="s">
        <v>109</v>
      </c>
      <c r="B66" s="37" t="s">
        <v>85</v>
      </c>
      <c r="C66" s="5" t="s">
        <v>3</v>
      </c>
      <c r="D66" s="26">
        <f>Mulanje!J66</f>
        <v>501</v>
      </c>
      <c r="E66" s="26">
        <f>Luchenza!J66</f>
        <v>38</v>
      </c>
      <c r="F66" s="26">
        <f>Thyolo!J66</f>
        <v>7</v>
      </c>
      <c r="G66" s="26">
        <f>Muloza!J66</f>
        <v>119</v>
      </c>
      <c r="H66" s="26">
        <f>MUST!J66</f>
        <v>9</v>
      </c>
      <c r="I66" s="26">
        <f>Phalombe!J66</f>
        <v>29</v>
      </c>
      <c r="J66" s="26">
        <f>Mikolongwe!J66</f>
        <v>0</v>
      </c>
      <c r="K66" s="26">
        <f>Migowi!J66</f>
        <v>0</v>
      </c>
      <c r="L66" s="35">
        <f>SUM(D66:K66)</f>
        <v>703</v>
      </c>
    </row>
    <row r="67" spans="1:12" x14ac:dyDescent="0.3">
      <c r="A67" s="689"/>
      <c r="B67" s="24" t="s">
        <v>104</v>
      </c>
      <c r="C67" s="5" t="s">
        <v>3</v>
      </c>
      <c r="D67" s="26">
        <f>Mulanje!J67+Mulanje!K67+Mulanje!L67</f>
        <v>47</v>
      </c>
      <c r="E67" s="26">
        <f>Luchenza!J67+Luchenza!K67+Luchenza!L67</f>
        <v>45</v>
      </c>
      <c r="F67" s="26">
        <f>Thyolo!J67+Thyolo!K67+Thyolo!L67</f>
        <v>36</v>
      </c>
      <c r="G67" s="26">
        <f>Muloza!J67+Muloza!K67+Muloza!L67</f>
        <v>32</v>
      </c>
      <c r="H67" s="26">
        <f>MUST!J67+MUST!K67+MUST!L67</f>
        <v>12</v>
      </c>
      <c r="I67" s="26">
        <f>Phalombe!J67+Phalombe!K67+Phalombe!L67</f>
        <v>19</v>
      </c>
      <c r="J67" s="26">
        <f>Mikolongwe!J67+Mikolongwe!K67+Mikolongwe!L67</f>
        <v>0</v>
      </c>
      <c r="K67" s="26">
        <f>Migowi!J67+Migowi!K67+Migowi!L67</f>
        <v>0</v>
      </c>
      <c r="L67" s="35">
        <f>SUM(D67:K67)</f>
        <v>191</v>
      </c>
    </row>
    <row r="68" spans="1:12" ht="27" x14ac:dyDescent="0.3">
      <c r="A68" s="689"/>
      <c r="B68" s="24" t="s">
        <v>103</v>
      </c>
      <c r="C68" s="5" t="s">
        <v>3</v>
      </c>
      <c r="D68" s="26">
        <f>Mulanje!J68+Mulanje!K68+Mulanje!L68</f>
        <v>85</v>
      </c>
      <c r="E68" s="26">
        <f>Luchenza!J68+Luchenza!K68+Luchenza!L68</f>
        <v>37</v>
      </c>
      <c r="F68" s="26">
        <f>Thyolo!J68+Thyolo!K68+Thyolo!L68</f>
        <v>28</v>
      </c>
      <c r="G68" s="26">
        <f>Muloza!J68+Muloza!K68+Muloza!L68</f>
        <v>28</v>
      </c>
      <c r="H68" s="26">
        <f>MUST!J68+MUST!K68+MUST!L68</f>
        <v>13</v>
      </c>
      <c r="I68" s="26">
        <f>Phalombe!J68+Phalombe!K68+Phalombe!L68</f>
        <v>2</v>
      </c>
      <c r="J68" s="26">
        <f>Mikolongwe!J68+Mikolongwe!K68+Mikolongwe!L68</f>
        <v>0</v>
      </c>
      <c r="K68" s="26">
        <f>Migowi!J68+Migowi!K68+Migowi!L68</f>
        <v>0</v>
      </c>
      <c r="L68" s="35">
        <f>SUM(D68:K68)</f>
        <v>193</v>
      </c>
    </row>
    <row r="69" spans="1:12" s="2" customFormat="1" ht="27" x14ac:dyDescent="0.3">
      <c r="A69" s="689"/>
      <c r="B69" s="24" t="s">
        <v>102</v>
      </c>
      <c r="C69" s="11" t="s">
        <v>3</v>
      </c>
      <c r="D69" s="26">
        <f>Mulanje!J69+Mulanje!K69+Mulanje!L69</f>
        <v>0</v>
      </c>
      <c r="E69" s="26">
        <f>Luchenza!J69+Luchenza!K69+Luchenza!L69</f>
        <v>0</v>
      </c>
      <c r="F69" s="26">
        <f>Thyolo!J69+Thyolo!K69+Thyolo!L69</f>
        <v>1</v>
      </c>
      <c r="G69" s="26">
        <f>Muloza!J69+Muloza!K69+Muloza!L69</f>
        <v>0</v>
      </c>
      <c r="H69" s="26">
        <f>MUST!J69+MUST!K69+MUST!L69</f>
        <v>0</v>
      </c>
      <c r="I69" s="26">
        <f>Phalombe!J69+Phalombe!K69+Phalombe!L69</f>
        <v>1</v>
      </c>
      <c r="J69" s="26">
        <f>Mikolongwe!J69+Mikolongwe!K69+Mikolongwe!L69</f>
        <v>0</v>
      </c>
      <c r="K69" s="26">
        <f>Migowi!J69+Migowi!K69+Migowi!L69</f>
        <v>0</v>
      </c>
      <c r="L69" s="35">
        <f>SUM(D69:K69)</f>
        <v>2</v>
      </c>
    </row>
    <row r="70" spans="1:12" s="2" customFormat="1" x14ac:dyDescent="0.3">
      <c r="A70" s="689"/>
      <c r="B70" s="24" t="s">
        <v>188</v>
      </c>
      <c r="C70" s="11" t="s">
        <v>3</v>
      </c>
      <c r="D70" s="4">
        <f>D68+D69</f>
        <v>85</v>
      </c>
      <c r="E70" s="26">
        <f t="shared" ref="E70:L70" si="18">E68+E69</f>
        <v>37</v>
      </c>
      <c r="F70" s="26">
        <f t="shared" si="18"/>
        <v>29</v>
      </c>
      <c r="G70" s="4">
        <f t="shared" si="18"/>
        <v>28</v>
      </c>
      <c r="H70" s="4">
        <f t="shared" si="18"/>
        <v>13</v>
      </c>
      <c r="I70" s="4">
        <f t="shared" si="18"/>
        <v>3</v>
      </c>
      <c r="J70" s="4">
        <f t="shared" si="18"/>
        <v>0</v>
      </c>
      <c r="K70" s="4">
        <f t="shared" si="18"/>
        <v>0</v>
      </c>
      <c r="L70" s="35">
        <f t="shared" si="18"/>
        <v>195</v>
      </c>
    </row>
    <row r="71" spans="1:12" x14ac:dyDescent="0.3">
      <c r="A71" s="690"/>
      <c r="B71" s="37" t="s">
        <v>81</v>
      </c>
      <c r="C71" s="5" t="s">
        <v>3</v>
      </c>
      <c r="D71" s="26">
        <f>D66+D67-D70</f>
        <v>463</v>
      </c>
      <c r="E71" s="26">
        <f t="shared" ref="E71:K71" si="19">E66+E67-E70</f>
        <v>46</v>
      </c>
      <c r="F71" s="26">
        <f t="shared" si="19"/>
        <v>14</v>
      </c>
      <c r="G71" s="26">
        <f t="shared" si="19"/>
        <v>123</v>
      </c>
      <c r="H71" s="26">
        <f t="shared" si="19"/>
        <v>8</v>
      </c>
      <c r="I71" s="26">
        <f t="shared" si="19"/>
        <v>45</v>
      </c>
      <c r="J71" s="26">
        <f t="shared" si="19"/>
        <v>0</v>
      </c>
      <c r="K71" s="26">
        <f t="shared" si="19"/>
        <v>0</v>
      </c>
      <c r="L71" s="55">
        <f>L66+L67-L70</f>
        <v>699</v>
      </c>
    </row>
    <row r="72" spans="1:12" x14ac:dyDescent="0.3">
      <c r="A72" s="688" t="s">
        <v>108</v>
      </c>
      <c r="B72" s="37" t="s">
        <v>85</v>
      </c>
      <c r="C72" s="5" t="s">
        <v>3</v>
      </c>
      <c r="D72" s="26">
        <f>Mulanje!J72</f>
        <v>1</v>
      </c>
      <c r="E72" s="26">
        <f>Luchenza!J72</f>
        <v>1</v>
      </c>
      <c r="F72" s="26">
        <f>Thyolo!J72</f>
        <v>0</v>
      </c>
      <c r="G72" s="26">
        <f>Muloza!J72</f>
        <v>0</v>
      </c>
      <c r="H72" s="26">
        <f>MUST!J72</f>
        <v>0</v>
      </c>
      <c r="I72" s="26">
        <f>Phalombe!J72</f>
        <v>0</v>
      </c>
      <c r="J72" s="26">
        <f>Mikolongwe!J72</f>
        <v>0</v>
      </c>
      <c r="K72" s="26">
        <f>Migowi!J72</f>
        <v>0</v>
      </c>
      <c r="L72" s="35">
        <f>SUM(D72:K72)</f>
        <v>2</v>
      </c>
    </row>
    <row r="73" spans="1:12" x14ac:dyDescent="0.3">
      <c r="A73" s="689"/>
      <c r="B73" s="24" t="s">
        <v>104</v>
      </c>
      <c r="C73" s="5" t="s">
        <v>3</v>
      </c>
      <c r="D73" s="26">
        <f>Mulanje!J73+Mulanje!K73+Mulanje!L73</f>
        <v>0</v>
      </c>
      <c r="E73" s="26">
        <f>Luchenza!J73+Luchenza!K73+Luchenza!L73</f>
        <v>0</v>
      </c>
      <c r="F73" s="26">
        <f>Thyolo!J73+Thyolo!K73+Thyolo!L73</f>
        <v>0</v>
      </c>
      <c r="G73" s="26">
        <f>Muloza!J73+Muloza!K73+Muloza!L73</f>
        <v>1</v>
      </c>
      <c r="H73" s="26">
        <f>MUST!J73+MUST!K73+MUST!L73</f>
        <v>0</v>
      </c>
      <c r="I73" s="26">
        <f>Phalombe!J73+Phalombe!K73+Phalombe!L73</f>
        <v>0</v>
      </c>
      <c r="J73" s="26">
        <f>Mikolongwe!J73+Mikolongwe!K73+Mikolongwe!L73</f>
        <v>0</v>
      </c>
      <c r="K73" s="26">
        <f>Migowi!J73+Migowi!K73+Migowi!L73</f>
        <v>0</v>
      </c>
      <c r="L73" s="35">
        <f>SUM(D73:K73)</f>
        <v>1</v>
      </c>
    </row>
    <row r="74" spans="1:12" ht="27" x14ac:dyDescent="0.3">
      <c r="A74" s="689"/>
      <c r="B74" s="24" t="s">
        <v>103</v>
      </c>
      <c r="C74" s="5" t="s">
        <v>3</v>
      </c>
      <c r="D74" s="26">
        <f>Mulanje!J74+Mulanje!K74+Mulanje!L74</f>
        <v>1</v>
      </c>
      <c r="E74" s="26">
        <f>Luchenza!J74+Luchenza!K74+Luchenza!L74</f>
        <v>0</v>
      </c>
      <c r="F74" s="26">
        <f>Thyolo!J74+Thyolo!K74+Thyolo!L74</f>
        <v>0</v>
      </c>
      <c r="G74" s="26">
        <f>Muloza!J74+Muloza!K74+Muloza!L74</f>
        <v>0</v>
      </c>
      <c r="H74" s="26">
        <f>MUST!J74+MUST!K74+MUST!L74</f>
        <v>0</v>
      </c>
      <c r="I74" s="26">
        <f>Phalombe!J74+Phalombe!K74+Phalombe!L74</f>
        <v>0</v>
      </c>
      <c r="J74" s="26">
        <f>Mikolongwe!J74+Mikolongwe!K74+Mikolongwe!L74</f>
        <v>0</v>
      </c>
      <c r="K74" s="26">
        <f>Migowi!J74+Migowi!K74+Migowi!L74</f>
        <v>0</v>
      </c>
      <c r="L74" s="35">
        <f>SUM(D74:K74)</f>
        <v>1</v>
      </c>
    </row>
    <row r="75" spans="1:12" s="2" customFormat="1" ht="27" x14ac:dyDescent="0.3">
      <c r="A75" s="689"/>
      <c r="B75" s="24" t="s">
        <v>102</v>
      </c>
      <c r="C75" s="11" t="s">
        <v>3</v>
      </c>
      <c r="D75" s="26">
        <f>Mulanje!J75+Mulanje!K75+Mulanje!L75</f>
        <v>0</v>
      </c>
      <c r="E75" s="26">
        <f>Luchenza!J75+Luchenza!K75+Luchenza!L75</f>
        <v>0</v>
      </c>
      <c r="F75" s="26">
        <f>Thyolo!J75+Thyolo!K75+Thyolo!L75</f>
        <v>0</v>
      </c>
      <c r="G75" s="26">
        <f>Muloza!J75+Muloza!K75+Muloza!L75</f>
        <v>0</v>
      </c>
      <c r="H75" s="26">
        <f>MUST!J75+MUST!K75+MUST!L75</f>
        <v>0</v>
      </c>
      <c r="I75" s="26">
        <f>Phalombe!J75+Phalombe!K75+Phalombe!L75</f>
        <v>0</v>
      </c>
      <c r="J75" s="26">
        <f>Mikolongwe!J75+Mikolongwe!K75+Mikolongwe!L75</f>
        <v>0</v>
      </c>
      <c r="K75" s="26">
        <f>Migowi!J75+Migowi!K75+Migowi!L75</f>
        <v>0</v>
      </c>
      <c r="L75" s="35">
        <f>SUM(D75:K75)</f>
        <v>0</v>
      </c>
    </row>
    <row r="76" spans="1:12" s="2" customFormat="1" x14ac:dyDescent="0.3">
      <c r="A76" s="689"/>
      <c r="B76" s="24" t="s">
        <v>188</v>
      </c>
      <c r="C76" s="11" t="s">
        <v>3</v>
      </c>
      <c r="D76" s="4">
        <f>D74+D75</f>
        <v>1</v>
      </c>
      <c r="E76" s="26">
        <f t="shared" ref="E76:L76" si="20">E74+E75</f>
        <v>0</v>
      </c>
      <c r="F76" s="26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35">
        <f t="shared" si="20"/>
        <v>1</v>
      </c>
    </row>
    <row r="77" spans="1:12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L77" si="21">E73+E74-E76</f>
        <v>0</v>
      </c>
      <c r="F77" s="26">
        <f t="shared" si="21"/>
        <v>0</v>
      </c>
      <c r="G77" s="26">
        <f t="shared" si="21"/>
        <v>1</v>
      </c>
      <c r="H77" s="26">
        <f t="shared" si="21"/>
        <v>0</v>
      </c>
      <c r="I77" s="26">
        <f t="shared" si="21"/>
        <v>0</v>
      </c>
      <c r="J77" s="26">
        <f t="shared" si="21"/>
        <v>0</v>
      </c>
      <c r="K77" s="26">
        <f t="shared" si="21"/>
        <v>0</v>
      </c>
      <c r="L77" s="55">
        <f t="shared" si="21"/>
        <v>1</v>
      </c>
    </row>
    <row r="78" spans="1:12" ht="15.6" customHeight="1" x14ac:dyDescent="0.3">
      <c r="A78" s="688" t="s">
        <v>107</v>
      </c>
      <c r="B78" s="37" t="s">
        <v>85</v>
      </c>
      <c r="C78" s="5" t="s">
        <v>3</v>
      </c>
      <c r="D78" s="26">
        <f>Mulanje!J78</f>
        <v>1</v>
      </c>
      <c r="E78" s="26">
        <f>Luchenza!J78</f>
        <v>0</v>
      </c>
      <c r="F78" s="26">
        <f>Thyolo!J78</f>
        <v>0</v>
      </c>
      <c r="G78" s="26">
        <f>Muloza!J78</f>
        <v>0</v>
      </c>
      <c r="H78" s="26">
        <f>MUST!J78</f>
        <v>0</v>
      </c>
      <c r="I78" s="26">
        <f>Phalombe!J78</f>
        <v>4</v>
      </c>
      <c r="J78" s="26">
        <f>Mikolongwe!J78</f>
        <v>0</v>
      </c>
      <c r="K78" s="26">
        <f>Migowi!J78</f>
        <v>0</v>
      </c>
      <c r="L78" s="35">
        <f>SUM(D78:K78)</f>
        <v>5</v>
      </c>
    </row>
    <row r="79" spans="1:12" x14ac:dyDescent="0.3">
      <c r="A79" s="689"/>
      <c r="B79" s="24" t="s">
        <v>104</v>
      </c>
      <c r="C79" s="5" t="s">
        <v>3</v>
      </c>
      <c r="D79" s="26">
        <f>Mulanje!J79+Mulanje!K79+Mulanje!L79</f>
        <v>1</v>
      </c>
      <c r="E79" s="26">
        <f>Luchenza!J79+Luchenza!K79+Luchenza!L79</f>
        <v>0</v>
      </c>
      <c r="F79" s="26">
        <f>Thyolo!J79+Thyolo!K79+Thyolo!L79</f>
        <v>1</v>
      </c>
      <c r="G79" s="26">
        <f>Muloza!J79+Muloza!K79+Muloza!L79</f>
        <v>1</v>
      </c>
      <c r="H79" s="26">
        <f>MUST!J79+MUST!K79+MUST!L79</f>
        <v>0</v>
      </c>
      <c r="I79" s="26">
        <f>Phalombe!J79+Phalombe!K79+Phalombe!L79</f>
        <v>0</v>
      </c>
      <c r="J79" s="26">
        <f>Mikolongwe!J79+Mikolongwe!K79+Mikolongwe!L79</f>
        <v>0</v>
      </c>
      <c r="K79" s="26">
        <f>Migowi!J79+Migowi!K79+Migowi!L79</f>
        <v>0</v>
      </c>
      <c r="L79" s="35">
        <f>SUM(D79:K79)</f>
        <v>3</v>
      </c>
    </row>
    <row r="80" spans="1:12" ht="27" x14ac:dyDescent="0.3">
      <c r="A80" s="689"/>
      <c r="B80" s="24" t="s">
        <v>103</v>
      </c>
      <c r="C80" s="5" t="s">
        <v>3</v>
      </c>
      <c r="D80" s="26">
        <f>Mulanje!J80+Mulanje!K80+Mulanje!L80</f>
        <v>2</v>
      </c>
      <c r="E80" s="26">
        <f>Luchenza!J80+Luchenza!K80+Luchenza!L80</f>
        <v>0</v>
      </c>
      <c r="F80" s="26">
        <f>Thyolo!J80+Thyolo!K80+Thyolo!L80</f>
        <v>1</v>
      </c>
      <c r="G80" s="26">
        <f>Muloza!J80+Muloza!K80+Muloza!L80</f>
        <v>0</v>
      </c>
      <c r="H80" s="26">
        <f>MUST!J80+MUST!K80+MUST!L80</f>
        <v>0</v>
      </c>
      <c r="I80" s="26">
        <f>Phalombe!J80+Phalombe!K80+Phalombe!L80</f>
        <v>0</v>
      </c>
      <c r="J80" s="26">
        <f>Mikolongwe!J80+Mikolongwe!K80+Mikolongwe!L80</f>
        <v>0</v>
      </c>
      <c r="K80" s="26">
        <f>Migowi!J80+Migowi!K80+Migowi!L80</f>
        <v>0</v>
      </c>
      <c r="L80" s="35">
        <f>SUM(D80:K80)</f>
        <v>3</v>
      </c>
    </row>
    <row r="81" spans="1:12" s="2" customFormat="1" ht="27" x14ac:dyDescent="0.3">
      <c r="A81" s="689"/>
      <c r="B81" s="24" t="s">
        <v>102</v>
      </c>
      <c r="C81" s="11" t="s">
        <v>3</v>
      </c>
      <c r="D81" s="26">
        <f>Mulanje!J81+Mulanje!K81+Mulanje!L81</f>
        <v>0</v>
      </c>
      <c r="E81" s="26">
        <f>Luchenza!J81+Luchenza!K81+Luchenza!L81</f>
        <v>0</v>
      </c>
      <c r="F81" s="26">
        <f>Thyolo!J81+Thyolo!K81+Thyolo!L81</f>
        <v>0</v>
      </c>
      <c r="G81" s="26">
        <f>Muloza!J81+Muloza!K81+Muloza!L81</f>
        <v>0</v>
      </c>
      <c r="H81" s="26">
        <f>MUST!J81+MUST!K81+MUST!L81</f>
        <v>0</v>
      </c>
      <c r="I81" s="26">
        <f>Phalombe!J81+Phalombe!K81+Phalombe!L81</f>
        <v>0</v>
      </c>
      <c r="J81" s="26">
        <f>Mikolongwe!J81+Mikolongwe!K81+Mikolongwe!L81</f>
        <v>0</v>
      </c>
      <c r="K81" s="26">
        <f>Migowi!J81+Migowi!K81+Migowi!L81</f>
        <v>0</v>
      </c>
      <c r="L81" s="35">
        <f>SUM(D81:K81)</f>
        <v>0</v>
      </c>
    </row>
    <row r="82" spans="1:12" s="2" customFormat="1" x14ac:dyDescent="0.3">
      <c r="A82" s="689"/>
      <c r="B82" s="24" t="s">
        <v>188</v>
      </c>
      <c r="C82" s="11" t="s">
        <v>3</v>
      </c>
      <c r="D82" s="4">
        <f>D81+D80</f>
        <v>2</v>
      </c>
      <c r="E82" s="26">
        <f t="shared" ref="E82:L82" si="22">E81+E80</f>
        <v>0</v>
      </c>
      <c r="F82" s="26">
        <f t="shared" si="22"/>
        <v>1</v>
      </c>
      <c r="G82" s="4">
        <f t="shared" si="22"/>
        <v>0</v>
      </c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35">
        <f t="shared" si="22"/>
        <v>3</v>
      </c>
    </row>
    <row r="83" spans="1:12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>Luchenza!J83+Luchenza!K83+Luchenza!L83</f>
        <v>0</v>
      </c>
      <c r="F83" s="26">
        <f t="shared" ref="F83:L83" si="23">F78+F79-F82</f>
        <v>0</v>
      </c>
      <c r="G83" s="26">
        <f t="shared" si="23"/>
        <v>1</v>
      </c>
      <c r="H83" s="26">
        <f t="shared" si="23"/>
        <v>0</v>
      </c>
      <c r="I83" s="26">
        <f t="shared" si="23"/>
        <v>4</v>
      </c>
      <c r="J83" s="26">
        <f t="shared" si="23"/>
        <v>0</v>
      </c>
      <c r="K83" s="26">
        <f t="shared" si="23"/>
        <v>0</v>
      </c>
      <c r="L83" s="55">
        <f t="shared" si="23"/>
        <v>5</v>
      </c>
    </row>
    <row r="84" spans="1:12" x14ac:dyDescent="0.3">
      <c r="A84" s="691" t="s">
        <v>106</v>
      </c>
      <c r="B84" s="37" t="s">
        <v>85</v>
      </c>
      <c r="C84" s="5" t="s">
        <v>3</v>
      </c>
      <c r="D84" s="26">
        <f>Mulanje!J84</f>
        <v>0</v>
      </c>
      <c r="E84" s="26">
        <f>Luchenza!J84</f>
        <v>0</v>
      </c>
      <c r="F84" s="26">
        <f>Thyolo!J84</f>
        <v>0</v>
      </c>
      <c r="G84" s="26">
        <f>Muloza!J84</f>
        <v>0</v>
      </c>
      <c r="H84" s="26">
        <f>MUST!J84</f>
        <v>0</v>
      </c>
      <c r="I84" s="26">
        <f>Phalombe!J84</f>
        <v>0</v>
      </c>
      <c r="J84" s="26">
        <f>Mikolongwe!J84</f>
        <v>0</v>
      </c>
      <c r="K84" s="26">
        <f>Migowi!J84</f>
        <v>0</v>
      </c>
      <c r="L84" s="35">
        <f>SUM(D84:K84)</f>
        <v>0</v>
      </c>
    </row>
    <row r="85" spans="1:12" x14ac:dyDescent="0.3">
      <c r="A85" s="692"/>
      <c r="B85" s="37" t="s">
        <v>104</v>
      </c>
      <c r="C85" s="5" t="s">
        <v>3</v>
      </c>
      <c r="D85" s="26">
        <f>Mulanje!J85+Mulanje!K85+Mulanje!L85</f>
        <v>2</v>
      </c>
      <c r="E85" s="26">
        <f>Luchenza!J85+Luchenza!K85+Luchenza!L85</f>
        <v>0</v>
      </c>
      <c r="F85" s="26">
        <f>Thyolo!J85+Thyolo!K85+Thyolo!L85</f>
        <v>0</v>
      </c>
      <c r="G85" s="26">
        <f>Muloza!J85+Muloza!K85+Muloza!L85</f>
        <v>0</v>
      </c>
      <c r="H85" s="26">
        <f>MUST!J85+MUST!K85+MUST!L85</f>
        <v>0</v>
      </c>
      <c r="I85" s="26">
        <f>Phalombe!J85+Phalombe!K85+Phalombe!L85</f>
        <v>0</v>
      </c>
      <c r="J85" s="26">
        <f>Mikolongwe!J85+Mikolongwe!K85+Mikolongwe!L85</f>
        <v>0</v>
      </c>
      <c r="K85" s="26">
        <f>Migowi!J85+Migowi!K85+Migowi!L85</f>
        <v>0</v>
      </c>
      <c r="L85" s="35">
        <f>SUM(D85:K85)</f>
        <v>2</v>
      </c>
    </row>
    <row r="86" spans="1:12" ht="27" x14ac:dyDescent="0.3">
      <c r="A86" s="692"/>
      <c r="B86" s="37" t="s">
        <v>103</v>
      </c>
      <c r="C86" s="5" t="s">
        <v>3</v>
      </c>
      <c r="D86" s="26">
        <f>Mulanje!J86+Mulanje!K86+Mulanje!L86</f>
        <v>0</v>
      </c>
      <c r="E86" s="26">
        <f>Luchenza!J86+Luchenza!K86+Luchenza!L86</f>
        <v>0</v>
      </c>
      <c r="F86" s="26">
        <f>Thyolo!J86+Thyolo!K86+Thyolo!L86</f>
        <v>0</v>
      </c>
      <c r="G86" s="26">
        <f>Muloza!J86+Muloza!K86+Muloza!L86</f>
        <v>0</v>
      </c>
      <c r="H86" s="26">
        <f>MUST!J86+MUST!K86+MUST!L86</f>
        <v>0</v>
      </c>
      <c r="I86" s="26">
        <f>Phalombe!J86+Phalombe!K86+Phalombe!L86</f>
        <v>0</v>
      </c>
      <c r="J86" s="26">
        <f>Mikolongwe!J86+Mikolongwe!K86+Mikolongwe!L86</f>
        <v>0</v>
      </c>
      <c r="K86" s="26">
        <f>Migowi!J86+Migowi!K86+Migowi!L86</f>
        <v>0</v>
      </c>
      <c r="L86" s="35">
        <f>SUM(D86:K86)</f>
        <v>0</v>
      </c>
    </row>
    <row r="87" spans="1:12" s="2" customFormat="1" ht="27" x14ac:dyDescent="0.3">
      <c r="A87" s="692"/>
      <c r="B87" s="24" t="s">
        <v>102</v>
      </c>
      <c r="C87" s="11" t="s">
        <v>3</v>
      </c>
      <c r="D87" s="26">
        <f>Mulanje!J87+Mulanje!K87+Mulanje!L87</f>
        <v>2</v>
      </c>
      <c r="E87" s="26">
        <f>Luchenza!J87+Luchenza!K87+Luchenza!L87</f>
        <v>0</v>
      </c>
      <c r="F87" s="26">
        <f>Thyolo!J87+Thyolo!K87+Thyolo!L87</f>
        <v>0</v>
      </c>
      <c r="G87" s="26">
        <f>Muloza!J87+Muloza!K87+Muloza!L87</f>
        <v>0</v>
      </c>
      <c r="H87" s="26">
        <f>MUST!J87+MUST!K87+MUST!L87</f>
        <v>0</v>
      </c>
      <c r="I87" s="26">
        <f>Phalombe!J87+Phalombe!K87+Phalombe!L87</f>
        <v>0</v>
      </c>
      <c r="J87" s="26">
        <f>Mikolongwe!J87+Mikolongwe!K87+Mikolongwe!L87</f>
        <v>0</v>
      </c>
      <c r="K87" s="26">
        <f>Migowi!J87+Migowi!K87+Migowi!L87</f>
        <v>0</v>
      </c>
      <c r="L87" s="35">
        <f>SUM(D87:K87)</f>
        <v>2</v>
      </c>
    </row>
    <row r="88" spans="1:12" s="2" customFormat="1" x14ac:dyDescent="0.3">
      <c r="A88" s="692"/>
      <c r="B88" s="24" t="s">
        <v>188</v>
      </c>
      <c r="C88" s="11" t="s">
        <v>3</v>
      </c>
      <c r="D88" s="4">
        <f>D87+D86</f>
        <v>2</v>
      </c>
      <c r="E88" s="26">
        <f t="shared" ref="E88:H88" si="24">E87+E86</f>
        <v>0</v>
      </c>
      <c r="F88" s="26">
        <f t="shared" si="24"/>
        <v>0</v>
      </c>
      <c r="G88" s="4">
        <f t="shared" si="24"/>
        <v>0</v>
      </c>
      <c r="H88" s="4">
        <f t="shared" si="24"/>
        <v>0</v>
      </c>
      <c r="I88" s="4"/>
      <c r="J88" s="4"/>
      <c r="K88" s="4"/>
      <c r="L88" s="35">
        <f>SUM(D88:K88)</f>
        <v>2</v>
      </c>
    </row>
    <row r="89" spans="1:12" x14ac:dyDescent="0.3">
      <c r="A89" s="693"/>
      <c r="B89" s="36" t="s">
        <v>81</v>
      </c>
      <c r="C89" s="5" t="s">
        <v>3</v>
      </c>
      <c r="D89" s="26">
        <f>D84+D85-D88</f>
        <v>0</v>
      </c>
      <c r="E89" s="26">
        <f t="shared" ref="E89:H89" si="25">E84+E85-E88</f>
        <v>0</v>
      </c>
      <c r="F89" s="26">
        <f t="shared" si="25"/>
        <v>0</v>
      </c>
      <c r="G89" s="26">
        <f t="shared" si="25"/>
        <v>0</v>
      </c>
      <c r="H89" s="26">
        <f t="shared" si="25"/>
        <v>0</v>
      </c>
      <c r="I89" s="26"/>
      <c r="J89" s="26"/>
      <c r="K89" s="26"/>
      <c r="L89" s="55">
        <f t="shared" ref="L89" si="26">L84+L85-L86-L87</f>
        <v>0</v>
      </c>
    </row>
    <row r="90" spans="1:12" x14ac:dyDescent="0.3">
      <c r="A90" s="694" t="s">
        <v>105</v>
      </c>
      <c r="B90" s="24" t="s">
        <v>85</v>
      </c>
      <c r="C90" s="11" t="s">
        <v>3</v>
      </c>
      <c r="D90" s="135">
        <f t="shared" ref="D90:E93" si="27">D66+D72+D78+D84</f>
        <v>503</v>
      </c>
      <c r="E90" s="135">
        <f t="shared" si="27"/>
        <v>39</v>
      </c>
      <c r="F90" s="135">
        <f t="shared" ref="F90:H90" si="28">F66+F72+F78+F84</f>
        <v>7</v>
      </c>
      <c r="G90" s="135">
        <f t="shared" si="28"/>
        <v>119</v>
      </c>
      <c r="H90" s="135">
        <f t="shared" si="28"/>
        <v>9</v>
      </c>
      <c r="I90" s="135">
        <f t="shared" ref="I90:K90" si="29">I66+I72+I78+I84</f>
        <v>33</v>
      </c>
      <c r="J90" s="135">
        <f t="shared" si="29"/>
        <v>0</v>
      </c>
      <c r="K90" s="135">
        <f t="shared" si="29"/>
        <v>0</v>
      </c>
      <c r="L90" s="35">
        <f>SUM(D90:K90)</f>
        <v>710</v>
      </c>
    </row>
    <row r="91" spans="1:12" x14ac:dyDescent="0.3">
      <c r="A91" s="695"/>
      <c r="B91" s="24" t="s">
        <v>104</v>
      </c>
      <c r="C91" s="11" t="s">
        <v>3</v>
      </c>
      <c r="D91" s="135">
        <f t="shared" si="27"/>
        <v>50</v>
      </c>
      <c r="E91" s="135">
        <f t="shared" si="27"/>
        <v>45</v>
      </c>
      <c r="F91" s="135">
        <f t="shared" ref="F91:H91" si="30">F67+F73+F79+F85</f>
        <v>37</v>
      </c>
      <c r="G91" s="135">
        <f t="shared" si="30"/>
        <v>34</v>
      </c>
      <c r="H91" s="135">
        <f t="shared" si="30"/>
        <v>12</v>
      </c>
      <c r="I91" s="135">
        <f t="shared" ref="I91:K91" si="31">I67+I73+I79+I85</f>
        <v>19</v>
      </c>
      <c r="J91" s="135">
        <f t="shared" si="31"/>
        <v>0</v>
      </c>
      <c r="K91" s="135">
        <f t="shared" si="31"/>
        <v>0</v>
      </c>
      <c r="L91" s="35">
        <f>SUM(D91:K91)</f>
        <v>197</v>
      </c>
    </row>
    <row r="92" spans="1:12" ht="27" x14ac:dyDescent="0.3">
      <c r="A92" s="695"/>
      <c r="B92" s="24" t="s">
        <v>103</v>
      </c>
      <c r="C92" s="11" t="s">
        <v>3</v>
      </c>
      <c r="D92" s="135">
        <f t="shared" si="27"/>
        <v>88</v>
      </c>
      <c r="E92" s="135">
        <f t="shared" si="27"/>
        <v>37</v>
      </c>
      <c r="F92" s="135">
        <f t="shared" ref="F92:H92" si="32">F68+F74+F80+F86</f>
        <v>29</v>
      </c>
      <c r="G92" s="135">
        <f t="shared" si="32"/>
        <v>28</v>
      </c>
      <c r="H92" s="135">
        <f t="shared" si="32"/>
        <v>13</v>
      </c>
      <c r="I92" s="135">
        <f t="shared" ref="I92:K92" si="33">I68+I74+I80+I86</f>
        <v>2</v>
      </c>
      <c r="J92" s="135">
        <f t="shared" si="33"/>
        <v>0</v>
      </c>
      <c r="K92" s="135">
        <f t="shared" si="33"/>
        <v>0</v>
      </c>
      <c r="L92" s="35">
        <f>SUM(D92:K92)</f>
        <v>197</v>
      </c>
    </row>
    <row r="93" spans="1:12" s="2" customFormat="1" ht="27" x14ac:dyDescent="0.3">
      <c r="A93" s="695"/>
      <c r="B93" s="24" t="s">
        <v>102</v>
      </c>
      <c r="C93" s="11"/>
      <c r="D93" s="135">
        <f t="shared" si="27"/>
        <v>2</v>
      </c>
      <c r="E93" s="135">
        <f t="shared" si="27"/>
        <v>0</v>
      </c>
      <c r="F93" s="135">
        <f t="shared" ref="F93:H93" si="34">F69+F75+F81+F87</f>
        <v>1</v>
      </c>
      <c r="G93" s="135">
        <f t="shared" si="34"/>
        <v>0</v>
      </c>
      <c r="H93" s="135">
        <f t="shared" si="34"/>
        <v>0</v>
      </c>
      <c r="I93" s="135">
        <f t="shared" ref="I93:K93" si="35">I69+I75+I81+I87</f>
        <v>1</v>
      </c>
      <c r="J93" s="135">
        <f t="shared" si="35"/>
        <v>0</v>
      </c>
      <c r="K93" s="135">
        <f t="shared" si="35"/>
        <v>0</v>
      </c>
      <c r="L93" s="35">
        <f>SUM(D93:K93)</f>
        <v>4</v>
      </c>
    </row>
    <row r="94" spans="1:12" s="2" customFormat="1" x14ac:dyDescent="0.3">
      <c r="A94" s="695"/>
      <c r="B94" s="24" t="s">
        <v>188</v>
      </c>
      <c r="C94" s="11" t="s">
        <v>3</v>
      </c>
      <c r="D94" s="136">
        <f t="shared" ref="D94:E94" si="36">D93+D92</f>
        <v>90</v>
      </c>
      <c r="E94" s="136">
        <f t="shared" si="36"/>
        <v>37</v>
      </c>
      <c r="F94" s="136">
        <f t="shared" ref="F94:H94" si="37">F93+F92</f>
        <v>30</v>
      </c>
      <c r="G94" s="136">
        <f t="shared" si="37"/>
        <v>28</v>
      </c>
      <c r="H94" s="136">
        <f t="shared" si="37"/>
        <v>13</v>
      </c>
      <c r="I94" s="136">
        <f t="shared" ref="I94:L94" si="38">I93+I92</f>
        <v>3</v>
      </c>
      <c r="J94" s="136">
        <f t="shared" si="38"/>
        <v>0</v>
      </c>
      <c r="K94" s="136">
        <f t="shared" si="38"/>
        <v>0</v>
      </c>
      <c r="L94" s="35">
        <f t="shared" si="38"/>
        <v>201</v>
      </c>
    </row>
    <row r="95" spans="1:12" ht="16.2" thickBot="1" x14ac:dyDescent="0.35">
      <c r="A95" s="696"/>
      <c r="B95" s="24" t="s">
        <v>81</v>
      </c>
      <c r="C95" s="11" t="s">
        <v>3</v>
      </c>
      <c r="D95" s="137">
        <f t="shared" ref="D95:E95" si="39">D90+D91-D94</f>
        <v>463</v>
      </c>
      <c r="E95" s="137">
        <f t="shared" si="39"/>
        <v>47</v>
      </c>
      <c r="F95" s="137">
        <f t="shared" ref="F95:H95" si="40">F90+F91-F94</f>
        <v>14</v>
      </c>
      <c r="G95" s="137">
        <f t="shared" si="40"/>
        <v>125</v>
      </c>
      <c r="H95" s="137">
        <f t="shared" si="40"/>
        <v>8</v>
      </c>
      <c r="I95" s="137">
        <f t="shared" ref="I95:L95" si="41">I90+I91-I94</f>
        <v>49</v>
      </c>
      <c r="J95" s="137">
        <f t="shared" si="41"/>
        <v>0</v>
      </c>
      <c r="K95" s="137">
        <f t="shared" si="41"/>
        <v>0</v>
      </c>
      <c r="L95" s="55">
        <f t="shared" si="41"/>
        <v>706</v>
      </c>
    </row>
    <row r="96" spans="1:12" ht="16.2" customHeight="1" thickBot="1" x14ac:dyDescent="0.35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4"/>
    </row>
    <row r="97" spans="1:12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9"/>
    </row>
    <row r="98" spans="1:12" x14ac:dyDescent="0.3">
      <c r="A98" s="88" t="s">
        <v>190</v>
      </c>
      <c r="B98" s="69"/>
      <c r="C98" s="11" t="s">
        <v>3</v>
      </c>
      <c r="D98" s="26">
        <f>Mulanje!J98+Mulanje!K98+Mulanje!L98</f>
        <v>4</v>
      </c>
      <c r="E98" s="179">
        <f>Luchenza!J98+Luchenza!K98+Luchenza!L98</f>
        <v>2</v>
      </c>
      <c r="F98" s="179">
        <f>Thyolo!J98+Thyolo!K98+Thyolo!L98</f>
        <v>5</v>
      </c>
      <c r="G98" s="26">
        <f>Muloza!J98+Muloza!K98+Muloza!L98</f>
        <v>4</v>
      </c>
      <c r="H98" s="26">
        <f>MUST!J98+MUST!K98+MUST!L98</f>
        <v>0</v>
      </c>
      <c r="I98" s="26">
        <f>Phalombe!J98+Phalombe!K98+Phalombe!L98</f>
        <v>4</v>
      </c>
      <c r="J98" s="26">
        <f>Mikolongwe!J98+Mikolongwe!K98+Mikolongwe!L98</f>
        <v>0</v>
      </c>
      <c r="K98" s="26">
        <f>Migowi!J98+Migowi!K98+Migowi!L98</f>
        <v>0</v>
      </c>
      <c r="L98" s="107">
        <f>SUM(D98:K98)</f>
        <v>19</v>
      </c>
    </row>
    <row r="99" spans="1:12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106"/>
    </row>
    <row r="100" spans="1:12" s="2" customFormat="1" ht="15" thickBot="1" x14ac:dyDescent="0.35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2"/>
    </row>
    <row r="101" spans="1:12" x14ac:dyDescent="0.3">
      <c r="A101" s="661" t="s">
        <v>100</v>
      </c>
      <c r="B101" s="662"/>
      <c r="C101" s="11" t="s">
        <v>3</v>
      </c>
      <c r="D101" s="184">
        <f>Mulanje!L101</f>
        <v>664</v>
      </c>
      <c r="E101" s="183">
        <f>Luchenza!L101</f>
        <v>1012</v>
      </c>
      <c r="F101" s="183">
        <f>Thyolo!L101</f>
        <v>454</v>
      </c>
      <c r="G101" s="184">
        <f>Muloza!L101</f>
        <v>469</v>
      </c>
      <c r="H101" s="184">
        <f>MUST!L101</f>
        <v>22</v>
      </c>
      <c r="I101" s="184">
        <f>Phalombe!L101</f>
        <v>214</v>
      </c>
      <c r="J101" s="184">
        <f>Mikolongwe!L101</f>
        <v>16</v>
      </c>
      <c r="K101" s="184">
        <f>Migowi!L101</f>
        <v>0</v>
      </c>
      <c r="L101" s="32">
        <f>SUM(D101:K101)</f>
        <v>2851</v>
      </c>
    </row>
    <row r="102" spans="1:12" x14ac:dyDescent="0.3">
      <c r="A102" s="661" t="s">
        <v>99</v>
      </c>
      <c r="B102" s="662"/>
      <c r="C102" s="11" t="s">
        <v>3</v>
      </c>
      <c r="D102" s="26">
        <f>Mulanje!L102</f>
        <v>45</v>
      </c>
      <c r="E102" s="26">
        <f>Luchenza!L102</f>
        <v>12</v>
      </c>
      <c r="F102" s="26">
        <f>Thyolo!L102</f>
        <v>17</v>
      </c>
      <c r="G102" s="26">
        <f>Muloza!L102</f>
        <v>18</v>
      </c>
      <c r="H102" s="26">
        <f>MUST!L102</f>
        <v>1</v>
      </c>
      <c r="I102" s="26">
        <f>Phalombe!L102</f>
        <v>14</v>
      </c>
      <c r="J102" s="26">
        <f>Mikolongwe!L102</f>
        <v>2</v>
      </c>
      <c r="K102" s="26">
        <f>Migowi!L102</f>
        <v>0</v>
      </c>
      <c r="L102" s="32">
        <f>SUM(D102:K102)</f>
        <v>109</v>
      </c>
    </row>
    <row r="103" spans="1:12" ht="15.6" customHeight="1" x14ac:dyDescent="0.3">
      <c r="A103" s="663" t="s">
        <v>98</v>
      </c>
      <c r="B103" s="664"/>
      <c r="C103" s="11" t="s">
        <v>3</v>
      </c>
      <c r="D103" s="26">
        <f>Mulanje!L103</f>
        <v>82</v>
      </c>
      <c r="E103" s="26">
        <f>Luchenza!L103</f>
        <v>35</v>
      </c>
      <c r="F103" s="26">
        <f>Thyolo!L103</f>
        <v>81</v>
      </c>
      <c r="G103" s="26">
        <f>Muloza!L103</f>
        <v>74</v>
      </c>
      <c r="H103" s="26">
        <f>MUST!L103</f>
        <v>11</v>
      </c>
      <c r="I103" s="26">
        <f>Phalombe!L103</f>
        <v>25</v>
      </c>
      <c r="J103" s="26">
        <f>Mikolongwe!L103</f>
        <v>0</v>
      </c>
      <c r="K103" s="26">
        <f>Migowi!L103</f>
        <v>0</v>
      </c>
      <c r="L103" s="32">
        <f>SUM(D103:K103)</f>
        <v>308</v>
      </c>
    </row>
    <row r="104" spans="1:12" x14ac:dyDescent="0.3">
      <c r="A104" s="663" t="s">
        <v>97</v>
      </c>
      <c r="B104" s="664"/>
      <c r="C104" s="11" t="s">
        <v>3</v>
      </c>
      <c r="D104" s="26">
        <f>Mulanje!L104</f>
        <v>15</v>
      </c>
      <c r="E104" s="26">
        <f>Luchenza!L104</f>
        <v>22</v>
      </c>
      <c r="F104" s="26">
        <f>Thyolo!L104</f>
        <v>16</v>
      </c>
      <c r="G104" s="26">
        <f>Muloza!L104</f>
        <v>0</v>
      </c>
      <c r="H104" s="26">
        <f>MUST!L104</f>
        <v>0</v>
      </c>
      <c r="I104" s="26">
        <f>Phalombe!L104</f>
        <v>0</v>
      </c>
      <c r="J104" s="26">
        <f>Mikolongwe!L104</f>
        <v>0</v>
      </c>
      <c r="K104" s="26">
        <f>Migowi!L104</f>
        <v>0</v>
      </c>
      <c r="L104" s="32">
        <f>SUM(D104:K104)</f>
        <v>53</v>
      </c>
    </row>
    <row r="105" spans="1:12" x14ac:dyDescent="0.3">
      <c r="A105" s="686" t="s">
        <v>96</v>
      </c>
      <c r="B105" s="687"/>
      <c r="C105" s="11" t="s">
        <v>3</v>
      </c>
      <c r="D105" s="33">
        <f>SUM(D101:D104)</f>
        <v>806</v>
      </c>
      <c r="E105" s="33">
        <f t="shared" ref="E105:K105" si="42">SUM(E101:E104)</f>
        <v>1081</v>
      </c>
      <c r="F105" s="33">
        <f t="shared" si="42"/>
        <v>568</v>
      </c>
      <c r="G105" s="33">
        <f t="shared" si="42"/>
        <v>561</v>
      </c>
      <c r="H105" s="33">
        <f t="shared" si="42"/>
        <v>34</v>
      </c>
      <c r="I105" s="33">
        <f t="shared" si="42"/>
        <v>253</v>
      </c>
      <c r="J105" s="33">
        <f t="shared" si="42"/>
        <v>18</v>
      </c>
      <c r="K105" s="33">
        <f t="shared" si="42"/>
        <v>0</v>
      </c>
      <c r="L105" s="33">
        <f>SUM(D105:K105)</f>
        <v>3321</v>
      </c>
    </row>
    <row r="106" spans="1:12" s="2" customFormat="1" ht="15.6" customHeight="1" thickBot="1" x14ac:dyDescent="0.35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5"/>
    </row>
    <row r="107" spans="1:12" x14ac:dyDescent="0.3">
      <c r="A107" s="661" t="s">
        <v>193</v>
      </c>
      <c r="B107" s="662"/>
      <c r="C107" s="11" t="s">
        <v>3</v>
      </c>
      <c r="D107" s="184">
        <f>Mulanje!L107</f>
        <v>2124</v>
      </c>
      <c r="E107" s="183">
        <f>Luchenza!L107</f>
        <v>1071</v>
      </c>
      <c r="F107" s="183">
        <f>Thyolo!L107</f>
        <v>1030</v>
      </c>
      <c r="G107" s="184">
        <f>Muloza!L107</f>
        <v>559</v>
      </c>
      <c r="H107" s="184">
        <f>MUST!L107</f>
        <v>87</v>
      </c>
      <c r="I107" s="184">
        <f>Phalombe!L107</f>
        <v>555</v>
      </c>
      <c r="J107" s="184">
        <f>Mikolongwe!L107</f>
        <v>20</v>
      </c>
      <c r="K107" s="184">
        <f>Migowi!L107</f>
        <v>0</v>
      </c>
      <c r="L107" s="32">
        <f>SUM(D107:K107)</f>
        <v>5446</v>
      </c>
    </row>
    <row r="108" spans="1:12" x14ac:dyDescent="0.3">
      <c r="A108" s="661" t="s">
        <v>194</v>
      </c>
      <c r="B108" s="662"/>
      <c r="C108" s="11" t="s">
        <v>3</v>
      </c>
      <c r="D108" s="26">
        <f>Mulanje!L108</f>
        <v>26</v>
      </c>
      <c r="E108" s="26">
        <f>Luchenza!L108</f>
        <v>17</v>
      </c>
      <c r="F108" s="26">
        <f>Thyolo!L108</f>
        <v>9</v>
      </c>
      <c r="G108" s="26">
        <f>Muloza!L108</f>
        <v>2</v>
      </c>
      <c r="H108" s="26">
        <f>MUST!L108</f>
        <v>0</v>
      </c>
      <c r="I108" s="26">
        <f>Phalombe!L108</f>
        <v>2</v>
      </c>
      <c r="J108" s="26">
        <f>Mikolongwe!L108</f>
        <v>0</v>
      </c>
      <c r="K108" s="26">
        <f>Migowi!L108</f>
        <v>0</v>
      </c>
      <c r="L108" s="32">
        <f>SUM(D108:K108)</f>
        <v>56</v>
      </c>
    </row>
    <row r="109" spans="1:12" x14ac:dyDescent="0.3">
      <c r="A109" s="661" t="s">
        <v>195</v>
      </c>
      <c r="B109" s="662"/>
      <c r="C109" s="11" t="s">
        <v>3</v>
      </c>
      <c r="D109" s="26">
        <f>Mulanje!L109</f>
        <v>16</v>
      </c>
      <c r="E109" s="26">
        <f>Luchenza!L109</f>
        <v>36</v>
      </c>
      <c r="F109" s="26">
        <f>Thyolo!L109</f>
        <v>31</v>
      </c>
      <c r="G109" s="26">
        <f>Muloza!L109</f>
        <v>38</v>
      </c>
      <c r="H109" s="26">
        <f>MUST!L109</f>
        <v>2</v>
      </c>
      <c r="I109" s="26">
        <f>Phalombe!L109</f>
        <v>2</v>
      </c>
      <c r="J109" s="26">
        <f>Mikolongwe!L109</f>
        <v>0</v>
      </c>
      <c r="K109" s="26">
        <f>Migowi!L109</f>
        <v>0</v>
      </c>
      <c r="L109" s="32">
        <f>SUM(D109:K109)</f>
        <v>125</v>
      </c>
    </row>
    <row r="110" spans="1:12" x14ac:dyDescent="0.3">
      <c r="A110" s="661" t="s">
        <v>196</v>
      </c>
      <c r="B110" s="662"/>
      <c r="C110" s="11" t="s">
        <v>3</v>
      </c>
      <c r="D110" s="26">
        <f>Mulanje!L110</f>
        <v>14</v>
      </c>
      <c r="E110" s="26">
        <f>Luchenza!L110</f>
        <v>1</v>
      </c>
      <c r="F110" s="26">
        <f>Thyolo!L110</f>
        <v>2</v>
      </c>
      <c r="G110" s="26">
        <f>Muloza!L110</f>
        <v>1</v>
      </c>
      <c r="H110" s="26">
        <f>MUST!L110</f>
        <v>0</v>
      </c>
      <c r="I110" s="26">
        <f>Phalombe!L110</f>
        <v>0</v>
      </c>
      <c r="J110" s="26">
        <f>Mikolongwe!L110</f>
        <v>0</v>
      </c>
      <c r="K110" s="26">
        <f>Migowi!L110</f>
        <v>0</v>
      </c>
      <c r="L110" s="32">
        <f>SUM(D110:K110)</f>
        <v>18</v>
      </c>
    </row>
    <row r="111" spans="1:12" x14ac:dyDescent="0.3">
      <c r="A111" s="676" t="s">
        <v>95</v>
      </c>
      <c r="B111" s="677"/>
      <c r="C111" s="11" t="s">
        <v>3</v>
      </c>
      <c r="D111" s="33">
        <f>SUM(D107:D110)</f>
        <v>2180</v>
      </c>
      <c r="E111" s="33">
        <f t="shared" ref="E111:K111" si="43">SUM(E107:E110)</f>
        <v>1125</v>
      </c>
      <c r="F111" s="33">
        <f t="shared" si="43"/>
        <v>1072</v>
      </c>
      <c r="G111" s="33">
        <f t="shared" si="43"/>
        <v>600</v>
      </c>
      <c r="H111" s="33">
        <f t="shared" si="43"/>
        <v>89</v>
      </c>
      <c r="I111" s="33">
        <f t="shared" si="43"/>
        <v>559</v>
      </c>
      <c r="J111" s="33">
        <f t="shared" si="43"/>
        <v>20</v>
      </c>
      <c r="K111" s="33">
        <f t="shared" si="43"/>
        <v>0</v>
      </c>
      <c r="L111" s="33">
        <f>SUM(D111:K111)</f>
        <v>5645</v>
      </c>
    </row>
    <row r="112" spans="1:12" s="2" customFormat="1" ht="15.6" customHeight="1" thickBot="1" x14ac:dyDescent="0.35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2"/>
    </row>
    <row r="113" spans="1:12" x14ac:dyDescent="0.3">
      <c r="A113" s="661" t="s">
        <v>197</v>
      </c>
      <c r="B113" s="662"/>
      <c r="C113" s="11" t="s">
        <v>3</v>
      </c>
      <c r="D113" s="184">
        <f>Mulanje!L113</f>
        <v>548</v>
      </c>
      <c r="E113" s="183">
        <f>Luchenza!L113</f>
        <v>289</v>
      </c>
      <c r="F113" s="183">
        <f>Thyolo!L113</f>
        <v>345</v>
      </c>
      <c r="G113" s="184">
        <f>Muloza!L113</f>
        <v>238</v>
      </c>
      <c r="H113" s="184">
        <f>MUST!L113</f>
        <v>56</v>
      </c>
      <c r="I113" s="184">
        <f>Phalombe!L113</f>
        <v>200</v>
      </c>
      <c r="J113" s="184">
        <f>Mikolongwe!L113</f>
        <v>17</v>
      </c>
      <c r="K113" s="184">
        <f>Migowi!L113</f>
        <v>75</v>
      </c>
      <c r="L113" s="32">
        <f t="shared" ref="L113:L119" si="44">SUM(C113:K113)</f>
        <v>1768</v>
      </c>
    </row>
    <row r="114" spans="1:12" x14ac:dyDescent="0.3">
      <c r="A114" s="661" t="s">
        <v>198</v>
      </c>
      <c r="B114" s="662"/>
      <c r="C114" s="11" t="s">
        <v>3</v>
      </c>
      <c r="D114" s="26">
        <f>Mulanje!L114</f>
        <v>47</v>
      </c>
      <c r="E114" s="26">
        <f>Luchenza!L114</f>
        <v>13</v>
      </c>
      <c r="F114" s="26">
        <f>Thyolo!L114</f>
        <v>35</v>
      </c>
      <c r="G114" s="26">
        <f>Muloza!L114</f>
        <v>9</v>
      </c>
      <c r="H114" s="26">
        <f>MUST!L114</f>
        <v>7</v>
      </c>
      <c r="I114" s="26">
        <f>Phalombe!L114</f>
        <v>20</v>
      </c>
      <c r="J114" s="26">
        <f>Mikolongwe!L114</f>
        <v>8</v>
      </c>
      <c r="K114" s="26">
        <f>Migowi!L114</f>
        <v>1</v>
      </c>
      <c r="L114" s="32">
        <f t="shared" si="44"/>
        <v>140</v>
      </c>
    </row>
    <row r="115" spans="1:12" x14ac:dyDescent="0.3">
      <c r="A115" s="661" t="s">
        <v>199</v>
      </c>
      <c r="B115" s="662"/>
      <c r="C115" s="11" t="s">
        <v>3</v>
      </c>
      <c r="D115" s="26">
        <f>Mulanje!L115</f>
        <v>96</v>
      </c>
      <c r="E115" s="26">
        <f>Luchenza!L115</f>
        <v>53</v>
      </c>
      <c r="F115" s="26">
        <f>Thyolo!L115</f>
        <v>21</v>
      </c>
      <c r="G115" s="26">
        <f>Muloza!L115</f>
        <v>24</v>
      </c>
      <c r="H115" s="26">
        <f>MUST!L115</f>
        <v>8</v>
      </c>
      <c r="I115" s="26">
        <f>Phalombe!L115</f>
        <v>16</v>
      </c>
      <c r="J115" s="26">
        <f>Mikolongwe!L115</f>
        <v>0</v>
      </c>
      <c r="K115" s="26">
        <f>Migowi!L115</f>
        <v>0</v>
      </c>
      <c r="L115" s="32">
        <f t="shared" si="44"/>
        <v>218</v>
      </c>
    </row>
    <row r="116" spans="1:12" x14ac:dyDescent="0.3">
      <c r="A116" s="661" t="s">
        <v>200</v>
      </c>
      <c r="B116" s="662"/>
      <c r="C116" s="11" t="s">
        <v>3</v>
      </c>
      <c r="D116" s="26">
        <f>Mulanje!L116</f>
        <v>4</v>
      </c>
      <c r="E116" s="26">
        <f>Luchenza!L116</f>
        <v>0</v>
      </c>
      <c r="F116" s="26">
        <f>Thyolo!L116</f>
        <v>2</v>
      </c>
      <c r="G116" s="26">
        <f>Muloza!L116</f>
        <v>0</v>
      </c>
      <c r="H116" s="26">
        <f>MUST!L116</f>
        <v>0</v>
      </c>
      <c r="I116" s="26">
        <f>Phalombe!L116</f>
        <v>0</v>
      </c>
      <c r="J116" s="26">
        <f>Mikolongwe!L116</f>
        <v>0</v>
      </c>
      <c r="K116" s="26">
        <f>Migowi!L116</f>
        <v>0</v>
      </c>
      <c r="L116" s="32">
        <f t="shared" si="44"/>
        <v>6</v>
      </c>
    </row>
    <row r="117" spans="1:12" x14ac:dyDescent="0.3">
      <c r="A117" s="676" t="s">
        <v>94</v>
      </c>
      <c r="B117" s="677"/>
      <c r="C117" s="11" t="s">
        <v>3</v>
      </c>
      <c r="D117" s="33">
        <f>SUM(D113:D116)</f>
        <v>695</v>
      </c>
      <c r="E117" s="33">
        <f t="shared" ref="E117:K117" si="45">SUM(E113:E116)</f>
        <v>355</v>
      </c>
      <c r="F117" s="33">
        <f t="shared" si="45"/>
        <v>403</v>
      </c>
      <c r="G117" s="33">
        <f t="shared" si="45"/>
        <v>271</v>
      </c>
      <c r="H117" s="33">
        <f t="shared" si="45"/>
        <v>71</v>
      </c>
      <c r="I117" s="33">
        <f t="shared" si="45"/>
        <v>236</v>
      </c>
      <c r="J117" s="33">
        <f t="shared" si="45"/>
        <v>25</v>
      </c>
      <c r="K117" s="33">
        <f t="shared" si="45"/>
        <v>76</v>
      </c>
      <c r="L117" s="32">
        <f t="shared" si="44"/>
        <v>2132</v>
      </c>
    </row>
    <row r="118" spans="1:12" s="2" customFormat="1" x14ac:dyDescent="0.3">
      <c r="A118" s="80" t="s">
        <v>191</v>
      </c>
      <c r="B118" s="81"/>
      <c r="C118" s="11" t="s">
        <v>3</v>
      </c>
      <c r="D118" s="33">
        <f t="shared" ref="D118:K118" si="46">D117+D111</f>
        <v>2875</v>
      </c>
      <c r="E118" s="33">
        <f t="shared" si="46"/>
        <v>1480</v>
      </c>
      <c r="F118" s="33">
        <f t="shared" si="46"/>
        <v>1475</v>
      </c>
      <c r="G118" s="33">
        <f t="shared" si="46"/>
        <v>871</v>
      </c>
      <c r="H118" s="33">
        <f t="shared" si="46"/>
        <v>160</v>
      </c>
      <c r="I118" s="33">
        <f t="shared" si="46"/>
        <v>795</v>
      </c>
      <c r="J118" s="33">
        <f t="shared" si="46"/>
        <v>45</v>
      </c>
      <c r="K118" s="33">
        <f t="shared" si="46"/>
        <v>76</v>
      </c>
      <c r="L118" s="32">
        <f t="shared" si="44"/>
        <v>7777</v>
      </c>
    </row>
    <row r="119" spans="1:12" x14ac:dyDescent="0.3">
      <c r="A119" s="676" t="s">
        <v>192</v>
      </c>
      <c r="B119" s="677"/>
      <c r="C119" s="11" t="s">
        <v>3</v>
      </c>
      <c r="D119" s="33">
        <f>D118+D105</f>
        <v>3681</v>
      </c>
      <c r="E119" s="33">
        <f t="shared" ref="E119:K119" si="47">E118+E105</f>
        <v>2561</v>
      </c>
      <c r="F119" s="33">
        <f t="shared" si="47"/>
        <v>2043</v>
      </c>
      <c r="G119" s="33">
        <f t="shared" si="47"/>
        <v>1432</v>
      </c>
      <c r="H119" s="33">
        <f t="shared" si="47"/>
        <v>194</v>
      </c>
      <c r="I119" s="33">
        <f t="shared" si="47"/>
        <v>1048</v>
      </c>
      <c r="J119" s="33">
        <f t="shared" si="47"/>
        <v>63</v>
      </c>
      <c r="K119" s="33">
        <f t="shared" si="47"/>
        <v>76</v>
      </c>
      <c r="L119" s="32">
        <f t="shared" si="44"/>
        <v>11098</v>
      </c>
    </row>
    <row r="120" spans="1:12" ht="15" thickBot="1" x14ac:dyDescent="0.35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1"/>
    </row>
    <row r="121" spans="1:12" ht="16.2" thickBot="1" x14ac:dyDescent="0.35">
      <c r="A121" s="661" t="s">
        <v>93</v>
      </c>
      <c r="B121" s="662"/>
      <c r="C121" s="5" t="s">
        <v>3</v>
      </c>
      <c r="D121" s="184">
        <f>Mulanje!L121</f>
        <v>24440</v>
      </c>
      <c r="E121" s="183">
        <f>Luchenza!L121</f>
        <v>18051</v>
      </c>
      <c r="F121" s="183">
        <f>Thyolo!L121</f>
        <v>11891</v>
      </c>
      <c r="G121" s="184">
        <f>Muloza!L121</f>
        <v>9692</v>
      </c>
      <c r="H121" s="184">
        <f>MUST!L121</f>
        <v>4305</v>
      </c>
      <c r="I121" s="184">
        <f>Phalombe!L121</f>
        <v>9978</v>
      </c>
      <c r="J121" s="184">
        <f>Mikolongwe!L121</f>
        <v>1256</v>
      </c>
      <c r="K121" s="184">
        <f>Migowi!L121</f>
        <v>546</v>
      </c>
      <c r="L121" s="184">
        <f>SUM(D121:K121)</f>
        <v>80159</v>
      </c>
    </row>
    <row r="122" spans="1:12" x14ac:dyDescent="0.3">
      <c r="A122" s="661" t="s">
        <v>92</v>
      </c>
      <c r="B122" s="662"/>
      <c r="C122" s="5" t="s">
        <v>3</v>
      </c>
      <c r="D122" s="184">
        <f>Mulanje!L122</f>
        <v>22022</v>
      </c>
      <c r="E122" s="183">
        <f>Luchenza!L122</f>
        <v>16037</v>
      </c>
      <c r="F122" s="183">
        <f>Thyolo!L122</f>
        <v>10841</v>
      </c>
      <c r="G122" s="184">
        <f>Muloza!L122</f>
        <v>8934</v>
      </c>
      <c r="H122" s="184">
        <f>MUST!L122</f>
        <v>3999</v>
      </c>
      <c r="I122" s="184">
        <f>Phalombe!L122</f>
        <v>7362</v>
      </c>
      <c r="J122" s="184">
        <f>Mikolongwe!L122</f>
        <v>1032</v>
      </c>
      <c r="K122" s="184">
        <f>Migowi!L122</f>
        <v>546</v>
      </c>
      <c r="L122" s="184">
        <f>SUM(D122:K122)</f>
        <v>70773</v>
      </c>
    </row>
    <row r="123" spans="1:12" x14ac:dyDescent="0.3">
      <c r="A123" s="678" t="s">
        <v>91</v>
      </c>
      <c r="B123" s="679"/>
      <c r="C123" s="30" t="s">
        <v>6</v>
      </c>
      <c r="D123" s="29">
        <f t="shared" ref="D123:L123" si="48">D122/D121</f>
        <v>0.90106382978723409</v>
      </c>
      <c r="E123" s="29">
        <f t="shared" si="48"/>
        <v>0.88842723394825773</v>
      </c>
      <c r="F123" s="29">
        <f t="shared" si="48"/>
        <v>0.91169792279875539</v>
      </c>
      <c r="G123" s="29">
        <f t="shared" si="48"/>
        <v>0.92179116797358651</v>
      </c>
      <c r="H123" s="29">
        <f t="shared" si="48"/>
        <v>0.92891986062717768</v>
      </c>
      <c r="I123" s="29">
        <f t="shared" si="48"/>
        <v>0.73782321106434157</v>
      </c>
      <c r="J123" s="29">
        <f t="shared" si="48"/>
        <v>0.82165605095541405</v>
      </c>
      <c r="K123" s="29">
        <f t="shared" si="48"/>
        <v>1</v>
      </c>
      <c r="L123" s="108">
        <f t="shared" si="48"/>
        <v>0.88290772090470193</v>
      </c>
    </row>
    <row r="124" spans="1:12" ht="14.4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6"/>
    </row>
    <row r="125" spans="1:12" x14ac:dyDescent="0.3">
      <c r="A125" s="673" t="s">
        <v>230</v>
      </c>
      <c r="B125" s="24" t="s">
        <v>85</v>
      </c>
      <c r="C125" s="11" t="s">
        <v>3</v>
      </c>
      <c r="D125" s="26">
        <f>Mulanje!J125</f>
        <v>0</v>
      </c>
      <c r="E125" s="26">
        <f>Luchenza!J125</f>
        <v>0</v>
      </c>
      <c r="F125" s="26">
        <f>Thyolo!J125</f>
        <v>0</v>
      </c>
      <c r="G125" s="26">
        <f>Muloza!J125</f>
        <v>0</v>
      </c>
      <c r="H125" s="26">
        <f>MUST!J125</f>
        <v>0</v>
      </c>
      <c r="I125" s="26">
        <f>Phalombe!J125</f>
        <v>0</v>
      </c>
      <c r="J125" s="26">
        <f>Mikolongwe!J125</f>
        <v>2</v>
      </c>
      <c r="K125" s="26">
        <f>Migowi!J125</f>
        <v>0</v>
      </c>
      <c r="L125" s="35">
        <f>D125</f>
        <v>0</v>
      </c>
    </row>
    <row r="126" spans="1:12" x14ac:dyDescent="0.3">
      <c r="A126" s="674"/>
      <c r="B126" s="24" t="s">
        <v>84</v>
      </c>
      <c r="C126" s="11" t="s">
        <v>3</v>
      </c>
      <c r="D126" s="26">
        <f>Mulanje!J126+Mulanje!K126+Mulanje!L126</f>
        <v>0</v>
      </c>
      <c r="E126" s="26">
        <f>Luchenza!J126+Luchenza!K126+Luchenza!L126</f>
        <v>0</v>
      </c>
      <c r="F126" s="26">
        <f>Thyolo!J126+Thyolo!K126+Thyolo!L126</f>
        <v>0</v>
      </c>
      <c r="G126" s="26">
        <f>Muloza!J126+Muloza!K126+Muloza!L126</f>
        <v>0</v>
      </c>
      <c r="H126" s="26">
        <f>MUST!J126+MUST!K126+MUST!L126</f>
        <v>0</v>
      </c>
      <c r="I126" s="26">
        <f>Phalombe!J126+Phalombe!K126+Phalombe!L126</f>
        <v>0</v>
      </c>
      <c r="J126" s="26">
        <f>Mikolongwe!J126+Mikolongwe!K126+Mikolongwe!L126</f>
        <v>1</v>
      </c>
      <c r="K126" s="26">
        <f>Migowi!J126+Migowi!K126+Migowi!L126</f>
        <v>0</v>
      </c>
      <c r="L126" s="74">
        <f>SUM(D126:K126)</f>
        <v>1</v>
      </c>
    </row>
    <row r="127" spans="1:12" x14ac:dyDescent="0.3">
      <c r="A127" s="674"/>
      <c r="B127" s="82" t="s">
        <v>88</v>
      </c>
      <c r="C127" s="11" t="s">
        <v>3</v>
      </c>
      <c r="D127" s="26">
        <f>Mulanje!J127+Mulanje!K127+Mulanje!L127</f>
        <v>0</v>
      </c>
      <c r="E127" s="26">
        <f>Luchenza!J127+Luchenza!K127+Luchenza!L127</f>
        <v>0</v>
      </c>
      <c r="F127" s="26">
        <f>Thyolo!J127+Thyolo!K127+Thyolo!L127</f>
        <v>0</v>
      </c>
      <c r="G127" s="26">
        <f>Muloza!J127+Muloza!K127+Muloza!L127</f>
        <v>0</v>
      </c>
      <c r="H127" s="26">
        <f>MUST!J127+MUST!K127+MUST!L127</f>
        <v>0</v>
      </c>
      <c r="I127" s="26">
        <f>Phalombe!J127+Phalombe!K127+Phalombe!L127</f>
        <v>0</v>
      </c>
      <c r="J127" s="26">
        <f>Mikolongwe!J127+Mikolongwe!K127+Mikolongwe!L127</f>
        <v>0</v>
      </c>
      <c r="K127" s="26">
        <f>Migowi!J127+Migowi!K127+Migowi!L127</f>
        <v>0</v>
      </c>
      <c r="L127" s="74">
        <f>SUM(D127:K127)</f>
        <v>0</v>
      </c>
    </row>
    <row r="128" spans="1:12" x14ac:dyDescent="0.3">
      <c r="A128" s="674"/>
      <c r="B128" s="24" t="s">
        <v>82</v>
      </c>
      <c r="C128" s="11" t="s">
        <v>3</v>
      </c>
      <c r="D128" s="26">
        <f>Mulanje!J128+Mulanje!K128+Mulanje!L128</f>
        <v>0</v>
      </c>
      <c r="E128" s="26">
        <f>Luchenza!J128+Luchenza!K128+Luchenza!L128</f>
        <v>0</v>
      </c>
      <c r="F128" s="26">
        <f>Thyolo!J128+Thyolo!K128+Thyolo!L128</f>
        <v>0</v>
      </c>
      <c r="G128" s="26">
        <f>Muloza!J128+Muloza!K128+Muloza!L128</f>
        <v>0</v>
      </c>
      <c r="H128" s="26">
        <f>MUST!J128+MUST!K128+MUST!L128</f>
        <v>0</v>
      </c>
      <c r="I128" s="26">
        <f>Phalombe!J128+Phalombe!K128+Phalombe!L128</f>
        <v>0</v>
      </c>
      <c r="J128" s="26">
        <f>Mikolongwe!J128+Mikolongwe!K128+Mikolongwe!L128</f>
        <v>3</v>
      </c>
      <c r="K128" s="26">
        <f>Migowi!J128+Migowi!K128+Migowi!L128</f>
        <v>0</v>
      </c>
      <c r="L128" s="74">
        <f>SUM(D128:K128)</f>
        <v>3</v>
      </c>
    </row>
    <row r="129" spans="1:12" x14ac:dyDescent="0.3">
      <c r="A129" s="675"/>
      <c r="B129" s="24" t="s">
        <v>81</v>
      </c>
      <c r="C129" s="11" t="s">
        <v>3</v>
      </c>
      <c r="D129" s="139">
        <f t="shared" ref="D129:L129" si="49">D125+D126-D127-D128</f>
        <v>0</v>
      </c>
      <c r="E129" s="140">
        <f t="shared" si="49"/>
        <v>0</v>
      </c>
      <c r="F129" s="140">
        <f t="shared" si="49"/>
        <v>0</v>
      </c>
      <c r="G129" s="139">
        <f t="shared" si="49"/>
        <v>0</v>
      </c>
      <c r="H129" s="139">
        <f t="shared" si="49"/>
        <v>0</v>
      </c>
      <c r="I129" s="139">
        <f t="shared" si="49"/>
        <v>0</v>
      </c>
      <c r="J129" s="139">
        <f t="shared" si="49"/>
        <v>0</v>
      </c>
      <c r="K129" s="139">
        <f t="shared" si="49"/>
        <v>0</v>
      </c>
      <c r="L129" s="35">
        <f t="shared" si="49"/>
        <v>-2</v>
      </c>
    </row>
    <row r="130" spans="1:12" x14ac:dyDescent="0.3">
      <c r="A130" s="673" t="s">
        <v>231</v>
      </c>
      <c r="B130" s="28" t="s">
        <v>85</v>
      </c>
      <c r="C130" s="27" t="s">
        <v>3</v>
      </c>
      <c r="D130" s="26">
        <f>Mulanje!J130</f>
        <v>0</v>
      </c>
      <c r="E130" s="26">
        <f>Luchenza!J130</f>
        <v>0</v>
      </c>
      <c r="F130" s="26">
        <f>Thyolo!J130</f>
        <v>0</v>
      </c>
      <c r="G130" s="26">
        <f>Muloza!J130</f>
        <v>0</v>
      </c>
      <c r="H130" s="26">
        <f>MUST!J130</f>
        <v>0</v>
      </c>
      <c r="I130" s="26">
        <f>Phalombe!J130</f>
        <v>0</v>
      </c>
      <c r="J130" s="26">
        <f>Mikolongwe!J130</f>
        <v>0</v>
      </c>
      <c r="K130" s="26">
        <f>Migowi!J130</f>
        <v>0</v>
      </c>
      <c r="L130" s="35">
        <f>D130</f>
        <v>0</v>
      </c>
    </row>
    <row r="131" spans="1:12" x14ac:dyDescent="0.3">
      <c r="A131" s="674"/>
      <c r="B131" s="24" t="s">
        <v>84</v>
      </c>
      <c r="C131" s="11" t="s">
        <v>3</v>
      </c>
      <c r="D131" s="26">
        <f>Mulanje!J131+Mulanje!K131+Mulanje!L131</f>
        <v>0</v>
      </c>
      <c r="E131" s="26">
        <f>Luchenza!J131+Luchenza!K131+Luchenza!L131</f>
        <v>0</v>
      </c>
      <c r="F131" s="26">
        <f>Thyolo!J131+Thyolo!K131+Thyolo!L131</f>
        <v>0</v>
      </c>
      <c r="G131" s="26">
        <f>Muloza!J131+Muloza!K131+Muloza!L131</f>
        <v>0</v>
      </c>
      <c r="H131" s="26">
        <f>MUST!J131+MUST!K131+MUST!L131</f>
        <v>0</v>
      </c>
      <c r="I131" s="26">
        <f>Phalombe!J131+Phalombe!K131+Phalombe!L131</f>
        <v>1</v>
      </c>
      <c r="J131" s="26">
        <f>Mikolongwe!J131+Mikolongwe!K131+Mikolongwe!L131</f>
        <v>0</v>
      </c>
      <c r="K131" s="26">
        <f>Migowi!J131+Migowi!K131+Migowi!L131</f>
        <v>0</v>
      </c>
      <c r="L131" s="74">
        <f>SUM(D131:K131)</f>
        <v>1</v>
      </c>
    </row>
    <row r="132" spans="1:12" x14ac:dyDescent="0.3">
      <c r="A132" s="674"/>
      <c r="B132" s="82" t="s">
        <v>88</v>
      </c>
      <c r="C132" s="11" t="s">
        <v>3</v>
      </c>
      <c r="D132" s="26">
        <f>Mulanje!J132+Mulanje!K132+Mulanje!L132</f>
        <v>0</v>
      </c>
      <c r="E132" s="26">
        <f>Luchenza!J132+Luchenza!K132+Luchenza!L132</f>
        <v>0</v>
      </c>
      <c r="F132" s="26">
        <f>Thyolo!J132+Thyolo!K132+Thyolo!L132</f>
        <v>0</v>
      </c>
      <c r="G132" s="26">
        <f>Muloza!J132+Muloza!K132+Muloza!L132</f>
        <v>0</v>
      </c>
      <c r="H132" s="26">
        <f>MUST!J132+MUST!K132+MUST!L132</f>
        <v>0</v>
      </c>
      <c r="I132" s="26">
        <f>Phalombe!J132+Phalombe!K132+Phalombe!L132</f>
        <v>0</v>
      </c>
      <c r="J132" s="26">
        <f>Mikolongwe!J132+Mikolongwe!K132+Mikolongwe!L132</f>
        <v>0</v>
      </c>
      <c r="K132" s="26">
        <f>Migowi!J132+Migowi!K132+Migowi!L132</f>
        <v>0</v>
      </c>
      <c r="L132" s="74">
        <f>SUM(D132:K132)</f>
        <v>0</v>
      </c>
    </row>
    <row r="133" spans="1:12" x14ac:dyDescent="0.3">
      <c r="A133" s="674"/>
      <c r="B133" s="24" t="s">
        <v>82</v>
      </c>
      <c r="C133" s="11" t="s">
        <v>3</v>
      </c>
      <c r="D133" s="26">
        <f>Mulanje!J133+Mulanje!K133+Mulanje!L133</f>
        <v>0</v>
      </c>
      <c r="E133" s="26">
        <f>Luchenza!J133+Luchenza!K133+Luchenza!L133</f>
        <v>0</v>
      </c>
      <c r="F133" s="26">
        <f>Thyolo!J133+Thyolo!K133+Thyolo!L133</f>
        <v>0</v>
      </c>
      <c r="G133" s="26">
        <f>Muloza!J133+Muloza!K133+Muloza!L133</f>
        <v>0</v>
      </c>
      <c r="H133" s="26">
        <f>MUST!J133+MUST!K133+MUST!L133</f>
        <v>0</v>
      </c>
      <c r="I133" s="26">
        <f>Phalombe!J133+Phalombe!K133+Phalombe!L133</f>
        <v>0</v>
      </c>
      <c r="J133" s="26">
        <f>Mikolongwe!J133+Mikolongwe!K133+Mikolongwe!L133</f>
        <v>0</v>
      </c>
      <c r="K133" s="26">
        <f>Migowi!J133+Migowi!K133+Migowi!L133</f>
        <v>0</v>
      </c>
      <c r="L133" s="74">
        <f>SUM(D133:K133)</f>
        <v>0</v>
      </c>
    </row>
    <row r="134" spans="1:12" x14ac:dyDescent="0.3">
      <c r="A134" s="675"/>
      <c r="B134" s="24" t="s">
        <v>81</v>
      </c>
      <c r="C134" s="11" t="s">
        <v>3</v>
      </c>
      <c r="D134" s="139">
        <f t="shared" ref="D134:L134" si="50">D130+D131-D132-D133</f>
        <v>0</v>
      </c>
      <c r="E134" s="140">
        <f t="shared" si="50"/>
        <v>0</v>
      </c>
      <c r="F134" s="140">
        <f t="shared" si="50"/>
        <v>0</v>
      </c>
      <c r="G134" s="139">
        <f t="shared" si="50"/>
        <v>0</v>
      </c>
      <c r="H134" s="139">
        <f t="shared" si="50"/>
        <v>0</v>
      </c>
      <c r="I134" s="139">
        <f t="shared" si="50"/>
        <v>1</v>
      </c>
      <c r="J134" s="139">
        <f t="shared" si="50"/>
        <v>0</v>
      </c>
      <c r="K134" s="139">
        <f t="shared" si="50"/>
        <v>0</v>
      </c>
      <c r="L134" s="35">
        <f t="shared" si="50"/>
        <v>1</v>
      </c>
    </row>
    <row r="135" spans="1:12" x14ac:dyDescent="0.3">
      <c r="A135" s="673" t="s">
        <v>89</v>
      </c>
      <c r="B135" s="24" t="s">
        <v>85</v>
      </c>
      <c r="C135" s="11" t="s">
        <v>3</v>
      </c>
      <c r="D135" s="26">
        <f>Mulanje!J135</f>
        <v>0</v>
      </c>
      <c r="E135" s="26">
        <f>Luchenza!J135</f>
        <v>0</v>
      </c>
      <c r="F135" s="26">
        <f>Thyolo!J135</f>
        <v>0</v>
      </c>
      <c r="G135" s="26">
        <f>Muloza!J135</f>
        <v>0</v>
      </c>
      <c r="H135" s="26">
        <f>MUST!J135</f>
        <v>0</v>
      </c>
      <c r="I135" s="26">
        <f>Phalombe!J135</f>
        <v>0</v>
      </c>
      <c r="J135" s="26">
        <f>Mikolongwe!J135</f>
        <v>0</v>
      </c>
      <c r="K135" s="26">
        <f>Migowi!J135</f>
        <v>0</v>
      </c>
      <c r="L135" s="35">
        <f>D135</f>
        <v>0</v>
      </c>
    </row>
    <row r="136" spans="1:12" x14ac:dyDescent="0.3">
      <c r="A136" s="674"/>
      <c r="B136" s="24" t="s">
        <v>84</v>
      </c>
      <c r="C136" s="11" t="s">
        <v>3</v>
      </c>
      <c r="D136" s="26">
        <f>Mulanje!J136+Mulanje!K136+Mulanje!L136</f>
        <v>0</v>
      </c>
      <c r="E136" s="26">
        <f>Luchenza!J136+Luchenza!K136+Luchenza!L136</f>
        <v>0</v>
      </c>
      <c r="F136" s="26">
        <f>Thyolo!J136+Thyolo!K136+Thyolo!L136</f>
        <v>0</v>
      </c>
      <c r="G136" s="26">
        <f>Muloza!J136+Muloza!K136+Muloza!L136</f>
        <v>0</v>
      </c>
      <c r="H136" s="26">
        <f>MUST!J136+MUST!K136+MUST!L136</f>
        <v>0</v>
      </c>
      <c r="I136" s="26">
        <f>Phalombe!J136+Phalombe!K136+Phalombe!L136</f>
        <v>0</v>
      </c>
      <c r="J136" s="26">
        <f>Mikolongwe!J136+Mikolongwe!K136+Mikolongwe!L136</f>
        <v>0</v>
      </c>
      <c r="K136" s="26">
        <f>Migowi!J136+Migowi!K136+Migowi!L136</f>
        <v>0</v>
      </c>
      <c r="L136" s="74">
        <f>SUM(D136:K136)</f>
        <v>0</v>
      </c>
    </row>
    <row r="137" spans="1:12" x14ac:dyDescent="0.3">
      <c r="A137" s="674"/>
      <c r="B137" s="82" t="s">
        <v>88</v>
      </c>
      <c r="C137" s="11" t="s">
        <v>3</v>
      </c>
      <c r="D137" s="26">
        <f>Mulanje!J137+Mulanje!K137+Mulanje!L137</f>
        <v>0</v>
      </c>
      <c r="E137" s="26">
        <f>Luchenza!J137+Luchenza!K137+Luchenza!L137</f>
        <v>0</v>
      </c>
      <c r="F137" s="26">
        <f>Thyolo!J137+Thyolo!K137+Thyolo!L137</f>
        <v>0</v>
      </c>
      <c r="G137" s="26">
        <f>Muloza!J137+Muloza!K137+Muloza!L137</f>
        <v>0</v>
      </c>
      <c r="H137" s="26">
        <f>MUST!J137+MUST!K137+MUST!L137</f>
        <v>0</v>
      </c>
      <c r="I137" s="26">
        <f>Phalombe!J137+Phalombe!K137+Phalombe!L137</f>
        <v>0</v>
      </c>
      <c r="J137" s="26">
        <f>Mikolongwe!J137+Mikolongwe!K137+Mikolongwe!L137</f>
        <v>0</v>
      </c>
      <c r="K137" s="26">
        <f>Migowi!J137+Migowi!K137+Migowi!L137</f>
        <v>0</v>
      </c>
      <c r="L137" s="74">
        <f>SUM(D137:K137)</f>
        <v>0</v>
      </c>
    </row>
    <row r="138" spans="1:12" x14ac:dyDescent="0.3">
      <c r="A138" s="674"/>
      <c r="B138" s="24" t="s">
        <v>82</v>
      </c>
      <c r="C138" s="11" t="s">
        <v>3</v>
      </c>
      <c r="D138" s="26">
        <f>Mulanje!J138+Mulanje!K138+Mulanje!L138</f>
        <v>0</v>
      </c>
      <c r="E138" s="26">
        <f>Luchenza!J138+Luchenza!K138+Luchenza!L138</f>
        <v>0</v>
      </c>
      <c r="F138" s="26">
        <f>Thyolo!J138+Thyolo!K138+Thyolo!L138</f>
        <v>0</v>
      </c>
      <c r="G138" s="26">
        <f>Muloza!J138+Muloza!K138+Muloza!L138</f>
        <v>0</v>
      </c>
      <c r="H138" s="26">
        <f>MUST!J138+MUST!K138+MUST!L138</f>
        <v>0</v>
      </c>
      <c r="I138" s="26">
        <f>Phalombe!J138+Phalombe!K138+Phalombe!L138</f>
        <v>0</v>
      </c>
      <c r="J138" s="26">
        <f>Mikolongwe!J138+Mikolongwe!K138+Mikolongwe!L138</f>
        <v>0</v>
      </c>
      <c r="K138" s="26">
        <f>Migowi!J138+Migowi!K138+Migowi!L138</f>
        <v>0</v>
      </c>
      <c r="L138" s="74">
        <f>SUM(D138:K138)</f>
        <v>0</v>
      </c>
    </row>
    <row r="139" spans="1:12" x14ac:dyDescent="0.3">
      <c r="A139" s="675"/>
      <c r="B139" s="24" t="s">
        <v>81</v>
      </c>
      <c r="C139" s="11" t="s">
        <v>3</v>
      </c>
      <c r="D139" s="139">
        <f t="shared" ref="D139:L139" si="51">D135+D136-D137-D138</f>
        <v>0</v>
      </c>
      <c r="E139" s="140">
        <f t="shared" si="51"/>
        <v>0</v>
      </c>
      <c r="F139" s="140">
        <f t="shared" si="51"/>
        <v>0</v>
      </c>
      <c r="G139" s="139">
        <f t="shared" si="51"/>
        <v>0</v>
      </c>
      <c r="H139" s="139">
        <f t="shared" si="51"/>
        <v>0</v>
      </c>
      <c r="I139" s="139">
        <f t="shared" si="51"/>
        <v>0</v>
      </c>
      <c r="J139" s="139">
        <f t="shared" si="51"/>
        <v>0</v>
      </c>
      <c r="K139" s="139">
        <f t="shared" si="51"/>
        <v>0</v>
      </c>
      <c r="L139" s="35">
        <f t="shared" si="51"/>
        <v>0</v>
      </c>
    </row>
    <row r="140" spans="1:12" x14ac:dyDescent="0.3">
      <c r="A140" s="673" t="s">
        <v>87</v>
      </c>
      <c r="B140" s="24" t="s">
        <v>85</v>
      </c>
      <c r="C140" s="11" t="s">
        <v>3</v>
      </c>
      <c r="D140" s="26">
        <f>Mulanje!J140</f>
        <v>99</v>
      </c>
      <c r="E140" s="26">
        <f>Luchenza!J140</f>
        <v>36</v>
      </c>
      <c r="F140" s="26">
        <f>Thyolo!J140</f>
        <v>52</v>
      </c>
      <c r="G140" s="26">
        <f>Muloza!J140</f>
        <v>0</v>
      </c>
      <c r="H140" s="26">
        <f>MUST!J140</f>
        <v>0</v>
      </c>
      <c r="I140" s="26">
        <f>Phalombe!J140</f>
        <v>10</v>
      </c>
      <c r="J140" s="26">
        <f>Mikolongwe!J140</f>
        <v>0</v>
      </c>
      <c r="K140" s="26">
        <f>Migowi!J140</f>
        <v>0</v>
      </c>
      <c r="L140" s="35">
        <f>D140</f>
        <v>99</v>
      </c>
    </row>
    <row r="141" spans="1:12" x14ac:dyDescent="0.3">
      <c r="A141" s="674"/>
      <c r="B141" s="24" t="s">
        <v>84</v>
      </c>
      <c r="C141" s="11" t="s">
        <v>3</v>
      </c>
      <c r="D141" s="26">
        <f>Mulanje!J141+Mulanje!K141+Mulanje!L141</f>
        <v>20</v>
      </c>
      <c r="E141" s="26">
        <f>Luchenza!J141+Luchenza!K141+Luchenza!L141</f>
        <v>50</v>
      </c>
      <c r="F141" s="26">
        <f>Thyolo!J141+Thyolo!K141+Thyolo!L141</f>
        <v>29</v>
      </c>
      <c r="G141" s="26">
        <f>Muloza!J141+Muloza!K141+Muloza!L141</f>
        <v>17</v>
      </c>
      <c r="H141" s="26">
        <f>MUST!J141+MUST!K141+MUST!L142</f>
        <v>2</v>
      </c>
      <c r="I141" s="26">
        <f>Phalombe!J141+Phalombe!K141+Phalombe!L141</f>
        <v>46</v>
      </c>
      <c r="J141" s="26">
        <f>Mikolongwe!J141+Mikolongwe!K141+Mikolongwe!L141</f>
        <v>0</v>
      </c>
      <c r="K141" s="26">
        <f>Migowi!J141+Migowi!K141+Migowi!L141</f>
        <v>0</v>
      </c>
      <c r="L141" s="74">
        <f>SUM(D141:K141)</f>
        <v>164</v>
      </c>
    </row>
    <row r="142" spans="1:12" x14ac:dyDescent="0.3">
      <c r="A142" s="674"/>
      <c r="B142" s="24" t="s">
        <v>83</v>
      </c>
      <c r="C142" s="11" t="s">
        <v>3</v>
      </c>
      <c r="D142" s="26">
        <f>Mulanje!J142+Mulanje!K142+Mulanje!L142</f>
        <v>4</v>
      </c>
      <c r="E142" s="26">
        <f>Luchenza!J142+Luchenza!K142+Luchenza!L142</f>
        <v>28</v>
      </c>
      <c r="F142" s="26">
        <f>Thyolo!J142+Thyolo!K142+Thyolo!L142</f>
        <v>39</v>
      </c>
      <c r="G142" s="26">
        <f>Muloza!J142+Muloza!K142+Muloza!L142</f>
        <v>14</v>
      </c>
      <c r="H142" s="26">
        <f>MUST!J142+MUST!K142+MUST!L143</f>
        <v>0</v>
      </c>
      <c r="I142" s="26">
        <f>Phalombe!J142+Phalombe!K142+Phalombe!L142</f>
        <v>30</v>
      </c>
      <c r="J142" s="26">
        <f>Mikolongwe!J142+Mikolongwe!K142+Mikolongwe!L142</f>
        <v>0</v>
      </c>
      <c r="K142" s="26">
        <f>Migowi!J142+Migowi!K142+Migowi!L142</f>
        <v>0</v>
      </c>
      <c r="L142" s="74">
        <f>SUM(D142:K142)</f>
        <v>115</v>
      </c>
    </row>
    <row r="143" spans="1:12" x14ac:dyDescent="0.3">
      <c r="A143" s="674"/>
      <c r="B143" s="24" t="s">
        <v>82</v>
      </c>
      <c r="C143" s="11" t="s">
        <v>3</v>
      </c>
      <c r="D143" s="26">
        <f>Mulanje!J143+Mulanje!K143+Mulanje!L143</f>
        <v>0</v>
      </c>
      <c r="E143" s="26">
        <f>Luchenza!J143+Luchenza!K143+Luchenza!L143</f>
        <v>36</v>
      </c>
      <c r="F143" s="26">
        <f>Thyolo!J143+Thyolo!K143+Thyolo!L143</f>
        <v>12</v>
      </c>
      <c r="G143" s="26">
        <f>Muloza!J143+Muloza!K143+Muloza!L143</f>
        <v>0</v>
      </c>
      <c r="H143" s="26">
        <f>MUST!J143+MUST!K143+MUST!L144</f>
        <v>2</v>
      </c>
      <c r="I143" s="26">
        <f>Phalombe!J143+Phalombe!K143+Phalombe!L143</f>
        <v>4</v>
      </c>
      <c r="J143" s="26">
        <f>Mikolongwe!J143+Mikolongwe!K143+Mikolongwe!L143</f>
        <v>0</v>
      </c>
      <c r="K143" s="26">
        <f>Migowi!J143+Migowi!K143+Migowi!L143</f>
        <v>0</v>
      </c>
      <c r="L143" s="74">
        <f>SUM(D143:K143)</f>
        <v>54</v>
      </c>
    </row>
    <row r="144" spans="1:12" x14ac:dyDescent="0.3">
      <c r="A144" s="675"/>
      <c r="B144" s="24" t="s">
        <v>81</v>
      </c>
      <c r="C144" s="11" t="s">
        <v>3</v>
      </c>
      <c r="D144" s="139">
        <f t="shared" ref="D144:L144" si="52">D140+D141-D142-D143</f>
        <v>115</v>
      </c>
      <c r="E144" s="140">
        <f t="shared" si="52"/>
        <v>22</v>
      </c>
      <c r="F144" s="140">
        <f t="shared" si="52"/>
        <v>30</v>
      </c>
      <c r="G144" s="139">
        <f t="shared" si="52"/>
        <v>3</v>
      </c>
      <c r="H144" s="139">
        <f t="shared" si="52"/>
        <v>0</v>
      </c>
      <c r="I144" s="139">
        <f t="shared" si="52"/>
        <v>22</v>
      </c>
      <c r="J144" s="139">
        <f t="shared" si="52"/>
        <v>0</v>
      </c>
      <c r="K144" s="139">
        <f t="shared" si="52"/>
        <v>0</v>
      </c>
      <c r="L144" s="35">
        <f t="shared" si="52"/>
        <v>94</v>
      </c>
    </row>
    <row r="145" spans="1:12" s="2" customFormat="1" x14ac:dyDescent="0.3">
      <c r="A145" s="673" t="s">
        <v>86</v>
      </c>
      <c r="B145" s="24" t="s">
        <v>85</v>
      </c>
      <c r="C145" s="11" t="s">
        <v>3</v>
      </c>
      <c r="D145" s="138">
        <f t="shared" ref="D145:L149" si="53">D125+D130+D135+D140</f>
        <v>99</v>
      </c>
      <c r="E145" s="138">
        <f t="shared" si="53"/>
        <v>36</v>
      </c>
      <c r="F145" s="138">
        <f t="shared" si="53"/>
        <v>52</v>
      </c>
      <c r="G145" s="138">
        <f t="shared" si="53"/>
        <v>0</v>
      </c>
      <c r="H145" s="138">
        <f t="shared" si="53"/>
        <v>0</v>
      </c>
      <c r="I145" s="138">
        <f t="shared" si="53"/>
        <v>10</v>
      </c>
      <c r="J145" s="138">
        <f t="shared" si="53"/>
        <v>2</v>
      </c>
      <c r="K145" s="138">
        <f t="shared" si="53"/>
        <v>0</v>
      </c>
      <c r="L145" s="109">
        <f t="shared" si="53"/>
        <v>99</v>
      </c>
    </row>
    <row r="146" spans="1:12" x14ac:dyDescent="0.3">
      <c r="A146" s="674"/>
      <c r="B146" s="24" t="s">
        <v>84</v>
      </c>
      <c r="C146" s="11" t="s">
        <v>3</v>
      </c>
      <c r="D146" s="138">
        <f t="shared" si="53"/>
        <v>20</v>
      </c>
      <c r="E146" s="138">
        <f t="shared" si="53"/>
        <v>50</v>
      </c>
      <c r="F146" s="138">
        <f t="shared" si="53"/>
        <v>29</v>
      </c>
      <c r="G146" s="138">
        <f t="shared" si="53"/>
        <v>17</v>
      </c>
      <c r="H146" s="138">
        <f t="shared" si="53"/>
        <v>2</v>
      </c>
      <c r="I146" s="138">
        <f t="shared" si="53"/>
        <v>47</v>
      </c>
      <c r="J146" s="138">
        <f t="shared" si="53"/>
        <v>1</v>
      </c>
      <c r="K146" s="138">
        <f t="shared" si="53"/>
        <v>0</v>
      </c>
      <c r="L146" s="109">
        <f t="shared" si="53"/>
        <v>166</v>
      </c>
    </row>
    <row r="147" spans="1:12" x14ac:dyDescent="0.3">
      <c r="A147" s="674"/>
      <c r="B147" s="24" t="s">
        <v>83</v>
      </c>
      <c r="C147" s="11" t="s">
        <v>3</v>
      </c>
      <c r="D147" s="138">
        <f t="shared" si="53"/>
        <v>4</v>
      </c>
      <c r="E147" s="138">
        <f t="shared" si="53"/>
        <v>28</v>
      </c>
      <c r="F147" s="138">
        <f t="shared" si="53"/>
        <v>39</v>
      </c>
      <c r="G147" s="138">
        <f t="shared" si="53"/>
        <v>14</v>
      </c>
      <c r="H147" s="138">
        <f t="shared" si="53"/>
        <v>0</v>
      </c>
      <c r="I147" s="138">
        <f t="shared" si="53"/>
        <v>30</v>
      </c>
      <c r="J147" s="138">
        <f t="shared" si="53"/>
        <v>0</v>
      </c>
      <c r="K147" s="138">
        <f t="shared" si="53"/>
        <v>0</v>
      </c>
      <c r="L147" s="109">
        <f t="shared" si="53"/>
        <v>115</v>
      </c>
    </row>
    <row r="148" spans="1:12" x14ac:dyDescent="0.3">
      <c r="A148" s="674"/>
      <c r="B148" s="24" t="s">
        <v>82</v>
      </c>
      <c r="C148" s="11" t="s">
        <v>3</v>
      </c>
      <c r="D148" s="138">
        <f t="shared" si="53"/>
        <v>0</v>
      </c>
      <c r="E148" s="138">
        <f t="shared" si="53"/>
        <v>36</v>
      </c>
      <c r="F148" s="138">
        <f t="shared" si="53"/>
        <v>12</v>
      </c>
      <c r="G148" s="138">
        <f t="shared" si="53"/>
        <v>0</v>
      </c>
      <c r="H148" s="138">
        <f t="shared" si="53"/>
        <v>2</v>
      </c>
      <c r="I148" s="138">
        <f t="shared" si="53"/>
        <v>4</v>
      </c>
      <c r="J148" s="138">
        <f t="shared" si="53"/>
        <v>3</v>
      </c>
      <c r="K148" s="138">
        <f t="shared" si="53"/>
        <v>0</v>
      </c>
      <c r="L148" s="109">
        <f t="shared" si="53"/>
        <v>57</v>
      </c>
    </row>
    <row r="149" spans="1:12" x14ac:dyDescent="0.3">
      <c r="A149" s="675"/>
      <c r="B149" s="24" t="s">
        <v>81</v>
      </c>
      <c r="C149" s="11" t="s">
        <v>3</v>
      </c>
      <c r="D149" s="139">
        <f t="shared" ref="D149:K149" si="54">D145+D146-D147-D148</f>
        <v>115</v>
      </c>
      <c r="E149" s="140">
        <f t="shared" si="54"/>
        <v>22</v>
      </c>
      <c r="F149" s="140">
        <f t="shared" si="54"/>
        <v>30</v>
      </c>
      <c r="G149" s="139">
        <f t="shared" si="54"/>
        <v>3</v>
      </c>
      <c r="H149" s="139">
        <f t="shared" si="54"/>
        <v>0</v>
      </c>
      <c r="I149" s="139">
        <f t="shared" si="54"/>
        <v>23</v>
      </c>
      <c r="J149" s="139">
        <f t="shared" si="54"/>
        <v>0</v>
      </c>
      <c r="K149" s="139">
        <f t="shared" si="54"/>
        <v>0</v>
      </c>
      <c r="L149" s="109">
        <f t="shared" si="53"/>
        <v>93</v>
      </c>
    </row>
    <row r="150" spans="1:12" ht="14.4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1"/>
    </row>
    <row r="151" spans="1:12" ht="15.6" customHeight="1" x14ac:dyDescent="0.3">
      <c r="A151" s="729" t="s">
        <v>79</v>
      </c>
      <c r="B151" s="730"/>
      <c r="C151" s="730"/>
      <c r="D151" s="730"/>
      <c r="E151" s="730"/>
      <c r="F151" s="730"/>
      <c r="G151" s="730"/>
      <c r="H151" s="730"/>
      <c r="I151" s="730"/>
      <c r="J151" s="730"/>
      <c r="K151" s="730"/>
      <c r="L151" s="731"/>
    </row>
    <row r="152" spans="1:12" x14ac:dyDescent="0.3">
      <c r="A152" s="670" t="s">
        <v>78</v>
      </c>
      <c r="B152" s="91" t="s">
        <v>63</v>
      </c>
      <c r="C152" s="11"/>
      <c r="D152" s="180"/>
      <c r="E152" s="180"/>
      <c r="F152" s="180"/>
      <c r="G152" s="180"/>
      <c r="H152" s="180"/>
      <c r="I152" s="180"/>
      <c r="J152" s="181"/>
      <c r="K152" s="181"/>
      <c r="L152" s="39"/>
    </row>
    <row r="153" spans="1:12" x14ac:dyDescent="0.3">
      <c r="A153" s="671"/>
      <c r="B153" s="19" t="s">
        <v>73</v>
      </c>
      <c r="C153" s="11" t="s">
        <v>57</v>
      </c>
      <c r="D153" s="26">
        <f>Mulanje!J153+Mulanje!K153+Mulanje!L153</f>
        <v>53</v>
      </c>
      <c r="E153" s="26">
        <f>Luchenza!J153+Luchenza!K153+Luchenza!L153</f>
        <v>282</v>
      </c>
      <c r="F153" s="26">
        <f>Thyolo!J153+Thyolo!K153+Thyolo!L153</f>
        <v>125</v>
      </c>
      <c r="G153" s="26">
        <f>Muloza!J153+Muloza!K153+Muloza!L153</f>
        <v>31</v>
      </c>
      <c r="H153" s="26">
        <f>Muloza!K153+Muloza!L153+Muloza!M153</f>
        <v>27</v>
      </c>
      <c r="I153" s="26">
        <f>Phalombe!J153+Phalombe!K153+Phalombe!L153</f>
        <v>17</v>
      </c>
      <c r="J153" s="26">
        <f>Mikolongwe!J153+Mikolongwe!K153+Mikolongwe!L153</f>
        <v>2</v>
      </c>
      <c r="K153" s="26">
        <f>Migowi!J153+Migowi!K153+Migowi!L153</f>
        <v>0</v>
      </c>
      <c r="L153" s="74">
        <f t="shared" ref="L153:L165" si="55">SUM(D153:K153)</f>
        <v>537</v>
      </c>
    </row>
    <row r="154" spans="1:12" x14ac:dyDescent="0.3">
      <c r="A154" s="671"/>
      <c r="B154" s="19" t="s">
        <v>72</v>
      </c>
      <c r="C154" s="11" t="s">
        <v>57</v>
      </c>
      <c r="D154" s="26">
        <f>Mulanje!J154+Mulanje!K154+Mulanje!L154</f>
        <v>23</v>
      </c>
      <c r="E154" s="26">
        <f>Luchenza!J154+Luchenza!K154+Luchenza!L154</f>
        <v>125</v>
      </c>
      <c r="F154" s="26">
        <f>Thyolo!J154+Thyolo!K154+Thyolo!L154</f>
        <v>70</v>
      </c>
      <c r="G154" s="26">
        <f>Muloza!J154+Muloza!K154+Muloza!L154</f>
        <v>13</v>
      </c>
      <c r="H154" s="26">
        <f>MUST!J154+MUST!K154+MUST!L154</f>
        <v>3</v>
      </c>
      <c r="I154" s="26">
        <f>Phalombe!J154+Phalombe!K154+Phalombe!L154</f>
        <v>13</v>
      </c>
      <c r="J154" s="26">
        <f>Mikolongwe!J154+Mikolongwe!K154+Mikolongwe!L154</f>
        <v>0</v>
      </c>
      <c r="K154" s="26">
        <f>Migowi!J154+Migowi!K154+Migowi!L154</f>
        <v>0</v>
      </c>
      <c r="L154" s="74">
        <f t="shared" si="55"/>
        <v>247</v>
      </c>
    </row>
    <row r="155" spans="1:12" x14ac:dyDescent="0.3">
      <c r="A155" s="671"/>
      <c r="B155" s="19" t="s">
        <v>53</v>
      </c>
      <c r="C155" s="11" t="s">
        <v>57</v>
      </c>
      <c r="D155" s="26">
        <f>Mulanje!J155+Mulanje!K155+Mulanje!L155</f>
        <v>6</v>
      </c>
      <c r="E155" s="26">
        <f>Luchenza!J155+Luchenza!K155+Luchenza!L155</f>
        <v>41</v>
      </c>
      <c r="F155" s="26">
        <f>Thyolo!J155+Thyolo!K155+Thyolo!L155</f>
        <v>51</v>
      </c>
      <c r="G155" s="26">
        <f>Muloza!J155+Muloza!K155+Muloza!L155</f>
        <v>7</v>
      </c>
      <c r="H155" s="26">
        <f>MUST!J155+MUST!K155+MUST!L155</f>
        <v>0</v>
      </c>
      <c r="I155" s="26">
        <f>Phalombe!J155+Phalombe!K155+Phalombe!L155</f>
        <v>13</v>
      </c>
      <c r="J155" s="26">
        <f>Mikolongwe!J155+Mikolongwe!K155+Mikolongwe!L155</f>
        <v>0</v>
      </c>
      <c r="K155" s="26">
        <f>Migowi!J155+Migowi!K155+Migowi!L155</f>
        <v>0</v>
      </c>
      <c r="L155" s="74">
        <f t="shared" si="55"/>
        <v>118</v>
      </c>
    </row>
    <row r="156" spans="1:12" x14ac:dyDescent="0.3">
      <c r="A156" s="671"/>
      <c r="B156" s="19" t="s">
        <v>71</v>
      </c>
      <c r="C156" s="11" t="s">
        <v>57</v>
      </c>
      <c r="D156" s="26">
        <f>Mulanje!J156+Mulanje!K156+Mulanje!L156</f>
        <v>4</v>
      </c>
      <c r="E156" s="26">
        <f>Luchenza!J156+Luchenza!K156+Luchenza!L156</f>
        <v>2</v>
      </c>
      <c r="F156" s="26">
        <f>Thyolo!J156+Thyolo!K156+Thyolo!L156</f>
        <v>5</v>
      </c>
      <c r="G156" s="26">
        <f>Muloza!J156+Muloza!K156+Muloza!L156</f>
        <v>0</v>
      </c>
      <c r="H156" s="26">
        <f>MUST!J156+MUST!K156+MUST!L156</f>
        <v>0</v>
      </c>
      <c r="I156" s="26">
        <f>Phalombe!J156+Phalombe!K156+Phalombe!L156</f>
        <v>3</v>
      </c>
      <c r="J156" s="26">
        <f>Mikolongwe!J156+Mikolongwe!K156+Mikolongwe!L156</f>
        <v>0</v>
      </c>
      <c r="K156" s="26">
        <f>Migowi!J156+Migowi!K156+Migowi!L156</f>
        <v>0</v>
      </c>
      <c r="L156" s="74">
        <f t="shared" si="55"/>
        <v>14</v>
      </c>
    </row>
    <row r="157" spans="1:12" x14ac:dyDescent="0.3">
      <c r="A157" s="671"/>
      <c r="B157" s="19" t="s">
        <v>52</v>
      </c>
      <c r="C157" s="11" t="s">
        <v>57</v>
      </c>
      <c r="D157" s="26">
        <f>Mulanje!J157+Mulanje!K157+Mulanje!L157</f>
        <v>0</v>
      </c>
      <c r="E157" s="26">
        <f>Luchenza!J157+Luchenza!K157+Luchenza!L157</f>
        <v>7</v>
      </c>
      <c r="F157" s="26">
        <f>Thyolo!J157+Thyolo!K157+Thyolo!L157</f>
        <v>13</v>
      </c>
      <c r="G157" s="26">
        <f>Muloza!J157+Muloza!K157+Muloza!L157</f>
        <v>2</v>
      </c>
      <c r="H157" s="26">
        <f>MUST!J157+MUST!K157+MUST!L157</f>
        <v>0</v>
      </c>
      <c r="I157" s="26">
        <f>Phalombe!J157+Phalombe!K157+Phalombe!L157</f>
        <v>8</v>
      </c>
      <c r="J157" s="26">
        <f>Mikolongwe!J157+Mikolongwe!K157+Mikolongwe!L157</f>
        <v>1</v>
      </c>
      <c r="K157" s="26">
        <f>Migowi!J157+Migowi!K157+Migowi!L157</f>
        <v>0</v>
      </c>
      <c r="L157" s="74">
        <f t="shared" si="55"/>
        <v>31</v>
      </c>
    </row>
    <row r="158" spans="1:12" x14ac:dyDescent="0.3">
      <c r="A158" s="671"/>
      <c r="B158" s="19" t="s">
        <v>51</v>
      </c>
      <c r="C158" s="11" t="s">
        <v>57</v>
      </c>
      <c r="D158" s="26">
        <f>Mulanje!J158+Mulanje!K158+Mulanje!L158</f>
        <v>7</v>
      </c>
      <c r="E158" s="26">
        <f>Luchenza!J158+Luchenza!K158+Luchenza!L158</f>
        <v>5</v>
      </c>
      <c r="F158" s="26">
        <f>Thyolo!J158+Thyolo!K158+Thyolo!L158</f>
        <v>3</v>
      </c>
      <c r="G158" s="26">
        <f>Muloza!J158+Muloza!K158+Muloza!L158</f>
        <v>0</v>
      </c>
      <c r="H158" s="26">
        <f>MUST!J158+MUST!K158+MUST!L158</f>
        <v>0</v>
      </c>
      <c r="I158" s="26">
        <f>Phalombe!J158+Phalombe!K158+Phalombe!L158</f>
        <v>5</v>
      </c>
      <c r="J158" s="26">
        <f>Mikolongwe!J158+Mikolongwe!K158+Mikolongwe!L158</f>
        <v>3</v>
      </c>
      <c r="K158" s="26">
        <f>Migowi!J158+Migowi!K158+Migowi!L158</f>
        <v>0</v>
      </c>
      <c r="L158" s="74">
        <f t="shared" si="55"/>
        <v>23</v>
      </c>
    </row>
    <row r="159" spans="1:12" x14ac:dyDescent="0.3">
      <c r="A159" s="671"/>
      <c r="B159" s="19" t="s">
        <v>62</v>
      </c>
      <c r="C159" s="11" t="s">
        <v>57</v>
      </c>
      <c r="D159" s="26">
        <f>Mulanje!J159+Mulanje!K159+Mulanje!L159</f>
        <v>0</v>
      </c>
      <c r="E159" s="26">
        <f>Luchenza!J159+Luchenza!K159+Luchenza!L159</f>
        <v>0</v>
      </c>
      <c r="F159" s="26">
        <f>Thyolo!J159+Thyolo!K159+Thyolo!L159</f>
        <v>0</v>
      </c>
      <c r="G159" s="26">
        <f>Muloza!J159+Muloza!K159+Muloza!L159</f>
        <v>0</v>
      </c>
      <c r="H159" s="26">
        <f>MUST!J159+MUST!K159+MUST!L159</f>
        <v>0</v>
      </c>
      <c r="I159" s="26">
        <f>Phalombe!J159+Phalombe!K159+Phalombe!L159</f>
        <v>2</v>
      </c>
      <c r="J159" s="26">
        <f>Mikolongwe!J159+Mikolongwe!K159+Mikolongwe!L159</f>
        <v>0</v>
      </c>
      <c r="K159" s="26">
        <f>Migowi!J159+Migowi!K159+Migowi!L159</f>
        <v>0</v>
      </c>
      <c r="L159" s="74">
        <f t="shared" si="55"/>
        <v>2</v>
      </c>
    </row>
    <row r="160" spans="1:12" x14ac:dyDescent="0.3">
      <c r="A160" s="671"/>
      <c r="B160" s="19" t="s">
        <v>50</v>
      </c>
      <c r="C160" s="11" t="s">
        <v>57</v>
      </c>
      <c r="D160" s="26">
        <f>Mulanje!J160+Mulanje!K160+Mulanje!L160</f>
        <v>0</v>
      </c>
      <c r="E160" s="26">
        <f>Luchenza!J160+Luchenza!K160+Luchenza!L160</f>
        <v>4</v>
      </c>
      <c r="F160" s="26">
        <f>Thyolo!J160+Thyolo!K160+Thyolo!L160</f>
        <v>4</v>
      </c>
      <c r="G160" s="26">
        <f>Muloza!J160+Muloza!K160+Muloza!L160</f>
        <v>0</v>
      </c>
      <c r="H160" s="26">
        <f>MUST!J160+MUST!K160+MUST!L160</f>
        <v>1</v>
      </c>
      <c r="I160" s="26">
        <f>Phalombe!J160+Phalombe!K160+Phalombe!L160</f>
        <v>3</v>
      </c>
      <c r="J160" s="26">
        <f>Mikolongwe!J160+Mikolongwe!K160+Mikolongwe!L160</f>
        <v>0</v>
      </c>
      <c r="K160" s="26">
        <f>Migowi!J160+Migowi!K160+Migowi!L160</f>
        <v>0</v>
      </c>
      <c r="L160" s="74">
        <f t="shared" si="55"/>
        <v>12</v>
      </c>
    </row>
    <row r="161" spans="1:12" x14ac:dyDescent="0.3">
      <c r="A161" s="671"/>
      <c r="B161" s="19" t="s">
        <v>49</v>
      </c>
      <c r="C161" s="11" t="s">
        <v>57</v>
      </c>
      <c r="D161" s="26">
        <f>Mulanje!J161+Mulanje!K161+Mulanje!L161</f>
        <v>1</v>
      </c>
      <c r="E161" s="26">
        <f>Luchenza!J161+Luchenza!K161+Luchenza!L161</f>
        <v>12</v>
      </c>
      <c r="F161" s="26">
        <f>Thyolo!J161+Thyolo!K161+Thyolo!L161</f>
        <v>9</v>
      </c>
      <c r="G161" s="26">
        <f>Muloza!J161+Muloza!K161+Muloza!L161</f>
        <v>2</v>
      </c>
      <c r="H161" s="26">
        <f>MUST!J161+MUST!K161+MUST!L161</f>
        <v>1</v>
      </c>
      <c r="I161" s="26">
        <f>Phalombe!J161+Phalombe!K161+Phalombe!L161</f>
        <v>1</v>
      </c>
      <c r="J161" s="26">
        <f>Mikolongwe!J161+Mikolongwe!K161+Mikolongwe!L161</f>
        <v>0</v>
      </c>
      <c r="K161" s="26">
        <f>Migowi!J161+Migowi!K161+Migowi!L161</f>
        <v>0</v>
      </c>
      <c r="L161" s="74">
        <f t="shared" si="55"/>
        <v>26</v>
      </c>
    </row>
    <row r="162" spans="1:12" x14ac:dyDescent="0.3">
      <c r="A162" s="671"/>
      <c r="B162" s="19" t="s">
        <v>77</v>
      </c>
      <c r="C162" s="11" t="s">
        <v>57</v>
      </c>
      <c r="D162" s="26">
        <f>Mulanje!J162+Mulanje!K162+Mulanje!L162</f>
        <v>6</v>
      </c>
      <c r="E162" s="26">
        <f>Luchenza!J162+Luchenza!K162+Luchenza!L162</f>
        <v>1</v>
      </c>
      <c r="F162" s="26">
        <f>Thyolo!J162+Thyolo!K162+Thyolo!L162</f>
        <v>7</v>
      </c>
      <c r="G162" s="26">
        <f>Muloza!J162+Muloza!K162+Muloza!L162</f>
        <v>1</v>
      </c>
      <c r="H162" s="26">
        <f>MUST!J162+MUST!K162+MUST!L162</f>
        <v>2</v>
      </c>
      <c r="I162" s="26">
        <f>Phalombe!J162+Phalombe!K162+Phalombe!L162</f>
        <v>0</v>
      </c>
      <c r="J162" s="26">
        <f>Mikolongwe!J162+Mikolongwe!K162+Mikolongwe!L162</f>
        <v>0</v>
      </c>
      <c r="K162" s="26">
        <f>Migowi!J162+Migowi!K162+Migowi!L162</f>
        <v>0</v>
      </c>
      <c r="L162" s="74">
        <f t="shared" si="55"/>
        <v>17</v>
      </c>
    </row>
    <row r="163" spans="1:12" x14ac:dyDescent="0.3">
      <c r="A163" s="671"/>
      <c r="B163" s="19" t="s">
        <v>69</v>
      </c>
      <c r="C163" s="11" t="s">
        <v>57</v>
      </c>
      <c r="D163" s="26">
        <f>Mulanje!J163+Mulanje!K163+Mulanje!L163</f>
        <v>0</v>
      </c>
      <c r="E163" s="26">
        <f>Luchenza!J163+Luchenza!K163+Luchenza!L163</f>
        <v>1</v>
      </c>
      <c r="F163" s="26">
        <f>Thyolo!J163+Thyolo!K163+Thyolo!L163</f>
        <v>0</v>
      </c>
      <c r="G163" s="26">
        <f>Muloza!J163+Muloza!K163+Muloza!L163</f>
        <v>0</v>
      </c>
      <c r="H163" s="26">
        <f>MUST!J163+MUST!K163+MUST!L163</f>
        <v>0</v>
      </c>
      <c r="I163" s="26">
        <f>Phalombe!J163+Phalombe!K163+Phalombe!L163</f>
        <v>0</v>
      </c>
      <c r="J163" s="26">
        <f>Mikolongwe!J163+Mikolongwe!K163+Mikolongwe!L163</f>
        <v>0</v>
      </c>
      <c r="K163" s="26">
        <f>Migowi!J163+Migowi!K163+Migowi!L163</f>
        <v>0</v>
      </c>
      <c r="L163" s="74">
        <f t="shared" si="55"/>
        <v>1</v>
      </c>
    </row>
    <row r="164" spans="1:12" x14ac:dyDescent="0.3">
      <c r="A164" s="671"/>
      <c r="B164" s="19" t="s">
        <v>68</v>
      </c>
      <c r="C164" s="11" t="s">
        <v>57</v>
      </c>
      <c r="D164" s="26">
        <f>Mulanje!J164+Mulanje!K164+Mulanje!L164</f>
        <v>0</v>
      </c>
      <c r="E164" s="26">
        <f>Luchenza!J164+Luchenza!K164+Luchenza!L164</f>
        <v>0</v>
      </c>
      <c r="F164" s="26">
        <f>Thyolo!J164+Thyolo!K164+Thyolo!L164</f>
        <v>0</v>
      </c>
      <c r="G164" s="26">
        <f>Muloza!J164+Muloza!K164+Muloza!L164</f>
        <v>0</v>
      </c>
      <c r="H164" s="26">
        <f>MUST!J164+MUST!K164+MUST!L164</f>
        <v>0</v>
      </c>
      <c r="I164" s="26">
        <f>Phalombe!J164+Phalombe!K164+Phalombe!L164</f>
        <v>0</v>
      </c>
      <c r="J164" s="26">
        <f>Mikolongwe!J164+Mikolongwe!K164+Mikolongwe!L164</f>
        <v>0</v>
      </c>
      <c r="K164" s="26">
        <f>Migowi!J164+Migowi!K164+Migowi!L164</f>
        <v>0</v>
      </c>
      <c r="L164" s="74">
        <f t="shared" si="55"/>
        <v>0</v>
      </c>
    </row>
    <row r="165" spans="1:12" x14ac:dyDescent="0.3">
      <c r="A165" s="672"/>
      <c r="B165" s="19" t="s">
        <v>76</v>
      </c>
      <c r="C165" s="11" t="s">
        <v>57</v>
      </c>
      <c r="D165" s="26">
        <f>Mulanje!J165+Mulanje!K165+Mulanje!L165</f>
        <v>0</v>
      </c>
      <c r="E165" s="26">
        <f>Luchenza!J165+Luchenza!K165+Luchenza!L165</f>
        <v>0</v>
      </c>
      <c r="F165" s="26">
        <f>Thyolo!J165+Thyolo!K165+Thyolo!L165</f>
        <v>0</v>
      </c>
      <c r="G165" s="26">
        <f>Muloza!J165+Muloza!K165+Muloza!L165</f>
        <v>0</v>
      </c>
      <c r="H165" s="26">
        <f>MUST!J165+MUST!K165+MUST!L165</f>
        <v>0</v>
      </c>
      <c r="I165" s="26">
        <f>Phalombe!J165+Phalombe!K165+Phalombe!L165</f>
        <v>0</v>
      </c>
      <c r="J165" s="26">
        <f>Mikolongwe!J165+Mikolongwe!K165+Mikolongwe!L165</f>
        <v>0</v>
      </c>
      <c r="K165" s="26">
        <f>Migowi!J165+Migowi!K165+Migowi!L165</f>
        <v>0</v>
      </c>
      <c r="L165" s="74">
        <f t="shared" si="55"/>
        <v>0</v>
      </c>
    </row>
    <row r="166" spans="1:12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74"/>
    </row>
    <row r="167" spans="1:12" x14ac:dyDescent="0.3">
      <c r="A167" s="671"/>
      <c r="B167" s="19" t="s">
        <v>74</v>
      </c>
      <c r="C167" s="11" t="s">
        <v>57</v>
      </c>
      <c r="D167" s="26">
        <f>Mulanje!J167+Mulanje!K167+Mulanje!L167</f>
        <v>0</v>
      </c>
      <c r="E167" s="26">
        <f>Luchenza!J167+Luchenza!K167+Luchenza!L167</f>
        <v>0</v>
      </c>
      <c r="F167" s="26">
        <f>Thyolo!J167+Thyolo!K167+Thyolo!L167</f>
        <v>7</v>
      </c>
      <c r="G167" s="26">
        <f>Muloza!J167+Muloza!K167+Muloza!L167</f>
        <v>0</v>
      </c>
      <c r="H167" s="26">
        <f>MUST!J167+MUST!K167+MUST!L167</f>
        <v>0</v>
      </c>
      <c r="I167" s="26">
        <f>Phalombe!J167+Phalombe!K167+Phalombe!L167</f>
        <v>1</v>
      </c>
      <c r="J167" s="26">
        <f>Mikolongwe!J167+Mikolongwe!K167+Mikolongwe!L167</f>
        <v>2</v>
      </c>
      <c r="K167" s="26">
        <f>Migowi!J167+Migowi!K167+Migowi!L167</f>
        <v>0</v>
      </c>
      <c r="L167" s="74">
        <f t="shared" ref="L167:L175" si="56">SUM(D167:K167)</f>
        <v>10</v>
      </c>
    </row>
    <row r="168" spans="1:12" x14ac:dyDescent="0.3">
      <c r="A168" s="671"/>
      <c r="B168" s="19" t="s">
        <v>73</v>
      </c>
      <c r="C168" s="11" t="s">
        <v>57</v>
      </c>
      <c r="D168" s="26">
        <f>Mulanje!J168+Mulanje!K168+Mulanje!L168</f>
        <v>2</v>
      </c>
      <c r="E168" s="26">
        <f>Luchenza!J168+Luchenza!K168+Luchenza!L168</f>
        <v>0</v>
      </c>
      <c r="F168" s="26">
        <f>Thyolo!J168+Thyolo!K168+Thyolo!L168</f>
        <v>2</v>
      </c>
      <c r="G168" s="26">
        <f>Muloza!J168+Muloza!K168+Muloza!L168</f>
        <v>0</v>
      </c>
      <c r="H168" s="26">
        <f>MUST!J168+MUST!K168+MUST!L168</f>
        <v>0</v>
      </c>
      <c r="I168" s="26">
        <f>Phalombe!J168+Phalombe!K168+Phalombe!L168</f>
        <v>0</v>
      </c>
      <c r="J168" s="26">
        <f>Mikolongwe!J168+Mikolongwe!K168+Mikolongwe!L168</f>
        <v>0</v>
      </c>
      <c r="K168" s="26">
        <f>Migowi!J168+Migowi!K168+Migowi!L168</f>
        <v>0</v>
      </c>
      <c r="L168" s="74">
        <f t="shared" si="56"/>
        <v>4</v>
      </c>
    </row>
    <row r="169" spans="1:12" x14ac:dyDescent="0.3">
      <c r="A169" s="671"/>
      <c r="B169" s="19" t="s">
        <v>72</v>
      </c>
      <c r="C169" s="11" t="s">
        <v>57</v>
      </c>
      <c r="D169" s="26">
        <f>Mulanje!J169+Mulanje!K169+Mulanje!L169</f>
        <v>0</v>
      </c>
      <c r="E169" s="26">
        <f>Luchenza!J169+Luchenza!K169+Luchenza!L169</f>
        <v>0</v>
      </c>
      <c r="F169" s="26">
        <f>Thyolo!J169+Thyolo!K169+Thyolo!L169</f>
        <v>0</v>
      </c>
      <c r="G169" s="26">
        <f>Muloza!J169+Muloza!K169+Muloza!L169</f>
        <v>0</v>
      </c>
      <c r="H169" s="26">
        <f>MUST!J169+MUST!K169+MUST!L169</f>
        <v>0</v>
      </c>
      <c r="I169" s="26">
        <f>Phalombe!J169+Phalombe!K169+Phalombe!L169</f>
        <v>1</v>
      </c>
      <c r="J169" s="26">
        <f>Mikolongwe!J169+Mikolongwe!K169+Mikolongwe!L169</f>
        <v>0</v>
      </c>
      <c r="K169" s="26">
        <f>Migowi!J169+Migowi!K169+Migowi!L169</f>
        <v>0</v>
      </c>
      <c r="L169" s="74">
        <f t="shared" si="56"/>
        <v>1</v>
      </c>
    </row>
    <row r="170" spans="1:12" x14ac:dyDescent="0.3">
      <c r="A170" s="671"/>
      <c r="B170" s="19" t="s">
        <v>71</v>
      </c>
      <c r="C170" s="11" t="s">
        <v>57</v>
      </c>
      <c r="D170" s="26">
        <f>Mulanje!J170+Mulanje!K170+Mulanje!L170</f>
        <v>0</v>
      </c>
      <c r="E170" s="26">
        <f>Luchenza!J170+Luchenza!K170+Luchenza!L170</f>
        <v>0</v>
      </c>
      <c r="F170" s="26">
        <f>Thyolo!J170+Thyolo!K170+Thyolo!L170</f>
        <v>2</v>
      </c>
      <c r="G170" s="26">
        <f>Muloza!J170+Muloza!K170+Muloza!L170</f>
        <v>0</v>
      </c>
      <c r="H170" s="26">
        <f>MUST!J170+MUST!K170+MUST!L170</f>
        <v>0</v>
      </c>
      <c r="I170" s="26">
        <f>Phalombe!J170+Phalombe!K170+Phalombe!L170</f>
        <v>0</v>
      </c>
      <c r="J170" s="26">
        <f>Mikolongwe!J170+Mikolongwe!K170+Mikolongwe!L170</f>
        <v>0</v>
      </c>
      <c r="K170" s="26">
        <f>Migowi!J170+Migowi!K170+Migowi!L170</f>
        <v>0</v>
      </c>
      <c r="L170" s="74">
        <f t="shared" si="56"/>
        <v>2</v>
      </c>
    </row>
    <row r="171" spans="1:12" x14ac:dyDescent="0.3">
      <c r="A171" s="671"/>
      <c r="B171" s="19" t="s">
        <v>52</v>
      </c>
      <c r="C171" s="11" t="s">
        <v>57</v>
      </c>
      <c r="D171" s="26">
        <f>Mulanje!J171+Mulanje!K171+Mulanje!L171</f>
        <v>0</v>
      </c>
      <c r="E171" s="26">
        <f>Luchenza!J171+Luchenza!K171+Luchenza!L171</f>
        <v>0</v>
      </c>
      <c r="F171" s="26">
        <f>Thyolo!J171+Thyolo!K171+Thyolo!L171</f>
        <v>0</v>
      </c>
      <c r="G171" s="26">
        <f>Muloza!J171+Muloza!K171+Muloza!L171</f>
        <v>0</v>
      </c>
      <c r="H171" s="26">
        <f>MUST!J171+MUST!K171+MUST!L171</f>
        <v>0</v>
      </c>
      <c r="I171" s="26">
        <f>Phalombe!J171+Phalombe!K171+Phalombe!L171</f>
        <v>0</v>
      </c>
      <c r="J171" s="26">
        <f>Mikolongwe!J171+Mikolongwe!K171+Mikolongwe!L171</f>
        <v>0</v>
      </c>
      <c r="K171" s="26">
        <f>Migowi!J171+Migowi!K171+Migowi!L171</f>
        <v>0</v>
      </c>
      <c r="L171" s="74">
        <f t="shared" si="56"/>
        <v>0</v>
      </c>
    </row>
    <row r="172" spans="1:12" x14ac:dyDescent="0.3">
      <c r="A172" s="671"/>
      <c r="B172" s="19" t="s">
        <v>62</v>
      </c>
      <c r="C172" s="11" t="s">
        <v>57</v>
      </c>
      <c r="D172" s="26">
        <f>Mulanje!J172+Mulanje!K172+Mulanje!L172</f>
        <v>0</v>
      </c>
      <c r="E172" s="26">
        <f>Luchenza!J172+Luchenza!K172+Luchenza!L172</f>
        <v>0</v>
      </c>
      <c r="F172" s="26">
        <f>Thyolo!J172+Thyolo!K172+Thyolo!L172</f>
        <v>0</v>
      </c>
      <c r="G172" s="26">
        <f>Muloza!J172+Muloza!K172+Muloza!L172</f>
        <v>0</v>
      </c>
      <c r="H172" s="26">
        <f>MUST!J172+MUST!K172+MUST!L172</f>
        <v>0</v>
      </c>
      <c r="I172" s="26">
        <f>Phalombe!J172+Phalombe!K172+Phalombe!L172</f>
        <v>0</v>
      </c>
      <c r="J172" s="26">
        <f>Mikolongwe!J172+Mikolongwe!K172+Mikolongwe!L172</f>
        <v>0</v>
      </c>
      <c r="K172" s="26">
        <f>Migowi!J172+Migowi!K172+Migowi!L172</f>
        <v>0</v>
      </c>
      <c r="L172" s="74">
        <f t="shared" si="56"/>
        <v>0</v>
      </c>
    </row>
    <row r="173" spans="1:12" x14ac:dyDescent="0.3">
      <c r="A173" s="671"/>
      <c r="B173" s="19" t="s">
        <v>61</v>
      </c>
      <c r="C173" s="11" t="s">
        <v>57</v>
      </c>
      <c r="D173" s="26">
        <f>Mulanje!J173+Mulanje!K173+Mulanje!L173</f>
        <v>0</v>
      </c>
      <c r="E173" s="26">
        <f>Luchenza!J173+Luchenza!K173+Luchenza!L173</f>
        <v>0</v>
      </c>
      <c r="F173" s="26">
        <f>Thyolo!J173+Thyolo!K173+Thyolo!L173</f>
        <v>0</v>
      </c>
      <c r="G173" s="26">
        <f>Muloza!J173+Muloza!K173+Muloza!L173</f>
        <v>0</v>
      </c>
      <c r="H173" s="26">
        <f>MUST!J173+MUST!K173+MUST!L173</f>
        <v>0</v>
      </c>
      <c r="I173" s="26">
        <f>Phalombe!J173+Phalombe!K173+Phalombe!L173</f>
        <v>0</v>
      </c>
      <c r="J173" s="26">
        <f>Mikolongwe!J173+Mikolongwe!K173+Mikolongwe!L173</f>
        <v>0</v>
      </c>
      <c r="K173" s="26">
        <f>Migowi!J173+Migowi!K173+Migowi!L173</f>
        <v>0</v>
      </c>
      <c r="L173" s="74">
        <f t="shared" si="56"/>
        <v>0</v>
      </c>
    </row>
    <row r="174" spans="1:12" x14ac:dyDescent="0.3">
      <c r="A174" s="671"/>
      <c r="B174" s="19" t="s">
        <v>60</v>
      </c>
      <c r="C174" s="11" t="s">
        <v>57</v>
      </c>
      <c r="D174" s="26">
        <f>Mulanje!J174+Mulanje!K174+Mulanje!L174</f>
        <v>0</v>
      </c>
      <c r="E174" s="26">
        <f>Luchenza!J174+Luchenza!K174+Luchenza!L174</f>
        <v>0</v>
      </c>
      <c r="F174" s="26">
        <f>Thyolo!J174+Thyolo!K174+Thyolo!L174</f>
        <v>0</v>
      </c>
      <c r="G174" s="26">
        <f>Muloza!J174+Muloza!K174+Muloza!L174</f>
        <v>0</v>
      </c>
      <c r="H174" s="26">
        <f>MUST!J174+MUST!K174+MUST!L174</f>
        <v>0</v>
      </c>
      <c r="I174" s="26">
        <f>Phalombe!J174+Phalombe!K174+Phalombe!L174</f>
        <v>0</v>
      </c>
      <c r="J174" s="26">
        <f>Mikolongwe!J174+Mikolongwe!K174+Mikolongwe!L174</f>
        <v>0</v>
      </c>
      <c r="K174" s="26">
        <f>Migowi!J174+Migowi!K174+Migowi!L174</f>
        <v>0</v>
      </c>
      <c r="L174" s="74">
        <f t="shared" si="56"/>
        <v>0</v>
      </c>
    </row>
    <row r="175" spans="1:12" x14ac:dyDescent="0.3">
      <c r="A175" s="672"/>
      <c r="B175" s="19" t="s">
        <v>69</v>
      </c>
      <c r="C175" s="11" t="s">
        <v>57</v>
      </c>
      <c r="D175" s="26">
        <f>Mulanje!J175+Mulanje!K175+Mulanje!L175</f>
        <v>0</v>
      </c>
      <c r="E175" s="26">
        <f>Luchenza!J175+Luchenza!K175+Luchenza!L175</f>
        <v>0</v>
      </c>
      <c r="F175" s="26">
        <f>Thyolo!J175+Thyolo!K175+Thyolo!L175</f>
        <v>0</v>
      </c>
      <c r="G175" s="26">
        <f>Muloza!J175+Muloza!K175+Muloza!L175</f>
        <v>0</v>
      </c>
      <c r="H175" s="26">
        <f>MUST!J175+MUST!K175+MUST!L175</f>
        <v>0</v>
      </c>
      <c r="I175" s="26">
        <f>Phalombe!J175+Phalombe!K175+Phalombe!L175</f>
        <v>0</v>
      </c>
      <c r="J175" s="26">
        <f>Mikolongwe!J175+Mikolongwe!K175+Mikolongwe!L175</f>
        <v>0</v>
      </c>
      <c r="K175" s="26">
        <f>Migowi!J175+Migowi!K175+Migowi!L175</f>
        <v>0</v>
      </c>
      <c r="L175" s="74">
        <f t="shared" si="56"/>
        <v>0</v>
      </c>
    </row>
    <row r="176" spans="1:12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74"/>
    </row>
    <row r="177" spans="1:12" x14ac:dyDescent="0.3">
      <c r="A177" s="671"/>
      <c r="B177" s="19" t="s">
        <v>60</v>
      </c>
      <c r="C177" s="11" t="s">
        <v>57</v>
      </c>
      <c r="D177" s="26">
        <f>Mulanje!J177+Mulanje!K177+Mulanje!L177</f>
        <v>0</v>
      </c>
      <c r="E177" s="26">
        <f>Luchenza!J177+Luchenza!K177+Luchenza!L177</f>
        <v>0</v>
      </c>
      <c r="F177" s="26">
        <f>Thyolo!J177+Thyolo!K177+Thyolo!L177</f>
        <v>0</v>
      </c>
      <c r="G177" s="26">
        <f>Muloza!J177+Muloza!K177+Muloza!L177</f>
        <v>0</v>
      </c>
      <c r="H177" s="26">
        <f>MUST!J177+MUST!K177+MUST!L177</f>
        <v>0</v>
      </c>
      <c r="I177" s="26">
        <f>Phalombe!J177+Phalombe!K177+Phalombe!L177</f>
        <v>0</v>
      </c>
      <c r="J177" s="26">
        <f>Mikolongwe!J177+Mikolongwe!K177+Mikolongwe!L177</f>
        <v>0</v>
      </c>
      <c r="K177" s="26">
        <f>Migowi!J177+Migowi!K177+Migowi!L177</f>
        <v>0</v>
      </c>
      <c r="L177" s="74">
        <f t="shared" ref="L177:L182" si="57">SUM(D177:K177)</f>
        <v>0</v>
      </c>
    </row>
    <row r="178" spans="1:12" x14ac:dyDescent="0.3">
      <c r="A178" s="671"/>
      <c r="B178" s="19" t="s">
        <v>69</v>
      </c>
      <c r="C178" s="11" t="s">
        <v>57</v>
      </c>
      <c r="D178" s="26">
        <f>Mulanje!J178+Mulanje!K178+Mulanje!L178</f>
        <v>0</v>
      </c>
      <c r="E178" s="26">
        <f>Luchenza!J178+Luchenza!K178+Luchenza!L178</f>
        <v>0</v>
      </c>
      <c r="F178" s="26">
        <f>Thyolo!J178+Thyolo!K178+Thyolo!L178</f>
        <v>0</v>
      </c>
      <c r="G178" s="26">
        <f>Muloza!J178+Muloza!K178+Muloza!L178</f>
        <v>0</v>
      </c>
      <c r="H178" s="26">
        <f>MUST!J178+MUST!K178+MUST!L178</f>
        <v>0</v>
      </c>
      <c r="I178" s="26">
        <f>Phalombe!J178+Phalombe!K178+Phalombe!L178</f>
        <v>0</v>
      </c>
      <c r="J178" s="26">
        <f>Mikolongwe!J178+Mikolongwe!K178+Mikolongwe!L178</f>
        <v>0</v>
      </c>
      <c r="K178" s="26">
        <f>Migowi!J178+Migowi!K178+Migowi!L178</f>
        <v>0</v>
      </c>
      <c r="L178" s="74">
        <f t="shared" si="57"/>
        <v>0</v>
      </c>
    </row>
    <row r="179" spans="1:12" x14ac:dyDescent="0.3">
      <c r="A179" s="671"/>
      <c r="B179" s="19" t="s">
        <v>68</v>
      </c>
      <c r="C179" s="11" t="s">
        <v>57</v>
      </c>
      <c r="D179" s="26">
        <f>Mulanje!J179+Mulanje!K179+Mulanje!L179</f>
        <v>0</v>
      </c>
      <c r="E179" s="26">
        <f>Luchenza!J179+Luchenza!K179+Luchenza!L179</f>
        <v>0</v>
      </c>
      <c r="F179" s="26">
        <f>Thyolo!J179+Thyolo!K179+Thyolo!L179</f>
        <v>0</v>
      </c>
      <c r="G179" s="26">
        <f>Muloza!J179+Muloza!K179+Muloza!L179</f>
        <v>0</v>
      </c>
      <c r="H179" s="26">
        <f>MUST!J179+MUST!K179+MUST!L179</f>
        <v>0</v>
      </c>
      <c r="I179" s="26">
        <f>Phalombe!J179+Phalombe!K179+Phalombe!L179</f>
        <v>0</v>
      </c>
      <c r="J179" s="26">
        <f>Mikolongwe!J179+Mikolongwe!K179+Mikolongwe!L179</f>
        <v>0</v>
      </c>
      <c r="K179" s="26">
        <f>Migowi!J179+Migowi!K179+Migowi!L179</f>
        <v>0</v>
      </c>
      <c r="L179" s="74">
        <f t="shared" si="57"/>
        <v>0</v>
      </c>
    </row>
    <row r="180" spans="1:12" x14ac:dyDescent="0.3">
      <c r="A180" s="671"/>
      <c r="B180" s="19" t="s">
        <v>67</v>
      </c>
      <c r="C180" s="11" t="s">
        <v>57</v>
      </c>
      <c r="D180" s="26">
        <f>Mulanje!J180+Mulanje!K180+Mulanje!L180</f>
        <v>0</v>
      </c>
      <c r="E180" s="26">
        <f>Luchenza!J180+Luchenza!K180+Luchenza!L180</f>
        <v>0</v>
      </c>
      <c r="F180" s="26">
        <f>Thyolo!J180+Thyolo!K180+Thyolo!L180</f>
        <v>0</v>
      </c>
      <c r="G180" s="26">
        <f>Muloza!J180+Muloza!K180+Muloza!L180</f>
        <v>0</v>
      </c>
      <c r="H180" s="26">
        <f>MUST!J180+MUST!K180+MUST!L180</f>
        <v>0</v>
      </c>
      <c r="I180" s="26">
        <f>Phalombe!J180+Phalombe!K180+Phalombe!L180</f>
        <v>0</v>
      </c>
      <c r="J180" s="26">
        <f>Mikolongwe!J180+Mikolongwe!K180+Mikolongwe!L180</f>
        <v>0</v>
      </c>
      <c r="K180" s="26">
        <f>Migowi!J180+Migowi!K180+Migowi!L180</f>
        <v>0</v>
      </c>
      <c r="L180" s="74">
        <f t="shared" si="57"/>
        <v>0</v>
      </c>
    </row>
    <row r="181" spans="1:12" x14ac:dyDescent="0.3">
      <c r="A181" s="671"/>
      <c r="B181" s="19" t="s">
        <v>66</v>
      </c>
      <c r="C181" s="11" t="s">
        <v>57</v>
      </c>
      <c r="D181" s="26">
        <f>Mulanje!J181+Mulanje!K181+Mulanje!L181</f>
        <v>0</v>
      </c>
      <c r="E181" s="26">
        <f>Luchenza!J181+Luchenza!K181+Luchenza!L181</f>
        <v>0</v>
      </c>
      <c r="F181" s="26">
        <f>Thyolo!J181+Thyolo!K181+Thyolo!L181</f>
        <v>0</v>
      </c>
      <c r="G181" s="26">
        <f>Muloza!J181+Muloza!K181+Muloza!L181</f>
        <v>0</v>
      </c>
      <c r="H181" s="26">
        <f>MUST!J181+MUST!K181+MUST!L181</f>
        <v>0</v>
      </c>
      <c r="I181" s="26">
        <f>Phalombe!J181+Phalombe!K181+Phalombe!L181</f>
        <v>0</v>
      </c>
      <c r="J181" s="26">
        <f>Mikolongwe!J181+Mikolongwe!K181+Mikolongwe!L181</f>
        <v>0</v>
      </c>
      <c r="K181" s="26">
        <f>Migowi!J181+Migowi!K181+Migowi!L181</f>
        <v>0</v>
      </c>
      <c r="L181" s="74">
        <f t="shared" si="57"/>
        <v>0</v>
      </c>
    </row>
    <row r="182" spans="1:12" x14ac:dyDescent="0.3">
      <c r="A182" s="672"/>
      <c r="B182" s="19" t="s">
        <v>65</v>
      </c>
      <c r="C182" s="11" t="s">
        <v>57</v>
      </c>
      <c r="D182" s="26">
        <f>Mulanje!J182+Mulanje!K182+Mulanje!L182</f>
        <v>0</v>
      </c>
      <c r="E182" s="26">
        <f>Luchenza!J182+Luchenza!K182+Luchenza!L182</f>
        <v>0</v>
      </c>
      <c r="F182" s="26">
        <f>Thyolo!J182+Thyolo!K182+Thyolo!L182</f>
        <v>0</v>
      </c>
      <c r="G182" s="26">
        <f>Muloza!J182+Muloza!K182+Muloza!L182</f>
        <v>0</v>
      </c>
      <c r="H182" s="26">
        <f>MUST!J182+MUST!K182+MUST!L182</f>
        <v>0</v>
      </c>
      <c r="I182" s="26">
        <f>Phalombe!J182+Phalombe!K182+Phalombe!L182</f>
        <v>0</v>
      </c>
      <c r="J182" s="26">
        <f>Mikolongwe!J182+Mikolongwe!K182+Mikolongwe!L182</f>
        <v>0</v>
      </c>
      <c r="K182" s="26">
        <f>Migowi!J182+Migowi!K182+Migowi!L182</f>
        <v>0</v>
      </c>
      <c r="L182" s="74">
        <f t="shared" si="57"/>
        <v>0</v>
      </c>
    </row>
    <row r="183" spans="1:12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74"/>
    </row>
    <row r="184" spans="1:12" x14ac:dyDescent="0.3">
      <c r="A184" s="671"/>
      <c r="B184" s="19" t="s">
        <v>73</v>
      </c>
      <c r="C184" s="11"/>
      <c r="D184" s="26">
        <f>Mulanje!J184+Mulanje!K184+Mulanje!L184</f>
        <v>0</v>
      </c>
      <c r="E184" s="26">
        <f>Luchenza!J184+Luchenza!K184+Luchenza!L184</f>
        <v>0</v>
      </c>
      <c r="F184" s="26">
        <f>Thyolo!J184+Thyolo!K184+Thyolo!L184</f>
        <v>0</v>
      </c>
      <c r="G184" s="26">
        <f>Muloza!J184+Muloza!K184+Muloza!L184</f>
        <v>0</v>
      </c>
      <c r="H184" s="26">
        <f>MUST!J184+MUST!K184+MUST!L184</f>
        <v>0</v>
      </c>
      <c r="I184" s="26">
        <f>Phalombe!J184+Phalombe!K184+Phalombe!L184</f>
        <v>0</v>
      </c>
      <c r="J184" s="26">
        <f>Mikolongwe!J184+Mikolongwe!K184+Mikolongwe!L184</f>
        <v>0</v>
      </c>
      <c r="K184" s="26">
        <f>Migowi!J184+Migowi!K184+Migowi!L184</f>
        <v>0</v>
      </c>
      <c r="L184" s="74">
        <f>SUM(D184:K184)</f>
        <v>0</v>
      </c>
    </row>
    <row r="185" spans="1:12" x14ac:dyDescent="0.3">
      <c r="A185" s="671"/>
      <c r="B185" s="19" t="s">
        <v>72</v>
      </c>
      <c r="C185" s="11"/>
      <c r="D185" s="26">
        <f>Mulanje!J185+Mulanje!K185+Mulanje!L185</f>
        <v>0</v>
      </c>
      <c r="E185" s="26">
        <f>Luchenza!J185+Luchenza!K185+Luchenza!L185</f>
        <v>0</v>
      </c>
      <c r="F185" s="26">
        <f>Thyolo!J185+Thyolo!K185+Thyolo!L185</f>
        <v>0</v>
      </c>
      <c r="G185" s="26">
        <f>Muloza!J185+Muloza!K185+Muloza!L185</f>
        <v>0</v>
      </c>
      <c r="H185" s="26">
        <f>MUST!J185+MUST!K185+MUST!L185</f>
        <v>0</v>
      </c>
      <c r="I185" s="26">
        <f>Phalombe!J185+Phalombe!K185+Phalombe!L185</f>
        <v>0</v>
      </c>
      <c r="J185" s="26">
        <f>Mikolongwe!J185+Mikolongwe!K185+Mikolongwe!L185</f>
        <v>0</v>
      </c>
      <c r="K185" s="26">
        <f>Migowi!J185+Migowi!K185+Migowi!L185</f>
        <v>0</v>
      </c>
      <c r="L185" s="74">
        <f>SUM(D185:K185)</f>
        <v>0</v>
      </c>
    </row>
    <row r="186" spans="1:12" x14ac:dyDescent="0.3">
      <c r="A186" s="671"/>
      <c r="B186" s="19" t="s">
        <v>53</v>
      </c>
      <c r="C186" s="11"/>
      <c r="D186" s="26">
        <f>Mulanje!J186+Mulanje!K186+Mulanje!L186</f>
        <v>0</v>
      </c>
      <c r="E186" s="26">
        <f>Luchenza!J186+Luchenza!K186+Luchenza!L186</f>
        <v>0</v>
      </c>
      <c r="F186" s="26">
        <f>Thyolo!J186+Thyolo!K186+Thyolo!L186</f>
        <v>0</v>
      </c>
      <c r="G186" s="26">
        <f>Muloza!J186+Muloza!K186+Muloza!L186</f>
        <v>0</v>
      </c>
      <c r="H186" s="26">
        <f>MUST!J186+MUST!K186+MUST!L186</f>
        <v>0</v>
      </c>
      <c r="I186" s="26">
        <f>Phalombe!J186+Phalombe!K186+Phalombe!L186</f>
        <v>0</v>
      </c>
      <c r="J186" s="26">
        <f>Mikolongwe!J186+Mikolongwe!K186+Mikolongwe!L186</f>
        <v>0</v>
      </c>
      <c r="K186" s="26">
        <f>Migowi!J186+Migowi!K186+Migowi!L186</f>
        <v>0</v>
      </c>
      <c r="L186" s="74">
        <f>SUM(D186:K186)</f>
        <v>0</v>
      </c>
    </row>
    <row r="187" spans="1:12" x14ac:dyDescent="0.3">
      <c r="A187" s="672"/>
      <c r="B187" s="19" t="s">
        <v>52</v>
      </c>
      <c r="C187" s="11"/>
      <c r="D187" s="26">
        <f>Mulanje!J187+Mulanje!K187+Mulanje!L187</f>
        <v>0</v>
      </c>
      <c r="E187" s="26">
        <f>Luchenza!J187+Luchenza!K187+Luchenza!L187</f>
        <v>0</v>
      </c>
      <c r="F187" s="26">
        <f>Thyolo!J187+Thyolo!K187+Thyolo!L187</f>
        <v>0</v>
      </c>
      <c r="G187" s="26">
        <f>Muloza!J187+Muloza!K187+Muloza!L187</f>
        <v>0</v>
      </c>
      <c r="H187" s="26">
        <f>MUST!J187+MUST!K187+MUST!L187</f>
        <v>0</v>
      </c>
      <c r="I187" s="26">
        <f>Phalombe!J187+Phalombe!K187+Phalombe!L187</f>
        <v>0</v>
      </c>
      <c r="J187" s="26">
        <f>Mikolongwe!J187+Mikolongwe!K187+Mikolongwe!L187</f>
        <v>0</v>
      </c>
      <c r="K187" s="26">
        <f>Migowi!J187+Migowi!K187+Migowi!L187</f>
        <v>0</v>
      </c>
      <c r="L187" s="74">
        <f>SUM(D187:K187)</f>
        <v>0</v>
      </c>
    </row>
    <row r="188" spans="1:12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74"/>
    </row>
    <row r="189" spans="1:12" x14ac:dyDescent="0.3">
      <c r="A189" s="671"/>
      <c r="B189" s="20" t="s">
        <v>52</v>
      </c>
      <c r="C189" s="11" t="s">
        <v>57</v>
      </c>
      <c r="D189" s="26">
        <f>Mulanje!J189+Mulanje!K189+Mulanje!L189</f>
        <v>0</v>
      </c>
      <c r="E189" s="26">
        <f>Luchenza!J189+Luchenza!K189+Luchenza!L189</f>
        <v>0</v>
      </c>
      <c r="F189" s="26">
        <f>Thyolo!J189+Thyolo!K189+Thyolo!L189</f>
        <v>0</v>
      </c>
      <c r="G189" s="26">
        <f>Muloza!J189+Muloza!K189+Muloza!L189</f>
        <v>0</v>
      </c>
      <c r="H189" s="26">
        <f>MUST!J189+MUST!K189+MUST!L189</f>
        <v>0</v>
      </c>
      <c r="I189" s="26">
        <f>Phalombe!J189+Phalombe!K189+Phalombe!L189</f>
        <v>0</v>
      </c>
      <c r="J189" s="26">
        <f>Mikolongwe!J189+Mikolongwe!K189+Mikolongwe!L189</f>
        <v>0</v>
      </c>
      <c r="K189" s="26">
        <f>Migowi!J189+Migowi!K189+Migowi!L189</f>
        <v>0</v>
      </c>
      <c r="L189" s="74">
        <f>SUM(D189:K189)</f>
        <v>0</v>
      </c>
    </row>
    <row r="190" spans="1:12" x14ac:dyDescent="0.3">
      <c r="A190" s="671"/>
      <c r="B190" s="19" t="s">
        <v>62</v>
      </c>
      <c r="C190" s="11" t="s">
        <v>57</v>
      </c>
      <c r="D190" s="26">
        <f>Mulanje!J190+Mulanje!K190+Mulanje!L190</f>
        <v>0</v>
      </c>
      <c r="E190" s="26">
        <f>Luchenza!J190+Luchenza!K190+Luchenza!L190</f>
        <v>0</v>
      </c>
      <c r="F190" s="26">
        <f>Thyolo!J190+Thyolo!K190+Thyolo!L190</f>
        <v>2</v>
      </c>
      <c r="G190" s="26">
        <f>Muloza!J190+Muloza!K190+Muloza!L190</f>
        <v>0</v>
      </c>
      <c r="H190" s="26">
        <f>MUST!J190+MUST!K190+MUST!L190</f>
        <v>0</v>
      </c>
      <c r="I190" s="26">
        <f>Phalombe!J190+Phalombe!K190+Phalombe!L190</f>
        <v>0</v>
      </c>
      <c r="J190" s="26">
        <f>Mikolongwe!J190+Mikolongwe!K190+Mikolongwe!L190</f>
        <v>0</v>
      </c>
      <c r="K190" s="26">
        <f>Migowi!J190+Migowi!K190+Migowi!L190</f>
        <v>0</v>
      </c>
      <c r="L190" s="74">
        <f>SUM(D190:K190)</f>
        <v>2</v>
      </c>
    </row>
    <row r="191" spans="1:12" x14ac:dyDescent="0.3">
      <c r="A191" s="671"/>
      <c r="B191" s="19" t="s">
        <v>61</v>
      </c>
      <c r="C191" s="11" t="s">
        <v>57</v>
      </c>
      <c r="D191" s="26">
        <f>Mulanje!J191+Mulanje!K191+Mulanje!L191</f>
        <v>0</v>
      </c>
      <c r="E191" s="26">
        <f>Luchenza!J191+Luchenza!K191+Luchenza!L191</f>
        <v>0</v>
      </c>
      <c r="F191" s="26">
        <f>Thyolo!J191+Thyolo!K191+Thyolo!L191</f>
        <v>0</v>
      </c>
      <c r="G191" s="26">
        <f>Muloza!J191+Muloza!K191+Muloza!L191</f>
        <v>0</v>
      </c>
      <c r="H191" s="26">
        <f>MUST!J191+MUST!K191+MUST!L191</f>
        <v>0</v>
      </c>
      <c r="I191" s="26">
        <f>Phalombe!J191+Phalombe!K191+Phalombe!L191</f>
        <v>0</v>
      </c>
      <c r="J191" s="26">
        <f>Mikolongwe!J191+Mikolongwe!K191+Mikolongwe!L191</f>
        <v>0</v>
      </c>
      <c r="K191" s="26">
        <f>Migowi!J191+Migowi!K191+Migowi!L191</f>
        <v>0</v>
      </c>
      <c r="L191" s="74">
        <f>SUM(D191:K191)</f>
        <v>0</v>
      </c>
    </row>
    <row r="192" spans="1:12" x14ac:dyDescent="0.3">
      <c r="A192" s="672"/>
      <c r="B192" s="19" t="s">
        <v>60</v>
      </c>
      <c r="C192" s="11" t="s">
        <v>57</v>
      </c>
      <c r="D192" s="26">
        <f>Mulanje!J192+Mulanje!K192+Mulanje!L192</f>
        <v>0</v>
      </c>
      <c r="E192" s="26">
        <f>Luchenza!J192+Luchenza!K192+Luchenza!L192</f>
        <v>0</v>
      </c>
      <c r="F192" s="26">
        <f>Thyolo!J192+Thyolo!K192+Thyolo!L192</f>
        <v>0</v>
      </c>
      <c r="G192" s="26">
        <f>Muloza!J192+Muloza!K192+Muloza!L192</f>
        <v>0</v>
      </c>
      <c r="H192" s="26">
        <f>MUST!J192+MUST!K192+MUST!L192</f>
        <v>0</v>
      </c>
      <c r="I192" s="26">
        <f>Phalombe!J192+Phalombe!K192+Phalombe!L192</f>
        <v>0</v>
      </c>
      <c r="J192" s="26">
        <f>Mikolongwe!J192+Mikolongwe!K192+Mikolongwe!L192</f>
        <v>0</v>
      </c>
      <c r="K192" s="26">
        <f>Migowi!J192+Migowi!K192+Migowi!L192</f>
        <v>0</v>
      </c>
      <c r="L192" s="74">
        <f>SUM(D192:K192)</f>
        <v>0</v>
      </c>
    </row>
    <row r="193" spans="1:12" x14ac:dyDescent="0.3">
      <c r="A193" s="727" t="s">
        <v>59</v>
      </c>
      <c r="B193" s="728"/>
      <c r="C193" s="11"/>
      <c r="D193" s="10">
        <f>SUM(D153:D192)</f>
        <v>102</v>
      </c>
      <c r="E193" s="10">
        <f t="shared" ref="E193:K193" si="58">SUM(E153:E192)</f>
        <v>480</v>
      </c>
      <c r="F193" s="10">
        <f t="shared" si="58"/>
        <v>300</v>
      </c>
      <c r="G193" s="10">
        <f t="shared" si="58"/>
        <v>56</v>
      </c>
      <c r="H193" s="10">
        <f t="shared" si="58"/>
        <v>34</v>
      </c>
      <c r="I193" s="10">
        <f t="shared" si="58"/>
        <v>67</v>
      </c>
      <c r="J193" s="10">
        <f t="shared" si="58"/>
        <v>8</v>
      </c>
      <c r="K193" s="10">
        <f t="shared" si="58"/>
        <v>0</v>
      </c>
      <c r="L193" s="102">
        <f>SUM(L153:L192)</f>
        <v>1047</v>
      </c>
    </row>
    <row r="194" spans="1:12" x14ac:dyDescent="0.3">
      <c r="A194" s="665" t="s">
        <v>58</v>
      </c>
      <c r="B194" s="666"/>
      <c r="C194" s="11" t="s">
        <v>57</v>
      </c>
      <c r="D194" s="26">
        <f>Mulanje!J194+Mulanje!K194+Mulanje!L194</f>
        <v>0</v>
      </c>
      <c r="E194" s="26">
        <f>Luchenza!J194+Luchenza!K194+Luchenza!L194</f>
        <v>0</v>
      </c>
      <c r="F194" s="26">
        <f>Thyolo!J194+Thyolo!K194+Thyolo!L194</f>
        <v>2</v>
      </c>
      <c r="G194" s="26">
        <f>Muloza!J194+Muloza!K194+Muloza!L194</f>
        <v>0</v>
      </c>
      <c r="H194" s="26">
        <f>MUST!J194+MUST!K194+MUST!L194</f>
        <v>21</v>
      </c>
      <c r="I194" s="26">
        <f>Phalombe!J194+Phalombe!K194+Phalombe!L194</f>
        <v>0</v>
      </c>
      <c r="J194" s="26">
        <f>Mikolongwe!J194+Mikolongwe!K194+Mikolongwe!L194</f>
        <v>8</v>
      </c>
      <c r="K194" s="26">
        <f>Migowi!J194+Migowi!K194+Migowi!L194</f>
        <v>3</v>
      </c>
      <c r="L194" s="39">
        <f>SUM(D194:K194)</f>
        <v>34</v>
      </c>
    </row>
    <row r="195" spans="1:12" x14ac:dyDescent="0.3">
      <c r="A195" s="667"/>
      <c r="B195" s="668"/>
      <c r="C195" s="16" t="s">
        <v>55</v>
      </c>
      <c r="D195" s="26">
        <f>Mulanje!J195+Mulanje!K195+Mulanje!L195</f>
        <v>0</v>
      </c>
      <c r="E195" s="26">
        <f>Luchenza!J195+Luchenza!K195+Luchenza!L195</f>
        <v>0</v>
      </c>
      <c r="F195" s="26">
        <f>Thyolo!J195+Thyolo!K195+Thyolo!L195</f>
        <v>34</v>
      </c>
      <c r="G195" s="26">
        <f>Muloza!J195+Muloza!K195+Muloza!L195</f>
        <v>0</v>
      </c>
      <c r="H195" s="26">
        <f>MUST!J195+MUST!K195+MUST!L195</f>
        <v>72</v>
      </c>
      <c r="I195" s="26">
        <f>Phalombe!J195+Phalombe!K195+Phalombe!L195</f>
        <v>0</v>
      </c>
      <c r="J195" s="26">
        <f>Mikolongwe!J195+Mikolongwe!K195+Mikolongwe!L195</f>
        <v>156</v>
      </c>
      <c r="K195" s="26">
        <f>Migowi!J195+Migowi!K195+Migowi!L195</f>
        <v>1896</v>
      </c>
      <c r="L195" s="39">
        <f>SUM(D195:K195)</f>
        <v>2158</v>
      </c>
    </row>
    <row r="196" spans="1:12" x14ac:dyDescent="0.3">
      <c r="A196" s="85" t="s">
        <v>202</v>
      </c>
      <c r="B196" s="86"/>
      <c r="C196" s="16" t="s">
        <v>55</v>
      </c>
      <c r="D196" s="26">
        <f>Mulanje!J196+Mulanje!K196+Mulanje!L196</f>
        <v>72</v>
      </c>
      <c r="E196" s="26">
        <f>Luchenza!J196+Luchenza!K196+Luchenza!L196</f>
        <v>19</v>
      </c>
      <c r="F196" s="26">
        <f>Thyolo!J196+Thyolo!K196+Thyolo!L196</f>
        <v>22.741935483870968</v>
      </c>
      <c r="G196" s="26">
        <f>Muloza!J196+Muloza!K196+Muloza!L196</f>
        <v>67.322580645161295</v>
      </c>
      <c r="H196" s="26">
        <f>MUST!J196+MUST!K196+MUST!L196</f>
        <v>72</v>
      </c>
      <c r="I196" s="26">
        <f>Phalombe!J196+Phalombe!K196+Phalombe!L196</f>
        <v>72</v>
      </c>
      <c r="J196" s="26">
        <f>Mikolongwe!J196+Mikolongwe!K196+Mikolongwe!L196</f>
        <v>66</v>
      </c>
      <c r="K196" s="26">
        <f>Migowi!J196+Migowi!K196+Migowi!L196</f>
        <v>72</v>
      </c>
      <c r="L196" s="39">
        <f>SUM(D196:K196)/10</f>
        <v>46.306451612903224</v>
      </c>
    </row>
    <row r="197" spans="1:12" x14ac:dyDescent="0.3">
      <c r="A197" s="661" t="s">
        <v>56</v>
      </c>
      <c r="B197" s="662"/>
      <c r="C197" s="16" t="s">
        <v>55</v>
      </c>
      <c r="D197" s="26">
        <f>Mulanje!J197+Mulanje!K197+Mulanje!L197</f>
        <v>0</v>
      </c>
      <c r="E197" s="26">
        <f>Luchenza!J197+Luchenza!K197+Luchenza!L197</f>
        <v>61</v>
      </c>
      <c r="F197" s="26">
        <f>Thyolo!J197+Thyolo!K197+Thyolo!L197</f>
        <v>313</v>
      </c>
      <c r="G197" s="26">
        <f>Muloza!J197+Muloza!K197+Muloza!L197</f>
        <v>162</v>
      </c>
      <c r="H197" s="26">
        <f>MUST!J197+MUST!K197+MUST!L197</f>
        <v>420</v>
      </c>
      <c r="I197" s="26">
        <f>Phalombe!J197+Phalombe!K197+Phalombe!L197</f>
        <v>0</v>
      </c>
      <c r="J197" s="26">
        <f>Mikolongwe!J197+Mikolongwe!K197+Mikolongwe!L197</f>
        <v>394</v>
      </c>
      <c r="K197" s="26">
        <f>Migowi!J197+Migowi!K197+Migowi!L197</f>
        <v>119</v>
      </c>
      <c r="L197" s="39">
        <f>SUM(D197:K197)</f>
        <v>1469</v>
      </c>
    </row>
    <row r="198" spans="1:12" ht="14.4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1"/>
    </row>
    <row r="199" spans="1:12" x14ac:dyDescent="0.3">
      <c r="A199" s="665" t="s">
        <v>54</v>
      </c>
      <c r="B199" s="79" t="s">
        <v>53</v>
      </c>
      <c r="C199" s="11" t="s">
        <v>47</v>
      </c>
      <c r="D199" s="26">
        <f>Mulanje!J199+Mulanje!K199+Mulanje!L199</f>
        <v>0</v>
      </c>
      <c r="E199" s="26">
        <f>Luchenza!J199+Luchenza!K199+Luchenza!L199</f>
        <v>0</v>
      </c>
      <c r="F199" s="26">
        <f>Thyolo!J199+Thyolo!K199+Thyolo!L199</f>
        <v>600</v>
      </c>
      <c r="G199" s="26">
        <f>Muloza!J199+Muloza!K199+Muloza!L199</f>
        <v>0</v>
      </c>
      <c r="H199" s="26">
        <f>MUST!J199+MUST!K199+MUST!L199</f>
        <v>0</v>
      </c>
      <c r="I199" s="26">
        <f>Phalombe!J199+Phalombe!K199+Phalombe!L199</f>
        <v>0</v>
      </c>
      <c r="J199" s="26">
        <f>Mikolongwe!J199+Mikolongwe!K199+Mikolongwe!L199</f>
        <v>0</v>
      </c>
      <c r="K199" s="26">
        <f>Migowi!J199+Migowi!K199+Migowi!L199</f>
        <v>0</v>
      </c>
      <c r="L199" s="39">
        <f t="shared" ref="L199:L204" si="59">SUM(D199:K199)</f>
        <v>600</v>
      </c>
    </row>
    <row r="200" spans="1:12" x14ac:dyDescent="0.3">
      <c r="A200" s="669"/>
      <c r="B200" s="79" t="s">
        <v>52</v>
      </c>
      <c r="C200" s="11" t="s">
        <v>47</v>
      </c>
      <c r="D200" s="26">
        <f>Mulanje!J200+Mulanje!K200+Mulanje!L200</f>
        <v>0</v>
      </c>
      <c r="E200" s="26">
        <f>Luchenza!J200+Luchenza!K200+Luchenza!L200</f>
        <v>0</v>
      </c>
      <c r="F200" s="26">
        <f>Thyolo!J200+Thyolo!K200+Thyolo!L200</f>
        <v>0</v>
      </c>
      <c r="G200" s="26">
        <f>Muloza!J200+Muloza!K200+Muloza!L200</f>
        <v>0</v>
      </c>
      <c r="H200" s="26">
        <f>MUST!J200+MUST!K200+MUST!L200</f>
        <v>0</v>
      </c>
      <c r="I200" s="26">
        <f>Phalombe!J200+Phalombe!K200+Phalombe!L200</f>
        <v>0</v>
      </c>
      <c r="J200" s="26">
        <f>Mikolongwe!J200+Mikolongwe!K200+Mikolongwe!L200</f>
        <v>45</v>
      </c>
      <c r="K200" s="26">
        <f>Migowi!J200+Migowi!K200+Migowi!L200</f>
        <v>0</v>
      </c>
      <c r="L200" s="39">
        <f t="shared" si="59"/>
        <v>45</v>
      </c>
    </row>
    <row r="201" spans="1:12" x14ac:dyDescent="0.3">
      <c r="A201" s="669"/>
      <c r="B201" s="79" t="s">
        <v>51</v>
      </c>
      <c r="C201" s="11" t="s">
        <v>47</v>
      </c>
      <c r="D201" s="26">
        <f>Mulanje!J201+Mulanje!K201+Mulanje!L201</f>
        <v>0</v>
      </c>
      <c r="E201" s="26">
        <f>Luchenza!J201+Luchenza!K201+Luchenza!L201</f>
        <v>0</v>
      </c>
      <c r="F201" s="26">
        <f>Thyolo!J201+Thyolo!K201+Thyolo!L201</f>
        <v>0</v>
      </c>
      <c r="G201" s="26">
        <f>Muloza!J201+Muloza!K201+Muloza!L201</f>
        <v>0</v>
      </c>
      <c r="H201" s="26">
        <f>MUST!J201+MUST!K201+MUST!L201</f>
        <v>0</v>
      </c>
      <c r="I201" s="26">
        <f>Phalombe!J201+Phalombe!K201+Phalombe!L201</f>
        <v>0</v>
      </c>
      <c r="J201" s="26">
        <f>Mikolongwe!J201+Mikolongwe!K201+Mikolongwe!L201</f>
        <v>0</v>
      </c>
      <c r="K201" s="26">
        <f>Migowi!J201+Migowi!K201+Migowi!L201</f>
        <v>0</v>
      </c>
      <c r="L201" s="39">
        <f t="shared" si="59"/>
        <v>0</v>
      </c>
    </row>
    <row r="202" spans="1:12" x14ac:dyDescent="0.3">
      <c r="A202" s="669"/>
      <c r="B202" s="79" t="s">
        <v>50</v>
      </c>
      <c r="C202" s="11" t="s">
        <v>47</v>
      </c>
      <c r="D202" s="26">
        <f>Mulanje!J202+Mulanje!K202+Mulanje!L202</f>
        <v>0</v>
      </c>
      <c r="E202" s="26">
        <f>Luchenza!J202+Luchenza!K202+Luchenza!L202</f>
        <v>0</v>
      </c>
      <c r="F202" s="26">
        <f>Thyolo!J202+Thyolo!K202+Thyolo!L202</f>
        <v>570</v>
      </c>
      <c r="G202" s="26">
        <f>Muloza!J202+Muloza!K202+Muloza!L202</f>
        <v>0</v>
      </c>
      <c r="H202" s="26">
        <f>MUST!J202+MUST!K202+MUST!L202</f>
        <v>0</v>
      </c>
      <c r="I202" s="26">
        <f>Phalombe!J202+Phalombe!K202+Phalombe!L202</f>
        <v>0</v>
      </c>
      <c r="J202" s="26">
        <f>Mikolongwe!J202+Mikolongwe!K202+Mikolongwe!L202</f>
        <v>0</v>
      </c>
      <c r="K202" s="26">
        <f>Migowi!J202+Migowi!K202+Migowi!L202</f>
        <v>0</v>
      </c>
      <c r="L202" s="39">
        <f t="shared" si="59"/>
        <v>570</v>
      </c>
    </row>
    <row r="203" spans="1:12" x14ac:dyDescent="0.3">
      <c r="A203" s="667"/>
      <c r="B203" s="79" t="s">
        <v>49</v>
      </c>
      <c r="C203" s="11" t="s">
        <v>47</v>
      </c>
      <c r="D203" s="26">
        <f>Mulanje!J203+Mulanje!K203+Mulanje!L203</f>
        <v>0</v>
      </c>
      <c r="E203" s="26">
        <f>Luchenza!J203+Luchenza!K203+Luchenza!L203</f>
        <v>0</v>
      </c>
      <c r="F203" s="26">
        <f>Thyolo!J203+Thyolo!K203+Thyolo!L203</f>
        <v>870</v>
      </c>
      <c r="G203" s="26">
        <f>Muloza!J203+Muloza!K203+Muloza!L203</f>
        <v>0</v>
      </c>
      <c r="H203" s="26">
        <f>MUST!J203+MUST!K203+MUST!L203</f>
        <v>0</v>
      </c>
      <c r="I203" s="26">
        <f>Phalombe!J203+Phalombe!K203+Phalombe!L203</f>
        <v>0</v>
      </c>
      <c r="J203" s="26">
        <f>Mikolongwe!J203+Mikolongwe!K203+Mikolongwe!L203</f>
        <v>0</v>
      </c>
      <c r="K203" s="26">
        <f>Migowi!J203+Migowi!K203+Migowi!L203</f>
        <v>0</v>
      </c>
      <c r="L203" s="39">
        <f t="shared" si="59"/>
        <v>870</v>
      </c>
    </row>
    <row r="204" spans="1:12" x14ac:dyDescent="0.3">
      <c r="A204" s="83" t="s">
        <v>48</v>
      </c>
      <c r="B204" s="79"/>
      <c r="C204" s="11" t="s">
        <v>47</v>
      </c>
      <c r="D204" s="15">
        <f t="shared" ref="D204:K204" si="60">SUM(D199:D203)</f>
        <v>0</v>
      </c>
      <c r="E204" s="15">
        <f t="shared" si="60"/>
        <v>0</v>
      </c>
      <c r="F204" s="15">
        <f t="shared" si="60"/>
        <v>2040</v>
      </c>
      <c r="G204" s="15">
        <f t="shared" si="60"/>
        <v>0</v>
      </c>
      <c r="H204" s="15">
        <f t="shared" si="60"/>
        <v>0</v>
      </c>
      <c r="I204" s="15">
        <f t="shared" si="60"/>
        <v>0</v>
      </c>
      <c r="J204" s="15">
        <f t="shared" si="60"/>
        <v>45</v>
      </c>
      <c r="K204" s="15">
        <f t="shared" si="60"/>
        <v>0</v>
      </c>
      <c r="L204" s="110">
        <f t="shared" si="59"/>
        <v>2085</v>
      </c>
    </row>
    <row r="205" spans="1:12" s="2" customFormat="1" ht="14.4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1"/>
    </row>
    <row r="206" spans="1:12" x14ac:dyDescent="0.3">
      <c r="A206" s="661" t="s">
        <v>43</v>
      </c>
      <c r="B206" s="662"/>
      <c r="C206" s="11" t="s">
        <v>31</v>
      </c>
      <c r="D206" s="15">
        <f>Mulanje!J206+Mulanje!K206+Mulanje!L206</f>
        <v>49886685.740000002</v>
      </c>
      <c r="E206" s="15">
        <f>Luchenza!J206+Luchenza!K206+Luchenza!L206</f>
        <v>18148231.259999998</v>
      </c>
      <c r="F206" s="15">
        <f>Thyolo!J206+Thyolo!K206+Thyolo!L206</f>
        <v>15848839.420000002</v>
      </c>
      <c r="G206" s="15">
        <f>Muloza!J206+Muloza!K206+Muloza!L206</f>
        <v>11274952.370000001</v>
      </c>
      <c r="H206" s="15">
        <f>MUST!J206+MUST!K206+MUST!L206</f>
        <v>930693</v>
      </c>
      <c r="I206" s="15">
        <f>Phalombe!J206+Phalombe!K206+Phalombe!L206</f>
        <v>12416013.65</v>
      </c>
      <c r="J206" s="15">
        <f>Mikolongwe!J206+Mikolongwe!K206+Mikolongwe!L206</f>
        <v>1538124</v>
      </c>
      <c r="K206" s="15">
        <f>Migowi!J206+Migowi!K206+Migowi!L206</f>
        <v>0</v>
      </c>
      <c r="L206" s="39">
        <f>SUM(D206:K206)</f>
        <v>110043539.44000001</v>
      </c>
    </row>
    <row r="207" spans="1:12" x14ac:dyDescent="0.3">
      <c r="A207" s="661" t="s">
        <v>42</v>
      </c>
      <c r="B207" s="662"/>
      <c r="C207" s="11" t="s">
        <v>31</v>
      </c>
      <c r="D207" s="15">
        <f>Mulanje!J207+Mulanje!K207+Mulanje!L207</f>
        <v>571000</v>
      </c>
      <c r="E207" s="15">
        <f>Luchenza!J207+Luchenza!K207+Luchenza!L207</f>
        <v>16000</v>
      </c>
      <c r="F207" s="15">
        <f>Thyolo!J207+Thyolo!K207+Thyolo!L207</f>
        <v>15000</v>
      </c>
      <c r="G207" s="15">
        <f>Muloza!J207+Muloza!K207+Muloza!L207</f>
        <v>13000</v>
      </c>
      <c r="H207" s="15">
        <f>MUST!J207+MUST!K207+MUST!L207</f>
        <v>0</v>
      </c>
      <c r="I207" s="15">
        <f>Phalombe!J207+Phalombe!K207+Phalombe!L207</f>
        <v>0</v>
      </c>
      <c r="J207" s="15">
        <f>Mikolongwe!J207+Mikolongwe!K207+Mikolongwe!L207</f>
        <v>0</v>
      </c>
      <c r="K207" s="15">
        <f>Migowi!J207+Migowi!K207+Migowi!L207</f>
        <v>0</v>
      </c>
      <c r="L207" s="39">
        <f>SUM(D207:K207)</f>
        <v>615000</v>
      </c>
    </row>
    <row r="208" spans="1:12" x14ac:dyDescent="0.3">
      <c r="A208" s="663" t="s">
        <v>41</v>
      </c>
      <c r="B208" s="664"/>
      <c r="C208" s="11" t="s">
        <v>31</v>
      </c>
      <c r="D208" s="15">
        <f>Mulanje!J208+Mulanje!K208+Mulanje!L208</f>
        <v>683824.92999999993</v>
      </c>
      <c r="E208" s="15">
        <f>Luchenza!J208+Luchenza!K208+Luchenza!L208</f>
        <v>1214520.6200000001</v>
      </c>
      <c r="F208" s="15">
        <f>Thyolo!J208+Thyolo!K208+Thyolo!L208</f>
        <v>1131965</v>
      </c>
      <c r="G208" s="15">
        <f>Muloza!J208+Muloza!K208+Muloza!L208</f>
        <v>778650</v>
      </c>
      <c r="H208" s="15">
        <f>MUST!J208+MUST!K208+MUST!L208</f>
        <v>90000</v>
      </c>
      <c r="I208" s="15">
        <f>Phalombe!J208+Phalombe!K208+Phalombe!L208</f>
        <v>250857.38</v>
      </c>
      <c r="J208" s="15">
        <f>Mikolongwe!J208+Mikolongwe!K208+Mikolongwe!L208</f>
        <v>0</v>
      </c>
      <c r="K208" s="15">
        <f>Migowi!J208+Migowi!K208+Migowi!L208</f>
        <v>0</v>
      </c>
      <c r="L208" s="39">
        <f>SUM(D208:K208)</f>
        <v>4149817.9299999997</v>
      </c>
    </row>
    <row r="209" spans="1:12" x14ac:dyDescent="0.3">
      <c r="A209" s="661" t="s">
        <v>40</v>
      </c>
      <c r="B209" s="662"/>
      <c r="C209" s="11" t="s">
        <v>31</v>
      </c>
      <c r="D209" s="15">
        <f>Mulanje!J209+Mulanje!K209+Mulanje!L209</f>
        <v>1062340.32</v>
      </c>
      <c r="E209" s="15">
        <f>Luchenza!J209+Luchenza!K209+Luchenza!L209</f>
        <v>8245000</v>
      </c>
      <c r="F209" s="15">
        <f>Thyolo!J209+Thyolo!K209+Thyolo!L209</f>
        <v>494184</v>
      </c>
      <c r="G209" s="15">
        <f>Muloza!J209+Muloza!K209+Muloza!L209</f>
        <v>171210</v>
      </c>
      <c r="H209" s="15">
        <f>MUST!J209+MUST!K209+MUST!L209</f>
        <v>0</v>
      </c>
      <c r="I209" s="15">
        <f>Phalombe!J209+Phalombe!K209+Phalombe!L209</f>
        <v>211000</v>
      </c>
      <c r="J209" s="15">
        <f>Mikolongwe!J209+Mikolongwe!K209+Mikolongwe!L209</f>
        <v>0</v>
      </c>
      <c r="K209" s="15">
        <f>Migowi!J209+Migowi!K209+Migowi!L209</f>
        <v>0</v>
      </c>
      <c r="L209" s="39">
        <f>SUM(D209:K209)</f>
        <v>10183734.32</v>
      </c>
    </row>
    <row r="210" spans="1:12" x14ac:dyDescent="0.3">
      <c r="A210" s="647" t="s">
        <v>45</v>
      </c>
      <c r="B210" s="648"/>
      <c r="C210" s="11" t="s">
        <v>31</v>
      </c>
      <c r="D210" s="10">
        <f t="shared" ref="D210:K210" si="61">SUM(D206:D209)</f>
        <v>52203850.990000002</v>
      </c>
      <c r="E210" s="10">
        <f t="shared" si="61"/>
        <v>27623751.879999999</v>
      </c>
      <c r="F210" s="10">
        <f t="shared" si="61"/>
        <v>17489988.420000002</v>
      </c>
      <c r="G210" s="10">
        <f t="shared" si="61"/>
        <v>12237812.370000001</v>
      </c>
      <c r="H210" s="10">
        <f t="shared" si="61"/>
        <v>1020693</v>
      </c>
      <c r="I210" s="10">
        <f t="shared" si="61"/>
        <v>12877871.030000001</v>
      </c>
      <c r="J210" s="10">
        <f t="shared" si="61"/>
        <v>1538124</v>
      </c>
      <c r="K210" s="10">
        <f t="shared" si="61"/>
        <v>0</v>
      </c>
      <c r="L210" s="39">
        <f>SUM(D210:K210)</f>
        <v>124992091.69000001</v>
      </c>
    </row>
    <row r="211" spans="1:12" s="2" customFormat="1" ht="14.4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1"/>
    </row>
    <row r="212" spans="1:12" x14ac:dyDescent="0.3">
      <c r="A212" s="661" t="s">
        <v>43</v>
      </c>
      <c r="B212" s="662"/>
      <c r="C212" s="11" t="s">
        <v>31</v>
      </c>
      <c r="D212" s="15">
        <f>Mulanje!J212+Mulanje!K212+Mulanje!L212</f>
        <v>22265405.870000005</v>
      </c>
      <c r="E212" s="15">
        <f>Luchenza!J212+Luchenza!K212+Luchenza!L212</f>
        <v>4483605.62</v>
      </c>
      <c r="F212" s="15">
        <f>Thyolo!J212+Thyolo!K212+Thyolo!L212</f>
        <v>6815214.1500000004</v>
      </c>
      <c r="G212" s="15">
        <f>Muloza!J212+Muloza!K212+Muloza!L212</f>
        <v>4759574</v>
      </c>
      <c r="H212" s="15">
        <f>MUST!J212+MUST!K212+MUST!L212</f>
        <v>877680</v>
      </c>
      <c r="I212" s="15">
        <f>Phalombe!J212+Phalombe!K212+Phalombe!L212</f>
        <v>3277457.3600000003</v>
      </c>
      <c r="J212" s="15">
        <f>Mikolongwe!J212+Mikolongwe!K212+Mikolongwe!L212</f>
        <v>428100</v>
      </c>
      <c r="K212" s="15">
        <f>Migowi!J212+Migowi!K212+Migowi!L212</f>
        <v>2772340.88</v>
      </c>
      <c r="L212" s="39">
        <f>SUM(D212:K212)</f>
        <v>45679377.88000001</v>
      </c>
    </row>
    <row r="213" spans="1:12" x14ac:dyDescent="0.3">
      <c r="A213" s="661" t="s">
        <v>42</v>
      </c>
      <c r="B213" s="662"/>
      <c r="C213" s="11" t="s">
        <v>31</v>
      </c>
      <c r="D213" s="15">
        <f>Mulanje!J213+Mulanje!K213+Mulanje!L213</f>
        <v>575140</v>
      </c>
      <c r="E213" s="15">
        <f>Luchenza!J213+Luchenza!K213+Luchenza!L213</f>
        <v>0</v>
      </c>
      <c r="F213" s="15">
        <f>Thyolo!J213+Thyolo!K213+Thyolo!L213</f>
        <v>0</v>
      </c>
      <c r="G213" s="15">
        <f>Muloza!J213+Muloza!K213+Muloza!L213</f>
        <v>0</v>
      </c>
      <c r="H213" s="15">
        <f>MUST!J213+MUST!K213+MUST!L213</f>
        <v>0</v>
      </c>
      <c r="I213" s="15">
        <f>Phalombe!J213+Phalombe!K213+Phalombe!L213</f>
        <v>0</v>
      </c>
      <c r="J213" s="15">
        <f>Mikolongwe!J213+Mikolongwe!K213+Mikolongwe!L213</f>
        <v>0</v>
      </c>
      <c r="K213" s="15">
        <f>Migowi!J213+Migowi!K213+Migowi!L213</f>
        <v>0</v>
      </c>
      <c r="L213" s="39">
        <f>SUM(D213:K213)</f>
        <v>575140</v>
      </c>
    </row>
    <row r="214" spans="1:12" x14ac:dyDescent="0.3">
      <c r="A214" s="663" t="s">
        <v>41</v>
      </c>
      <c r="B214" s="664"/>
      <c r="C214" s="11" t="s">
        <v>31</v>
      </c>
      <c r="D214" s="15">
        <f>Mulanje!J214+Mulanje!K214+Mulanje!L214</f>
        <v>7136447.3800000008</v>
      </c>
      <c r="E214" s="15">
        <f>Luchenza!J214+Luchenza!K214+Luchenza!L214</f>
        <v>895547.55</v>
      </c>
      <c r="F214" s="15">
        <f>Thyolo!J214+Thyolo!K214+Thyolo!L214</f>
        <v>1826248</v>
      </c>
      <c r="G214" s="15">
        <f>Muloza!J214+Muloza!K214+Muloza!L214</f>
        <v>1817736</v>
      </c>
      <c r="H214" s="15">
        <f>MUST!J214+MUST!K214+MUST!L214</f>
        <v>12473500</v>
      </c>
      <c r="I214" s="15">
        <f>Phalombe!J214+Phalombe!K214+Phalombe!L214</f>
        <v>749090.32000000007</v>
      </c>
      <c r="J214" s="15">
        <f>Mikolongwe!J214+Mikolongwe!K214+Mikolongwe!L214</f>
        <v>0</v>
      </c>
      <c r="K214" s="15">
        <f>Migowi!J214+Migowi!K214+Migowi!L214</f>
        <v>0</v>
      </c>
      <c r="L214" s="39">
        <f>SUM(D214:K214)</f>
        <v>24898569.25</v>
      </c>
    </row>
    <row r="215" spans="1:12" x14ac:dyDescent="0.3">
      <c r="A215" s="661" t="s">
        <v>40</v>
      </c>
      <c r="B215" s="662"/>
      <c r="C215" s="11" t="s">
        <v>31</v>
      </c>
      <c r="D215" s="15">
        <f>Mulanje!J215+Mulanje!K215+Mulanje!L215</f>
        <v>27309992.920000002</v>
      </c>
      <c r="E215" s="15">
        <f>Luchenza!J215+Luchenza!K215+Luchenza!L215</f>
        <v>1835748.64</v>
      </c>
      <c r="F215" s="15">
        <f>Thyolo!J215+Thyolo!K215+Thyolo!L215</f>
        <v>10029810.49</v>
      </c>
      <c r="G215" s="15">
        <f>Muloza!J215+Muloza!K215+Muloza!L215</f>
        <v>1311932.7699999998</v>
      </c>
      <c r="H215" s="15">
        <f>MUST!J215+MUST!K215+MUST!L215</f>
        <v>91030000</v>
      </c>
      <c r="I215" s="15">
        <f>Phalombe!J215+Phalombe!K215+Phalombe!L215</f>
        <v>1214704.6200000001</v>
      </c>
      <c r="J215" s="15">
        <f>Mikolongwe!J215+Mikolongwe!K215+Mikolongwe!L215</f>
        <v>2945000</v>
      </c>
      <c r="K215" s="15">
        <f>Migowi!J215+Migowi!K215+Migowi!L215</f>
        <v>17920000</v>
      </c>
      <c r="L215" s="39">
        <f>SUM(D215:K215)</f>
        <v>153597189.44</v>
      </c>
    </row>
    <row r="216" spans="1:12" x14ac:dyDescent="0.3">
      <c r="A216" s="647" t="s">
        <v>39</v>
      </c>
      <c r="B216" s="648"/>
      <c r="C216" s="11" t="s">
        <v>31</v>
      </c>
      <c r="D216" s="10">
        <f t="shared" ref="D216:K216" si="62">SUM(D212:D215)</f>
        <v>57286986.170000009</v>
      </c>
      <c r="E216" s="10">
        <f t="shared" si="62"/>
        <v>7214901.8099999996</v>
      </c>
      <c r="F216" s="10">
        <f t="shared" si="62"/>
        <v>18671272.640000001</v>
      </c>
      <c r="G216" s="10">
        <f t="shared" si="62"/>
        <v>7889242.7699999996</v>
      </c>
      <c r="H216" s="10">
        <f>SUM(H212:H215)</f>
        <v>104381180</v>
      </c>
      <c r="I216" s="10">
        <f t="shared" si="62"/>
        <v>5241252.3000000007</v>
      </c>
      <c r="J216" s="10">
        <f t="shared" si="62"/>
        <v>3373100</v>
      </c>
      <c r="K216" s="10">
        <f t="shared" si="62"/>
        <v>20692340.879999999</v>
      </c>
      <c r="L216" s="39">
        <f>SUM(D216:K216)</f>
        <v>224750276.56999999</v>
      </c>
    </row>
    <row r="217" spans="1:12" s="2" customFormat="1" x14ac:dyDescent="0.3">
      <c r="A217" s="76" t="s">
        <v>38</v>
      </c>
      <c r="B217" s="77"/>
      <c r="C217" s="11" t="s">
        <v>31</v>
      </c>
      <c r="D217" s="10">
        <f>D210+D216</f>
        <v>109490837.16000001</v>
      </c>
      <c r="E217" s="10">
        <f t="shared" ref="E217:L217" si="63">E210+E216</f>
        <v>34838653.689999998</v>
      </c>
      <c r="F217" s="10">
        <f t="shared" si="63"/>
        <v>36161261.060000002</v>
      </c>
      <c r="G217" s="10">
        <f t="shared" si="63"/>
        <v>20127055.140000001</v>
      </c>
      <c r="H217" s="10">
        <f t="shared" si="63"/>
        <v>105401873</v>
      </c>
      <c r="I217" s="10">
        <f t="shared" si="63"/>
        <v>18119123.330000002</v>
      </c>
      <c r="J217" s="10">
        <f t="shared" si="63"/>
        <v>4911224</v>
      </c>
      <c r="K217" s="10">
        <f t="shared" si="63"/>
        <v>20692340.879999999</v>
      </c>
      <c r="L217" s="40">
        <f t="shared" si="63"/>
        <v>349742368.25999999</v>
      </c>
    </row>
    <row r="218" spans="1:12" s="2" customFormat="1" ht="14.4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1"/>
    </row>
    <row r="219" spans="1:12" x14ac:dyDescent="0.3">
      <c r="A219" s="661" t="s">
        <v>35</v>
      </c>
      <c r="B219" s="662"/>
      <c r="C219" s="11" t="s">
        <v>31</v>
      </c>
      <c r="D219" s="15">
        <f>Mulanje!J219+Mulanje!K219+Mulanje!L219</f>
        <v>52694032.649999999</v>
      </c>
      <c r="E219" s="15">
        <f>Luchenza!J219+Luchenza!K219+Luchenza!L219</f>
        <v>18601903.420000002</v>
      </c>
      <c r="F219" s="15">
        <f>Thyolo!J219+Thyolo!K219+Thyolo!L219</f>
        <v>17096736.359999999</v>
      </c>
      <c r="G219" s="15">
        <f>Muloza!J219+Muloza!K219+Muloza!L219</f>
        <v>12157297.530000001</v>
      </c>
      <c r="H219" s="15">
        <f>MUST!J219+MUST!K219+MUST!L219</f>
        <v>2596067.4699999997</v>
      </c>
      <c r="I219" s="15">
        <f>Phalombe!J219+Phalombe!K219+Phalombe!L219</f>
        <v>13138926.85</v>
      </c>
      <c r="J219" s="15">
        <f>Mikolongwe!J219+Mikolongwe!K219+Mikolongwe!L219</f>
        <v>339596.69000000006</v>
      </c>
      <c r="K219" s="15">
        <f>Migowi!J219+Migowi!K219+Migowi!L219</f>
        <v>0</v>
      </c>
      <c r="L219" s="39">
        <f>SUM(D219:K219)</f>
        <v>116624560.96999998</v>
      </c>
    </row>
    <row r="220" spans="1:12" x14ac:dyDescent="0.3">
      <c r="A220" s="661" t="s">
        <v>34</v>
      </c>
      <c r="B220" s="662"/>
      <c r="C220" s="11" t="s">
        <v>31</v>
      </c>
      <c r="D220" s="15">
        <f>Mulanje!J220+Mulanje!K220+Mulanje!L220</f>
        <v>600442</v>
      </c>
      <c r="E220" s="15">
        <f>Luchenza!J220+Luchenza!K220+Luchenza!L220</f>
        <v>6955.46</v>
      </c>
      <c r="F220" s="15">
        <f>Thyolo!J220+Thyolo!K220+Thyolo!L220</f>
        <v>10780.93</v>
      </c>
      <c r="G220" s="15">
        <f>Muloza!J220+Muloza!K220+Muloza!L220</f>
        <v>7825.46</v>
      </c>
      <c r="H220" s="15">
        <f>MUST!J220+MUST!K220+MUST!L220</f>
        <v>0</v>
      </c>
      <c r="I220" s="15">
        <f>Phalombe!J220+Phalombe!K220+Phalombe!L220</f>
        <v>0</v>
      </c>
      <c r="J220" s="15">
        <f>Mikolongwe!J220+Mikolongwe!K220+Mikolongwe!L220</f>
        <v>0</v>
      </c>
      <c r="K220" s="15">
        <f>Migowi!J220+Migowi!K220+Migowi!L220</f>
        <v>0</v>
      </c>
      <c r="L220" s="39">
        <f>SUM(D220:K220)</f>
        <v>626003.85</v>
      </c>
    </row>
    <row r="221" spans="1:12" x14ac:dyDescent="0.3">
      <c r="A221" s="661" t="s">
        <v>33</v>
      </c>
      <c r="B221" s="662"/>
      <c r="C221" s="11" t="s">
        <v>31</v>
      </c>
      <c r="D221" s="15">
        <f>Mulanje!J221+Mulanje!K221+Mulanje!L221</f>
        <v>1576097.16</v>
      </c>
      <c r="E221" s="15">
        <f>Luchenza!J221+Luchenza!K221+Luchenza!L221</f>
        <v>32456098.68</v>
      </c>
      <c r="F221" s="15">
        <f>Thyolo!J221+Thyolo!K221+Thyolo!L221</f>
        <v>604837.6</v>
      </c>
      <c r="G221" s="15">
        <f>Muloza!J221+Muloza!K221+Muloza!L221</f>
        <v>1473156.0699999998</v>
      </c>
      <c r="H221" s="15">
        <f>MUST!J221+MUST!K221+MUST!L221</f>
        <v>252883.12</v>
      </c>
      <c r="I221" s="15">
        <f>Phalombe!J221+Phalombe!K221+Phalombe!L221</f>
        <v>120921.17</v>
      </c>
      <c r="J221" s="15">
        <f>Mikolongwe!J221+Mikolongwe!K221+Mikolongwe!L221</f>
        <v>0</v>
      </c>
      <c r="K221" s="15">
        <f>Migowi!J221+Migowi!K221+Migowi!L221</f>
        <v>0</v>
      </c>
      <c r="L221" s="39">
        <f>SUM(D221:K221)</f>
        <v>36483993.799999997</v>
      </c>
    </row>
    <row r="222" spans="1:12" x14ac:dyDescent="0.3">
      <c r="A222" s="661" t="s">
        <v>32</v>
      </c>
      <c r="B222" s="662"/>
      <c r="C222" s="11" t="s">
        <v>31</v>
      </c>
      <c r="D222" s="15">
        <f>Mulanje!J222+Mulanje!K222+Mulanje!L222</f>
        <v>462535.95999999996</v>
      </c>
      <c r="E222" s="15">
        <f>Luchenza!J222+Luchenza!K222+Luchenza!L222</f>
        <v>1334324.55</v>
      </c>
      <c r="F222" s="15">
        <f>Thyolo!J222+Thyolo!K222+Thyolo!L222</f>
        <v>2188109.46</v>
      </c>
      <c r="G222" s="15">
        <f>Muloza!J222+Muloza!K222+Muloza!L222</f>
        <v>1034997.39</v>
      </c>
      <c r="H222" s="15">
        <f>MUST!J222+MUST!K222+MUST!L222</f>
        <v>369793.5</v>
      </c>
      <c r="I222" s="15">
        <f>Phalombe!J222+Phalombe!K222+Phalombe!L222</f>
        <v>136433.39000000001</v>
      </c>
      <c r="J222" s="15">
        <f>Mikolongwe!J222+Mikolongwe!K222+Mikolongwe!L222</f>
        <v>0</v>
      </c>
      <c r="K222" s="15">
        <f>Migowi!J222+Migowi!K222+Migowi!L222</f>
        <v>0</v>
      </c>
      <c r="L222" s="39">
        <f>SUM(D222:K222)</f>
        <v>5526194.2499999991</v>
      </c>
    </row>
    <row r="223" spans="1:12" x14ac:dyDescent="0.3">
      <c r="A223" s="647" t="s">
        <v>36</v>
      </c>
      <c r="B223" s="648"/>
      <c r="C223" s="11" t="s">
        <v>31</v>
      </c>
      <c r="D223" s="12">
        <f t="shared" ref="D223:K223" si="64">SUM(D219:D222)</f>
        <v>55333107.769999996</v>
      </c>
      <c r="E223" s="10">
        <f t="shared" si="64"/>
        <v>52399282.109999999</v>
      </c>
      <c r="F223" s="10">
        <f t="shared" si="64"/>
        <v>19900464.350000001</v>
      </c>
      <c r="G223" s="10">
        <f t="shared" si="64"/>
        <v>14673276.450000003</v>
      </c>
      <c r="H223" s="10">
        <f t="shared" si="64"/>
        <v>3218744.09</v>
      </c>
      <c r="I223" s="10">
        <f t="shared" si="64"/>
        <v>13396281.41</v>
      </c>
      <c r="J223" s="14">
        <f t="shared" si="64"/>
        <v>339596.69000000006</v>
      </c>
      <c r="K223" s="14">
        <f t="shared" si="64"/>
        <v>0</v>
      </c>
      <c r="L223" s="39">
        <f>SUM(D223:K223)</f>
        <v>159260752.87</v>
      </c>
    </row>
    <row r="224" spans="1:12" ht="14.4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1"/>
    </row>
    <row r="225" spans="1:12" x14ac:dyDescent="0.3">
      <c r="A225" s="661" t="s">
        <v>35</v>
      </c>
      <c r="B225" s="662"/>
      <c r="C225" s="11" t="s">
        <v>31</v>
      </c>
      <c r="D225" s="15">
        <f>Mulanje!J225+Mulanje!K225+Mulanje!L225</f>
        <v>0</v>
      </c>
      <c r="E225" s="15">
        <f>Luchenza!J225+Luchenza!K225+Luchenza!L225</f>
        <v>0</v>
      </c>
      <c r="F225" s="15">
        <f>Thyolo!J225+Thyolo!K225+Thyolo!L225</f>
        <v>0</v>
      </c>
      <c r="G225" s="15">
        <f>Muloza!J225+Muloza!K225+Muloza!L225</f>
        <v>0</v>
      </c>
      <c r="H225" s="15">
        <f>MUST!J225+MUST!K225+MUST!L225</f>
        <v>0</v>
      </c>
      <c r="I225" s="15">
        <f>Phalombe!J225+Phalombe!K225+Phalombe!L225</f>
        <v>0</v>
      </c>
      <c r="J225" s="15">
        <f>Mikolongwe!J225+Mikolongwe!K225+Mikolongwe!L225</f>
        <v>0</v>
      </c>
      <c r="K225" s="15">
        <f>Migowi!J225+Migowi!K225+Migowi!L225</f>
        <v>0</v>
      </c>
      <c r="L225" s="39">
        <f t="shared" ref="L225:L230" si="65">SUM(D225:K225)</f>
        <v>0</v>
      </c>
    </row>
    <row r="226" spans="1:12" x14ac:dyDescent="0.3">
      <c r="A226" s="661" t="s">
        <v>34</v>
      </c>
      <c r="B226" s="662"/>
      <c r="C226" s="11" t="s">
        <v>31</v>
      </c>
      <c r="D226" s="15">
        <f>Mulanje!J226+Mulanje!K226+Mulanje!L226</f>
        <v>0</v>
      </c>
      <c r="E226" s="15">
        <f>Luchenza!J226+Luchenza!K226+Luchenza!L226</f>
        <v>0</v>
      </c>
      <c r="F226" s="15">
        <f>Thyolo!J226+Thyolo!K226+Thyolo!L226</f>
        <v>0</v>
      </c>
      <c r="G226" s="15">
        <f>Muloza!J226+Muloza!K226+Muloza!L226</f>
        <v>0</v>
      </c>
      <c r="H226" s="15">
        <f>MUST!J226+MUST!K226+MUST!L226</f>
        <v>0</v>
      </c>
      <c r="I226" s="15">
        <f>Phalombe!J226+Phalombe!K226+Phalombe!L226</f>
        <v>0</v>
      </c>
      <c r="J226" s="15">
        <f>Mikolongwe!J226+Mikolongwe!K226+Mikolongwe!L226</f>
        <v>0</v>
      </c>
      <c r="K226" s="15">
        <f>Migowi!J226+Migowi!K226+Migowi!L226</f>
        <v>0</v>
      </c>
      <c r="L226" s="39">
        <f t="shared" si="65"/>
        <v>0</v>
      </c>
    </row>
    <row r="227" spans="1:12" x14ac:dyDescent="0.3">
      <c r="A227" s="661" t="s">
        <v>33</v>
      </c>
      <c r="B227" s="662"/>
      <c r="C227" s="11" t="s">
        <v>31</v>
      </c>
      <c r="D227" s="15">
        <f>Mulanje!J227+Mulanje!K227+Mulanje!L227</f>
        <v>0</v>
      </c>
      <c r="E227" s="15">
        <f>Luchenza!J227+Luchenza!K227+Luchenza!L227</f>
        <v>0</v>
      </c>
      <c r="F227" s="15">
        <f>Thyolo!J227+Thyolo!K227+Thyolo!L227</f>
        <v>0</v>
      </c>
      <c r="G227" s="15">
        <f>Muloza!J227+Muloza!K227+Muloza!L227</f>
        <v>0</v>
      </c>
      <c r="H227" s="15">
        <f>MUST!J227+MUST!K227+MUST!L227</f>
        <v>0</v>
      </c>
      <c r="I227" s="15">
        <f>Phalombe!J227+Phalombe!K227+Phalombe!L227</f>
        <v>0</v>
      </c>
      <c r="J227" s="15">
        <f>Mikolongwe!J227+Mikolongwe!K227+Mikolongwe!L227</f>
        <v>0</v>
      </c>
      <c r="K227" s="15">
        <f>Migowi!J227+Migowi!K227+Migowi!L227</f>
        <v>0</v>
      </c>
      <c r="L227" s="39">
        <f t="shared" si="65"/>
        <v>0</v>
      </c>
    </row>
    <row r="228" spans="1:12" x14ac:dyDescent="0.3">
      <c r="A228" s="661" t="s">
        <v>32</v>
      </c>
      <c r="B228" s="662"/>
      <c r="C228" s="11" t="s">
        <v>31</v>
      </c>
      <c r="D228" s="15">
        <f>Mulanje!J228+Mulanje!K228+Mulanje!L228</f>
        <v>0</v>
      </c>
      <c r="E228" s="15">
        <f>Luchenza!J228+Luchenza!K228+Luchenza!L228</f>
        <v>0</v>
      </c>
      <c r="F228" s="15">
        <f>Thyolo!J228+Thyolo!K228+Thyolo!L228</f>
        <v>0</v>
      </c>
      <c r="G228" s="15">
        <f>Muloza!J228+Muloza!K228+Muloza!L228</f>
        <v>0</v>
      </c>
      <c r="H228" s="15">
        <f>MUST!J228+MUST!K228+MUST!L228</f>
        <v>0</v>
      </c>
      <c r="I228" s="15">
        <f>Phalombe!J228+Phalombe!K228+Phalombe!L228</f>
        <v>0</v>
      </c>
      <c r="J228" s="15">
        <f>Mikolongwe!J228+Mikolongwe!K228+Mikolongwe!L228</f>
        <v>0</v>
      </c>
      <c r="K228" s="15">
        <f>Migowi!J228+Migowi!K228+Migowi!L228</f>
        <v>0</v>
      </c>
      <c r="L228" s="39">
        <f t="shared" si="65"/>
        <v>0</v>
      </c>
    </row>
    <row r="229" spans="1:12" x14ac:dyDescent="0.3">
      <c r="A229" s="647" t="s">
        <v>212</v>
      </c>
      <c r="B229" s="648"/>
      <c r="C229" s="11" t="s">
        <v>31</v>
      </c>
      <c r="D229" s="12">
        <f t="shared" ref="D229:K229" si="66">SUM(D225:D228)</f>
        <v>0</v>
      </c>
      <c r="E229" s="10">
        <f t="shared" si="66"/>
        <v>0</v>
      </c>
      <c r="F229" s="10">
        <f t="shared" si="66"/>
        <v>0</v>
      </c>
      <c r="G229" s="10">
        <f t="shared" si="66"/>
        <v>0</v>
      </c>
      <c r="H229" s="10">
        <f t="shared" si="66"/>
        <v>0</v>
      </c>
      <c r="I229" s="10">
        <f t="shared" si="66"/>
        <v>0</v>
      </c>
      <c r="J229" s="14">
        <f t="shared" si="66"/>
        <v>0</v>
      </c>
      <c r="K229" s="14">
        <f t="shared" si="66"/>
        <v>0</v>
      </c>
      <c r="L229" s="39">
        <f t="shared" si="65"/>
        <v>0</v>
      </c>
    </row>
    <row r="230" spans="1:12" x14ac:dyDescent="0.3">
      <c r="A230" s="76" t="s">
        <v>213</v>
      </c>
      <c r="B230" s="119"/>
      <c r="C230" s="11" t="s">
        <v>31</v>
      </c>
      <c r="D230" s="12">
        <f>D223+D229</f>
        <v>55333107.769999996</v>
      </c>
      <c r="E230" s="12">
        <f t="shared" ref="E230:K230" si="67">E223+E229</f>
        <v>52399282.109999999</v>
      </c>
      <c r="F230" s="12">
        <f t="shared" si="67"/>
        <v>19900464.350000001</v>
      </c>
      <c r="G230" s="12">
        <f t="shared" si="67"/>
        <v>14673276.450000003</v>
      </c>
      <c r="H230" s="12">
        <f t="shared" si="67"/>
        <v>3218744.09</v>
      </c>
      <c r="I230" s="12">
        <f t="shared" si="67"/>
        <v>13396281.41</v>
      </c>
      <c r="J230" s="12">
        <f t="shared" si="67"/>
        <v>339596.69000000006</v>
      </c>
      <c r="K230" s="12">
        <f t="shared" si="67"/>
        <v>0</v>
      </c>
      <c r="L230" s="39">
        <f t="shared" si="65"/>
        <v>159260752.87</v>
      </c>
    </row>
    <row r="231" spans="1:12" ht="14.4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1"/>
    </row>
    <row r="232" spans="1:12" x14ac:dyDescent="0.3">
      <c r="A232" s="661" t="s">
        <v>29</v>
      </c>
      <c r="B232" s="662"/>
      <c r="C232" s="11" t="s">
        <v>18</v>
      </c>
      <c r="D232" s="15">
        <f>Mulanje!J232+Mulanje!K232+Mulanje!L232</f>
        <v>3224146.99</v>
      </c>
      <c r="E232" s="15">
        <f>Luchenza!J232+Luchenza!K232+Luchenza!L232</f>
        <v>1514601.6099999999</v>
      </c>
      <c r="F232" s="15">
        <f>Thyolo!J232+Thyolo!K232+Thyolo!L232</f>
        <v>1340011.53</v>
      </c>
      <c r="G232" s="15">
        <f>Muloza!J232+Muloza!K232+Muloza!L232</f>
        <v>814877.98</v>
      </c>
      <c r="H232" s="15">
        <f>MUST!J232+MUST!K232+MUST!L232</f>
        <v>130097.97000000002</v>
      </c>
      <c r="I232" s="15">
        <f>Phalombe!J232+Phalombe!K232+Phalombe!L232</f>
        <v>807254.31</v>
      </c>
      <c r="J232" s="15">
        <f>Mikolongwe!J232+Mikolongwe!K232+Mikolongwe!L232</f>
        <v>32907.57</v>
      </c>
      <c r="K232" s="15">
        <f>Migowi!J232+Migowi!K232+Migowi!L232</f>
        <v>0</v>
      </c>
      <c r="L232" s="39">
        <f>SUM(D232:K232)</f>
        <v>7863897.959999999</v>
      </c>
    </row>
    <row r="233" spans="1:12" x14ac:dyDescent="0.3">
      <c r="A233" s="661" t="s">
        <v>28</v>
      </c>
      <c r="B233" s="662"/>
      <c r="C233" s="11" t="s">
        <v>18</v>
      </c>
      <c r="D233" s="15">
        <f>Mulanje!J233+Mulanje!K233+Mulanje!L233</f>
        <v>7302.46</v>
      </c>
      <c r="E233" s="15">
        <f>Luchenza!J233+Luchenza!K233+Luchenza!L233</f>
        <v>1565.67</v>
      </c>
      <c r="F233" s="15">
        <f>Thyolo!J233+Thyolo!K233+Thyolo!L233</f>
        <v>1043.56</v>
      </c>
      <c r="G233" s="15">
        <f>Muloza!J233+Muloza!K233+Muloza!L233</f>
        <v>521.78</v>
      </c>
      <c r="H233" s="15">
        <f>MUST!J233+MUST!K233+MUST!L233</f>
        <v>0</v>
      </c>
      <c r="I233" s="15">
        <f>Phalombe!J233+Phalombe!K233+Phalombe!L233</f>
        <v>0</v>
      </c>
      <c r="J233" s="15">
        <f>Mikolongwe!J233+Mikolongwe!K233+Mikolongwe!L233</f>
        <v>0</v>
      </c>
      <c r="K233" s="15">
        <f>Migowi!J233+Migowi!K233+Migowi!L233</f>
        <v>0</v>
      </c>
      <c r="L233" s="39">
        <f>SUM(D233:K233)</f>
        <v>10433.470000000001</v>
      </c>
    </row>
    <row r="234" spans="1:12" x14ac:dyDescent="0.3">
      <c r="A234" s="661" t="s">
        <v>27</v>
      </c>
      <c r="B234" s="662"/>
      <c r="C234" s="11" t="s">
        <v>18</v>
      </c>
      <c r="D234" s="15">
        <f>Mulanje!J234+Mulanje!K234+Mulanje!L234</f>
        <v>237554.38</v>
      </c>
      <c r="E234" s="15">
        <f>Luchenza!J234+Luchenza!K234+Luchenza!L234</f>
        <v>83298.17</v>
      </c>
      <c r="F234" s="15">
        <f>Thyolo!J234+Thyolo!K234+Thyolo!L234</f>
        <v>104894.86</v>
      </c>
      <c r="G234" s="15">
        <f>Muloza!J234+Muloza!K234+Muloza!L234</f>
        <v>43192.3</v>
      </c>
      <c r="H234" s="15">
        <f>MUST!J234+MUST!K234+MUST!L234</f>
        <v>18510.78</v>
      </c>
      <c r="I234" s="15">
        <f>Phalombe!J234+Phalombe!K234+Phalombe!L234</f>
        <v>21595.260000000002</v>
      </c>
      <c r="J234" s="15">
        <f>Mikolongwe!J234+Mikolongwe!K234+Mikolongwe!L234</f>
        <v>0</v>
      </c>
      <c r="K234" s="15">
        <f>Migowi!J234+Migowi!K234+Migowi!L234</f>
        <v>0</v>
      </c>
      <c r="L234" s="39">
        <f>SUM(D234:K234)</f>
        <v>509045.75</v>
      </c>
    </row>
    <row r="235" spans="1:12" x14ac:dyDescent="0.3">
      <c r="A235" s="661" t="s">
        <v>26</v>
      </c>
      <c r="B235" s="662"/>
      <c r="C235" s="11" t="s">
        <v>18</v>
      </c>
      <c r="D235" s="15">
        <f>Mulanje!J235+Mulanje!K235+Mulanje!L235</f>
        <v>193898.32</v>
      </c>
      <c r="E235" s="15">
        <f>Luchenza!J235+Luchenza!K235+Luchenza!L235</f>
        <v>248730.4</v>
      </c>
      <c r="F235" s="15">
        <f>Thyolo!J235+Thyolo!K235+Thyolo!L235</f>
        <v>206572.64</v>
      </c>
      <c r="G235" s="15">
        <f>Muloza!J235+Muloza!K235+Muloza!L235</f>
        <v>164415.02000000002</v>
      </c>
      <c r="H235" s="15">
        <f>MUST!J235+MUST!K235+MUST!L235</f>
        <v>12647.310000000001</v>
      </c>
      <c r="I235" s="15">
        <f>Phalombe!J235+Phalombe!K235+Phalombe!L235</f>
        <v>46373.08</v>
      </c>
      <c r="J235" s="15">
        <f>Mikolongwe!J235+Mikolongwe!K235+Mikolongwe!L235</f>
        <v>0</v>
      </c>
      <c r="K235" s="15">
        <f>Migowi!J235+Migowi!K235+Migowi!L235</f>
        <v>0</v>
      </c>
      <c r="L235" s="39">
        <f>SUM(D235:K235)</f>
        <v>872636.77</v>
      </c>
    </row>
    <row r="236" spans="1:12" x14ac:dyDescent="0.3">
      <c r="A236" s="647" t="s">
        <v>25</v>
      </c>
      <c r="B236" s="648"/>
      <c r="C236" s="11" t="s">
        <v>18</v>
      </c>
      <c r="D236" s="12"/>
      <c r="E236" s="12"/>
      <c r="F236" s="12"/>
      <c r="G236" s="12"/>
      <c r="H236" s="12"/>
      <c r="I236" s="12"/>
      <c r="J236" s="12"/>
      <c r="K236" s="12"/>
      <c r="L236" s="40">
        <f>SUM(L232:L235)</f>
        <v>9256013.9499999993</v>
      </c>
    </row>
    <row r="237" spans="1:12" ht="14.4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1"/>
    </row>
    <row r="238" spans="1:12" x14ac:dyDescent="0.3">
      <c r="A238" s="661" t="s">
        <v>23</v>
      </c>
      <c r="B238" s="662"/>
      <c r="C238" s="11" t="s">
        <v>18</v>
      </c>
      <c r="D238" s="15">
        <f>Mulanje!J238+Mulanje!K238+Mulanje!L238</f>
        <v>5613398</v>
      </c>
      <c r="E238" s="15">
        <f>Luchenza!J238+Luchenza!K238+Luchenza!L238</f>
        <v>2633457</v>
      </c>
      <c r="F238" s="15">
        <f>Thyolo!J238+Thyolo!K238+Thyolo!L238</f>
        <v>2457536</v>
      </c>
      <c r="G238" s="15">
        <f>Muloza!J238+Muloza!K238+Muloza!L238</f>
        <v>1527923</v>
      </c>
      <c r="H238" s="15">
        <f>MUST!J238+MUST!K238+MUST!L238</f>
        <v>222357</v>
      </c>
      <c r="I238" s="15">
        <f>Phalombe!J238+Phalombe!K238+Phalombe!L238</f>
        <v>1396652</v>
      </c>
      <c r="J238" s="15">
        <f>Mikolongwe!J238+Mikolongwe!K238+Mikolongwe!L238</f>
        <v>52687</v>
      </c>
      <c r="K238" s="15">
        <f>Migowi!J238+Migowi!K238+Migowi!L238</f>
        <v>0</v>
      </c>
      <c r="L238" s="39">
        <f>SUM(D238:K238)</f>
        <v>13904010</v>
      </c>
    </row>
    <row r="239" spans="1:12" x14ac:dyDescent="0.3">
      <c r="A239" s="661" t="s">
        <v>22</v>
      </c>
      <c r="B239" s="662"/>
      <c r="C239" s="11" t="s">
        <v>18</v>
      </c>
      <c r="D239" s="15">
        <f>Mulanje!J239+Mulanje!K239+Mulanje!L239</f>
        <v>37506</v>
      </c>
      <c r="E239" s="15">
        <f>Luchenza!J239+Luchenza!K239+Luchenza!L239</f>
        <v>8037</v>
      </c>
      <c r="F239" s="15">
        <f>Thyolo!J239+Thyolo!K239+Thyolo!L239</f>
        <v>5358</v>
      </c>
      <c r="G239" s="15">
        <f>Muloza!J239+Muloza!K239+Muloza!L239</f>
        <v>2679</v>
      </c>
      <c r="H239" s="15">
        <f>MUST!J239+MUST!K239+MUST!L239</f>
        <v>0</v>
      </c>
      <c r="I239" s="15">
        <f>Phalombe!J239+Phalombe!K239+Phalombe!L239</f>
        <v>0</v>
      </c>
      <c r="J239" s="15">
        <f>Mikolongwe!J239+Mikolongwe!K239+Mikolongwe!L239</f>
        <v>0</v>
      </c>
      <c r="K239" s="15">
        <f>Migowi!J239+Migowi!K239+Migowi!L239</f>
        <v>0</v>
      </c>
      <c r="L239" s="39">
        <f>SUM(D239:K239)</f>
        <v>53580</v>
      </c>
    </row>
    <row r="240" spans="1:12" x14ac:dyDescent="0.3">
      <c r="A240" s="661" t="s">
        <v>21</v>
      </c>
      <c r="B240" s="662"/>
      <c r="C240" s="11" t="s">
        <v>18</v>
      </c>
      <c r="D240" s="15">
        <f>Mulanje!J240+Mulanje!K240+Mulanje!L240</f>
        <v>68761</v>
      </c>
      <c r="E240" s="15">
        <f>Luchenza!J240+Luchenza!K240+Luchenza!L240</f>
        <v>24111</v>
      </c>
      <c r="F240" s="15">
        <f>Thyolo!J240+Thyolo!K240+Thyolo!L240</f>
        <v>30362</v>
      </c>
      <c r="G240" s="15">
        <f>Muloza!J240+Muloza!K240+Muloza!L240</f>
        <v>12502</v>
      </c>
      <c r="H240" s="15">
        <f>MUST!J240+MUST!K240+MUST!L240</f>
        <v>5358</v>
      </c>
      <c r="I240" s="15">
        <f>Phalombe!J240+Phalombe!K240+Phalombe!L240</f>
        <v>6251</v>
      </c>
      <c r="J240" s="15">
        <f>Mikolongwe!J240+Mikolongwe!K240+Mikolongwe!L240</f>
        <v>0</v>
      </c>
      <c r="K240" s="15">
        <f>Migowi!J240+Migowi!K240+Migowi!L240</f>
        <v>0</v>
      </c>
      <c r="L240" s="39">
        <f>SUM(D240:K240)</f>
        <v>147345</v>
      </c>
    </row>
    <row r="241" spans="1:12" x14ac:dyDescent="0.3">
      <c r="A241" s="661" t="s">
        <v>20</v>
      </c>
      <c r="B241" s="662"/>
      <c r="C241" s="11" t="s">
        <v>18</v>
      </c>
      <c r="D241" s="15">
        <f>Mulanje!J241+Mulanje!K241+Mulanje!L241</f>
        <v>41078</v>
      </c>
      <c r="E241" s="15">
        <f>Luchenza!J241+Luchenza!K241+Luchenza!L241</f>
        <v>52687</v>
      </c>
      <c r="F241" s="15">
        <f>Thyolo!J241+Thyolo!K241+Thyolo!L241</f>
        <v>43757</v>
      </c>
      <c r="G241" s="15">
        <f>Muloza!J241+Muloza!K241+Muloza!L241</f>
        <v>34827</v>
      </c>
      <c r="H241" s="15">
        <f>MUST!J241+MUST!K241+MUST!L241</f>
        <v>2679</v>
      </c>
      <c r="I241" s="15">
        <f>Phalombe!J241+Phalombe!K241+Phalombe!L241</f>
        <v>9823</v>
      </c>
      <c r="J241" s="15">
        <f>Mikolongwe!J241+Mikolongwe!K241+Mikolongwe!L241</f>
        <v>0</v>
      </c>
      <c r="K241" s="15">
        <f>Migowi!J241+Migowi!K241+Migowi!L241</f>
        <v>0</v>
      </c>
      <c r="L241" s="39">
        <f>SUM(D241:K241)</f>
        <v>184851</v>
      </c>
    </row>
    <row r="242" spans="1:12" x14ac:dyDescent="0.3">
      <c r="A242" s="647" t="s">
        <v>19</v>
      </c>
      <c r="B242" s="648"/>
      <c r="C242" s="11" t="s">
        <v>18</v>
      </c>
      <c r="D242" s="12">
        <f t="shared" ref="D242:L242" si="68">SUM(D238:D241)</f>
        <v>5760743</v>
      </c>
      <c r="E242" s="12">
        <f t="shared" si="68"/>
        <v>2718292</v>
      </c>
      <c r="F242" s="12">
        <f t="shared" si="68"/>
        <v>2537013</v>
      </c>
      <c r="G242" s="12">
        <f t="shared" si="68"/>
        <v>1577931</v>
      </c>
      <c r="H242" s="12">
        <f t="shared" si="68"/>
        <v>230394</v>
      </c>
      <c r="I242" s="12">
        <f t="shared" si="68"/>
        <v>1412726</v>
      </c>
      <c r="J242" s="12">
        <f t="shared" si="68"/>
        <v>52687</v>
      </c>
      <c r="K242" s="12">
        <f t="shared" si="68"/>
        <v>0</v>
      </c>
      <c r="L242" s="40">
        <f t="shared" si="68"/>
        <v>14289786</v>
      </c>
    </row>
    <row r="243" spans="1:12" x14ac:dyDescent="0.3">
      <c r="A243" s="647" t="s">
        <v>214</v>
      </c>
      <c r="B243" s="648"/>
      <c r="C243" s="11" t="s">
        <v>18</v>
      </c>
      <c r="D243" s="10">
        <f>D230+D236+D242</f>
        <v>61093850.769999996</v>
      </c>
      <c r="E243" s="10">
        <f t="shared" ref="E243:K243" si="69">E230+E236+E242</f>
        <v>55117574.109999999</v>
      </c>
      <c r="F243" s="10">
        <f t="shared" si="69"/>
        <v>22437477.350000001</v>
      </c>
      <c r="G243" s="10">
        <f t="shared" si="69"/>
        <v>16251207.450000003</v>
      </c>
      <c r="H243" s="10">
        <f t="shared" si="69"/>
        <v>3449138.09</v>
      </c>
      <c r="I243" s="10">
        <f t="shared" si="69"/>
        <v>14809007.41</v>
      </c>
      <c r="J243" s="10">
        <f t="shared" si="69"/>
        <v>392283.69000000006</v>
      </c>
      <c r="K243" s="10">
        <f t="shared" si="69"/>
        <v>0</v>
      </c>
      <c r="L243" s="40">
        <f t="shared" ref="L243" si="70">L216+L223+L236+L242</f>
        <v>407556829.38999999</v>
      </c>
    </row>
    <row r="244" spans="1:12" ht="14.4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1"/>
    </row>
    <row r="245" spans="1:12" x14ac:dyDescent="0.3">
      <c r="A245" s="657" t="s">
        <v>205</v>
      </c>
      <c r="B245" s="658"/>
      <c r="C245" s="11" t="s">
        <v>18</v>
      </c>
      <c r="D245" s="15">
        <f>Mulanje!J245+Mulanje!K245+Mulanje!L245</f>
        <v>384451848.63</v>
      </c>
      <c r="E245" s="15">
        <f>Luchenza!J245+Luchenza!K245+Luchenza!L245</f>
        <v>421301872.73000002</v>
      </c>
      <c r="F245" s="15">
        <f>Thyolo!J245+Thyolo!K245+Thyolo!L245</f>
        <v>156245777.57999998</v>
      </c>
      <c r="G245" s="15">
        <f>Muloza!J245+Muloza!K245+Muloza!L245</f>
        <v>142096961.15000001</v>
      </c>
      <c r="H245" s="15">
        <f>MUST!J245+MUST!K245+MUST!L245</f>
        <v>23066739.629999999</v>
      </c>
      <c r="I245" s="15">
        <f>Phalombe!J245+Phalombe!K245+Phalombe!L245</f>
        <v>136089667.36000001</v>
      </c>
      <c r="J245" s="15">
        <f>Mikolongwe!J245+Mikolongwe!K245+Mikolongwe!L245</f>
        <v>5757849.2400000002</v>
      </c>
      <c r="K245" s="15">
        <f>Migowi!J245+Migowi!K245+Migowi!L245</f>
        <v>0</v>
      </c>
      <c r="L245" s="40">
        <f>SUM(D245:K245)</f>
        <v>1269010716.3200004</v>
      </c>
    </row>
    <row r="246" spans="1:12" x14ac:dyDescent="0.3">
      <c r="A246" s="657" t="s">
        <v>206</v>
      </c>
      <c r="B246" s="658"/>
      <c r="C246" s="11" t="s">
        <v>18</v>
      </c>
      <c r="D246" s="15">
        <f>Mulanje!J246+Mulanje!K246+Mulanje!L246</f>
        <v>506534222.91999996</v>
      </c>
      <c r="E246" s="15">
        <f>Luchenza!J246+Luchenza!K246+Luchenza!L246</f>
        <v>177018477.41999999</v>
      </c>
      <c r="F246" s="15">
        <f>Thyolo!J246+Thyolo!K246+Thyolo!L246</f>
        <v>247511978.57000002</v>
      </c>
      <c r="G246" s="15">
        <f>Muloza!J246+Muloza!K246+Muloza!L246</f>
        <v>132521436.28</v>
      </c>
      <c r="H246" s="15">
        <f>MUST!J246+MUST!K246+MUST!L246</f>
        <v>172150778.13999999</v>
      </c>
      <c r="I246" s="15">
        <f>Phalombe!J246+Phalombe!K246+Phalombe!L246</f>
        <v>26877871.780000001</v>
      </c>
      <c r="J246" s="15">
        <f>Mikolongwe!J246+Mikolongwe!K246+Mikolongwe!L246</f>
        <v>5053.7299999999996</v>
      </c>
      <c r="K246" s="15">
        <f>Migowi!J246+Migowi!K246+Migowi!L246</f>
        <v>0</v>
      </c>
      <c r="L246" s="40">
        <f>SUM(D246:K246)</f>
        <v>1262619818.8399999</v>
      </c>
    </row>
    <row r="247" spans="1:12" x14ac:dyDescent="0.3">
      <c r="A247" s="659" t="s">
        <v>207</v>
      </c>
      <c r="B247" s="660"/>
      <c r="C247" s="11" t="s">
        <v>18</v>
      </c>
      <c r="D247" s="182">
        <f>D245+D246</f>
        <v>890986071.54999995</v>
      </c>
      <c r="E247" s="182">
        <f t="shared" ref="E247:L247" si="71">E245+E246</f>
        <v>598320350.14999998</v>
      </c>
      <c r="F247" s="182">
        <f t="shared" si="71"/>
        <v>403757756.14999998</v>
      </c>
      <c r="G247" s="182">
        <f t="shared" si="71"/>
        <v>274618397.43000001</v>
      </c>
      <c r="H247" s="182">
        <f t="shared" si="71"/>
        <v>195217517.76999998</v>
      </c>
      <c r="I247" s="182">
        <f t="shared" si="71"/>
        <v>162967539.14000002</v>
      </c>
      <c r="J247" s="182">
        <f t="shared" si="71"/>
        <v>5762902.9700000007</v>
      </c>
      <c r="K247" s="182">
        <f t="shared" si="71"/>
        <v>0</v>
      </c>
      <c r="L247" s="165">
        <f t="shared" si="71"/>
        <v>2531630535.1600003</v>
      </c>
    </row>
    <row r="248" spans="1:12" ht="14.4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1"/>
    </row>
    <row r="249" spans="1:12" x14ac:dyDescent="0.3">
      <c r="A249" s="643" t="s">
        <v>16</v>
      </c>
      <c r="B249" s="644"/>
      <c r="C249" s="5" t="s">
        <v>6</v>
      </c>
      <c r="D249" s="8">
        <f>D58/D243%</f>
        <v>36.451345711269859</v>
      </c>
      <c r="E249" s="8">
        <f t="shared" ref="E249:L249" si="72">E58/E243%</f>
        <v>37.062244162327481</v>
      </c>
      <c r="F249" s="8">
        <f t="shared" si="72"/>
        <v>114.33280160317726</v>
      </c>
      <c r="G249" s="8">
        <f t="shared" si="72"/>
        <v>99.985617253319845</v>
      </c>
      <c r="H249" s="8">
        <f t="shared" si="72"/>
        <v>312.66200919198337</v>
      </c>
      <c r="I249" s="8">
        <f t="shared" si="72"/>
        <v>53.412084591562781</v>
      </c>
      <c r="J249" s="8">
        <f t="shared" si="72"/>
        <v>169.65705074304768</v>
      </c>
      <c r="K249" s="8" t="e">
        <f t="shared" si="72"/>
        <v>#DIV/0!</v>
      </c>
      <c r="L249" s="571">
        <f t="shared" si="72"/>
        <v>25.934472858186091</v>
      </c>
    </row>
    <row r="250" spans="1:12" x14ac:dyDescent="0.3">
      <c r="A250" s="643" t="s">
        <v>208</v>
      </c>
      <c r="B250" s="644"/>
      <c r="C250" s="5" t="s">
        <v>6</v>
      </c>
      <c r="D250" s="29">
        <f>D210/(D223+D245)%</f>
        <v>11.870313031471399</v>
      </c>
      <c r="E250" s="29">
        <f t="shared" ref="E250:L250" si="73">E210/(E223+E245)%</f>
        <v>5.8314723529290005</v>
      </c>
      <c r="F250" s="29">
        <f t="shared" si="73"/>
        <v>9.9292430132857863</v>
      </c>
      <c r="G250" s="29">
        <f t="shared" si="73"/>
        <v>7.8062089828713761</v>
      </c>
      <c r="H250" s="29">
        <f t="shared" si="73"/>
        <v>3.8831052563943458</v>
      </c>
      <c r="I250" s="29">
        <f t="shared" si="73"/>
        <v>8.614770241592387</v>
      </c>
      <c r="J250" s="29">
        <f t="shared" si="73"/>
        <v>25.225709545570332</v>
      </c>
      <c r="K250" s="29" t="e">
        <f t="shared" si="73"/>
        <v>#DIV/0!</v>
      </c>
      <c r="L250" s="573">
        <f t="shared" si="73"/>
        <v>8.7512839391019526</v>
      </c>
    </row>
    <row r="251" spans="1:12" ht="16.2" thickBot="1" x14ac:dyDescent="0.35">
      <c r="A251" s="652" t="s">
        <v>15</v>
      </c>
      <c r="B251" s="653"/>
      <c r="C251" s="5" t="s">
        <v>6</v>
      </c>
      <c r="D251" s="7">
        <f>D210/D223%</f>
        <v>94.34469360910073</v>
      </c>
      <c r="E251" s="7">
        <f t="shared" ref="E251:L251" si="74">E210/E223%</f>
        <v>52.717805984460654</v>
      </c>
      <c r="F251" s="7">
        <f t="shared" si="74"/>
        <v>87.887338267059093</v>
      </c>
      <c r="G251" s="7">
        <f t="shared" si="74"/>
        <v>83.402043243041334</v>
      </c>
      <c r="H251" s="7">
        <f t="shared" si="74"/>
        <v>31.710908710359764</v>
      </c>
      <c r="I251" s="7">
        <f t="shared" si="74"/>
        <v>96.130191923162968</v>
      </c>
      <c r="J251" s="7">
        <f t="shared" si="74"/>
        <v>452.92667605211335</v>
      </c>
      <c r="K251" s="7" t="e">
        <f t="shared" si="74"/>
        <v>#DIV/0!</v>
      </c>
      <c r="L251" s="7">
        <f t="shared" si="74"/>
        <v>78.48267036137112</v>
      </c>
    </row>
    <row r="252" spans="1:12" ht="14.4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6"/>
    </row>
    <row r="253" spans="1:12" s="2" customFormat="1" ht="15" customHeight="1" x14ac:dyDescent="0.3">
      <c r="A253" s="643" t="s">
        <v>13</v>
      </c>
      <c r="B253" s="644"/>
      <c r="C253" s="5" t="s">
        <v>3</v>
      </c>
      <c r="D253" s="26">
        <f>Mulanje!J253+Mulanje!K253+Mulanje!L253</f>
        <v>114</v>
      </c>
      <c r="E253" s="26">
        <f>Luchenza!J253+Luchenza!K253+Luchenza!L253</f>
        <v>85</v>
      </c>
      <c r="F253" s="26">
        <f>Thyolo!J253+Thyolo!K253+Thyolo!L253</f>
        <v>37</v>
      </c>
      <c r="G253" s="26">
        <f>Muloza!J253+Muloza!K253+Muloza!L253</f>
        <v>33</v>
      </c>
      <c r="H253" s="26">
        <f>MUST!J253+MUST!K253+MUST!L253</f>
        <v>8</v>
      </c>
      <c r="I253" s="26">
        <f>Phalombe!J253+Phalombe!K253+Phalombe!L253</f>
        <v>143</v>
      </c>
      <c r="J253" s="26">
        <f>Mikolongwe!J253+Mikolongwe!K253+Mikolongwe!L253</f>
        <v>0</v>
      </c>
      <c r="K253" s="26">
        <f>Migowi!J253+Migowi!K253+Migowi!L253</f>
        <v>0</v>
      </c>
      <c r="L253" s="113">
        <f>SUM(D253:K253)</f>
        <v>420</v>
      </c>
    </row>
    <row r="254" spans="1:12" s="2" customFormat="1" x14ac:dyDescent="0.3">
      <c r="A254" s="643" t="s">
        <v>12</v>
      </c>
      <c r="B254" s="644"/>
      <c r="C254" s="5" t="s">
        <v>3</v>
      </c>
      <c r="D254" s="26">
        <f>Mulanje!J254+Mulanje!K254+Mulanje!L254</f>
        <v>23</v>
      </c>
      <c r="E254" s="26">
        <f>Luchenza!J254+Luchenza!K254+Luchenza!L254</f>
        <v>26</v>
      </c>
      <c r="F254" s="26">
        <f>Thyolo!J254+Thyolo!K254+Thyolo!L254</f>
        <v>15</v>
      </c>
      <c r="G254" s="26">
        <f>Muloza!J254+Muloza!K254+Muloza!L254</f>
        <v>14</v>
      </c>
      <c r="H254" s="26">
        <f>MUST!J254+MUST!K254+MUST!L254</f>
        <v>4</v>
      </c>
      <c r="I254" s="26">
        <f>Phalombe!J254+Phalombe!K254+Phalombe!L254</f>
        <v>11</v>
      </c>
      <c r="J254" s="26">
        <f>Mikolongwe!J254+Mikolongwe!K254+Mikolongwe!L254</f>
        <v>0</v>
      </c>
      <c r="K254" s="26">
        <f>Migowi!J254+Migowi!K254+Migowi!L254</f>
        <v>0</v>
      </c>
      <c r="L254" s="113">
        <f>SUM(D254:K254)</f>
        <v>93</v>
      </c>
    </row>
    <row r="255" spans="1:12" ht="15.75" customHeight="1" x14ac:dyDescent="0.3">
      <c r="A255" s="643" t="s">
        <v>11</v>
      </c>
      <c r="B255" s="644"/>
      <c r="C255" s="5" t="s">
        <v>3</v>
      </c>
      <c r="D255" s="26">
        <f>Mulanje!J255+Mulanje!K255+Mulanje!L255</f>
        <v>166</v>
      </c>
      <c r="E255" s="26">
        <f>Luchenza!J255+Luchenza!K255+Luchenza!L255</f>
        <v>80</v>
      </c>
      <c r="F255" s="26">
        <f>Thyolo!J255+Thyolo!K255+Thyolo!L255</f>
        <v>48</v>
      </c>
      <c r="G255" s="26">
        <f>Muloza!J255+Muloza!K255+Muloza!L255</f>
        <v>236</v>
      </c>
      <c r="H255" s="26">
        <f>MUST!J255+MUST!K255+MUST!L255</f>
        <v>8</v>
      </c>
      <c r="I255" s="26">
        <f>Phalombe!J255+Phalombe!K255+Phalombe!L255</f>
        <v>12</v>
      </c>
      <c r="J255" s="26">
        <f>Mikolongwe!J255+Mikolongwe!K255+Mikolongwe!L255</f>
        <v>0</v>
      </c>
      <c r="K255" s="26">
        <f>Migowi!J255+Migowi!K255+Migowi!L255</f>
        <v>0</v>
      </c>
      <c r="L255" s="113">
        <f>SUM(D255:K255)</f>
        <v>550</v>
      </c>
    </row>
    <row r="256" spans="1:12" x14ac:dyDescent="0.3">
      <c r="A256" s="643" t="s">
        <v>10</v>
      </c>
      <c r="B256" s="644"/>
      <c r="C256" s="5" t="s">
        <v>3</v>
      </c>
      <c r="D256" s="26">
        <f>Mulanje!J256+Mulanje!K256+Mulanje!L256</f>
        <v>38</v>
      </c>
      <c r="E256" s="26">
        <f>Luchenza!J256+Luchenza!K256+Luchenza!L256</f>
        <v>173</v>
      </c>
      <c r="F256" s="26">
        <f>Thyolo!J256+Thyolo!K256+Thyolo!L256</f>
        <v>62</v>
      </c>
      <c r="G256" s="26">
        <f>Muloza!J256+Muloza!K256+Muloza!L256</f>
        <v>33</v>
      </c>
      <c r="H256" s="26">
        <f>MUST!J256+MUST!K256+MUST!L256</f>
        <v>10</v>
      </c>
      <c r="I256" s="26">
        <f>Phalombe!J256+Phalombe!K256+Phalombe!L256</f>
        <v>72</v>
      </c>
      <c r="J256" s="26">
        <f>Mikolongwe!J256+Mikolongwe!K256+Mikolongwe!L256</f>
        <v>0</v>
      </c>
      <c r="K256" s="26">
        <f>Migowi!J256+Migowi!K256+Migowi!L256</f>
        <v>0</v>
      </c>
      <c r="L256" s="113">
        <f>SUM(D256:K256)</f>
        <v>388</v>
      </c>
    </row>
    <row r="257" spans="1:12" ht="15.6" customHeight="1" x14ac:dyDescent="0.3">
      <c r="A257" s="643" t="s">
        <v>9</v>
      </c>
      <c r="B257" s="644"/>
      <c r="C257" s="5" t="s">
        <v>3</v>
      </c>
      <c r="D257" s="26">
        <f>Mulanje!J257+Mulanje!K257+Mulanje!L257</f>
        <v>90</v>
      </c>
      <c r="E257" s="26">
        <f>Luchenza!J257+Luchenza!K257+Luchenza!L257</f>
        <v>84</v>
      </c>
      <c r="F257" s="26">
        <f>Thyolo!J257+Thyolo!K257+Thyolo!L257</f>
        <v>84</v>
      </c>
      <c r="G257" s="26">
        <f>Muloza!J257+Muloza!K257+Muloza!L257</f>
        <v>9</v>
      </c>
      <c r="H257" s="26">
        <f>MUST!J257+MUST!K257+MUST!L257</f>
        <v>7</v>
      </c>
      <c r="I257" s="26">
        <f>Phalombe!J257+Phalombe!K257+Phalombe!L257</f>
        <v>14</v>
      </c>
      <c r="J257" s="26">
        <f>Mikolongwe!J257+Mikolongwe!K257+Mikolongwe!L257</f>
        <v>0</v>
      </c>
      <c r="K257" s="26">
        <f>Migowi!J257+Migowi!K257+Migowi!L257</f>
        <v>0</v>
      </c>
      <c r="L257" s="113">
        <f>SUM(D257:K257)</f>
        <v>288</v>
      </c>
    </row>
    <row r="258" spans="1:12" x14ac:dyDescent="0.3">
      <c r="A258" s="647" t="s">
        <v>8</v>
      </c>
      <c r="B258" s="648"/>
      <c r="C258" s="5" t="s">
        <v>3</v>
      </c>
      <c r="D258" s="1">
        <f t="shared" ref="D258:L258" si="75">D257/D256</f>
        <v>2.3684210526315788</v>
      </c>
      <c r="E258" s="1">
        <f t="shared" si="75"/>
        <v>0.48554913294797686</v>
      </c>
      <c r="F258" s="1">
        <f t="shared" si="75"/>
        <v>1.3548387096774193</v>
      </c>
      <c r="G258" s="3">
        <f t="shared" si="75"/>
        <v>0.27272727272727271</v>
      </c>
      <c r="H258" s="3">
        <f t="shared" si="75"/>
        <v>0.7</v>
      </c>
      <c r="I258" s="3">
        <f t="shared" si="75"/>
        <v>0.19444444444444445</v>
      </c>
      <c r="J258" s="3" t="e">
        <f t="shared" si="75"/>
        <v>#DIV/0!</v>
      </c>
      <c r="K258" s="3" t="e">
        <f t="shared" si="75"/>
        <v>#DIV/0!</v>
      </c>
      <c r="L258" s="113">
        <f t="shared" si="75"/>
        <v>0.74226804123711343</v>
      </c>
    </row>
    <row r="259" spans="1:12" x14ac:dyDescent="0.3">
      <c r="A259" s="647" t="s">
        <v>7</v>
      </c>
      <c r="B259" s="648"/>
      <c r="C259" s="5" t="s">
        <v>6</v>
      </c>
      <c r="D259" s="1">
        <f t="shared" ref="D259:L259" si="76">D92/D255*100</f>
        <v>53.01204819277109</v>
      </c>
      <c r="E259" s="1">
        <f t="shared" si="76"/>
        <v>46.25</v>
      </c>
      <c r="F259" s="1">
        <f t="shared" si="76"/>
        <v>60.416666666666664</v>
      </c>
      <c r="G259" s="6">
        <f t="shared" si="76"/>
        <v>11.864406779661017</v>
      </c>
      <c r="H259" s="178">
        <f t="shared" si="76"/>
        <v>162.5</v>
      </c>
      <c r="I259" s="6">
        <f t="shared" si="76"/>
        <v>16.666666666666664</v>
      </c>
      <c r="J259" s="6" t="e">
        <f t="shared" si="76"/>
        <v>#DIV/0!</v>
      </c>
      <c r="K259" s="6" t="e">
        <f t="shared" si="76"/>
        <v>#DIV/0!</v>
      </c>
      <c r="L259" s="114">
        <f t="shared" si="76"/>
        <v>35.818181818181813</v>
      </c>
    </row>
    <row r="260" spans="1:12" ht="14.4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1"/>
    </row>
    <row r="261" spans="1:12" s="2" customFormat="1" ht="15" customHeight="1" x14ac:dyDescent="0.3">
      <c r="A261" s="643" t="s">
        <v>4</v>
      </c>
      <c r="B261" s="644"/>
      <c r="C261" s="5" t="s">
        <v>3</v>
      </c>
      <c r="D261" s="26">
        <f>Mulanje!J261+Mulanje!K261+Mulanje!L261</f>
        <v>50</v>
      </c>
      <c r="E261" s="26">
        <f>Luchenza!J261+Luchenza!K261+Luchenza!L261</f>
        <v>60</v>
      </c>
      <c r="F261" s="26">
        <f>Thyolo!J261+Thyolo!K261+Thyolo!L261</f>
        <v>24</v>
      </c>
      <c r="G261" s="26">
        <f>Muloza!J261+Muloza!K261+Muloza!L261</f>
        <v>6</v>
      </c>
      <c r="H261" s="26">
        <f>MUST!J261+MUST!K261+MUST!L261</f>
        <v>2</v>
      </c>
      <c r="I261" s="26">
        <f>Phalombe!J261+Phalombe!K261+Phalombe!L261</f>
        <v>90</v>
      </c>
      <c r="J261" s="26">
        <f>Mikolongwe!J261+Mikolongwe!K261+Mikolongwe!L261</f>
        <v>0</v>
      </c>
      <c r="K261" s="26">
        <f>Migowi!J261+Migowi!K261+Migowi!L261</f>
        <v>2</v>
      </c>
      <c r="L261" s="113">
        <f>SUM(D261:K261)</f>
        <v>234</v>
      </c>
    </row>
    <row r="262" spans="1:12" s="2" customFormat="1" ht="15.75" customHeight="1" x14ac:dyDescent="0.3">
      <c r="A262" s="643" t="s">
        <v>2</v>
      </c>
      <c r="B262" s="644"/>
      <c r="C262" s="5" t="s">
        <v>0</v>
      </c>
      <c r="D262" s="26">
        <f>Mulanje!J262+Mulanje!K262+Mulanje!L262</f>
        <v>11</v>
      </c>
      <c r="E262" s="26">
        <f>Luchenza!J262+Luchenza!K262+Luchenza!L262</f>
        <v>90</v>
      </c>
      <c r="F262" s="26">
        <f>Thyolo!J262+Thyolo!K262+Thyolo!L262</f>
        <v>16</v>
      </c>
      <c r="G262" s="26">
        <f>Muloza!J262+Muloza!K262+Muloza!L262</f>
        <v>4</v>
      </c>
      <c r="H262" s="26">
        <f>MUST!J262+MUST!K262+MUST!L262</f>
        <v>5</v>
      </c>
      <c r="I262" s="26">
        <f>Phalombe!J262+Phalombe!K262+Phalombe!L262</f>
        <v>44</v>
      </c>
      <c r="J262" s="26">
        <f>Mikolongwe!J262+Mikolongwe!K262+Mikolongwe!L262</f>
        <v>0</v>
      </c>
      <c r="K262" s="26">
        <f>Migowi!J262+Migowi!K262+Migowi!L262</f>
        <v>1</v>
      </c>
      <c r="L262" s="113">
        <f>SUM(D262:K262)</f>
        <v>171</v>
      </c>
    </row>
    <row r="263" spans="1:12" ht="16.2" thickBot="1" x14ac:dyDescent="0.35">
      <c r="A263" s="645" t="s">
        <v>1</v>
      </c>
      <c r="B263" s="646"/>
      <c r="C263" s="115" t="s">
        <v>0</v>
      </c>
      <c r="D263" s="116">
        <f t="shared" ref="D263:L263" si="77">D261/D262</f>
        <v>4.5454545454545459</v>
      </c>
      <c r="E263" s="116">
        <f t="shared" si="77"/>
        <v>0.66666666666666663</v>
      </c>
      <c r="F263" s="116">
        <f t="shared" si="77"/>
        <v>1.5</v>
      </c>
      <c r="G263" s="116">
        <f t="shared" si="77"/>
        <v>1.5</v>
      </c>
      <c r="H263" s="116">
        <f t="shared" si="77"/>
        <v>0.4</v>
      </c>
      <c r="I263" s="116">
        <f t="shared" si="77"/>
        <v>2.0454545454545454</v>
      </c>
      <c r="J263" s="116" t="e">
        <f t="shared" si="77"/>
        <v>#DIV/0!</v>
      </c>
      <c r="K263" s="116">
        <f t="shared" si="77"/>
        <v>2</v>
      </c>
      <c r="L263" s="116">
        <f t="shared" si="77"/>
        <v>1.368421052631579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M263"/>
  <sheetViews>
    <sheetView workbookViewId="0">
      <pane xSplit="3" ySplit="8" topLeftCell="H108" activePane="bottomRight" state="frozen"/>
      <selection pane="topRight" activeCell="D1" sqref="D1"/>
      <selection pane="bottomLeft" activeCell="A9" sqref="A9"/>
      <selection pane="bottomRight" activeCell="M119" sqref="M11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10" width="19.109375" customWidth="1"/>
    <col min="11" max="12" width="23.109375" customWidth="1"/>
    <col min="13" max="13" width="21.44140625" style="126" bestFit="1" customWidth="1"/>
  </cols>
  <sheetData>
    <row r="1" spans="1:13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636"/>
    </row>
    <row r="2" spans="1:13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637"/>
    </row>
    <row r="3" spans="1:13" ht="18" thickBot="1" x14ac:dyDescent="0.35">
      <c r="A3" s="217" t="s">
        <v>217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320"/>
      <c r="M3" s="638"/>
    </row>
    <row r="4" spans="1:13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639"/>
    </row>
    <row r="5" spans="1:13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640"/>
    </row>
    <row r="6" spans="1:13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641"/>
    </row>
    <row r="7" spans="1:13" ht="16.2" thickBot="1" x14ac:dyDescent="0.35">
      <c r="A7" s="720" t="s">
        <v>174</v>
      </c>
      <c r="B7" s="72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60" t="s">
        <v>225</v>
      </c>
      <c r="K7" s="60" t="s">
        <v>226</v>
      </c>
      <c r="L7" s="60" t="s">
        <v>229</v>
      </c>
      <c r="M7" s="622" t="s">
        <v>160</v>
      </c>
    </row>
    <row r="8" spans="1:13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4"/>
    </row>
    <row r="9" spans="1:13" x14ac:dyDescent="0.3">
      <c r="A9" s="725" t="s">
        <v>176</v>
      </c>
      <c r="B9" s="726"/>
      <c r="C9" s="58" t="s">
        <v>152</v>
      </c>
      <c r="D9" s="57">
        <f>Mulanje!M9+Mulanje!N9+Mulanje!O9</f>
        <v>141669</v>
      </c>
      <c r="E9" s="57">
        <f>Luchenza!M9+Luchenza!N9+Luchenza!O9</f>
        <v>48710</v>
      </c>
      <c r="F9" s="57">
        <f>Thyolo!M9+Thyolo!N9+Thyolo!O9</f>
        <v>70580</v>
      </c>
      <c r="G9" s="57">
        <f>Muloza!M9+Muloza!N9+Muloza!O9</f>
        <v>27817</v>
      </c>
      <c r="H9" s="57">
        <f>MUST!M9+MUST!N9+MUST!O9</f>
        <v>32773</v>
      </c>
      <c r="I9" s="57">
        <f>Phalombe!M9+Phalombe!N9+Phalombe!O9</f>
        <v>27717</v>
      </c>
      <c r="J9" s="57">
        <f>Mikolongwe!M9+Mikolongwe!N9+Mikolongwe!O9</f>
        <v>1341</v>
      </c>
      <c r="K9" s="57">
        <f>Migowi!M9+Migowi!N9+Migowi!O9</f>
        <v>13775</v>
      </c>
      <c r="L9" s="57">
        <f>Nkando!N9+Nkando!O9+Nkando!P9</f>
        <v>12856</v>
      </c>
      <c r="M9" s="152">
        <f>SUM(D9:L9)</f>
        <v>377238</v>
      </c>
    </row>
    <row r="10" spans="1:13" ht="14.4" x14ac:dyDescent="0.3">
      <c r="A10" s="649" t="s">
        <v>177</v>
      </c>
      <c r="B10" s="650"/>
      <c r="C10" s="650"/>
      <c r="D10" s="741"/>
      <c r="E10" s="741"/>
      <c r="F10" s="741"/>
      <c r="G10" s="741"/>
      <c r="H10" s="741"/>
      <c r="I10" s="741"/>
      <c r="J10" s="741"/>
      <c r="K10" s="741"/>
      <c r="L10" s="741"/>
      <c r="M10" s="651"/>
    </row>
    <row r="11" spans="1:13" x14ac:dyDescent="0.3">
      <c r="A11" s="663" t="s">
        <v>157</v>
      </c>
      <c r="B11" s="664"/>
      <c r="C11" s="11" t="s">
        <v>152</v>
      </c>
      <c r="D11" s="26">
        <f>Mulanje!M11+Mulanje!N11+Mulanje!O11</f>
        <v>83151</v>
      </c>
      <c r="E11" s="26">
        <f>Luchenza!M11+Luchenza!N11+Luchenza!O11</f>
        <v>22025</v>
      </c>
      <c r="F11" s="26">
        <f>Thyolo!M11+Thyolo!N11+Thyolo!O11</f>
        <v>21320</v>
      </c>
      <c r="G11" s="26">
        <f>Muloza!M11+Muloza!N11+Muloza!O11</f>
        <v>15093</v>
      </c>
      <c r="H11" s="26">
        <f>MUST!M11+MUST!N11+MUST!O11</f>
        <v>3055</v>
      </c>
      <c r="I11" s="26">
        <f>Phalombe!M11+Phalombe!N11+Phalombe!O11</f>
        <v>13649</v>
      </c>
      <c r="J11" s="26">
        <f>Mikolongwe!M11+Mikolongwe!N11+Mikolongwe!O11</f>
        <v>328</v>
      </c>
      <c r="K11" s="26">
        <f>Migowi!M11+Migowi!N11+Migowi!O11</f>
        <v>688.69999999999993</v>
      </c>
      <c r="L11" s="26">
        <f>Nkando!N11+Nkando!O11+Nkando!P11</f>
        <v>6305</v>
      </c>
      <c r="M11" s="55">
        <f t="shared" ref="M11:M15" si="0">SUM(D11:L11)</f>
        <v>165614.70000000001</v>
      </c>
    </row>
    <row r="12" spans="1:13" x14ac:dyDescent="0.3">
      <c r="A12" s="663" t="s">
        <v>156</v>
      </c>
      <c r="B12" s="664"/>
      <c r="C12" s="11" t="s">
        <v>152</v>
      </c>
      <c r="D12" s="26">
        <f>Mulanje!M12+Mulanje!N12+Mulanje!O12</f>
        <v>2774</v>
      </c>
      <c r="E12" s="26">
        <f>Luchenza!M12+Luchenza!N12+Luchenza!O12</f>
        <v>20</v>
      </c>
      <c r="F12" s="26">
        <f>Thyolo!M12+Thyolo!N12+Thyolo!O12</f>
        <v>48</v>
      </c>
      <c r="G12" s="26">
        <f>Muloza!M12+Muloza!N12+Muloza!O12</f>
        <v>66</v>
      </c>
      <c r="H12" s="26">
        <f>MUST!M12+MUST!N12+MUST!O12</f>
        <v>0</v>
      </c>
      <c r="I12" s="26">
        <f>Phalombe!M12+Phalombe!N12+Phalombe!O12</f>
        <v>0</v>
      </c>
      <c r="J12" s="26">
        <f>Mikolongwe!M12+Mikolongwe!N12+Mikolongwe!O12</f>
        <v>0</v>
      </c>
      <c r="K12" s="26">
        <f>Migowi!M12+Migowi!N12+Migowi!O12</f>
        <v>0</v>
      </c>
      <c r="L12" s="26">
        <f>Nkando!N12+Nkando!O12+Nkando!P12</f>
        <v>38</v>
      </c>
      <c r="M12" s="55">
        <f t="shared" si="0"/>
        <v>2946</v>
      </c>
    </row>
    <row r="13" spans="1:13" x14ac:dyDescent="0.3">
      <c r="A13" s="663" t="s">
        <v>155</v>
      </c>
      <c r="B13" s="664"/>
      <c r="C13" s="11" t="s">
        <v>152</v>
      </c>
      <c r="D13" s="26">
        <f>Mulanje!M13+Mulanje!N13+Mulanje!O13</f>
        <v>588</v>
      </c>
      <c r="E13" s="26">
        <f>Luchenza!M13+Luchenza!N13+Luchenza!O13</f>
        <v>6425</v>
      </c>
      <c r="F13" s="26">
        <f>Thyolo!M13+Thyolo!N13+Thyolo!O13</f>
        <v>127</v>
      </c>
      <c r="G13" s="26">
        <f>Muloza!M13+Muloza!N13+Muloza!O13</f>
        <v>1283</v>
      </c>
      <c r="H13" s="26">
        <f>MUST!M13+MUST!N13+MUST!O13</f>
        <v>82</v>
      </c>
      <c r="I13" s="26">
        <f>Phalombe!M13+Phalombe!N13+Phalombe!O13</f>
        <v>50</v>
      </c>
      <c r="J13" s="26">
        <f>Mikolongwe!M13+Mikolongwe!N13+Mikolongwe!O13</f>
        <v>0</v>
      </c>
      <c r="K13" s="26">
        <f>Migowi!M13+Migowi!N13+Migowi!O13</f>
        <v>3258</v>
      </c>
      <c r="L13" s="26">
        <f>Nkando!N13+Nkando!O13+Nkando!P13</f>
        <v>3183</v>
      </c>
      <c r="M13" s="55">
        <f t="shared" si="0"/>
        <v>14996</v>
      </c>
    </row>
    <row r="14" spans="1:13" x14ac:dyDescent="0.3">
      <c r="A14" s="661" t="s">
        <v>154</v>
      </c>
      <c r="B14" s="662"/>
      <c r="C14" s="11" t="s">
        <v>152</v>
      </c>
      <c r="D14" s="26">
        <f>Mulanje!M14+Mulanje!N14+Mulanje!O14</f>
        <v>261</v>
      </c>
      <c r="E14" s="26">
        <f>Luchenza!M14+Luchenza!N14+Luchenza!O14</f>
        <v>432</v>
      </c>
      <c r="F14" s="26">
        <f>Thyolo!M14+Thyolo!N14+Thyolo!O14</f>
        <v>644</v>
      </c>
      <c r="G14" s="26">
        <f>Muloza!M14+Muloza!N14+Muloza!O14</f>
        <v>294</v>
      </c>
      <c r="H14" s="26">
        <f>MUST!M14+MUST!N14+MUST!O14</f>
        <v>60</v>
      </c>
      <c r="I14" s="26">
        <f>Phalombe!M14+Phalombe!N14+Phalombe!O14</f>
        <v>67</v>
      </c>
      <c r="J14" s="26">
        <f>Mikolongwe!M14+Mikolongwe!N14+Mikolongwe!O14</f>
        <v>0</v>
      </c>
      <c r="K14" s="26">
        <f>Migowi!M14+Migowi!N14+Migowi!O14</f>
        <v>0</v>
      </c>
      <c r="L14" s="26">
        <f>Nkando!N14+Nkando!O14+Nkando!P14</f>
        <v>1147</v>
      </c>
      <c r="M14" s="55">
        <f t="shared" si="0"/>
        <v>2905</v>
      </c>
    </row>
    <row r="15" spans="1:13" s="63" customFormat="1" x14ac:dyDescent="0.3">
      <c r="A15" s="676" t="s">
        <v>158</v>
      </c>
      <c r="B15" s="677"/>
      <c r="C15" s="62" t="s">
        <v>152</v>
      </c>
      <c r="D15" s="34">
        <f t="shared" ref="D15:K15" si="1">SUM(D11:D14)</f>
        <v>86774</v>
      </c>
      <c r="E15" s="34">
        <f t="shared" si="1"/>
        <v>28902</v>
      </c>
      <c r="F15" s="34">
        <f t="shared" si="1"/>
        <v>22139</v>
      </c>
      <c r="G15" s="34">
        <f t="shared" si="1"/>
        <v>16736</v>
      </c>
      <c r="H15" s="34">
        <f t="shared" si="1"/>
        <v>3197</v>
      </c>
      <c r="I15" s="34">
        <f t="shared" si="1"/>
        <v>13766</v>
      </c>
      <c r="J15" s="34">
        <f t="shared" si="1"/>
        <v>328</v>
      </c>
      <c r="K15" s="34">
        <f t="shared" si="1"/>
        <v>3946.7</v>
      </c>
      <c r="L15" s="34">
        <f t="shared" ref="L15" si="2">SUM(L11:L14)</f>
        <v>10673</v>
      </c>
      <c r="M15" s="55">
        <f t="shared" si="0"/>
        <v>186461.7</v>
      </c>
    </row>
    <row r="16" spans="1:13" s="2" customFormat="1" ht="14.4" x14ac:dyDescent="0.3">
      <c r="A16" s="649" t="s">
        <v>178</v>
      </c>
      <c r="B16" s="650"/>
      <c r="C16" s="650"/>
      <c r="D16" s="650"/>
      <c r="E16" s="741"/>
      <c r="F16" s="741"/>
      <c r="G16" s="741"/>
      <c r="H16" s="741"/>
      <c r="I16" s="741"/>
      <c r="J16" s="741"/>
      <c r="K16" s="741"/>
      <c r="L16" s="741"/>
      <c r="M16" s="651"/>
    </row>
    <row r="17" spans="1:13" s="2" customFormat="1" x14ac:dyDescent="0.3">
      <c r="A17" s="663" t="s">
        <v>180</v>
      </c>
      <c r="B17" s="664"/>
      <c r="C17" s="11" t="s">
        <v>152</v>
      </c>
      <c r="D17" s="26">
        <f>Mulanje!M17+Mulanje!N17+Mulanje!O17</f>
        <v>8982</v>
      </c>
      <c r="E17" s="26">
        <f>Luchenza!M17+Luchenza!N17+Luchenza!O17</f>
        <v>2109</v>
      </c>
      <c r="F17" s="26">
        <f>Thyolo!M17+Thyolo!N17+Thyolo!O17</f>
        <v>6486</v>
      </c>
      <c r="G17" s="26">
        <f>Muloza!M17+Muloza!N17+Muloza!O17</f>
        <v>2503</v>
      </c>
      <c r="H17" s="26">
        <f>MUST!M17+MUST!N17+MUST!O17</f>
        <v>659.3</v>
      </c>
      <c r="I17" s="26">
        <f>Phalombe!M17+Phalombe!N17+Phalombe!O17</f>
        <v>2900</v>
      </c>
      <c r="J17" s="26">
        <f>Mikolongwe!M17+Mikolongwe!N17+Mikolongwe!O17</f>
        <v>148.70000000000002</v>
      </c>
      <c r="K17" s="26">
        <f>Migowi!M17+Migowi!N17+Migowi!O17</f>
        <v>1678</v>
      </c>
      <c r="L17" s="26">
        <f>Nkando!N17+Nkando!O17+Nkando!P17</f>
        <v>0</v>
      </c>
      <c r="M17" s="55">
        <f t="shared" ref="M17:M22" si="3">SUM(D17:L17)</f>
        <v>25466</v>
      </c>
    </row>
    <row r="18" spans="1:13" s="2" customFormat="1" x14ac:dyDescent="0.3">
      <c r="A18" s="663" t="s">
        <v>181</v>
      </c>
      <c r="B18" s="664"/>
      <c r="C18" s="11" t="s">
        <v>152</v>
      </c>
      <c r="D18" s="26">
        <f>Mulanje!M18+Mulanje!N18+Mulanje!O18</f>
        <v>1119</v>
      </c>
      <c r="E18" s="26">
        <f>Luchenza!M18+Luchenza!N18+Luchenza!O18</f>
        <v>0</v>
      </c>
      <c r="F18" s="26">
        <f>Thyolo!M18+Thyolo!N18+Thyolo!O18</f>
        <v>0</v>
      </c>
      <c r="G18" s="26">
        <f>Muloza!M18+Muloza!N18+Muloza!O18</f>
        <v>0</v>
      </c>
      <c r="H18" s="26">
        <f>MUST!M18+MUST!N18+MUST!O18</f>
        <v>0</v>
      </c>
      <c r="I18" s="26">
        <f>Phalombe!M18+Phalombe!N18+Phalombe!O18</f>
        <v>0</v>
      </c>
      <c r="J18" s="26">
        <f>Mikolongwe!M18+Mikolongwe!N18+Mikolongwe!O18</f>
        <v>0</v>
      </c>
      <c r="K18" s="26">
        <f>Migowi!M18+Migowi!N18+Migowi!O18</f>
        <v>0</v>
      </c>
      <c r="L18" s="26">
        <f>Nkando!N18+Nkando!O18+Nkando!P18</f>
        <v>0</v>
      </c>
      <c r="M18" s="55">
        <f t="shared" si="3"/>
        <v>1119</v>
      </c>
    </row>
    <row r="19" spans="1:13" s="2" customFormat="1" x14ac:dyDescent="0.3">
      <c r="A19" s="663" t="s">
        <v>182</v>
      </c>
      <c r="B19" s="664"/>
      <c r="C19" s="11" t="s">
        <v>152</v>
      </c>
      <c r="D19" s="26">
        <f>Mulanje!M19+Mulanje!N19+Mulanje!O19</f>
        <v>17404</v>
      </c>
      <c r="E19" s="26">
        <f>Luchenza!M19+Luchenza!N19+Luchenza!O19</f>
        <v>3118</v>
      </c>
      <c r="F19" s="26">
        <f>Thyolo!M19+Thyolo!N19+Thyolo!O19</f>
        <v>4735</v>
      </c>
      <c r="G19" s="26">
        <f>Muloza!M19+Muloza!N19+Muloza!O19</f>
        <v>252</v>
      </c>
      <c r="H19" s="26">
        <f>MUST!M19+MUST!N19+MUST!O19</f>
        <v>22799</v>
      </c>
      <c r="I19" s="26">
        <f>Phalombe!M19+Phalombe!N19+Phalombe!O19</f>
        <v>2712</v>
      </c>
      <c r="J19" s="26">
        <f>Mikolongwe!M19+Mikolongwe!N19+Mikolongwe!O19</f>
        <v>553.5</v>
      </c>
      <c r="K19" s="26">
        <f>Migowi!M19+Migowi!N19+Migowi!O19</f>
        <v>6529</v>
      </c>
      <c r="L19" s="26">
        <f>Nkando!N19+Nkando!O19+Nkando!P19</f>
        <v>0</v>
      </c>
      <c r="M19" s="55">
        <f t="shared" si="3"/>
        <v>58102.5</v>
      </c>
    </row>
    <row r="20" spans="1:13" s="2" customFormat="1" x14ac:dyDescent="0.3">
      <c r="A20" s="661" t="s">
        <v>183</v>
      </c>
      <c r="B20" s="662"/>
      <c r="C20" s="11" t="s">
        <v>152</v>
      </c>
      <c r="D20" s="26">
        <f>Mulanje!M20+Mulanje!N20+Mulanje!O20</f>
        <v>2494.3999999999996</v>
      </c>
      <c r="E20" s="26">
        <f>Luchenza!M20+Luchenza!N20+Luchenza!O20</f>
        <v>950</v>
      </c>
      <c r="F20" s="26">
        <f>Thyolo!M20+Thyolo!N20+Thyolo!O20</f>
        <v>1226</v>
      </c>
      <c r="G20" s="26">
        <f>Muloza!M20+Muloza!N20+Muloza!O20</f>
        <v>738.69999999999982</v>
      </c>
      <c r="H20" s="26">
        <f>MUST!M20+MUST!N20+MUST!O20</f>
        <v>2192</v>
      </c>
      <c r="I20" s="26">
        <f>Phalombe!M20+Phalombe!N20+Phalombe!O20</f>
        <v>204</v>
      </c>
      <c r="J20" s="26">
        <f>Mikolongwe!M20+Mikolongwe!N20+Mikolongwe!O20</f>
        <v>0</v>
      </c>
      <c r="K20" s="26">
        <f>Migowi!M20+Migowi!N20+Migowi!O20</f>
        <v>0</v>
      </c>
      <c r="L20" s="26">
        <f>Nkando!N20+Nkando!O20+Nkando!P20</f>
        <v>0</v>
      </c>
      <c r="M20" s="55">
        <f t="shared" si="3"/>
        <v>7805.0999999999995</v>
      </c>
    </row>
    <row r="21" spans="1:13" s="73" customFormat="1" x14ac:dyDescent="0.3">
      <c r="A21" s="676" t="s">
        <v>184</v>
      </c>
      <c r="B21" s="677"/>
      <c r="C21" s="62" t="s">
        <v>152</v>
      </c>
      <c r="D21" s="34">
        <f>SUM(D17:D20)</f>
        <v>29999.4</v>
      </c>
      <c r="E21" s="34">
        <f t="shared" ref="E21:K21" si="4">SUM(E17:E20)</f>
        <v>6177</v>
      </c>
      <c r="F21" s="34">
        <f t="shared" si="4"/>
        <v>12447</v>
      </c>
      <c r="G21" s="34">
        <f t="shared" si="4"/>
        <v>3493.7</v>
      </c>
      <c r="H21" s="34">
        <f t="shared" si="4"/>
        <v>25650.3</v>
      </c>
      <c r="I21" s="34">
        <f t="shared" si="4"/>
        <v>5816</v>
      </c>
      <c r="J21" s="34">
        <f t="shared" si="4"/>
        <v>702.2</v>
      </c>
      <c r="K21" s="34">
        <f t="shared" si="4"/>
        <v>8207</v>
      </c>
      <c r="L21" s="34">
        <f t="shared" ref="L21" si="5">SUM(L17:L20)</f>
        <v>0</v>
      </c>
      <c r="M21" s="55">
        <f t="shared" si="3"/>
        <v>92492.599999999991</v>
      </c>
    </row>
    <row r="22" spans="1:13" s="2" customFormat="1" x14ac:dyDescent="0.3">
      <c r="A22" s="215" t="s">
        <v>185</v>
      </c>
      <c r="B22" s="209"/>
      <c r="C22" s="11" t="s">
        <v>152</v>
      </c>
      <c r="D22" s="34">
        <f>D21+D15</f>
        <v>116773.4</v>
      </c>
      <c r="E22" s="34">
        <f t="shared" ref="E22:K22" si="6">E21+E15</f>
        <v>35079</v>
      </c>
      <c r="F22" s="34">
        <f t="shared" si="6"/>
        <v>34586</v>
      </c>
      <c r="G22" s="34">
        <f t="shared" si="6"/>
        <v>20229.7</v>
      </c>
      <c r="H22" s="34">
        <f t="shared" si="6"/>
        <v>28847.3</v>
      </c>
      <c r="I22" s="34">
        <f t="shared" si="6"/>
        <v>19582</v>
      </c>
      <c r="J22" s="34">
        <f t="shared" si="6"/>
        <v>1030.2</v>
      </c>
      <c r="K22" s="34">
        <f t="shared" si="6"/>
        <v>12153.7</v>
      </c>
      <c r="L22" s="34">
        <f t="shared" ref="L22" si="7">L21+L15</f>
        <v>10673</v>
      </c>
      <c r="M22" s="55">
        <f t="shared" si="3"/>
        <v>278954.3</v>
      </c>
    </row>
    <row r="23" spans="1:13" ht="14.4" x14ac:dyDescent="0.3">
      <c r="A23" s="649" t="s">
        <v>215</v>
      </c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1"/>
    </row>
    <row r="24" spans="1:13" x14ac:dyDescent="0.3">
      <c r="A24" s="715" t="s">
        <v>179</v>
      </c>
      <c r="B24" s="37" t="s">
        <v>153</v>
      </c>
      <c r="C24" s="5" t="s">
        <v>152</v>
      </c>
      <c r="D24" s="54">
        <f>D9-D22</f>
        <v>24895.600000000006</v>
      </c>
      <c r="E24" s="54">
        <f t="shared" ref="E24:K24" si="8">E9-E22</f>
        <v>13631</v>
      </c>
      <c r="F24" s="54">
        <f t="shared" si="8"/>
        <v>35994</v>
      </c>
      <c r="G24" s="54">
        <f t="shared" si="8"/>
        <v>7587.2999999999993</v>
      </c>
      <c r="H24" s="54">
        <f t="shared" si="8"/>
        <v>3925.7000000000007</v>
      </c>
      <c r="I24" s="54">
        <f t="shared" si="8"/>
        <v>8135</v>
      </c>
      <c r="J24" s="54">
        <f t="shared" si="8"/>
        <v>310.79999999999995</v>
      </c>
      <c r="K24" s="54">
        <f t="shared" si="8"/>
        <v>1621.2999999999993</v>
      </c>
      <c r="L24" s="54">
        <f t="shared" ref="L24" si="9">L9-L22</f>
        <v>2183</v>
      </c>
      <c r="M24" s="613">
        <f t="shared" ref="M24" si="10">SUM(D24:L24)</f>
        <v>98283.700000000012</v>
      </c>
    </row>
    <row r="25" spans="1:13" x14ac:dyDescent="0.3">
      <c r="A25" s="716"/>
      <c r="B25" s="53" t="s">
        <v>151</v>
      </c>
      <c r="C25" s="52" t="s">
        <v>6</v>
      </c>
      <c r="D25" s="51">
        <f t="shared" ref="D25:J25" si="11">D24/D9</f>
        <v>0.17573075266995605</v>
      </c>
      <c r="E25" s="51">
        <f t="shared" si="11"/>
        <v>0.27983986861014165</v>
      </c>
      <c r="F25" s="51">
        <f t="shared" si="11"/>
        <v>0.50997449702465292</v>
      </c>
      <c r="G25" s="51">
        <f t="shared" si="11"/>
        <v>0.27275766617536035</v>
      </c>
      <c r="H25" s="51">
        <f t="shared" si="11"/>
        <v>0.11978457876910874</v>
      </c>
      <c r="I25" s="51">
        <f t="shared" si="11"/>
        <v>0.29350218277591372</v>
      </c>
      <c r="J25" s="51">
        <f t="shared" si="11"/>
        <v>0.23176733780760622</v>
      </c>
      <c r="K25" s="51">
        <f>K24/K9</f>
        <v>0.11769872958257709</v>
      </c>
      <c r="L25" s="51">
        <f t="shared" ref="L25:M25" si="12">L24/L9</f>
        <v>0.169803982576229</v>
      </c>
      <c r="M25" s="51">
        <f t="shared" si="12"/>
        <v>0.26053499382352791</v>
      </c>
    </row>
    <row r="26" spans="1:13" ht="14.4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1"/>
    </row>
    <row r="27" spans="1:13" ht="14.4" x14ac:dyDescent="0.3">
      <c r="A27" s="738" t="s">
        <v>149</v>
      </c>
      <c r="B27" s="739"/>
      <c r="C27" s="739"/>
      <c r="D27" s="739"/>
      <c r="E27" s="739"/>
      <c r="F27" s="739"/>
      <c r="G27" s="739"/>
      <c r="H27" s="739"/>
      <c r="I27" s="739"/>
      <c r="J27" s="739"/>
      <c r="K27" s="739"/>
      <c r="L27" s="739"/>
      <c r="M27" s="740"/>
    </row>
    <row r="28" spans="1:13" x14ac:dyDescent="0.3">
      <c r="A28" s="101" t="s">
        <v>148</v>
      </c>
      <c r="B28" s="50" t="s">
        <v>147</v>
      </c>
      <c r="C28" s="49"/>
      <c r="D28" s="205"/>
      <c r="E28" s="205"/>
      <c r="F28" s="205"/>
      <c r="G28" s="205"/>
      <c r="H28" s="205"/>
      <c r="I28" s="205"/>
      <c r="J28" s="206"/>
      <c r="K28" s="206"/>
      <c r="L28" s="206"/>
      <c r="M28" s="623"/>
    </row>
    <row r="29" spans="1:13" x14ac:dyDescent="0.3">
      <c r="A29" s="710" t="s">
        <v>146</v>
      </c>
      <c r="B29" s="642">
        <v>5111.67</v>
      </c>
      <c r="C29" s="5" t="s">
        <v>140</v>
      </c>
      <c r="D29" s="26">
        <f>Mulanje!M29+Mulanje!N29+Mulanje!O29</f>
        <v>262</v>
      </c>
      <c r="E29" s="26">
        <f>Luchenza!M29+Luchenza!N29+Luchenza!O29</f>
        <v>120</v>
      </c>
      <c r="F29" s="26">
        <f>Thyolo!M29+Thyolo!N29+Thyolo!O29</f>
        <v>228</v>
      </c>
      <c r="G29" s="26">
        <f>Muloza!M29+Muloza!N29+Muloza!O29</f>
        <v>27</v>
      </c>
      <c r="H29" s="26">
        <f>MUST!M29+MUST!N29+MUST!O29</f>
        <v>43</v>
      </c>
      <c r="I29" s="26">
        <f>Phalombe!M29+Phalombe!N29+Phalombe!O29</f>
        <v>72</v>
      </c>
      <c r="J29" s="26">
        <f>Mikolongwe!M29+Mikolongwe!N29+Mikolongwe!O29</f>
        <v>8</v>
      </c>
      <c r="K29" s="26">
        <f>Migowi!M29+Migowi!N29+Migowi!O29</f>
        <v>6</v>
      </c>
      <c r="L29" s="26">
        <f>Nkando!N29+Nkando!O29+Nkando!P29</f>
        <v>4</v>
      </c>
      <c r="M29" s="32">
        <f>SUM(E29:L29)</f>
        <v>508</v>
      </c>
    </row>
    <row r="30" spans="1:13" x14ac:dyDescent="0.3">
      <c r="A30" s="711"/>
      <c r="B30" s="642"/>
      <c r="C30" s="42" t="s">
        <v>139</v>
      </c>
      <c r="D30" s="15">
        <f t="shared" ref="D30:K30" si="13">D29/(D9/1000)</f>
        <v>1.8493813043079288</v>
      </c>
      <c r="E30" s="15">
        <f t="shared" si="13"/>
        <v>2.4635598439745432</v>
      </c>
      <c r="F30" s="15">
        <f t="shared" si="13"/>
        <v>3.2303768773023522</v>
      </c>
      <c r="G30" s="15">
        <f t="shared" si="13"/>
        <v>0.97062947118668441</v>
      </c>
      <c r="H30" s="15">
        <f t="shared" si="13"/>
        <v>1.3120556555701339</v>
      </c>
      <c r="I30" s="15">
        <f t="shared" si="13"/>
        <v>2.5976837320056285</v>
      </c>
      <c r="J30" s="15">
        <f t="shared" si="13"/>
        <v>5.9656972408650262</v>
      </c>
      <c r="K30" s="15">
        <f t="shared" si="13"/>
        <v>0.43557168784029038</v>
      </c>
      <c r="L30" s="15">
        <f t="shared" ref="L30:M30" si="14">L29/(L9/1000)</f>
        <v>0.31113876789047917</v>
      </c>
      <c r="M30" s="105">
        <f t="shared" si="14"/>
        <v>1.3466299789522795</v>
      </c>
    </row>
    <row r="31" spans="1:13" x14ac:dyDescent="0.3">
      <c r="A31" s="673" t="s">
        <v>145</v>
      </c>
      <c r="B31" s="642">
        <v>1537</v>
      </c>
      <c r="C31" s="5" t="s">
        <v>140</v>
      </c>
      <c r="D31" s="26">
        <f>Mulanje!M31+Mulanje!N31+Mulanje!O31</f>
        <v>0</v>
      </c>
      <c r="E31" s="26">
        <f>Luchenza!M31+Luchenza!N31+Luchenza!O31</f>
        <v>0</v>
      </c>
      <c r="F31" s="26">
        <f>Thyolo!M31+Thyolo!N31+Thyolo!O31</f>
        <v>0</v>
      </c>
      <c r="G31" s="26">
        <f>Muloza!M31+Muloza!N31+Muloza!O31</f>
        <v>0</v>
      </c>
      <c r="H31" s="26">
        <f>MUST!M31+MUST!N31+MUST!O31</f>
        <v>0</v>
      </c>
      <c r="I31" s="26">
        <f>Phalombe!M31+Phalombe!N31+Phalombe!O31</f>
        <v>0</v>
      </c>
      <c r="J31" s="26">
        <f>Mikolongwe!M31+Mikolongwe!N31+Mikolongwe!O31</f>
        <v>0</v>
      </c>
      <c r="K31" s="26">
        <f>Migowi!M31+Migowi!N31+Migowi!O31</f>
        <v>0</v>
      </c>
      <c r="L31" s="26">
        <f>Nkando!N31+Nkando!O31+Nkando!P31</f>
        <v>0</v>
      </c>
      <c r="M31" s="32">
        <f>SUM(E31:L31)</f>
        <v>0</v>
      </c>
    </row>
    <row r="32" spans="1:13" x14ac:dyDescent="0.3">
      <c r="A32" s="675"/>
      <c r="B32" s="642"/>
      <c r="C32" s="42" t="s">
        <v>139</v>
      </c>
      <c r="D32" s="15">
        <f t="shared" ref="D32:K32" si="15">D31/(D9/1000)</f>
        <v>0</v>
      </c>
      <c r="E32" s="15">
        <f t="shared" si="15"/>
        <v>0</v>
      </c>
      <c r="F32" s="15">
        <f t="shared" si="15"/>
        <v>0</v>
      </c>
      <c r="G32" s="15">
        <f t="shared" si="15"/>
        <v>0</v>
      </c>
      <c r="H32" s="15">
        <f t="shared" si="15"/>
        <v>0</v>
      </c>
      <c r="I32" s="15">
        <f t="shared" si="15"/>
        <v>0</v>
      </c>
      <c r="J32" s="15">
        <f t="shared" si="15"/>
        <v>0</v>
      </c>
      <c r="K32" s="15">
        <f t="shared" si="15"/>
        <v>0</v>
      </c>
      <c r="L32" s="15">
        <f t="shared" ref="L32:M32" si="16">L31/(L9/1000)</f>
        <v>0</v>
      </c>
      <c r="M32" s="105">
        <f t="shared" si="16"/>
        <v>0</v>
      </c>
    </row>
    <row r="33" spans="1:13" x14ac:dyDescent="0.3">
      <c r="A33" s="673" t="s">
        <v>144</v>
      </c>
      <c r="B33" s="642">
        <v>1781.02</v>
      </c>
      <c r="C33" s="5" t="s">
        <v>140</v>
      </c>
      <c r="D33" s="26">
        <f>Mulanje!M33+Mulanje!N33+Mulanje!O33</f>
        <v>0</v>
      </c>
      <c r="E33" s="26">
        <f>Luchenza!M33+Luchenza!N33+Luchenza!O33</f>
        <v>0</v>
      </c>
      <c r="F33" s="26">
        <f>Thyolo!M33+Thyolo!N33+Thyolo!O33</f>
        <v>0</v>
      </c>
      <c r="G33" s="26">
        <f>Muloza!M33+Muloza!N33+Muloza!O33</f>
        <v>0</v>
      </c>
      <c r="H33" s="26">
        <f>MUST!M33+MUST!N33+MUST!O33</f>
        <v>0</v>
      </c>
      <c r="I33" s="26">
        <f>Phalombe!M33+Phalombe!N33+Phalombe!O33</f>
        <v>0</v>
      </c>
      <c r="J33" s="26">
        <f>Mikolongwe!M33+Mikolongwe!N33+Mikolongwe!O33</f>
        <v>0</v>
      </c>
      <c r="K33" s="26">
        <f>Migowi!M33+Migowi!N33+Migowi!O33</f>
        <v>0</v>
      </c>
      <c r="L33" s="26">
        <f>Nkando!N33+Nkando!O33+Nkando!P33</f>
        <v>0</v>
      </c>
      <c r="M33" s="32">
        <f>SUM(E33:L33)</f>
        <v>0</v>
      </c>
    </row>
    <row r="34" spans="1:13" x14ac:dyDescent="0.3">
      <c r="A34" s="675"/>
      <c r="B34" s="642"/>
      <c r="C34" s="42" t="s">
        <v>139</v>
      </c>
      <c r="D34" s="15">
        <f t="shared" ref="D34:K34" si="17">D33/(D9/1000)</f>
        <v>0</v>
      </c>
      <c r="E34" s="15">
        <f t="shared" si="17"/>
        <v>0</v>
      </c>
      <c r="F34" s="15">
        <f t="shared" si="17"/>
        <v>0</v>
      </c>
      <c r="G34" s="15">
        <f t="shared" si="17"/>
        <v>0</v>
      </c>
      <c r="H34" s="15">
        <f t="shared" si="17"/>
        <v>0</v>
      </c>
      <c r="I34" s="15">
        <f t="shared" si="17"/>
        <v>0</v>
      </c>
      <c r="J34" s="15">
        <f t="shared" si="17"/>
        <v>0</v>
      </c>
      <c r="K34" s="15">
        <f t="shared" si="17"/>
        <v>0</v>
      </c>
      <c r="L34" s="15">
        <f t="shared" ref="L34:M38" si="18">L33/(L9/1000)</f>
        <v>0</v>
      </c>
      <c r="M34" s="105">
        <f t="shared" si="18"/>
        <v>0</v>
      </c>
    </row>
    <row r="35" spans="1:13" x14ac:dyDescent="0.3">
      <c r="A35" s="673" t="s">
        <v>143</v>
      </c>
      <c r="B35" s="642">
        <v>5979.95</v>
      </c>
      <c r="C35" s="5" t="s">
        <v>126</v>
      </c>
      <c r="D35" s="4">
        <f>Mulanje!M35+Mulanje!N35+Mulanje!O35</f>
        <v>0</v>
      </c>
      <c r="E35" s="4">
        <f>Luchenza!M35+Luchenza!N35+Luchenza!O35</f>
        <v>0</v>
      </c>
      <c r="F35" s="4">
        <f>Thyolo!M35+Thyolo!N35+Thyolo!O35</f>
        <v>182</v>
      </c>
      <c r="G35" s="4">
        <f>Muloza!M35+Muloza!N35+Muloza!O35</f>
        <v>0</v>
      </c>
      <c r="H35" s="4">
        <f>MUST!M35+MUST!N35+MUST!O35</f>
        <v>0</v>
      </c>
      <c r="I35" s="4">
        <f>Phalombe!M35+Phalombe!N35+Phalombe!O35</f>
        <v>0</v>
      </c>
      <c r="J35" s="4">
        <f>Mikolongwe!M35+Mikolongwe!N35+Mikolongwe!O35</f>
        <v>0</v>
      </c>
      <c r="K35" s="4">
        <f>Migowi!M35+Migowi!N35+Migowi!O35</f>
        <v>0</v>
      </c>
      <c r="L35" s="4">
        <f>Nkando!N35+Nkando!O35+Nkando!P35</f>
        <v>0</v>
      </c>
      <c r="M35" s="105">
        <f>SUM(E35:L35)</f>
        <v>182</v>
      </c>
    </row>
    <row r="36" spans="1:13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05">
        <f t="shared" si="18"/>
        <v>1.0989362659232544</v>
      </c>
    </row>
    <row r="37" spans="1:13" x14ac:dyDescent="0.3">
      <c r="A37" s="673" t="s">
        <v>186</v>
      </c>
      <c r="B37" s="642">
        <v>5403.75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32">
        <f>SUM(E37:L37)</f>
        <v>0</v>
      </c>
    </row>
    <row r="38" spans="1:13" x14ac:dyDescent="0.3">
      <c r="A38" s="675"/>
      <c r="B38" s="642"/>
      <c r="C38" s="5" t="s">
        <v>142</v>
      </c>
      <c r="D38" s="15">
        <f t="shared" ref="D38:K38" si="19">D37/(D9/1000)</f>
        <v>0</v>
      </c>
      <c r="E38" s="15">
        <f t="shared" si="19"/>
        <v>0</v>
      </c>
      <c r="F38" s="15">
        <f t="shared" si="19"/>
        <v>0</v>
      </c>
      <c r="G38" s="15">
        <f t="shared" si="19"/>
        <v>0</v>
      </c>
      <c r="H38" s="15">
        <f t="shared" si="19"/>
        <v>0</v>
      </c>
      <c r="I38" s="15">
        <f t="shared" si="19"/>
        <v>0</v>
      </c>
      <c r="J38" s="15">
        <f t="shared" si="19"/>
        <v>0</v>
      </c>
      <c r="K38" s="15">
        <f t="shared" si="19"/>
        <v>0</v>
      </c>
      <c r="L38" s="15">
        <f t="shared" ref="L38" si="20">L37/(L9/1000)</f>
        <v>0</v>
      </c>
      <c r="M38" s="105">
        <f t="shared" si="18"/>
        <v>0</v>
      </c>
    </row>
    <row r="39" spans="1:13" x14ac:dyDescent="0.3">
      <c r="A39" s="673" t="s">
        <v>141</v>
      </c>
      <c r="B39" s="642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32">
        <f>SUM(E39:L39)</f>
        <v>0</v>
      </c>
    </row>
    <row r="40" spans="1:13" x14ac:dyDescent="0.3">
      <c r="A40" s="675"/>
      <c r="B40" s="642"/>
      <c r="C40" s="42" t="s">
        <v>139</v>
      </c>
      <c r="D40" s="15">
        <f t="shared" ref="D40:K40" si="21">D39/(D9/1000)</f>
        <v>0</v>
      </c>
      <c r="E40" s="15">
        <f t="shared" si="21"/>
        <v>0</v>
      </c>
      <c r="F40" s="15">
        <f t="shared" si="21"/>
        <v>0</v>
      </c>
      <c r="G40" s="15">
        <f t="shared" si="21"/>
        <v>0</v>
      </c>
      <c r="H40" s="15">
        <f t="shared" si="21"/>
        <v>0</v>
      </c>
      <c r="I40" s="15">
        <f t="shared" si="21"/>
        <v>0</v>
      </c>
      <c r="J40" s="15">
        <f t="shared" si="21"/>
        <v>0</v>
      </c>
      <c r="K40" s="15">
        <f t="shared" si="21"/>
        <v>0</v>
      </c>
      <c r="L40" s="15">
        <f t="shared" ref="L40:M40" si="22">L39/(L9/1000)</f>
        <v>0</v>
      </c>
      <c r="M40" s="105">
        <f t="shared" si="22"/>
        <v>0</v>
      </c>
    </row>
    <row r="41" spans="1:13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1339257.54</v>
      </c>
      <c r="E41" s="41">
        <f t="shared" ref="E41:K41" si="23">(E29*$B29)+(E31*$B31)+(E33*$B33)+(E35*$B35)+(E37*$B37)+(E39*$B39)</f>
        <v>613400.4</v>
      </c>
      <c r="F41" s="41">
        <f t="shared" si="23"/>
        <v>2253811.66</v>
      </c>
      <c r="G41" s="41">
        <f t="shared" si="23"/>
        <v>138015.09</v>
      </c>
      <c r="H41" s="41">
        <f t="shared" si="23"/>
        <v>219801.81</v>
      </c>
      <c r="I41" s="41">
        <f t="shared" si="23"/>
        <v>368040.24</v>
      </c>
      <c r="J41" s="41">
        <f t="shared" si="23"/>
        <v>40893.360000000001</v>
      </c>
      <c r="K41" s="41">
        <f t="shared" si="23"/>
        <v>30670.02</v>
      </c>
      <c r="L41" s="41">
        <f t="shared" ref="L41" si="24">(L29*$B29)+(L31*$B31)+(L33*$B33)+(L35*$B35)+(L37*$B37)+(L39*$B39)</f>
        <v>20446.68</v>
      </c>
      <c r="M41" s="624">
        <f>SUM(E41:L41)</f>
        <v>3685079.2600000002</v>
      </c>
    </row>
    <row r="42" spans="1:13" x14ac:dyDescent="0.3">
      <c r="A42" s="708" t="s">
        <v>137</v>
      </c>
      <c r="B42" s="709"/>
      <c r="C42" s="42" t="s">
        <v>115</v>
      </c>
      <c r="D42" s="15">
        <f t="shared" ref="D42:K42" si="25">D41/D9</f>
        <v>9.4534269317917126</v>
      </c>
      <c r="E42" s="15">
        <f t="shared" si="25"/>
        <v>12.592904947649354</v>
      </c>
      <c r="F42" s="15">
        <f t="shared" si="25"/>
        <v>31.932724001133469</v>
      </c>
      <c r="G42" s="15">
        <f t="shared" si="25"/>
        <v>4.9615375489808393</v>
      </c>
      <c r="H42" s="15">
        <f t="shared" si="25"/>
        <v>6.7067955329081865</v>
      </c>
      <c r="I42" s="15">
        <f t="shared" si="25"/>
        <v>13.278502002381209</v>
      </c>
      <c r="J42" s="15">
        <f t="shared" si="25"/>
        <v>30.494675615212529</v>
      </c>
      <c r="K42" s="15">
        <f t="shared" si="25"/>
        <v>2.2264987295825773</v>
      </c>
      <c r="L42" s="15">
        <f t="shared" ref="L42:M42" si="26">L41/L9</f>
        <v>1.5904387056627256</v>
      </c>
      <c r="M42" s="625">
        <f t="shared" si="26"/>
        <v>9.7685791463214215</v>
      </c>
    </row>
    <row r="43" spans="1:13" ht="15" thickBot="1" x14ac:dyDescent="0.35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7"/>
    </row>
    <row r="44" spans="1:13" x14ac:dyDescent="0.3">
      <c r="A44" s="661" t="s">
        <v>135</v>
      </c>
      <c r="B44" s="662"/>
      <c r="C44" s="11" t="s">
        <v>134</v>
      </c>
      <c r="D44" s="179">
        <f>Mulanje!M44+Mulanje!N44+Mulanje!O44</f>
        <v>145</v>
      </c>
      <c r="E44" s="179">
        <f>Luchenza!M44+Luchenza!N44+Luchenza!O44</f>
        <v>26396</v>
      </c>
      <c r="F44" s="179">
        <f>Thyolo!M44+Thyolo!N44+Thyolo!O44</f>
        <v>21953</v>
      </c>
      <c r="G44" s="179">
        <f>Muloza!M44+Muloza!N44+Muloza!O44</f>
        <v>26259</v>
      </c>
      <c r="H44" s="179">
        <f>MUST!M44+MUST!N44+MUST!O44</f>
        <v>17043</v>
      </c>
      <c r="I44" s="179">
        <f>Phalombe!M44+Phalombe!N44+Phalombe!O44</f>
        <v>0</v>
      </c>
      <c r="J44" s="179">
        <f>Mikolongwe!M44+Mikolongwe!N44+Mikolongwe!O44</f>
        <v>849</v>
      </c>
      <c r="K44" s="179">
        <f>Migowi!M44+Migowi!N44+Migowi!O44</f>
        <v>3295</v>
      </c>
      <c r="L44" s="179">
        <f>Nkando!N44+Nkando!O44+Nkando!P44</f>
        <v>7378</v>
      </c>
      <c r="M44" s="624">
        <f>SUM(E44:L44)</f>
        <v>103173</v>
      </c>
    </row>
    <row r="45" spans="1:13" ht="16.2" thickBot="1" x14ac:dyDescent="0.35">
      <c r="A45" s="708" t="s">
        <v>133</v>
      </c>
      <c r="B45" s="709"/>
      <c r="C45" s="42" t="s">
        <v>132</v>
      </c>
      <c r="D45" s="15">
        <f t="shared" ref="D45:K45" si="27">D44/D9</f>
        <v>1.0235125539108767E-3</v>
      </c>
      <c r="E45" s="15">
        <f t="shared" si="27"/>
        <v>0.54190104701293373</v>
      </c>
      <c r="F45" s="15">
        <f t="shared" si="27"/>
        <v>0.31103712099744968</v>
      </c>
      <c r="G45" s="15">
        <f t="shared" si="27"/>
        <v>0.94399108458856096</v>
      </c>
      <c r="H45" s="15">
        <f t="shared" si="27"/>
        <v>0.52003173343911147</v>
      </c>
      <c r="I45" s="15">
        <f t="shared" si="27"/>
        <v>0</v>
      </c>
      <c r="J45" s="15">
        <f t="shared" si="27"/>
        <v>0.63310961968680091</v>
      </c>
      <c r="K45" s="15">
        <f t="shared" si="27"/>
        <v>0.23920145190562614</v>
      </c>
      <c r="L45" s="15">
        <f t="shared" ref="L45:M45" si="28">L44/L9</f>
        <v>0.57389545737398884</v>
      </c>
      <c r="M45" s="105">
        <f t="shared" si="28"/>
        <v>0.27349577720166052</v>
      </c>
    </row>
    <row r="46" spans="1:13" x14ac:dyDescent="0.3">
      <c r="A46" s="643" t="s">
        <v>131</v>
      </c>
      <c r="B46" s="644"/>
      <c r="C46" s="5" t="s">
        <v>31</v>
      </c>
      <c r="D46" s="179">
        <f>Mulanje!M46+Mulanje!N46+Mulanje!O46</f>
        <v>69398.467499999999</v>
      </c>
      <c r="E46" s="179">
        <f>Luchenza!M46+Luchenza!N46+Luchenza!O46</f>
        <v>3711764.094</v>
      </c>
      <c r="F46" s="179">
        <f>Thyolo!M46+Thyolo!N46+Thyolo!O46</f>
        <v>3095291.1794999996</v>
      </c>
      <c r="G46" s="179">
        <f>Muloza!M46+Muloza!N46+Muloza!O46</f>
        <v>3692755.1384999994</v>
      </c>
      <c r="H46" s="179">
        <f>MUST!M46+MUST!N46+MUST!O46</f>
        <v>2414021.3144999999</v>
      </c>
      <c r="I46" s="179">
        <f>Phalombe!M46+Phalombe!N46+Phalombe!O46</f>
        <v>49279.5</v>
      </c>
      <c r="J46" s="179">
        <f>Mikolongwe!M46+Mikolongwe!N46+Mikolongwe!O46</f>
        <v>167079.52350000001</v>
      </c>
      <c r="K46" s="179">
        <f>Migowi!M46+Migowi!N46+Migowi!O46</f>
        <v>405021.4</v>
      </c>
      <c r="L46" s="179">
        <f>Nkando!N46+Nkando!O46+Nkando!P46</f>
        <v>1253679.567</v>
      </c>
      <c r="M46" s="624">
        <f>SUM(E46:L46)</f>
        <v>14788891.716999998</v>
      </c>
    </row>
    <row r="47" spans="1:13" s="2" customFormat="1" x14ac:dyDescent="0.3">
      <c r="A47" s="661" t="s">
        <v>130</v>
      </c>
      <c r="B47" s="662"/>
      <c r="C47" s="11" t="s">
        <v>115</v>
      </c>
      <c r="D47" s="15">
        <f t="shared" ref="D47:K47" si="29">D46/D9</f>
        <v>0.48986346695466193</v>
      </c>
      <c r="E47" s="15">
        <f t="shared" si="29"/>
        <v>76.201274769041262</v>
      </c>
      <c r="F47" s="15">
        <f t="shared" si="29"/>
        <v>43.855074801643518</v>
      </c>
      <c r="G47" s="15">
        <f t="shared" si="29"/>
        <v>132.75173952978392</v>
      </c>
      <c r="H47" s="15">
        <f t="shared" si="29"/>
        <v>73.658844612943582</v>
      </c>
      <c r="I47" s="15">
        <f t="shared" si="29"/>
        <v>1.7779521593246022</v>
      </c>
      <c r="J47" s="15">
        <f t="shared" si="29"/>
        <v>124.59323154362417</v>
      </c>
      <c r="K47" s="15">
        <f t="shared" si="29"/>
        <v>29.402642468239566</v>
      </c>
      <c r="L47" s="15">
        <f t="shared" ref="L47:M47" si="30">L46/L9</f>
        <v>97.517078951462352</v>
      </c>
      <c r="M47" s="105">
        <f t="shared" si="30"/>
        <v>39.203080593683559</v>
      </c>
    </row>
    <row r="48" spans="1:13" ht="15" thickBot="1" x14ac:dyDescent="0.35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7"/>
    </row>
    <row r="49" spans="1:13" x14ac:dyDescent="0.3">
      <c r="A49" s="661" t="s">
        <v>128</v>
      </c>
      <c r="B49" s="662"/>
      <c r="C49" s="5" t="s">
        <v>127</v>
      </c>
      <c r="D49" s="183">
        <f>Mulanje!M49+Mulanje!N49+Mulanje!O49</f>
        <v>6410</v>
      </c>
      <c r="E49" s="183">
        <f>Luchenza!M49+Luchenza!N49+Luchenza!O49</f>
        <v>0</v>
      </c>
      <c r="F49" s="183">
        <f>Thyolo!M49+Thyolo!N49+Thyolo!O49</f>
        <v>4406.8</v>
      </c>
      <c r="G49" s="183">
        <f>Muloza!M49+Muloza!N49+Muloza!O49</f>
        <v>6457</v>
      </c>
      <c r="H49" s="183">
        <f>MUST!M49+MUST!N49+MUST!O49</f>
        <v>4960</v>
      </c>
      <c r="I49" s="183">
        <f>Phalombe!M49+Phalombe!N49+Phalombe!O49</f>
        <v>0</v>
      </c>
      <c r="J49" s="183">
        <f>Mikolongwe!M49+Mikolongwe!N49+Mikolongwe!O49</f>
        <v>0</v>
      </c>
      <c r="K49" s="183">
        <f>Migowi!M49+Migowi!N49+Migowi!O49</f>
        <v>0</v>
      </c>
      <c r="L49" s="183">
        <f>Nkando!N49+Nkando!O49+Nkando!P49</f>
        <v>210</v>
      </c>
      <c r="M49" s="624">
        <f>SUM(E49:L49)</f>
        <v>16033.8</v>
      </c>
    </row>
    <row r="50" spans="1:13" x14ac:dyDescent="0.3">
      <c r="A50" s="661" t="s">
        <v>187</v>
      </c>
      <c r="B50" s="662"/>
      <c r="C50" s="5" t="s">
        <v>126</v>
      </c>
      <c r="D50" s="26">
        <f>Mulanje!M50+Mulanje!N50+Mulanje!O50</f>
        <v>528</v>
      </c>
      <c r="E50" s="26">
        <f>Luchenza!M50+Luchenza!N50+Luchenza!O50</f>
        <v>0</v>
      </c>
      <c r="F50" s="26">
        <f>Thyolo!M50+Thyolo!N50+Thyolo!O50</f>
        <v>473.40821917808216</v>
      </c>
      <c r="G50" s="26">
        <f>Muloza!M50+Muloza!N50+Muloza!O50</f>
        <v>565</v>
      </c>
      <c r="H50" s="26">
        <f>MUST!M50+MUST!N50+MUST!O50</f>
        <v>230</v>
      </c>
      <c r="I50" s="26">
        <f>Phalombe!M50+Phalombe!N50+Phalombe!O50</f>
        <v>0</v>
      </c>
      <c r="J50" s="26">
        <f>Mikolongwe!M50+Mikolongwe!N50+Mikolongwe!O50</f>
        <v>0</v>
      </c>
      <c r="K50" s="26">
        <f>Migowi!M50+Migowi!N50+Migowi!O50</f>
        <v>0</v>
      </c>
      <c r="L50" s="26">
        <f>Nkando!N50+Nkando!O50+Nkando!P50</f>
        <v>7</v>
      </c>
      <c r="M50" s="624">
        <f>SUM(E50:L50)</f>
        <v>1275.4082191780822</v>
      </c>
    </row>
    <row r="51" spans="1:13" x14ac:dyDescent="0.3">
      <c r="A51" s="643" t="s">
        <v>125</v>
      </c>
      <c r="B51" s="644"/>
      <c r="C51" s="5" t="s">
        <v>31</v>
      </c>
      <c r="D51" s="4">
        <f>Mulanje!M51+Mulanje!N51+Mulanje!O51</f>
        <v>1443169.2400000002</v>
      </c>
      <c r="E51" s="4">
        <f>Luchenza!M51+Luchenza!N51+Luchenza!O51</f>
        <v>0</v>
      </c>
      <c r="F51" s="4">
        <f>Thyolo!M51+Thyolo!N51+Thyolo!O51</f>
        <v>1294298.0712328767</v>
      </c>
      <c r="G51" s="4">
        <f>Muloza!M51+Muloza!N51+Muloza!O51</f>
        <v>1545940.2999999998</v>
      </c>
      <c r="H51" s="4">
        <f>MUST!M51+MUST!N51+MUST!O51</f>
        <v>601740</v>
      </c>
      <c r="I51" s="4">
        <f>Phalombe!M51+Phalombe!N51+Phalombe!O51</f>
        <v>0</v>
      </c>
      <c r="J51" s="4">
        <f>Mikolongwe!M51+Mikolongwe!N51+Mikolongwe!O51</f>
        <v>0</v>
      </c>
      <c r="K51" s="4">
        <f>Migowi!M51+Migowi!N51+Migowi!O51</f>
        <v>0</v>
      </c>
      <c r="L51" s="4">
        <f>Nkando!N51+Nkando!O51+Nkando!P51</f>
        <v>17710</v>
      </c>
      <c r="M51" s="55">
        <f>SUM(E51:L51)</f>
        <v>3459688.3712328766</v>
      </c>
    </row>
    <row r="52" spans="1:13" x14ac:dyDescent="0.3">
      <c r="A52" s="661" t="s">
        <v>124</v>
      </c>
      <c r="B52" s="662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55">
        <f>SUM(E52:L52)</f>
        <v>0</v>
      </c>
    </row>
    <row r="53" spans="1:13" ht="14.4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7"/>
    </row>
    <row r="54" spans="1:13" x14ac:dyDescent="0.3">
      <c r="A54" s="661" t="s">
        <v>122</v>
      </c>
      <c r="B54" s="662"/>
      <c r="C54" s="11" t="s">
        <v>18</v>
      </c>
      <c r="D54" s="26">
        <f>Mulanje!M54+Mulanje!N54+Mulanje!O54</f>
        <v>22362746.210000001</v>
      </c>
      <c r="E54" s="26">
        <f>Luchenza!M54+Luchenza!N54+Luchenza!O54</f>
        <v>10797561.629999999</v>
      </c>
      <c r="F54" s="26">
        <f>Thyolo!M54+Thyolo!N54+Thyolo!O54</f>
        <v>20838078.399999999</v>
      </c>
      <c r="G54" s="26">
        <f>Muloza!M54+Muloza!N54+Muloza!O54</f>
        <v>11542206.294</v>
      </c>
      <c r="H54" s="26">
        <f>MUST!M54+MUST!N54+MUST!O54</f>
        <v>3469247.92</v>
      </c>
      <c r="I54" s="26">
        <f>Phalombe!M54+Phalombe!N54+Phalombe!O54</f>
        <v>9599828.6699999999</v>
      </c>
      <c r="J54" s="26">
        <f>Mikolongwe!M54+Mikolongwe!N54+Mikolongwe!O54</f>
        <v>0</v>
      </c>
      <c r="K54" s="26">
        <f>Migowi!M54+Migowi!N54+Migowi!O54</f>
        <v>0</v>
      </c>
      <c r="L54" s="26">
        <f>Nkando!N54+Nkando!O54+Nkando!P54</f>
        <v>1799438.65</v>
      </c>
      <c r="M54" s="624">
        <f>SUM(E54:L54)</f>
        <v>58046361.564000003</v>
      </c>
    </row>
    <row r="55" spans="1:13" x14ac:dyDescent="0.3">
      <c r="A55" s="208" t="s">
        <v>121</v>
      </c>
      <c r="B55" s="209"/>
      <c r="C55" s="11" t="s">
        <v>18</v>
      </c>
      <c r="D55" s="26">
        <f>Mulanje!M55+Mulanje!N55+Mulanje!O55</f>
        <v>3655440.5999999996</v>
      </c>
      <c r="E55" s="26">
        <f>Luchenza!M55+Luchenza!N55+Luchenza!O55</f>
        <v>2545974.6274999999</v>
      </c>
      <c r="F55" s="26">
        <f>Thyolo!M55+Thyolo!N55+Thyolo!O55</f>
        <v>5518513.5999999996</v>
      </c>
      <c r="G55" s="26">
        <f>Muloza!M55+Muloza!N55+Muloza!O55</f>
        <v>1797577.7799999998</v>
      </c>
      <c r="H55" s="26">
        <f>MUST!M55+MUST!N55+MUST!O55</f>
        <v>1188811.2</v>
      </c>
      <c r="I55" s="26">
        <f>Phalombe!M55+Phalombe!N55+Phalombe!O55</f>
        <v>1374853.8399999999</v>
      </c>
      <c r="J55" s="26">
        <f>Mikolongwe!M55+Mikolongwe!N55+Mikolongwe!O55</f>
        <v>359843</v>
      </c>
      <c r="K55" s="26">
        <f>Migowi!M55+Migowi!N55+Migowi!O55</f>
        <v>228767.88</v>
      </c>
      <c r="L55" s="26">
        <f>Nkando!N55+Nkando!O55+Nkando!P55</f>
        <v>160000</v>
      </c>
      <c r="M55" s="624">
        <f>SUM(E55:L55)</f>
        <v>13174341.927499998</v>
      </c>
    </row>
    <row r="56" spans="1:13" x14ac:dyDescent="0.3">
      <c r="A56" s="661" t="s">
        <v>120</v>
      </c>
      <c r="B56" s="662"/>
      <c r="C56" s="5" t="s">
        <v>18</v>
      </c>
      <c r="D56" s="26">
        <f>Mulanje!M56+Mulanje!N56+Mulanje!O56</f>
        <v>1372795.2</v>
      </c>
      <c r="E56" s="26">
        <f>Luchenza!M56+Luchenza!N56+Luchenza!O56</f>
        <v>927883.04</v>
      </c>
      <c r="F56" s="26">
        <f>Thyolo!M56+Thyolo!N56+Thyolo!O56</f>
        <v>1577801.9075555557</v>
      </c>
      <c r="G56" s="26">
        <f>Muloza!M56+Muloza!N56+Muloza!O56</f>
        <v>930159.77555555559</v>
      </c>
      <c r="H56" s="26">
        <f>MUST!M56+MUST!N56+MUST!O56</f>
        <v>201000</v>
      </c>
      <c r="I56" s="26">
        <f>Phalombe!M56+Phalombe!N56+Phalombe!O56</f>
        <v>269592.87233333336</v>
      </c>
      <c r="J56" s="26">
        <f>Mikolongwe!M56+Mikolongwe!N56+Mikolongwe!O56</f>
        <v>30000</v>
      </c>
      <c r="K56" s="26">
        <f>Migowi!M56+Migowi!N56+Migowi!O56</f>
        <v>188053.72750000001</v>
      </c>
      <c r="L56" s="26">
        <f>Nkando!N56+Nkando!O56+Nkando!P56</f>
        <v>560000</v>
      </c>
      <c r="M56" s="624">
        <f>SUM(E56:L56)</f>
        <v>4684491.3229444455</v>
      </c>
    </row>
    <row r="57" spans="1:13" ht="14.4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7"/>
    </row>
    <row r="58" spans="1:13" x14ac:dyDescent="0.3">
      <c r="A58" s="643" t="s">
        <v>118</v>
      </c>
      <c r="B58" s="644"/>
      <c r="C58" s="5" t="s">
        <v>18</v>
      </c>
      <c r="D58" s="13">
        <f>D41+D46+D51+D52+D54+D55+D56</f>
        <v>30242807.257500004</v>
      </c>
      <c r="E58" s="13">
        <f t="shared" ref="E58:K58" si="31">E41+E46+E51+E52+E54+E55+E56</f>
        <v>18596583.791499998</v>
      </c>
      <c r="F58" s="13">
        <f t="shared" si="31"/>
        <v>34577794.818288431</v>
      </c>
      <c r="G58" s="13">
        <f t="shared" si="31"/>
        <v>19646654.378055554</v>
      </c>
      <c r="H58" s="13">
        <f t="shared" si="31"/>
        <v>8094622.2445</v>
      </c>
      <c r="I58" s="13">
        <f t="shared" si="31"/>
        <v>11661595.122333333</v>
      </c>
      <c r="J58" s="13">
        <f t="shared" si="31"/>
        <v>597815.8835</v>
      </c>
      <c r="K58" s="13">
        <f t="shared" si="31"/>
        <v>852513.02750000008</v>
      </c>
      <c r="L58" s="13">
        <f t="shared" ref="L58" si="32">L41+L46+L51+L52+L54+L55+L56</f>
        <v>3811274.8969999999</v>
      </c>
      <c r="M58" s="626">
        <f>SUM(E58:L58)</f>
        <v>97838854.162677318</v>
      </c>
    </row>
    <row r="59" spans="1:13" x14ac:dyDescent="0.3">
      <c r="A59" s="643" t="s">
        <v>117</v>
      </c>
      <c r="B59" s="644"/>
      <c r="C59" s="5" t="s">
        <v>115</v>
      </c>
      <c r="D59" s="15">
        <f t="shared" ref="D59:K59" si="33">D58/D9</f>
        <v>213.47512340384984</v>
      </c>
      <c r="E59" s="15">
        <f t="shared" si="33"/>
        <v>381.78164219872713</v>
      </c>
      <c r="F59" s="15">
        <f t="shared" si="33"/>
        <v>489.90924933817553</v>
      </c>
      <c r="G59" s="15">
        <f t="shared" si="33"/>
        <v>706.2822870207267</v>
      </c>
      <c r="H59" s="15">
        <f t="shared" si="33"/>
        <v>246.9905789674427</v>
      </c>
      <c r="I59" s="15">
        <f t="shared" si="33"/>
        <v>420.7379991461317</v>
      </c>
      <c r="J59" s="15">
        <f t="shared" si="33"/>
        <v>445.79857084265473</v>
      </c>
      <c r="K59" s="15">
        <f t="shared" si="33"/>
        <v>61.888423049001823</v>
      </c>
      <c r="L59" s="15">
        <f t="shared" ref="L59:M59" si="34">L58/L9</f>
        <v>296.45884388612319</v>
      </c>
      <c r="M59" s="105">
        <f t="shared" si="34"/>
        <v>259.3557758303175</v>
      </c>
    </row>
    <row r="60" spans="1:13" x14ac:dyDescent="0.3">
      <c r="A60" s="643" t="s">
        <v>116</v>
      </c>
      <c r="B60" s="644"/>
      <c r="C60" s="5" t="s">
        <v>115</v>
      </c>
      <c r="D60" s="15">
        <f>D58/D22</f>
        <v>258.98712598502743</v>
      </c>
      <c r="E60" s="15">
        <f t="shared" ref="E60:K60" si="35">E58/E22</f>
        <v>530.13437645029785</v>
      </c>
      <c r="F60" s="15">
        <f t="shared" si="35"/>
        <v>999.76276002684415</v>
      </c>
      <c r="G60" s="15">
        <f t="shared" si="35"/>
        <v>971.17873117523015</v>
      </c>
      <c r="H60" s="15">
        <f t="shared" si="35"/>
        <v>280.60242187310428</v>
      </c>
      <c r="I60" s="15">
        <f t="shared" si="35"/>
        <v>595.52625484288285</v>
      </c>
      <c r="J60" s="15">
        <f t="shared" si="35"/>
        <v>580.29109250630938</v>
      </c>
      <c r="K60" s="15">
        <f t="shared" si="35"/>
        <v>70.144320453853567</v>
      </c>
      <c r="L60" s="15">
        <f t="shared" ref="L60" si="36">L58/L22</f>
        <v>357.09499643961396</v>
      </c>
      <c r="M60" s="105">
        <f>M58/M22</f>
        <v>350.73434667498339</v>
      </c>
    </row>
    <row r="61" spans="1:13" x14ac:dyDescent="0.3">
      <c r="A61" s="661" t="s">
        <v>114</v>
      </c>
      <c r="B61" s="662"/>
      <c r="C61" s="5" t="s">
        <v>3</v>
      </c>
      <c r="D61" s="4"/>
      <c r="E61" s="4"/>
      <c r="F61" s="4"/>
      <c r="G61" s="4"/>
      <c r="H61" s="4"/>
      <c r="I61" s="4"/>
      <c r="J61" s="4"/>
      <c r="K61" s="4"/>
      <c r="L61" s="4"/>
      <c r="M61" s="624">
        <f>SUM(E61:L61)</f>
        <v>0</v>
      </c>
    </row>
    <row r="62" spans="1:13" ht="15.6" customHeight="1" x14ac:dyDescent="0.3">
      <c r="A62" s="643" t="s">
        <v>113</v>
      </c>
      <c r="B62" s="644"/>
      <c r="C62" s="5" t="s">
        <v>112</v>
      </c>
      <c r="D62" s="15">
        <f t="shared" ref="D62:K62" si="37">(D61*1000*31)/D9</f>
        <v>0</v>
      </c>
      <c r="E62" s="15">
        <f t="shared" si="37"/>
        <v>0</v>
      </c>
      <c r="F62" s="15">
        <f t="shared" si="37"/>
        <v>0</v>
      </c>
      <c r="G62" s="15">
        <f t="shared" si="37"/>
        <v>0</v>
      </c>
      <c r="H62" s="15">
        <f t="shared" si="37"/>
        <v>0</v>
      </c>
      <c r="I62" s="15">
        <f t="shared" si="37"/>
        <v>0</v>
      </c>
      <c r="J62" s="15">
        <f t="shared" si="37"/>
        <v>0</v>
      </c>
      <c r="K62" s="15">
        <f t="shared" si="37"/>
        <v>0</v>
      </c>
      <c r="L62" s="15">
        <f t="shared" ref="L62:M62" si="38">(L61*1000*31)/L9</f>
        <v>0</v>
      </c>
      <c r="M62" s="26">
        <f t="shared" si="38"/>
        <v>0</v>
      </c>
    </row>
    <row r="63" spans="1:13" x14ac:dyDescent="0.3">
      <c r="A63" s="700" t="s">
        <v>111</v>
      </c>
      <c r="B63" s="701"/>
      <c r="C63" s="38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624">
        <f>SUM(E63:L63)</f>
        <v>0</v>
      </c>
    </row>
    <row r="64" spans="1:13" ht="14.4" x14ac:dyDescent="0.3">
      <c r="A64" s="735"/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6"/>
      <c r="M64" s="737"/>
    </row>
    <row r="65" spans="1:13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7"/>
    </row>
    <row r="66" spans="1:13" x14ac:dyDescent="0.3">
      <c r="A66" s="688" t="s">
        <v>109</v>
      </c>
      <c r="B66" s="37" t="s">
        <v>85</v>
      </c>
      <c r="C66" s="5" t="s">
        <v>3</v>
      </c>
      <c r="D66" s="34">
        <f>Mulanje!M66</f>
        <v>463</v>
      </c>
      <c r="E66" s="34">
        <f>Luchenza!M66</f>
        <v>46</v>
      </c>
      <c r="F66" s="34">
        <f>Thyolo!M66</f>
        <v>14</v>
      </c>
      <c r="G66" s="34">
        <f>Muloza!M66</f>
        <v>123</v>
      </c>
      <c r="H66" s="34">
        <f>MUST!M66</f>
        <v>6</v>
      </c>
      <c r="I66" s="34">
        <f>Phalombe!M66</f>
        <v>45</v>
      </c>
      <c r="J66" s="34">
        <f>Mikolongwe!M66</f>
        <v>0</v>
      </c>
      <c r="K66" s="34">
        <f>Migowi!M66</f>
        <v>0</v>
      </c>
      <c r="L66" s="34">
        <f>Nkando!N66</f>
        <v>1</v>
      </c>
      <c r="M66" s="203">
        <f>SUM(E66:L66)</f>
        <v>235</v>
      </c>
    </row>
    <row r="67" spans="1:13" x14ac:dyDescent="0.3">
      <c r="A67" s="689"/>
      <c r="B67" s="24" t="s">
        <v>104</v>
      </c>
      <c r="C67" s="5" t="s">
        <v>3</v>
      </c>
      <c r="D67" s="26">
        <f>Mulanje!M67+Mulanje!N67+Mulanje!O67</f>
        <v>49</v>
      </c>
      <c r="E67" s="26">
        <f>Luchenza!M67+Luchenza!N67+Luchenza!O67</f>
        <v>33</v>
      </c>
      <c r="F67" s="26">
        <f>Thyolo!M67+Thyolo!N67+Thyolo!O67</f>
        <v>20</v>
      </c>
      <c r="G67" s="26">
        <f>Muloza!M67+Muloza!N67+Muloza!O67</f>
        <v>38</v>
      </c>
      <c r="H67" s="26">
        <f>MUST!M67+MUST!N67+MUST!O67</f>
        <v>7</v>
      </c>
      <c r="I67" s="26">
        <f>Phalombe!M67+Phalombe!N67+Phalombe!O67</f>
        <v>4</v>
      </c>
      <c r="J67" s="26">
        <f>Mikolongwe!M67+Mikolongwe!N67+Mikolongwe!O67</f>
        <v>0</v>
      </c>
      <c r="K67" s="26">
        <f>Migowi!M67+Migowi!N67+Migowi!O67</f>
        <v>0</v>
      </c>
      <c r="L67" s="26">
        <f>Nkando!N67+Nkando!O67+Nkando!P67</f>
        <v>0</v>
      </c>
      <c r="M67" s="203">
        <f>SUM(E67:L67)</f>
        <v>102</v>
      </c>
    </row>
    <row r="68" spans="1:13" ht="27" x14ac:dyDescent="0.3">
      <c r="A68" s="689"/>
      <c r="B68" s="24" t="s">
        <v>103</v>
      </c>
      <c r="C68" s="5" t="s">
        <v>3</v>
      </c>
      <c r="D68" s="26">
        <f>Mulanje!M68+Mulanje!N68+Mulanje!O68</f>
        <v>52</v>
      </c>
      <c r="E68" s="26">
        <f>Luchenza!M68+Luchenza!N68+Luchenza!O68</f>
        <v>34</v>
      </c>
      <c r="F68" s="26">
        <f>Thyolo!M68+Thyolo!N68+Thyolo!O68</f>
        <v>31</v>
      </c>
      <c r="G68" s="26">
        <f>Muloza!M68+Muloza!N68+Muloza!O68</f>
        <v>34</v>
      </c>
      <c r="H68" s="26">
        <f>MUST!M68+MUST!N68+MUST!O68</f>
        <v>8</v>
      </c>
      <c r="I68" s="26">
        <f>Phalombe!M68+Phalombe!N68+Phalombe!O68</f>
        <v>4</v>
      </c>
      <c r="J68" s="26">
        <f>Mikolongwe!M68+Mikolongwe!N68+Mikolongwe!O68</f>
        <v>0</v>
      </c>
      <c r="K68" s="26">
        <f>Migowi!M68+Migowi!N68+Migowi!O68</f>
        <v>0</v>
      </c>
      <c r="L68" s="26">
        <f>Nkando!N68+Nkando!O68+Nkando!P68</f>
        <v>0</v>
      </c>
      <c r="M68" s="203">
        <f>SUM(E68:L68)</f>
        <v>111</v>
      </c>
    </row>
    <row r="69" spans="1:13" s="2" customFormat="1" ht="27" x14ac:dyDescent="0.3">
      <c r="A69" s="689"/>
      <c r="B69" s="24" t="s">
        <v>102</v>
      </c>
      <c r="C69" s="11" t="s">
        <v>3</v>
      </c>
      <c r="D69" s="26">
        <f>Mulanje!M69+Mulanje!N69+Mulanje!O69</f>
        <v>1</v>
      </c>
      <c r="E69" s="26">
        <f>Luchenza!M69+Luchenza!N69+Luchenza!O69</f>
        <v>0</v>
      </c>
      <c r="F69" s="26">
        <f>Thyolo!M69+Thyolo!N69+Thyolo!O69</f>
        <v>1</v>
      </c>
      <c r="G69" s="26">
        <f>Muloza!M69+Muloza!N69+Muloza!O69</f>
        <v>0</v>
      </c>
      <c r="H69" s="26">
        <f>MUST!M69+MUST!N69+MUST!O69</f>
        <v>0</v>
      </c>
      <c r="I69" s="26">
        <f>Phalombe!M69+Phalombe!N69+Phalombe!O69</f>
        <v>0</v>
      </c>
      <c r="J69" s="26">
        <f>Mikolongwe!M69+Mikolongwe!N69+Mikolongwe!O69</f>
        <v>0</v>
      </c>
      <c r="K69" s="26">
        <f>Migowi!M69+Migowi!N69+Migowi!O69</f>
        <v>0</v>
      </c>
      <c r="L69" s="26">
        <f>Nkando!N69+Nkando!O69+Nkando!P69</f>
        <v>0</v>
      </c>
      <c r="M69" s="624">
        <f>SUM(E69:L69)</f>
        <v>1</v>
      </c>
    </row>
    <row r="70" spans="1:13" s="2" customFormat="1" x14ac:dyDescent="0.3">
      <c r="A70" s="689"/>
      <c r="B70" s="24" t="s">
        <v>188</v>
      </c>
      <c r="C70" s="11" t="s">
        <v>3</v>
      </c>
      <c r="D70" s="4">
        <f>D68+D69</f>
        <v>53</v>
      </c>
      <c r="E70" s="4">
        <f t="shared" ref="E70:K70" si="39">E68+E69</f>
        <v>34</v>
      </c>
      <c r="F70" s="4">
        <f t="shared" si="39"/>
        <v>32</v>
      </c>
      <c r="G70" s="4">
        <f t="shared" si="39"/>
        <v>34</v>
      </c>
      <c r="H70" s="4">
        <f t="shared" si="39"/>
        <v>8</v>
      </c>
      <c r="I70" s="4">
        <f t="shared" si="39"/>
        <v>4</v>
      </c>
      <c r="J70" s="4">
        <f t="shared" si="39"/>
        <v>0</v>
      </c>
      <c r="K70" s="4">
        <f t="shared" si="39"/>
        <v>0</v>
      </c>
      <c r="L70" s="4">
        <f t="shared" ref="L70:M70" si="40">L68+L69</f>
        <v>0</v>
      </c>
      <c r="M70" s="104">
        <f t="shared" si="40"/>
        <v>112</v>
      </c>
    </row>
    <row r="71" spans="1:13" x14ac:dyDescent="0.3">
      <c r="A71" s="690"/>
      <c r="B71" s="37" t="s">
        <v>81</v>
      </c>
      <c r="C71" s="5" t="s">
        <v>3</v>
      </c>
      <c r="D71" s="34">
        <f>D66+D67-D70</f>
        <v>459</v>
      </c>
      <c r="E71" s="34">
        <f t="shared" ref="E71:K71" si="41">E66+E67-E70</f>
        <v>45</v>
      </c>
      <c r="F71" s="34">
        <f t="shared" si="41"/>
        <v>2</v>
      </c>
      <c r="G71" s="34">
        <f t="shared" si="41"/>
        <v>127</v>
      </c>
      <c r="H71" s="34">
        <f t="shared" si="41"/>
        <v>5</v>
      </c>
      <c r="I71" s="34">
        <f t="shared" si="41"/>
        <v>45</v>
      </c>
      <c r="J71" s="34">
        <f t="shared" si="41"/>
        <v>0</v>
      </c>
      <c r="K71" s="34">
        <f t="shared" si="41"/>
        <v>0</v>
      </c>
      <c r="L71" s="34">
        <f t="shared" ref="L71" si="42">L66+L67-L70</f>
        <v>1</v>
      </c>
      <c r="M71" s="55">
        <f>M66+M67-M70</f>
        <v>225</v>
      </c>
    </row>
    <row r="72" spans="1:13" x14ac:dyDescent="0.3">
      <c r="A72" s="688" t="s">
        <v>108</v>
      </c>
      <c r="B72" s="37" t="s">
        <v>85</v>
      </c>
      <c r="C72" s="5" t="s">
        <v>3</v>
      </c>
      <c r="D72" s="34">
        <f>Mulanje!M72</f>
        <v>0</v>
      </c>
      <c r="E72" s="34">
        <f>Luchenza!M72</f>
        <v>1</v>
      </c>
      <c r="F72" s="34">
        <f>Thyolo!M72</f>
        <v>0</v>
      </c>
      <c r="G72" s="34">
        <f>Muloza!M72</f>
        <v>0</v>
      </c>
      <c r="H72" s="34">
        <f>MUST!M72</f>
        <v>0</v>
      </c>
      <c r="I72" s="34">
        <f>Phalombe!M72</f>
        <v>0</v>
      </c>
      <c r="J72" s="34">
        <f>Mikolongwe!M72</f>
        <v>0</v>
      </c>
      <c r="K72" s="34">
        <f>Migowi!M72</f>
        <v>0</v>
      </c>
      <c r="L72" s="34">
        <f>Nkando!N72</f>
        <v>0</v>
      </c>
      <c r="M72" s="203">
        <f>SUM(E72:L72)</f>
        <v>1</v>
      </c>
    </row>
    <row r="73" spans="1:13" x14ac:dyDescent="0.3">
      <c r="A73" s="689"/>
      <c r="B73" s="24" t="s">
        <v>104</v>
      </c>
      <c r="C73" s="5" t="s">
        <v>3</v>
      </c>
      <c r="D73" s="26">
        <f>Mulanje!M73+Mulanje!N73+Mulanje!O73</f>
        <v>0</v>
      </c>
      <c r="E73" s="26">
        <f>Luchenza!M73+Luchenza!N73+Luchenza!O73</f>
        <v>0</v>
      </c>
      <c r="F73" s="26">
        <f>Thyolo!M73+Thyolo!N73+Thyolo!O73</f>
        <v>0</v>
      </c>
      <c r="G73" s="26">
        <f>Muloza!M73+Muloza!N73+Muloza!O73</f>
        <v>1</v>
      </c>
      <c r="H73" s="26">
        <f>MUST!M73+MUST!N73+MUST!O73</f>
        <v>0</v>
      </c>
      <c r="I73" s="26">
        <f>Phalombe!M73+Phalombe!N73+Phalombe!O73</f>
        <v>0</v>
      </c>
      <c r="J73" s="26">
        <f>Mikolongwe!M73+Mikolongwe!N73+Mikolongwe!O73</f>
        <v>0</v>
      </c>
      <c r="K73" s="26">
        <f>Migowi!M73+Migowi!N73+Migowi!O73</f>
        <v>0</v>
      </c>
      <c r="L73" s="26">
        <f>Nkando!N73+Nkando!O73+Nkando!P73</f>
        <v>0</v>
      </c>
      <c r="M73" s="203">
        <f>SUM(E73:L73)</f>
        <v>1</v>
      </c>
    </row>
    <row r="74" spans="1:13" ht="27" x14ac:dyDescent="0.3">
      <c r="A74" s="689"/>
      <c r="B74" s="24" t="s">
        <v>103</v>
      </c>
      <c r="C74" s="5" t="s">
        <v>3</v>
      </c>
      <c r="D74" s="26">
        <f>Mulanje!M74+Mulanje!N74+Mulanje!O74</f>
        <v>0</v>
      </c>
      <c r="E74" s="26">
        <f>Luchenza!M74+Luchenza!N74+Luchenza!O74</f>
        <v>1</v>
      </c>
      <c r="F74" s="26">
        <f>Thyolo!M74+Thyolo!N74+Thyolo!O74</f>
        <v>0</v>
      </c>
      <c r="G74" s="26">
        <f>Muloza!M74+Muloza!N74+Muloza!O74</f>
        <v>1</v>
      </c>
      <c r="H74" s="26">
        <f>MUST!M74+MUST!N74+MUST!O74</f>
        <v>0</v>
      </c>
      <c r="I74" s="26">
        <f>Phalombe!M74+Phalombe!N74+Phalombe!O74</f>
        <v>0</v>
      </c>
      <c r="J74" s="26">
        <f>Mikolongwe!M74+Mikolongwe!N74+Mikolongwe!O74</f>
        <v>0</v>
      </c>
      <c r="K74" s="26">
        <f>Migowi!M74+Migowi!N74+Migowi!O74</f>
        <v>0</v>
      </c>
      <c r="L74" s="26">
        <f>Nkando!N74+Nkando!O74+Nkando!P74</f>
        <v>0</v>
      </c>
      <c r="M74" s="203">
        <f>SUM(E74:L74)</f>
        <v>2</v>
      </c>
    </row>
    <row r="75" spans="1:13" s="2" customFormat="1" ht="27" x14ac:dyDescent="0.3">
      <c r="A75" s="689"/>
      <c r="B75" s="24" t="s">
        <v>102</v>
      </c>
      <c r="C75" s="11" t="s">
        <v>3</v>
      </c>
      <c r="D75" s="26">
        <f>Mulanje!M75+Mulanje!N75+Mulanje!O75</f>
        <v>0</v>
      </c>
      <c r="E75" s="26">
        <f>Luchenza!M75+Luchenza!N75+Luchenza!O75</f>
        <v>0</v>
      </c>
      <c r="F75" s="26">
        <f>Thyolo!M75+Thyolo!N75+Thyolo!O75</f>
        <v>0</v>
      </c>
      <c r="G75" s="26">
        <f>Muloza!M75+Muloza!N75+Muloza!O75</f>
        <v>0</v>
      </c>
      <c r="H75" s="26">
        <f>MUST!M75+MUST!N75+MUST!O75</f>
        <v>0</v>
      </c>
      <c r="I75" s="26">
        <f>Phalombe!M75+Phalombe!N75+Phalombe!O75</f>
        <v>0</v>
      </c>
      <c r="J75" s="26">
        <f>Mikolongwe!M75+Mikolongwe!N75+Mikolongwe!O75</f>
        <v>0</v>
      </c>
      <c r="K75" s="26">
        <f>Migowi!M75+Migowi!N75+Migowi!O75</f>
        <v>0</v>
      </c>
      <c r="L75" s="26">
        <f>Nkando!N75+Nkando!O75+Nkando!P75</f>
        <v>0</v>
      </c>
      <c r="M75" s="203">
        <f>SUM(E75:L75)</f>
        <v>0</v>
      </c>
    </row>
    <row r="76" spans="1:13" s="2" customFormat="1" x14ac:dyDescent="0.3">
      <c r="A76" s="689"/>
      <c r="B76" s="24" t="s">
        <v>188</v>
      </c>
      <c r="C76" s="11" t="s">
        <v>3</v>
      </c>
      <c r="D76" s="4">
        <f>D74+D75</f>
        <v>0</v>
      </c>
      <c r="E76" s="4">
        <f t="shared" ref="E76:K76" si="43">E74+E75</f>
        <v>1</v>
      </c>
      <c r="F76" s="4">
        <f t="shared" si="43"/>
        <v>0</v>
      </c>
      <c r="G76" s="4">
        <f t="shared" si="43"/>
        <v>1</v>
      </c>
      <c r="H76" s="4">
        <f t="shared" si="43"/>
        <v>0</v>
      </c>
      <c r="I76" s="4">
        <f t="shared" si="43"/>
        <v>0</v>
      </c>
      <c r="J76" s="4">
        <f t="shared" si="43"/>
        <v>0</v>
      </c>
      <c r="K76" s="4">
        <f t="shared" si="43"/>
        <v>0</v>
      </c>
      <c r="L76" s="4">
        <f t="shared" ref="L76:M76" si="44">L74+L75</f>
        <v>0</v>
      </c>
      <c r="M76" s="104">
        <f t="shared" si="44"/>
        <v>2</v>
      </c>
    </row>
    <row r="77" spans="1:13" x14ac:dyDescent="0.3">
      <c r="A77" s="690"/>
      <c r="B77" s="37" t="s">
        <v>81</v>
      </c>
      <c r="C77" s="5" t="s">
        <v>3</v>
      </c>
      <c r="D77" s="34">
        <f>D72+D73-D76</f>
        <v>0</v>
      </c>
      <c r="E77" s="34">
        <f t="shared" ref="E77:K77" si="45">E72+E73-E76</f>
        <v>0</v>
      </c>
      <c r="F77" s="34">
        <f t="shared" si="45"/>
        <v>0</v>
      </c>
      <c r="G77" s="34">
        <f t="shared" si="45"/>
        <v>0</v>
      </c>
      <c r="H77" s="34">
        <f t="shared" si="45"/>
        <v>0</v>
      </c>
      <c r="I77" s="34">
        <f t="shared" si="45"/>
        <v>0</v>
      </c>
      <c r="J77" s="34">
        <f t="shared" si="45"/>
        <v>0</v>
      </c>
      <c r="K77" s="34">
        <f t="shared" si="45"/>
        <v>0</v>
      </c>
      <c r="L77" s="34">
        <f t="shared" ref="L77" si="46">L72+L73-L76</f>
        <v>0</v>
      </c>
      <c r="M77" s="105">
        <f t="shared" ref="M77" si="47">M73+M74-M76</f>
        <v>1</v>
      </c>
    </row>
    <row r="78" spans="1:13" ht="15.6" customHeight="1" x14ac:dyDescent="0.3">
      <c r="A78" s="688" t="s">
        <v>107</v>
      </c>
      <c r="B78" s="37" t="s">
        <v>85</v>
      </c>
      <c r="C78" s="5" t="s">
        <v>3</v>
      </c>
      <c r="D78" s="34">
        <f>Mulanje!M78</f>
        <v>0</v>
      </c>
      <c r="E78" s="34">
        <f>Luchenza!M78</f>
        <v>0</v>
      </c>
      <c r="F78" s="34">
        <f>Thyolo!M78</f>
        <v>0</v>
      </c>
      <c r="G78" s="34">
        <f>Muloza!M78</f>
        <v>1</v>
      </c>
      <c r="H78" s="34">
        <f>MUST!M78</f>
        <v>0</v>
      </c>
      <c r="I78" s="34">
        <f>Phalombe!M78</f>
        <v>4</v>
      </c>
      <c r="J78" s="34">
        <f>Mikolongwe!M78</f>
        <v>0</v>
      </c>
      <c r="K78" s="34">
        <f>Migowi!M78</f>
        <v>0</v>
      </c>
      <c r="L78" s="34">
        <f>Nkando!N78</f>
        <v>0</v>
      </c>
      <c r="M78" s="203">
        <f>SUM(E78:L78)</f>
        <v>5</v>
      </c>
    </row>
    <row r="79" spans="1:13" x14ac:dyDescent="0.3">
      <c r="A79" s="689"/>
      <c r="B79" s="24" t="s">
        <v>104</v>
      </c>
      <c r="C79" s="5" t="s">
        <v>3</v>
      </c>
      <c r="D79" s="26">
        <f>Mulanje!M79+Mulanje!N79+Mulanje!O79</f>
        <v>0</v>
      </c>
      <c r="E79" s="26">
        <f>Luchenza!M79+Luchenza!N79+Luchenza!O79</f>
        <v>0</v>
      </c>
      <c r="F79" s="26">
        <f>Thyolo!M79+Thyolo!N79+Thyolo!O79</f>
        <v>0</v>
      </c>
      <c r="G79" s="26">
        <f>Muloza!M79+Muloza!N79+Muloza!O79</f>
        <v>0</v>
      </c>
      <c r="H79" s="26">
        <f>MUST!M79+MUST!N79+MUST!O79</f>
        <v>0</v>
      </c>
      <c r="I79" s="26">
        <f>Phalombe!M79+Phalombe!N79+Phalombe!O79</f>
        <v>0</v>
      </c>
      <c r="J79" s="26">
        <f>Mikolongwe!M79+Mikolongwe!N79+Mikolongwe!O79</f>
        <v>0</v>
      </c>
      <c r="K79" s="26">
        <f>Migowi!M79+Migowi!N79+Migowi!O79</f>
        <v>0</v>
      </c>
      <c r="L79" s="26">
        <f>Nkando!N79+Nkando!O79+Nkando!P79</f>
        <v>0</v>
      </c>
      <c r="M79" s="203">
        <f>SUM(E79:L79)</f>
        <v>0</v>
      </c>
    </row>
    <row r="80" spans="1:13" ht="27" x14ac:dyDescent="0.3">
      <c r="A80" s="689"/>
      <c r="B80" s="24" t="s">
        <v>103</v>
      </c>
      <c r="C80" s="5" t="s">
        <v>3</v>
      </c>
      <c r="D80" s="26">
        <f>Mulanje!M80+Mulanje!N80+Mulanje!O80</f>
        <v>0</v>
      </c>
      <c r="E80" s="26">
        <f>Luchenza!M80+Luchenza!N80+Luchenza!O80</f>
        <v>0</v>
      </c>
      <c r="F80" s="26">
        <f>Thyolo!M80+Thyolo!N80+Thyolo!O80</f>
        <v>0</v>
      </c>
      <c r="G80" s="26">
        <f>Muloza!M80+Muloza!N80+Muloza!O80</f>
        <v>1</v>
      </c>
      <c r="H80" s="26">
        <f>MUST!M80+MUST!N80+MUST!O80</f>
        <v>0</v>
      </c>
      <c r="I80" s="26">
        <f>Phalombe!M80+Phalombe!N80+Phalombe!O80</f>
        <v>0</v>
      </c>
      <c r="J80" s="26">
        <f>Mikolongwe!M80+Mikolongwe!N80+Mikolongwe!O80</f>
        <v>0</v>
      </c>
      <c r="K80" s="26">
        <f>Migowi!M80+Migowi!N80+Migowi!O80</f>
        <v>0</v>
      </c>
      <c r="L80" s="26">
        <f>Nkando!N80+Nkando!O80+Nkando!P80</f>
        <v>0</v>
      </c>
      <c r="M80" s="203">
        <f>SUM(E80:L80)</f>
        <v>1</v>
      </c>
    </row>
    <row r="81" spans="1:13" s="2" customFormat="1" ht="27" x14ac:dyDescent="0.3">
      <c r="A81" s="689"/>
      <c r="B81" s="24" t="s">
        <v>102</v>
      </c>
      <c r="C81" s="11" t="s">
        <v>3</v>
      </c>
      <c r="D81" s="26">
        <f>Mulanje!M81+Mulanje!N81+Mulanje!O81</f>
        <v>0</v>
      </c>
      <c r="E81" s="26">
        <f>Luchenza!M81+Luchenza!N81+Luchenza!O81</f>
        <v>0</v>
      </c>
      <c r="F81" s="26">
        <f>Thyolo!M81+Thyolo!N81+Thyolo!O81</f>
        <v>0</v>
      </c>
      <c r="G81" s="26">
        <f>Muloza!M81+Muloza!N81+Muloza!O81</f>
        <v>0</v>
      </c>
      <c r="H81" s="26">
        <f>MUST!M81+MUST!N81+MUST!O81</f>
        <v>0</v>
      </c>
      <c r="I81" s="26">
        <f>Phalombe!M81+Phalombe!N81+Phalombe!O81</f>
        <v>0</v>
      </c>
      <c r="J81" s="26">
        <f>Mikolongwe!M81+Mikolongwe!N81+Mikolongwe!O81</f>
        <v>0</v>
      </c>
      <c r="K81" s="26">
        <f>Migowi!M81+Migowi!N81+Migowi!O81</f>
        <v>0</v>
      </c>
      <c r="L81" s="26">
        <f>Nkando!N81+Nkando!O81+Nkando!P81</f>
        <v>0</v>
      </c>
      <c r="M81" s="624">
        <f>SUM(E81:L81)</f>
        <v>0</v>
      </c>
    </row>
    <row r="82" spans="1:13" s="2" customFormat="1" x14ac:dyDescent="0.3">
      <c r="A82" s="689"/>
      <c r="B82" s="24" t="s">
        <v>188</v>
      </c>
      <c r="C82" s="11" t="s">
        <v>3</v>
      </c>
      <c r="D82" s="4">
        <f>D80+D81</f>
        <v>0</v>
      </c>
      <c r="E82" s="4">
        <f t="shared" ref="E82:K82" si="48">E80+E81</f>
        <v>0</v>
      </c>
      <c r="F82" s="4">
        <f t="shared" si="48"/>
        <v>0</v>
      </c>
      <c r="G82" s="4">
        <f t="shared" si="48"/>
        <v>1</v>
      </c>
      <c r="H82" s="4">
        <f t="shared" si="48"/>
        <v>0</v>
      </c>
      <c r="I82" s="4">
        <f t="shared" si="48"/>
        <v>0</v>
      </c>
      <c r="J82" s="4">
        <f t="shared" si="48"/>
        <v>0</v>
      </c>
      <c r="K82" s="4">
        <f t="shared" si="48"/>
        <v>0</v>
      </c>
      <c r="L82" s="4">
        <f t="shared" ref="L82" si="49">L80+L81</f>
        <v>0</v>
      </c>
      <c r="M82" s="104">
        <f t="shared" ref="M82" si="50">M81+M80</f>
        <v>1</v>
      </c>
    </row>
    <row r="83" spans="1:13" x14ac:dyDescent="0.3">
      <c r="A83" s="690"/>
      <c r="B83" s="37" t="s">
        <v>81</v>
      </c>
      <c r="C83" s="5" t="s">
        <v>3</v>
      </c>
      <c r="D83" s="34">
        <f>D78+D79-D82</f>
        <v>0</v>
      </c>
      <c r="E83" s="34">
        <f t="shared" ref="E83:K83" si="51">E78+E79-E82</f>
        <v>0</v>
      </c>
      <c r="F83" s="34">
        <f t="shared" si="51"/>
        <v>0</v>
      </c>
      <c r="G83" s="34">
        <f t="shared" si="51"/>
        <v>0</v>
      </c>
      <c r="H83" s="34">
        <f t="shared" si="51"/>
        <v>0</v>
      </c>
      <c r="I83" s="34">
        <f t="shared" si="51"/>
        <v>4</v>
      </c>
      <c r="J83" s="34">
        <f t="shared" si="51"/>
        <v>0</v>
      </c>
      <c r="K83" s="34">
        <f t="shared" si="51"/>
        <v>0</v>
      </c>
      <c r="L83" s="34">
        <f t="shared" ref="L83:M83" si="52">L78+L79-L82</f>
        <v>0</v>
      </c>
      <c r="M83" s="105">
        <f t="shared" si="52"/>
        <v>4</v>
      </c>
    </row>
    <row r="84" spans="1:13" x14ac:dyDescent="0.3">
      <c r="A84" s="691" t="s">
        <v>106</v>
      </c>
      <c r="B84" s="37" t="s">
        <v>85</v>
      </c>
      <c r="C84" s="5" t="s">
        <v>3</v>
      </c>
      <c r="D84" s="34">
        <f>Mulanje!M84</f>
        <v>0</v>
      </c>
      <c r="E84" s="34">
        <f>Luchenza!M84</f>
        <v>0</v>
      </c>
      <c r="F84" s="34">
        <f>Thyolo!M84</f>
        <v>0</v>
      </c>
      <c r="G84" s="34">
        <f>Muloza!M84</f>
        <v>0</v>
      </c>
      <c r="H84" s="34">
        <f>MUST!M84</f>
        <v>0</v>
      </c>
      <c r="I84" s="34">
        <f>Phalombe!M84</f>
        <v>0</v>
      </c>
      <c r="J84" s="34">
        <f>Mikolongwe!M84</f>
        <v>0</v>
      </c>
      <c r="K84" s="34">
        <f>Migowi!M84</f>
        <v>0</v>
      </c>
      <c r="L84" s="34">
        <f>Nkando!N84</f>
        <v>0</v>
      </c>
      <c r="M84" s="203">
        <f>SUM(E84:L84)</f>
        <v>0</v>
      </c>
    </row>
    <row r="85" spans="1:13" x14ac:dyDescent="0.3">
      <c r="A85" s="692"/>
      <c r="B85" s="37" t="s">
        <v>104</v>
      </c>
      <c r="C85" s="5" t="s">
        <v>3</v>
      </c>
      <c r="D85" s="26">
        <f>Mulanje!M85+Mulanje!N85+Mulanje!O85</f>
        <v>0</v>
      </c>
      <c r="E85" s="26">
        <f>Luchenza!M85+Luchenza!N85+Luchenza!O85</f>
        <v>0</v>
      </c>
      <c r="F85" s="26">
        <f>Thyolo!M85+Thyolo!N85+Thyolo!O85</f>
        <v>0</v>
      </c>
      <c r="G85" s="26">
        <f>Muloza!M85+Muloza!N85+Muloza!O85</f>
        <v>0</v>
      </c>
      <c r="H85" s="26">
        <f>MUST!M85+MUST!N85+MUST!O85</f>
        <v>0</v>
      </c>
      <c r="I85" s="26">
        <f>Phalombe!M85+Phalombe!N85+Phalombe!O85</f>
        <v>0</v>
      </c>
      <c r="J85" s="26">
        <f>Mikolongwe!M85+Mikolongwe!N85+Mikolongwe!O85</f>
        <v>0</v>
      </c>
      <c r="K85" s="26">
        <f>Migowi!M85+Migowi!N85+Migowi!O85</f>
        <v>0</v>
      </c>
      <c r="L85" s="26">
        <f>Nkando!N85+Nkando!O85+Nkando!P85</f>
        <v>0</v>
      </c>
      <c r="M85" s="203">
        <f>SUM(E85:L85)</f>
        <v>0</v>
      </c>
    </row>
    <row r="86" spans="1:13" ht="27" x14ac:dyDescent="0.3">
      <c r="A86" s="692"/>
      <c r="B86" s="37" t="s">
        <v>103</v>
      </c>
      <c r="C86" s="5" t="s">
        <v>3</v>
      </c>
      <c r="D86" s="26">
        <f>Mulanje!M86+Mulanje!N86+Mulanje!O86</f>
        <v>0</v>
      </c>
      <c r="E86" s="26">
        <f>Luchenza!M86+Luchenza!N86+Luchenza!O86</f>
        <v>0</v>
      </c>
      <c r="F86" s="26">
        <f>Thyolo!M86+Thyolo!N86+Thyolo!O86</f>
        <v>0</v>
      </c>
      <c r="G86" s="26">
        <f>Muloza!M86+Muloza!N86+Muloza!O86</f>
        <v>0</v>
      </c>
      <c r="H86" s="26">
        <f>MUST!M86+MUST!N86+MUST!O86</f>
        <v>0</v>
      </c>
      <c r="I86" s="26">
        <f>Phalombe!M86+Phalombe!N86+Phalombe!O86</f>
        <v>0</v>
      </c>
      <c r="J86" s="26">
        <f>Mikolongwe!M86+Mikolongwe!N86+Mikolongwe!O86</f>
        <v>0</v>
      </c>
      <c r="K86" s="26">
        <f>Migowi!M86+Migowi!N86+Migowi!O86</f>
        <v>0</v>
      </c>
      <c r="L86" s="26">
        <f>Nkando!N86+Nkando!O86+Nkando!P86</f>
        <v>0</v>
      </c>
      <c r="M86" s="203">
        <f>SUM(E86:L86)</f>
        <v>0</v>
      </c>
    </row>
    <row r="87" spans="1:13" s="2" customFormat="1" ht="27" x14ac:dyDescent="0.3">
      <c r="A87" s="692"/>
      <c r="B87" s="24" t="s">
        <v>102</v>
      </c>
      <c r="C87" s="11" t="s">
        <v>3</v>
      </c>
      <c r="D87" s="26">
        <f>Mulanje!M87+Mulanje!N87+Mulanje!O87</f>
        <v>0</v>
      </c>
      <c r="E87" s="26">
        <f>Luchenza!M87+Luchenza!N87+Luchenza!O87</f>
        <v>0</v>
      </c>
      <c r="F87" s="26">
        <f>Thyolo!M87+Thyolo!N87+Thyolo!O87</f>
        <v>0</v>
      </c>
      <c r="G87" s="26">
        <f>Muloza!M87+Muloza!N87+Muloza!O87</f>
        <v>0</v>
      </c>
      <c r="H87" s="26">
        <f>MUST!M87+MUST!N87+MUST!O87</f>
        <v>0</v>
      </c>
      <c r="I87" s="26">
        <f>Phalombe!M87+Phalombe!N87+Phalombe!O87</f>
        <v>0</v>
      </c>
      <c r="J87" s="26">
        <f>Mikolongwe!M87+Mikolongwe!N87+Mikolongwe!O87</f>
        <v>0</v>
      </c>
      <c r="K87" s="26">
        <f>Migowi!M87+Migowi!N87+Migowi!O87</f>
        <v>0</v>
      </c>
      <c r="L87" s="26">
        <f>Nkando!N87+Nkando!O87+Nkando!P87</f>
        <v>0</v>
      </c>
      <c r="M87" s="624">
        <f>SUM(E87:L87)</f>
        <v>0</v>
      </c>
    </row>
    <row r="88" spans="1:13" s="2" customFormat="1" x14ac:dyDescent="0.3">
      <c r="A88" s="692"/>
      <c r="B88" s="24" t="s">
        <v>188</v>
      </c>
      <c r="C88" s="11" t="s">
        <v>3</v>
      </c>
      <c r="D88" s="4">
        <f>D86+D87</f>
        <v>0</v>
      </c>
      <c r="E88" s="4">
        <f t="shared" ref="E88:K88" si="53">E86+E87</f>
        <v>0</v>
      </c>
      <c r="F88" s="4">
        <f t="shared" si="53"/>
        <v>0</v>
      </c>
      <c r="G88" s="4">
        <f t="shared" si="53"/>
        <v>0</v>
      </c>
      <c r="H88" s="4">
        <f t="shared" si="53"/>
        <v>0</v>
      </c>
      <c r="I88" s="4">
        <f t="shared" si="53"/>
        <v>0</v>
      </c>
      <c r="J88" s="4">
        <f t="shared" si="53"/>
        <v>0</v>
      </c>
      <c r="K88" s="4">
        <f t="shared" si="53"/>
        <v>0</v>
      </c>
      <c r="L88" s="4">
        <f t="shared" ref="L88" si="54">L86+L87</f>
        <v>0</v>
      </c>
      <c r="M88" s="624">
        <f>SUM(E88:L88)</f>
        <v>0</v>
      </c>
    </row>
    <row r="89" spans="1:13" x14ac:dyDescent="0.3">
      <c r="A89" s="693"/>
      <c r="B89" s="36" t="s">
        <v>81</v>
      </c>
      <c r="C89" s="5" t="s">
        <v>3</v>
      </c>
      <c r="D89" s="34">
        <f>D84+D85-D88</f>
        <v>0</v>
      </c>
      <c r="E89" s="34">
        <f t="shared" ref="E89:K89" si="55">E84+E85-E88</f>
        <v>0</v>
      </c>
      <c r="F89" s="34">
        <f t="shared" si="55"/>
        <v>0</v>
      </c>
      <c r="G89" s="34">
        <f t="shared" si="55"/>
        <v>0</v>
      </c>
      <c r="H89" s="34">
        <f t="shared" si="55"/>
        <v>0</v>
      </c>
      <c r="I89" s="34">
        <f t="shared" si="55"/>
        <v>0</v>
      </c>
      <c r="J89" s="34">
        <f t="shared" si="55"/>
        <v>0</v>
      </c>
      <c r="K89" s="34">
        <f t="shared" si="55"/>
        <v>0</v>
      </c>
      <c r="L89" s="34">
        <f t="shared" ref="L89" si="56">L84+L85-L88</f>
        <v>0</v>
      </c>
      <c r="M89" s="105">
        <f t="shared" ref="M89" si="57">M84+M85-M86-M87</f>
        <v>0</v>
      </c>
    </row>
    <row r="90" spans="1:13" x14ac:dyDescent="0.3">
      <c r="A90" s="694" t="s">
        <v>105</v>
      </c>
      <c r="B90" s="24" t="s">
        <v>85</v>
      </c>
      <c r="C90" s="11" t="s">
        <v>3</v>
      </c>
      <c r="D90" s="135">
        <f>D66+D72+D78+D84</f>
        <v>463</v>
      </c>
      <c r="E90" s="135">
        <f t="shared" ref="E90:K90" si="58">E66+E72+E78+E84</f>
        <v>47</v>
      </c>
      <c r="F90" s="135">
        <f t="shared" si="58"/>
        <v>14</v>
      </c>
      <c r="G90" s="135">
        <f t="shared" si="58"/>
        <v>124</v>
      </c>
      <c r="H90" s="135">
        <f t="shared" si="58"/>
        <v>6</v>
      </c>
      <c r="I90" s="135">
        <f t="shared" si="58"/>
        <v>49</v>
      </c>
      <c r="J90" s="135">
        <f t="shared" si="58"/>
        <v>0</v>
      </c>
      <c r="K90" s="135">
        <f t="shared" si="58"/>
        <v>0</v>
      </c>
      <c r="L90" s="135">
        <f t="shared" ref="L90" si="59">L66+L72+L78+L84</f>
        <v>1</v>
      </c>
      <c r="M90" s="203">
        <f>SUM(E90:L90)</f>
        <v>241</v>
      </c>
    </row>
    <row r="91" spans="1:13" x14ac:dyDescent="0.3">
      <c r="A91" s="695"/>
      <c r="B91" s="24" t="s">
        <v>104</v>
      </c>
      <c r="C91" s="11" t="s">
        <v>3</v>
      </c>
      <c r="D91" s="135">
        <f t="shared" ref="D91:K93" si="60">D67+D73+D79+D85</f>
        <v>49</v>
      </c>
      <c r="E91" s="135">
        <f t="shared" si="60"/>
        <v>33</v>
      </c>
      <c r="F91" s="135">
        <f t="shared" si="60"/>
        <v>20</v>
      </c>
      <c r="G91" s="135">
        <f t="shared" si="60"/>
        <v>39</v>
      </c>
      <c r="H91" s="135">
        <f t="shared" si="60"/>
        <v>7</v>
      </c>
      <c r="I91" s="135">
        <f t="shared" si="60"/>
        <v>4</v>
      </c>
      <c r="J91" s="135">
        <f t="shared" si="60"/>
        <v>0</v>
      </c>
      <c r="K91" s="135">
        <f t="shared" si="60"/>
        <v>0</v>
      </c>
      <c r="L91" s="135">
        <f t="shared" ref="L91" si="61">L67+L73+L79+L85</f>
        <v>0</v>
      </c>
      <c r="M91" s="203">
        <f>SUM(E91:L91)</f>
        <v>103</v>
      </c>
    </row>
    <row r="92" spans="1:13" ht="27" x14ac:dyDescent="0.3">
      <c r="A92" s="695"/>
      <c r="B92" s="24" t="s">
        <v>103</v>
      </c>
      <c r="C92" s="11" t="s">
        <v>3</v>
      </c>
      <c r="D92" s="135">
        <f t="shared" si="60"/>
        <v>52</v>
      </c>
      <c r="E92" s="135">
        <f t="shared" si="60"/>
        <v>35</v>
      </c>
      <c r="F92" s="135">
        <f t="shared" si="60"/>
        <v>31</v>
      </c>
      <c r="G92" s="135">
        <f t="shared" si="60"/>
        <v>36</v>
      </c>
      <c r="H92" s="135">
        <f t="shared" si="60"/>
        <v>8</v>
      </c>
      <c r="I92" s="135">
        <f t="shared" si="60"/>
        <v>4</v>
      </c>
      <c r="J92" s="135">
        <f t="shared" si="60"/>
        <v>0</v>
      </c>
      <c r="K92" s="135">
        <f t="shared" si="60"/>
        <v>0</v>
      </c>
      <c r="L92" s="135">
        <f t="shared" ref="L92" si="62">L68+L74+L80+L86</f>
        <v>0</v>
      </c>
      <c r="M92" s="203">
        <f>SUM(E92:L92)</f>
        <v>114</v>
      </c>
    </row>
    <row r="93" spans="1:13" s="2" customFormat="1" ht="27" x14ac:dyDescent="0.3">
      <c r="A93" s="695"/>
      <c r="B93" s="24" t="s">
        <v>102</v>
      </c>
      <c r="C93" s="11"/>
      <c r="D93" s="135">
        <f t="shared" si="60"/>
        <v>1</v>
      </c>
      <c r="E93" s="135">
        <f t="shared" si="60"/>
        <v>0</v>
      </c>
      <c r="F93" s="135">
        <f t="shared" si="60"/>
        <v>1</v>
      </c>
      <c r="G93" s="135">
        <f t="shared" si="60"/>
        <v>0</v>
      </c>
      <c r="H93" s="135">
        <f t="shared" si="60"/>
        <v>0</v>
      </c>
      <c r="I93" s="135">
        <f t="shared" si="60"/>
        <v>0</v>
      </c>
      <c r="J93" s="135">
        <f t="shared" si="60"/>
        <v>0</v>
      </c>
      <c r="K93" s="135">
        <f t="shared" si="60"/>
        <v>0</v>
      </c>
      <c r="L93" s="135">
        <f t="shared" ref="L93" si="63">L69+L75+L81+L87</f>
        <v>0</v>
      </c>
      <c r="M93" s="203">
        <f>SUM(E93:L93)</f>
        <v>1</v>
      </c>
    </row>
    <row r="94" spans="1:13" s="2" customFormat="1" x14ac:dyDescent="0.3">
      <c r="A94" s="695"/>
      <c r="B94" s="24" t="s">
        <v>188</v>
      </c>
      <c r="C94" s="11" t="s">
        <v>3</v>
      </c>
      <c r="D94" s="136">
        <f>D93+D92</f>
        <v>53</v>
      </c>
      <c r="E94" s="136">
        <f t="shared" ref="E94:K94" si="64">E93+E92</f>
        <v>35</v>
      </c>
      <c r="F94" s="136">
        <f t="shared" si="64"/>
        <v>32</v>
      </c>
      <c r="G94" s="136">
        <f t="shared" si="64"/>
        <v>36</v>
      </c>
      <c r="H94" s="136">
        <f t="shared" si="64"/>
        <v>8</v>
      </c>
      <c r="I94" s="136">
        <f t="shared" si="64"/>
        <v>4</v>
      </c>
      <c r="J94" s="136">
        <f t="shared" si="64"/>
        <v>0</v>
      </c>
      <c r="K94" s="136">
        <f t="shared" si="64"/>
        <v>0</v>
      </c>
      <c r="L94" s="136">
        <f t="shared" ref="L94:M94" si="65">L93+L92</f>
        <v>0</v>
      </c>
      <c r="M94" s="627">
        <f t="shared" si="65"/>
        <v>115</v>
      </c>
    </row>
    <row r="95" spans="1:13" ht="16.2" thickBot="1" x14ac:dyDescent="0.35">
      <c r="A95" s="696"/>
      <c r="B95" s="24" t="s">
        <v>81</v>
      </c>
      <c r="C95" s="11" t="s">
        <v>3</v>
      </c>
      <c r="D95" s="137">
        <f>D90+D91-D94</f>
        <v>459</v>
      </c>
      <c r="E95" s="137">
        <f t="shared" ref="E95:K95" si="66">E90+E91-E94</f>
        <v>45</v>
      </c>
      <c r="F95" s="137">
        <f t="shared" si="66"/>
        <v>2</v>
      </c>
      <c r="G95" s="137">
        <f t="shared" si="66"/>
        <v>127</v>
      </c>
      <c r="H95" s="137">
        <f t="shared" si="66"/>
        <v>5</v>
      </c>
      <c r="I95" s="137">
        <f t="shared" si="66"/>
        <v>49</v>
      </c>
      <c r="J95" s="137">
        <f t="shared" si="66"/>
        <v>0</v>
      </c>
      <c r="K95" s="137">
        <f t="shared" si="66"/>
        <v>0</v>
      </c>
      <c r="L95" s="137">
        <f t="shared" ref="L95:M95" si="67">L90+L91-L94</f>
        <v>1</v>
      </c>
      <c r="M95" s="628">
        <f t="shared" si="67"/>
        <v>229</v>
      </c>
    </row>
    <row r="96" spans="1:13" ht="16.2" customHeight="1" thickBot="1" x14ac:dyDescent="0.35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4"/>
    </row>
    <row r="97" spans="1:13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9"/>
    </row>
    <row r="98" spans="1:13" x14ac:dyDescent="0.3">
      <c r="A98" s="88" t="s">
        <v>190</v>
      </c>
      <c r="B98" s="69"/>
      <c r="C98" s="11" t="s">
        <v>3</v>
      </c>
      <c r="D98" s="26">
        <f>Mulanje!M98+Mulanje!N98+Mulanje!O98</f>
        <v>1</v>
      </c>
      <c r="E98" s="26">
        <f>Luchenza!M98+Luchenza!N98+Luchenza!O98</f>
        <v>0</v>
      </c>
      <c r="F98" s="26">
        <f>Thyolo!M98+Thyolo!N98+Thyolo!O98</f>
        <v>2</v>
      </c>
      <c r="G98" s="26">
        <f>Muloza!M98+Muloza!N98+Muloza!O98</f>
        <v>4</v>
      </c>
      <c r="H98" s="26">
        <f>MUST!M98+MUST!N98+MUST!O98</f>
        <v>0</v>
      </c>
      <c r="I98" s="26">
        <f>Phalombe!M98+Phalombe!N98+Phalombe!O98</f>
        <v>0</v>
      </c>
      <c r="J98" s="26">
        <f>Mikolongwe!M98+Mikolongwe!N98+Mikolongwe!O98</f>
        <v>0</v>
      </c>
      <c r="K98" s="26">
        <f>Migowi!M98+Migowi!N98+Migowi!O98</f>
        <v>0</v>
      </c>
      <c r="L98" s="26">
        <f>Nkando!N98+Nkando!O98+Nkando!P98</f>
        <v>0</v>
      </c>
      <c r="M98" s="629">
        <f>SUM(E98:L98)</f>
        <v>6</v>
      </c>
    </row>
    <row r="99" spans="1:13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27"/>
    </row>
    <row r="100" spans="1:13" s="2" customFormat="1" ht="14.4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2"/>
    </row>
    <row r="101" spans="1:13" x14ac:dyDescent="0.3">
      <c r="A101" s="661" t="s">
        <v>100</v>
      </c>
      <c r="B101" s="662"/>
      <c r="C101" s="11" t="s">
        <v>3</v>
      </c>
      <c r="D101" s="26">
        <f>Mulanje!O101</f>
        <v>675</v>
      </c>
      <c r="E101" s="26">
        <f>Luchenza!O101</f>
        <v>1068</v>
      </c>
      <c r="F101" s="26">
        <f>Thyolo!O101</f>
        <v>485</v>
      </c>
      <c r="G101" s="26">
        <f>Muloza!O101</f>
        <v>498</v>
      </c>
      <c r="H101" s="26">
        <f>MUST!O101</f>
        <v>25</v>
      </c>
      <c r="I101" s="26">
        <f>Phalombe!O101</f>
        <v>238</v>
      </c>
      <c r="J101" s="26">
        <f>Mikolongwe!O101</f>
        <v>16</v>
      </c>
      <c r="K101" s="26">
        <f>Migowi!O101</f>
        <v>0</v>
      </c>
      <c r="L101" s="26">
        <f>Nkando!P101</f>
        <v>46</v>
      </c>
      <c r="M101" s="32">
        <f>SUM(E101:L101)</f>
        <v>2376</v>
      </c>
    </row>
    <row r="102" spans="1:13" x14ac:dyDescent="0.3">
      <c r="A102" s="661" t="s">
        <v>99</v>
      </c>
      <c r="B102" s="662"/>
      <c r="C102" s="11" t="s">
        <v>3</v>
      </c>
      <c r="D102" s="26">
        <f>Mulanje!O102</f>
        <v>46</v>
      </c>
      <c r="E102" s="26">
        <f>Luchenza!O102</f>
        <v>12</v>
      </c>
      <c r="F102" s="26">
        <f>Thyolo!O102</f>
        <v>18</v>
      </c>
      <c r="G102" s="26">
        <f>Muloza!O102</f>
        <v>18</v>
      </c>
      <c r="H102" s="26">
        <f>MUST!O102</f>
        <v>1</v>
      </c>
      <c r="I102" s="26">
        <f>Phalombe!O102</f>
        <v>14</v>
      </c>
      <c r="J102" s="26">
        <f>Mikolongwe!O102</f>
        <v>2</v>
      </c>
      <c r="K102" s="26">
        <f>Migowi!O102</f>
        <v>0</v>
      </c>
      <c r="L102" s="26">
        <f>Nkando!P102</f>
        <v>6</v>
      </c>
      <c r="M102" s="32">
        <f>SUM(E102:L102)</f>
        <v>71</v>
      </c>
    </row>
    <row r="103" spans="1:13" ht="15.6" customHeight="1" x14ac:dyDescent="0.3">
      <c r="A103" s="663" t="s">
        <v>98</v>
      </c>
      <c r="B103" s="664"/>
      <c r="C103" s="11" t="s">
        <v>3</v>
      </c>
      <c r="D103" s="26">
        <f>Mulanje!O103</f>
        <v>81</v>
      </c>
      <c r="E103" s="26">
        <f>Luchenza!O103</f>
        <v>35</v>
      </c>
      <c r="F103" s="26">
        <f>Thyolo!O103</f>
        <v>82</v>
      </c>
      <c r="G103" s="26">
        <f>Muloza!O103</f>
        <v>73</v>
      </c>
      <c r="H103" s="26">
        <f>MUST!O103</f>
        <v>11</v>
      </c>
      <c r="I103" s="26">
        <f>Phalombe!O103</f>
        <v>25</v>
      </c>
      <c r="J103" s="26">
        <f>Mikolongwe!O103</f>
        <v>0</v>
      </c>
      <c r="K103" s="26">
        <f>Migowi!O103</f>
        <v>0</v>
      </c>
      <c r="L103" s="26">
        <f>Nkando!P103</f>
        <v>5</v>
      </c>
      <c r="M103" s="32">
        <f>SUM(E103:L103)</f>
        <v>231</v>
      </c>
    </row>
    <row r="104" spans="1:13" x14ac:dyDescent="0.3">
      <c r="A104" s="663" t="s">
        <v>97</v>
      </c>
      <c r="B104" s="664"/>
      <c r="C104" s="11" t="s">
        <v>3</v>
      </c>
      <c r="D104" s="26">
        <f>Mulanje!O104</f>
        <v>15</v>
      </c>
      <c r="E104" s="26">
        <f>Luchenza!O104</f>
        <v>20</v>
      </c>
      <c r="F104" s="26">
        <f>Thyolo!O104</f>
        <v>16</v>
      </c>
      <c r="G104" s="26">
        <f>Muloza!O104</f>
        <v>0</v>
      </c>
      <c r="H104" s="26">
        <f>MUST!O104</f>
        <v>0</v>
      </c>
      <c r="I104" s="26">
        <f>Phalombe!O104</f>
        <v>0</v>
      </c>
      <c r="J104" s="26">
        <f>Mikolongwe!O104</f>
        <v>0</v>
      </c>
      <c r="K104" s="26">
        <f>Migowi!O104</f>
        <v>0</v>
      </c>
      <c r="L104" s="26">
        <f>Nkando!P104</f>
        <v>11</v>
      </c>
      <c r="M104" s="32">
        <f>SUM(E104:L104)</f>
        <v>47</v>
      </c>
    </row>
    <row r="105" spans="1:13" x14ac:dyDescent="0.3">
      <c r="A105" s="686" t="s">
        <v>96</v>
      </c>
      <c r="B105" s="687"/>
      <c r="C105" s="11" t="s">
        <v>3</v>
      </c>
      <c r="D105" s="33">
        <f>SUM(D101:D104)</f>
        <v>817</v>
      </c>
      <c r="E105" s="33">
        <f t="shared" ref="E105:K105" si="68">SUM(E101:E104)</f>
        <v>1135</v>
      </c>
      <c r="F105" s="33">
        <f t="shared" si="68"/>
        <v>601</v>
      </c>
      <c r="G105" s="33">
        <f t="shared" si="68"/>
        <v>589</v>
      </c>
      <c r="H105" s="33">
        <f t="shared" si="68"/>
        <v>37</v>
      </c>
      <c r="I105" s="33">
        <f t="shared" si="68"/>
        <v>277</v>
      </c>
      <c r="J105" s="33">
        <f t="shared" si="68"/>
        <v>18</v>
      </c>
      <c r="K105" s="33">
        <f t="shared" si="68"/>
        <v>0</v>
      </c>
      <c r="L105" s="33">
        <f t="shared" ref="L105" si="69">SUM(L101:L104)</f>
        <v>68</v>
      </c>
      <c r="M105" s="55">
        <f>SUM(E105:L105)</f>
        <v>2725</v>
      </c>
    </row>
    <row r="106" spans="1:13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5"/>
    </row>
    <row r="107" spans="1:13" x14ac:dyDescent="0.3">
      <c r="A107" s="661" t="s">
        <v>193</v>
      </c>
      <c r="B107" s="662"/>
      <c r="C107" s="11" t="s">
        <v>3</v>
      </c>
      <c r="D107" s="26">
        <f>Mulanje!O107</f>
        <v>2163</v>
      </c>
      <c r="E107" s="26">
        <f>Luchenza!O107</f>
        <v>980</v>
      </c>
      <c r="F107" s="26">
        <f>Thyolo!O107</f>
        <v>1024</v>
      </c>
      <c r="G107" s="26">
        <f>Muloza!O107</f>
        <v>558</v>
      </c>
      <c r="H107" s="26">
        <f>MUST!O107</f>
        <v>92</v>
      </c>
      <c r="I107" s="26">
        <f>Phalombe!O107</f>
        <v>535</v>
      </c>
      <c r="J107" s="26">
        <f>Mikolongwe!O107</f>
        <v>20</v>
      </c>
      <c r="K107" s="26">
        <f>Migowi!O107</f>
        <v>0</v>
      </c>
      <c r="L107" s="26">
        <f>Nkando!P107</f>
        <v>138</v>
      </c>
      <c r="M107" s="32">
        <f>SUM(E107:L107)</f>
        <v>3347</v>
      </c>
    </row>
    <row r="108" spans="1:13" x14ac:dyDescent="0.3">
      <c r="A108" s="661" t="s">
        <v>194</v>
      </c>
      <c r="B108" s="662"/>
      <c r="C108" s="11" t="s">
        <v>3</v>
      </c>
      <c r="D108" s="26">
        <f>Mulanje!O108</f>
        <v>26</v>
      </c>
      <c r="E108" s="26">
        <f>Luchenza!O108</f>
        <v>9</v>
      </c>
      <c r="F108" s="26">
        <f>Thyolo!O108</f>
        <v>8</v>
      </c>
      <c r="G108" s="26">
        <f>Muloza!O108</f>
        <v>5</v>
      </c>
      <c r="H108" s="26">
        <f>MUST!O108</f>
        <v>0</v>
      </c>
      <c r="I108" s="26">
        <f>Phalombe!O108</f>
        <v>2</v>
      </c>
      <c r="J108" s="26">
        <f>Mikolongwe!O108</f>
        <v>0</v>
      </c>
      <c r="K108" s="26">
        <f>Migowi!O108</f>
        <v>0</v>
      </c>
      <c r="L108" s="26">
        <f>Nkando!P108</f>
        <v>7</v>
      </c>
      <c r="M108" s="32">
        <f>SUM(E108:L108)</f>
        <v>31</v>
      </c>
    </row>
    <row r="109" spans="1:13" x14ac:dyDescent="0.3">
      <c r="A109" s="661" t="s">
        <v>195</v>
      </c>
      <c r="B109" s="662"/>
      <c r="C109" s="11" t="s">
        <v>3</v>
      </c>
      <c r="D109" s="26">
        <f>Mulanje!O109</f>
        <v>19</v>
      </c>
      <c r="E109" s="26">
        <f>Luchenza!O109</f>
        <v>19</v>
      </c>
      <c r="F109" s="26">
        <f>Thyolo!O109</f>
        <v>11</v>
      </c>
      <c r="G109" s="26">
        <f>Muloza!O109</f>
        <v>40</v>
      </c>
      <c r="H109" s="26">
        <f>MUST!O109</f>
        <v>2</v>
      </c>
      <c r="I109" s="26">
        <f>Phalombe!O109</f>
        <v>3</v>
      </c>
      <c r="J109" s="26">
        <f>Mikolongwe!O109</f>
        <v>0</v>
      </c>
      <c r="K109" s="26">
        <f>Migowi!O109</f>
        <v>0</v>
      </c>
      <c r="L109" s="26">
        <f>Nkando!P109</f>
        <v>15</v>
      </c>
      <c r="M109" s="32">
        <f>SUM(E109:L109)</f>
        <v>90</v>
      </c>
    </row>
    <row r="110" spans="1:13" x14ac:dyDescent="0.3">
      <c r="A110" s="661" t="s">
        <v>196</v>
      </c>
      <c r="B110" s="662"/>
      <c r="C110" s="11" t="s">
        <v>3</v>
      </c>
      <c r="D110" s="26">
        <f>Mulanje!O110</f>
        <v>12</v>
      </c>
      <c r="E110" s="26">
        <f>Luchenza!O110</f>
        <v>2</v>
      </c>
      <c r="F110" s="26">
        <f>Thyolo!O110</f>
        <v>2</v>
      </c>
      <c r="G110" s="26">
        <f>Muloza!O110</f>
        <v>1</v>
      </c>
      <c r="H110" s="26">
        <f>MUST!O110</f>
        <v>0</v>
      </c>
      <c r="I110" s="26">
        <f>Phalombe!O110</f>
        <v>0</v>
      </c>
      <c r="J110" s="26">
        <f>Mikolongwe!O110</f>
        <v>0</v>
      </c>
      <c r="K110" s="26">
        <f>Migowi!O110</f>
        <v>0</v>
      </c>
      <c r="L110" s="26">
        <f>Nkando!P110</f>
        <v>1</v>
      </c>
      <c r="M110" s="32">
        <f>SUM(E110:L110)</f>
        <v>6</v>
      </c>
    </row>
    <row r="111" spans="1:13" x14ac:dyDescent="0.3">
      <c r="A111" s="676" t="s">
        <v>95</v>
      </c>
      <c r="B111" s="677"/>
      <c r="C111" s="11" t="s">
        <v>3</v>
      </c>
      <c r="D111" s="33">
        <f>SUM(D107:D110)</f>
        <v>2220</v>
      </c>
      <c r="E111" s="33">
        <f t="shared" ref="E111:K111" si="70">SUM(E107:E110)</f>
        <v>1010</v>
      </c>
      <c r="F111" s="33">
        <f t="shared" si="70"/>
        <v>1045</v>
      </c>
      <c r="G111" s="33">
        <f t="shared" si="70"/>
        <v>604</v>
      </c>
      <c r="H111" s="33">
        <f t="shared" si="70"/>
        <v>94</v>
      </c>
      <c r="I111" s="33">
        <f t="shared" si="70"/>
        <v>540</v>
      </c>
      <c r="J111" s="33">
        <f t="shared" si="70"/>
        <v>20</v>
      </c>
      <c r="K111" s="33">
        <f t="shared" si="70"/>
        <v>0</v>
      </c>
      <c r="L111" s="33">
        <f t="shared" ref="L111" si="71">SUM(L107:L110)</f>
        <v>161</v>
      </c>
      <c r="M111" s="55">
        <f>SUM(E111:L111)</f>
        <v>3474</v>
      </c>
    </row>
    <row r="112" spans="1:13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2"/>
    </row>
    <row r="113" spans="1:13" x14ac:dyDescent="0.3">
      <c r="A113" s="661" t="s">
        <v>197</v>
      </c>
      <c r="B113" s="662"/>
      <c r="C113" s="11" t="s">
        <v>3</v>
      </c>
      <c r="D113" s="26">
        <f>Mulanje!O113</f>
        <v>549</v>
      </c>
      <c r="E113" s="26">
        <f>Luchenza!O113</f>
        <v>288</v>
      </c>
      <c r="F113" s="26">
        <f>Thyolo!O113</f>
        <v>344</v>
      </c>
      <c r="G113" s="26">
        <f>Muloza!O113</f>
        <v>238</v>
      </c>
      <c r="H113" s="26">
        <f>MUST!O113</f>
        <v>56</v>
      </c>
      <c r="I113" s="26">
        <f>Phalombe!O113</f>
        <v>200</v>
      </c>
      <c r="J113" s="26">
        <f>Mikolongwe!O113</f>
        <v>17</v>
      </c>
      <c r="K113" s="26">
        <f>Migowi!O113</f>
        <v>75</v>
      </c>
      <c r="L113" s="26">
        <f>Nkando!P113</f>
        <v>0</v>
      </c>
      <c r="M113" s="32">
        <f t="shared" ref="M113:M118" si="72">SUM(D113:L113)</f>
        <v>1767</v>
      </c>
    </row>
    <row r="114" spans="1:13" x14ac:dyDescent="0.3">
      <c r="A114" s="661" t="s">
        <v>198</v>
      </c>
      <c r="B114" s="662"/>
      <c r="C114" s="11" t="s">
        <v>3</v>
      </c>
      <c r="D114" s="26">
        <f>Mulanje!O114</f>
        <v>47</v>
      </c>
      <c r="E114" s="26">
        <f>Luchenza!O114</f>
        <v>13</v>
      </c>
      <c r="F114" s="26">
        <f>Thyolo!O114</f>
        <v>34</v>
      </c>
      <c r="G114" s="26">
        <f>Muloza!O114</f>
        <v>10</v>
      </c>
      <c r="H114" s="26">
        <f>MUST!O114</f>
        <v>7</v>
      </c>
      <c r="I114" s="26">
        <f>Phalombe!O114</f>
        <v>20</v>
      </c>
      <c r="J114" s="26">
        <f>Mikolongwe!O114</f>
        <v>8</v>
      </c>
      <c r="K114" s="26">
        <f>Migowi!O114</f>
        <v>1</v>
      </c>
      <c r="L114" s="26">
        <f>Nkando!P114</f>
        <v>0</v>
      </c>
      <c r="M114" s="32">
        <f t="shared" si="72"/>
        <v>140</v>
      </c>
    </row>
    <row r="115" spans="1:13" x14ac:dyDescent="0.3">
      <c r="A115" s="661" t="s">
        <v>199</v>
      </c>
      <c r="B115" s="662"/>
      <c r="C115" s="11" t="s">
        <v>3</v>
      </c>
      <c r="D115" s="26">
        <f>Mulanje!O115</f>
        <v>96</v>
      </c>
      <c r="E115" s="26">
        <f>Luchenza!O115</f>
        <v>52</v>
      </c>
      <c r="F115" s="26">
        <f>Thyolo!O115</f>
        <v>20</v>
      </c>
      <c r="G115" s="26">
        <f>Muloza!O115</f>
        <v>24</v>
      </c>
      <c r="H115" s="26">
        <f>MUST!O115</f>
        <v>8</v>
      </c>
      <c r="I115" s="26">
        <f>Phalombe!O115</f>
        <v>16</v>
      </c>
      <c r="J115" s="26">
        <f>Mikolongwe!O115</f>
        <v>0</v>
      </c>
      <c r="K115" s="26">
        <f>Migowi!O115</f>
        <v>0</v>
      </c>
      <c r="L115" s="26">
        <f>Nkando!P115</f>
        <v>0</v>
      </c>
      <c r="M115" s="32">
        <f t="shared" si="72"/>
        <v>216</v>
      </c>
    </row>
    <row r="116" spans="1:13" x14ac:dyDescent="0.3">
      <c r="A116" s="661" t="s">
        <v>200</v>
      </c>
      <c r="B116" s="662"/>
      <c r="C116" s="11" t="s">
        <v>3</v>
      </c>
      <c r="D116" s="26">
        <f>Mulanje!O116</f>
        <v>4</v>
      </c>
      <c r="E116" s="26">
        <f>Luchenza!O116</f>
        <v>0</v>
      </c>
      <c r="F116" s="26">
        <f>Thyolo!O116</f>
        <v>2</v>
      </c>
      <c r="G116" s="26">
        <f>Muloza!O116</f>
        <v>0</v>
      </c>
      <c r="H116" s="26">
        <f>MUST!O116</f>
        <v>0</v>
      </c>
      <c r="I116" s="26">
        <f>Phalombe!O116</f>
        <v>0</v>
      </c>
      <c r="J116" s="26">
        <f>Mikolongwe!O116</f>
        <v>0</v>
      </c>
      <c r="K116" s="26">
        <f>Migowi!O116</f>
        <v>0</v>
      </c>
      <c r="L116" s="26">
        <f>Nkando!P116</f>
        <v>0</v>
      </c>
      <c r="M116" s="32">
        <f t="shared" si="72"/>
        <v>6</v>
      </c>
    </row>
    <row r="117" spans="1:13" x14ac:dyDescent="0.3">
      <c r="A117" s="676" t="s">
        <v>94</v>
      </c>
      <c r="B117" s="677"/>
      <c r="C117" s="11" t="s">
        <v>3</v>
      </c>
      <c r="D117" s="33">
        <f>SUM(D113:D116)</f>
        <v>696</v>
      </c>
      <c r="E117" s="33">
        <f t="shared" ref="E117:K117" si="73">SUM(E113:E116)</f>
        <v>353</v>
      </c>
      <c r="F117" s="33">
        <f t="shared" si="73"/>
        <v>400</v>
      </c>
      <c r="G117" s="33">
        <f t="shared" si="73"/>
        <v>272</v>
      </c>
      <c r="H117" s="33">
        <f t="shared" si="73"/>
        <v>71</v>
      </c>
      <c r="I117" s="33">
        <f t="shared" si="73"/>
        <v>236</v>
      </c>
      <c r="J117" s="33">
        <f t="shared" si="73"/>
        <v>25</v>
      </c>
      <c r="K117" s="33">
        <f t="shared" si="73"/>
        <v>76</v>
      </c>
      <c r="L117" s="33">
        <f t="shared" ref="L117" si="74">SUM(L113:L116)</f>
        <v>0</v>
      </c>
      <c r="M117" s="55">
        <f t="shared" si="72"/>
        <v>2129</v>
      </c>
    </row>
    <row r="118" spans="1:13" s="2" customFormat="1" x14ac:dyDescent="0.3">
      <c r="A118" s="213" t="s">
        <v>191</v>
      </c>
      <c r="B118" s="214"/>
      <c r="C118" s="11" t="s">
        <v>3</v>
      </c>
      <c r="D118" s="33">
        <f>D117+D111</f>
        <v>2916</v>
      </c>
      <c r="E118" s="33">
        <f t="shared" ref="E118:K118" si="75">E117+E111</f>
        <v>1363</v>
      </c>
      <c r="F118" s="33">
        <f t="shared" si="75"/>
        <v>1445</v>
      </c>
      <c r="G118" s="33">
        <f t="shared" si="75"/>
        <v>876</v>
      </c>
      <c r="H118" s="33">
        <f t="shared" si="75"/>
        <v>165</v>
      </c>
      <c r="I118" s="33">
        <f t="shared" si="75"/>
        <v>776</v>
      </c>
      <c r="J118" s="33">
        <f t="shared" si="75"/>
        <v>45</v>
      </c>
      <c r="K118" s="33">
        <f t="shared" si="75"/>
        <v>76</v>
      </c>
      <c r="L118" s="33">
        <f>L117+L111</f>
        <v>161</v>
      </c>
      <c r="M118" s="55">
        <f t="shared" si="72"/>
        <v>7823</v>
      </c>
    </row>
    <row r="119" spans="1:13" x14ac:dyDescent="0.3">
      <c r="A119" s="676" t="s">
        <v>192</v>
      </c>
      <c r="B119" s="677"/>
      <c r="C119" s="11" t="s">
        <v>3</v>
      </c>
      <c r="D119" s="33">
        <f>D118+D105</f>
        <v>3733</v>
      </c>
      <c r="E119" s="33">
        <f t="shared" ref="E119:K119" si="76">E118+E105</f>
        <v>2498</v>
      </c>
      <c r="F119" s="33">
        <f t="shared" si="76"/>
        <v>2046</v>
      </c>
      <c r="G119" s="33">
        <f t="shared" si="76"/>
        <v>1465</v>
      </c>
      <c r="H119" s="33">
        <f t="shared" si="76"/>
        <v>202</v>
      </c>
      <c r="I119" s="33">
        <f t="shared" si="76"/>
        <v>1053</v>
      </c>
      <c r="J119" s="33">
        <f t="shared" si="76"/>
        <v>63</v>
      </c>
      <c r="K119" s="33">
        <f t="shared" si="76"/>
        <v>76</v>
      </c>
      <c r="L119" s="33">
        <f t="shared" ref="L119" si="77">L118+L105</f>
        <v>229</v>
      </c>
      <c r="M119" s="55">
        <f>SUM(D119:L119)</f>
        <v>11365</v>
      </c>
    </row>
    <row r="120" spans="1:13" ht="14.4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1"/>
    </row>
    <row r="121" spans="1:13" x14ac:dyDescent="0.3">
      <c r="A121" s="661" t="s">
        <v>93</v>
      </c>
      <c r="B121" s="662"/>
      <c r="C121" s="5" t="s">
        <v>3</v>
      </c>
      <c r="D121" s="26">
        <f>Mulanje!O121</f>
        <v>24691</v>
      </c>
      <c r="E121" s="26">
        <f>Luchenza!O121</f>
        <v>18155</v>
      </c>
      <c r="F121" s="26">
        <f>Thyolo!O121</f>
        <v>11959</v>
      </c>
      <c r="G121" s="26">
        <f>Muloza!O121</f>
        <v>9795</v>
      </c>
      <c r="H121" s="26">
        <f>MUST!O121</f>
        <v>4339</v>
      </c>
      <c r="I121" s="26">
        <f>Phalombe!O121</f>
        <v>10003</v>
      </c>
      <c r="J121" s="26">
        <f>Mikolongwe!O121</f>
        <v>1258</v>
      </c>
      <c r="K121" s="26">
        <f>Migowi!O121</f>
        <v>551</v>
      </c>
      <c r="L121" s="26">
        <f>Nkando!P121</f>
        <v>2241</v>
      </c>
      <c r="M121" s="26">
        <f>SUM(E121:L121)</f>
        <v>58301</v>
      </c>
    </row>
    <row r="122" spans="1:13" x14ac:dyDescent="0.3">
      <c r="A122" s="661" t="s">
        <v>92</v>
      </c>
      <c r="B122" s="662"/>
      <c r="C122" s="5" t="s">
        <v>3</v>
      </c>
      <c r="D122" s="26">
        <f>Mulanje!O122</f>
        <v>22101</v>
      </c>
      <c r="E122" s="26">
        <f>Luchenza!O122</f>
        <v>16077</v>
      </c>
      <c r="F122" s="26">
        <f>Thyolo!O122</f>
        <v>10859</v>
      </c>
      <c r="G122" s="26">
        <f>Muloza!O122</f>
        <v>8965</v>
      </c>
      <c r="H122" s="26">
        <f>MUST!O122</f>
        <v>4009</v>
      </c>
      <c r="I122" s="26">
        <f>Phalombe!O122</f>
        <v>7382</v>
      </c>
      <c r="J122" s="26">
        <f>Mikolongwe!O122</f>
        <v>1032</v>
      </c>
      <c r="K122" s="26">
        <f>Migowi!O122</f>
        <v>551</v>
      </c>
      <c r="L122" s="26">
        <f>Nkando!P122</f>
        <v>1145</v>
      </c>
      <c r="M122" s="26">
        <f>SUM(E122:L122)</f>
        <v>50020</v>
      </c>
    </row>
    <row r="123" spans="1:13" x14ac:dyDescent="0.3">
      <c r="A123" s="678" t="s">
        <v>91</v>
      </c>
      <c r="B123" s="679"/>
      <c r="C123" s="30" t="s">
        <v>6</v>
      </c>
      <c r="D123" s="29">
        <f t="shared" ref="D123:K123" si="78">D122/D121</f>
        <v>0.89510347900044551</v>
      </c>
      <c r="E123" s="29">
        <f t="shared" si="78"/>
        <v>0.88554117323051496</v>
      </c>
      <c r="F123" s="29">
        <f t="shared" si="78"/>
        <v>0.9080190651392257</v>
      </c>
      <c r="G123" s="29">
        <f t="shared" si="78"/>
        <v>0.91526288922919852</v>
      </c>
      <c r="H123" s="29">
        <f t="shared" si="78"/>
        <v>0.92394560958746252</v>
      </c>
      <c r="I123" s="29">
        <f t="shared" si="78"/>
        <v>0.73797860641807456</v>
      </c>
      <c r="J123" s="29">
        <f t="shared" si="78"/>
        <v>0.82034976152623207</v>
      </c>
      <c r="K123" s="29">
        <f t="shared" si="78"/>
        <v>1</v>
      </c>
      <c r="L123" s="573">
        <f t="shared" ref="L123:M123" si="79">L122/L121</f>
        <v>0.51093261936635426</v>
      </c>
      <c r="M123" s="630">
        <f t="shared" si="79"/>
        <v>0.85796126996106414</v>
      </c>
    </row>
    <row r="124" spans="1:13" ht="14.4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6"/>
    </row>
    <row r="125" spans="1:13" x14ac:dyDescent="0.3">
      <c r="A125" s="673" t="s">
        <v>230</v>
      </c>
      <c r="B125" s="24" t="s">
        <v>85</v>
      </c>
      <c r="C125" s="11" t="s">
        <v>3</v>
      </c>
      <c r="D125" s="34">
        <f>Mulanje!M125</f>
        <v>0</v>
      </c>
      <c r="E125" s="34">
        <f>Luchenza!M125</f>
        <v>0</v>
      </c>
      <c r="F125" s="34">
        <f>Thyolo!M125</f>
        <v>0</v>
      </c>
      <c r="G125" s="34">
        <f>Muloza!M125</f>
        <v>0</v>
      </c>
      <c r="H125" s="34">
        <f>MUST!M125</f>
        <v>0</v>
      </c>
      <c r="I125" s="34">
        <f>Phalombe!M125</f>
        <v>0</v>
      </c>
      <c r="J125" s="34">
        <f>Mikolongwe!M125</f>
        <v>0</v>
      </c>
      <c r="K125" s="34">
        <f>Migowi!M125</f>
        <v>0</v>
      </c>
      <c r="L125" s="34">
        <f>Nkando!N125</f>
        <v>5</v>
      </c>
      <c r="M125" s="624">
        <f>E125</f>
        <v>0</v>
      </c>
    </row>
    <row r="126" spans="1:13" x14ac:dyDescent="0.3">
      <c r="A126" s="674"/>
      <c r="B126" s="24" t="s">
        <v>84</v>
      </c>
      <c r="C126" s="11" t="s">
        <v>3</v>
      </c>
      <c r="D126" s="26">
        <f>Mulanje!M126+Mulanje!N126+Mulanje!O126</f>
        <v>0</v>
      </c>
      <c r="E126" s="26">
        <f>Luchenza!M126+Luchenza!N126+Luchenza!O126</f>
        <v>0</v>
      </c>
      <c r="F126" s="26">
        <f>Thyolo!M126+Thyolo!N126+Thyolo!O126</f>
        <v>0</v>
      </c>
      <c r="G126" s="26">
        <f>Muloza!M126+Muloza!N126+Muloza!O126</f>
        <v>0</v>
      </c>
      <c r="H126" s="26">
        <f>MUST!M126+MUST!N126+MUST!O126</f>
        <v>0</v>
      </c>
      <c r="I126" s="26">
        <f>Phalombe!M126+Phalombe!N126+Phalombe!O126</f>
        <v>0</v>
      </c>
      <c r="J126" s="26">
        <f>Mikolongwe!M126+Mikolongwe!N126+Mikolongwe!O126</f>
        <v>0</v>
      </c>
      <c r="K126" s="26">
        <f>Migowi!M126+Migowi!N126+Migowi!O126</f>
        <v>0</v>
      </c>
      <c r="L126" s="26">
        <f>Nkando!N126+Nkando!O126+Nkando!P126</f>
        <v>4</v>
      </c>
      <c r="M126" s="624">
        <f>SUM(E126:L126)</f>
        <v>4</v>
      </c>
    </row>
    <row r="127" spans="1:13" x14ac:dyDescent="0.3">
      <c r="A127" s="674"/>
      <c r="B127" s="82" t="s">
        <v>88</v>
      </c>
      <c r="C127" s="11" t="s">
        <v>3</v>
      </c>
      <c r="D127" s="26">
        <f>Mulanje!M127+Mulanje!N127+Mulanje!O127</f>
        <v>0</v>
      </c>
      <c r="E127" s="26">
        <f>Luchenza!M127+Luchenza!N127+Luchenza!O127</f>
        <v>0</v>
      </c>
      <c r="F127" s="26">
        <f>Thyolo!M127+Thyolo!N127+Thyolo!O127</f>
        <v>0</v>
      </c>
      <c r="G127" s="26">
        <f>Muloza!M127+Muloza!N127+Muloza!O127</f>
        <v>0</v>
      </c>
      <c r="H127" s="26">
        <f>MUST!M127+MUST!N127+MUST!O127</f>
        <v>0</v>
      </c>
      <c r="I127" s="26">
        <f>Phalombe!M127+Phalombe!N127+Phalombe!O127</f>
        <v>0</v>
      </c>
      <c r="J127" s="26">
        <f>Mikolongwe!M127+Mikolongwe!N127+Mikolongwe!O127</f>
        <v>0</v>
      </c>
      <c r="K127" s="26">
        <f>Migowi!M127+Migowi!N127+Migowi!O127</f>
        <v>0</v>
      </c>
      <c r="L127" s="26">
        <f>Nkando!N127+Nkando!O127+Nkando!P127</f>
        <v>8</v>
      </c>
      <c r="M127" s="624">
        <f>SUM(E127:L127)</f>
        <v>8</v>
      </c>
    </row>
    <row r="128" spans="1:13" x14ac:dyDescent="0.3">
      <c r="A128" s="674"/>
      <c r="B128" s="24" t="s">
        <v>82</v>
      </c>
      <c r="C128" s="11" t="s">
        <v>3</v>
      </c>
      <c r="D128" s="26">
        <f>Mulanje!M128+Mulanje!N128+Mulanje!O128</f>
        <v>0</v>
      </c>
      <c r="E128" s="26">
        <f>Luchenza!M128+Luchenza!N128+Luchenza!O128</f>
        <v>0</v>
      </c>
      <c r="F128" s="26">
        <f>Thyolo!M128+Thyolo!N128+Thyolo!O128</f>
        <v>0</v>
      </c>
      <c r="G128" s="26">
        <f>Muloza!M128+Muloza!N128+Muloza!O128</f>
        <v>0</v>
      </c>
      <c r="H128" s="26">
        <f>MUST!M128+MUST!N128+MUST!O128</f>
        <v>0</v>
      </c>
      <c r="I128" s="26">
        <f>Phalombe!M128+Phalombe!N128+Phalombe!O128</f>
        <v>0</v>
      </c>
      <c r="J128" s="26">
        <f>Mikolongwe!M128+Mikolongwe!N128+Mikolongwe!O128</f>
        <v>0</v>
      </c>
      <c r="K128" s="26">
        <f>Migowi!M128+Migowi!N128+Migowi!O128</f>
        <v>0</v>
      </c>
      <c r="L128" s="26">
        <f>Nkando!N128+Nkando!O128+Nkando!P128</f>
        <v>0</v>
      </c>
      <c r="M128" s="624">
        <f>SUM(E128:L128)</f>
        <v>0</v>
      </c>
    </row>
    <row r="129" spans="1:13" x14ac:dyDescent="0.3">
      <c r="A129" s="675"/>
      <c r="B129" s="24" t="s">
        <v>81</v>
      </c>
      <c r="C129" s="11" t="s">
        <v>3</v>
      </c>
      <c r="D129" s="139">
        <f t="shared" ref="D129:K129" si="80">D125+D126-D127-D128</f>
        <v>0</v>
      </c>
      <c r="E129" s="140">
        <f t="shared" si="80"/>
        <v>0</v>
      </c>
      <c r="F129" s="140">
        <f t="shared" si="80"/>
        <v>0</v>
      </c>
      <c r="G129" s="139">
        <f t="shared" si="80"/>
        <v>0</v>
      </c>
      <c r="H129" s="139">
        <f t="shared" si="80"/>
        <v>0</v>
      </c>
      <c r="I129" s="139">
        <f t="shared" si="80"/>
        <v>0</v>
      </c>
      <c r="J129" s="139">
        <f t="shared" si="80"/>
        <v>0</v>
      </c>
      <c r="K129" s="139">
        <f t="shared" si="80"/>
        <v>0</v>
      </c>
      <c r="L129" s="139">
        <f t="shared" ref="L129:M129" si="81">L125+L126-L127-L128</f>
        <v>1</v>
      </c>
      <c r="M129" s="203">
        <f t="shared" si="81"/>
        <v>-4</v>
      </c>
    </row>
    <row r="130" spans="1:13" x14ac:dyDescent="0.3">
      <c r="A130" s="673" t="s">
        <v>231</v>
      </c>
      <c r="B130" s="28" t="s">
        <v>85</v>
      </c>
      <c r="C130" s="27" t="s">
        <v>3</v>
      </c>
      <c r="D130" s="34">
        <f>Mulanje!M130</f>
        <v>0</v>
      </c>
      <c r="E130" s="34">
        <f>Luchenza!M130</f>
        <v>0</v>
      </c>
      <c r="F130" s="34">
        <f>Thyolo!M130</f>
        <v>0</v>
      </c>
      <c r="G130" s="34">
        <f>Muloza!M130</f>
        <v>0</v>
      </c>
      <c r="H130" s="34">
        <f>MUST!M130</f>
        <v>0</v>
      </c>
      <c r="I130" s="34">
        <f>Phalombe!M130</f>
        <v>1</v>
      </c>
      <c r="J130" s="34">
        <f>Mikolongwe!M130</f>
        <v>0</v>
      </c>
      <c r="K130" s="34">
        <f>Migowi!M130</f>
        <v>0</v>
      </c>
      <c r="L130" s="34">
        <f>Nkando!N130</f>
        <v>6</v>
      </c>
      <c r="M130" s="624">
        <f>E130</f>
        <v>0</v>
      </c>
    </row>
    <row r="131" spans="1:13" x14ac:dyDescent="0.3">
      <c r="A131" s="674"/>
      <c r="B131" s="24" t="s">
        <v>84</v>
      </c>
      <c r="C131" s="11" t="s">
        <v>3</v>
      </c>
      <c r="D131" s="26">
        <f>Mulanje!M131+Mulanje!N131+Mulanje!O131</f>
        <v>0</v>
      </c>
      <c r="E131" s="26">
        <f>Luchenza!M131+Luchenza!N131+Luchenza!O131</f>
        <v>0</v>
      </c>
      <c r="F131" s="26">
        <f>Thyolo!M131+Thyolo!N131+Thyolo!O131</f>
        <v>0</v>
      </c>
      <c r="G131" s="26">
        <f>Muloza!M131+Muloza!N131+Muloza!O131</f>
        <v>0</v>
      </c>
      <c r="H131" s="26">
        <f>MUST!M131+MUST!N131+MUST!O131</f>
        <v>0</v>
      </c>
      <c r="I131" s="26">
        <f>Phalombe!M131+Phalombe!N131+Phalombe!O131</f>
        <v>0</v>
      </c>
      <c r="J131" s="26">
        <f>Mikolongwe!M131+Mikolongwe!N131+Mikolongwe!O131</f>
        <v>0</v>
      </c>
      <c r="K131" s="26">
        <f>Migowi!M131+Migowi!N131+Migowi!O131</f>
        <v>0</v>
      </c>
      <c r="L131" s="26">
        <f>Nkando!N131+Nkando!O131+Nkando!P131</f>
        <v>0</v>
      </c>
      <c r="M131" s="624">
        <f>SUM(E131:L131)</f>
        <v>0</v>
      </c>
    </row>
    <row r="132" spans="1:13" x14ac:dyDescent="0.3">
      <c r="A132" s="674"/>
      <c r="B132" s="82" t="s">
        <v>88</v>
      </c>
      <c r="C132" s="11" t="s">
        <v>3</v>
      </c>
      <c r="D132" s="26">
        <f>Mulanje!M132+Mulanje!N132+Mulanje!O132</f>
        <v>0</v>
      </c>
      <c r="E132" s="26">
        <f>Luchenza!M132+Luchenza!N132+Luchenza!O132</f>
        <v>0</v>
      </c>
      <c r="F132" s="26">
        <f>Thyolo!M132+Thyolo!N132+Thyolo!O132</f>
        <v>0</v>
      </c>
      <c r="G132" s="26">
        <f>Muloza!M132+Muloza!N132+Muloza!O132</f>
        <v>0</v>
      </c>
      <c r="H132" s="26">
        <f>MUST!M132+MUST!N132+MUST!O132</f>
        <v>0</v>
      </c>
      <c r="I132" s="26">
        <f>Phalombe!M132+Phalombe!N132+Phalombe!O132</f>
        <v>1</v>
      </c>
      <c r="J132" s="26">
        <f>Mikolongwe!M132+Mikolongwe!N132+Mikolongwe!O132</f>
        <v>0</v>
      </c>
      <c r="K132" s="26">
        <f>Migowi!M132+Migowi!N132+Migowi!O132</f>
        <v>0</v>
      </c>
      <c r="L132" s="26">
        <f>Nkando!N132+Nkando!O132+Nkando!P132</f>
        <v>0</v>
      </c>
      <c r="M132" s="624">
        <f>SUM(E132:L132)</f>
        <v>1</v>
      </c>
    </row>
    <row r="133" spans="1:13" x14ac:dyDescent="0.3">
      <c r="A133" s="674"/>
      <c r="B133" s="24" t="s">
        <v>82</v>
      </c>
      <c r="C133" s="11" t="s">
        <v>3</v>
      </c>
      <c r="D133" s="26">
        <f>Mulanje!M133+Mulanje!N133+Mulanje!O133</f>
        <v>0</v>
      </c>
      <c r="E133" s="26">
        <f>Luchenza!M133+Luchenza!N133+Luchenza!O133</f>
        <v>0</v>
      </c>
      <c r="F133" s="26">
        <f>Thyolo!M133+Thyolo!N133+Thyolo!O133</f>
        <v>0</v>
      </c>
      <c r="G133" s="26">
        <f>Muloza!M133+Muloza!N133+Muloza!O133</f>
        <v>0</v>
      </c>
      <c r="H133" s="26">
        <f>MUST!M133+MUST!N133+MUST!O133</f>
        <v>0</v>
      </c>
      <c r="I133" s="26">
        <f>Phalombe!M133+Phalombe!N133+Phalombe!O133</f>
        <v>0</v>
      </c>
      <c r="J133" s="26">
        <f>Mikolongwe!M133+Mikolongwe!N133+Mikolongwe!O133</f>
        <v>0</v>
      </c>
      <c r="K133" s="26">
        <f>Migowi!M133+Migowi!N133+Migowi!O133</f>
        <v>0</v>
      </c>
      <c r="L133" s="26">
        <f>Nkando!N133+Nkando!O133+Nkando!P133</f>
        <v>0</v>
      </c>
      <c r="M133" s="624">
        <f>SUM(E133:L133)</f>
        <v>0</v>
      </c>
    </row>
    <row r="134" spans="1:13" x14ac:dyDescent="0.3">
      <c r="A134" s="675"/>
      <c r="B134" s="24" t="s">
        <v>81</v>
      </c>
      <c r="C134" s="11" t="s">
        <v>3</v>
      </c>
      <c r="D134" s="139">
        <f t="shared" ref="D134:K134" si="82">D130+D131-D132-D133</f>
        <v>0</v>
      </c>
      <c r="E134" s="140">
        <f t="shared" si="82"/>
        <v>0</v>
      </c>
      <c r="F134" s="140">
        <f t="shared" si="82"/>
        <v>0</v>
      </c>
      <c r="G134" s="139">
        <f t="shared" si="82"/>
        <v>0</v>
      </c>
      <c r="H134" s="139">
        <f t="shared" si="82"/>
        <v>0</v>
      </c>
      <c r="I134" s="139">
        <f t="shared" si="82"/>
        <v>0</v>
      </c>
      <c r="J134" s="139">
        <f t="shared" si="82"/>
        <v>0</v>
      </c>
      <c r="K134" s="139">
        <f t="shared" si="82"/>
        <v>0</v>
      </c>
      <c r="L134" s="139">
        <f t="shared" ref="L134:M134" si="83">L130+L131-L132-L133</f>
        <v>6</v>
      </c>
      <c r="M134" s="203">
        <f t="shared" si="83"/>
        <v>-1</v>
      </c>
    </row>
    <row r="135" spans="1:13" x14ac:dyDescent="0.3">
      <c r="A135" s="673" t="s">
        <v>89</v>
      </c>
      <c r="B135" s="24" t="s">
        <v>85</v>
      </c>
      <c r="C135" s="11" t="s">
        <v>3</v>
      </c>
      <c r="D135" s="34">
        <f>Mulanje!M135</f>
        <v>0</v>
      </c>
      <c r="E135" s="34">
        <f>Luchenza!M135</f>
        <v>0</v>
      </c>
      <c r="F135" s="34">
        <f>Thyolo!M135</f>
        <v>0</v>
      </c>
      <c r="G135" s="34">
        <f>Muloza!M135</f>
        <v>0</v>
      </c>
      <c r="H135" s="34">
        <f>MUST!M135</f>
        <v>0</v>
      </c>
      <c r="I135" s="34">
        <f>Phalombe!M135</f>
        <v>0</v>
      </c>
      <c r="J135" s="34">
        <f>Mikolongwe!M135</f>
        <v>0</v>
      </c>
      <c r="K135" s="34">
        <f>Migowi!M135</f>
        <v>0</v>
      </c>
      <c r="L135" s="34">
        <f>Nkando!N135</f>
        <v>0</v>
      </c>
      <c r="M135" s="624">
        <f>E135</f>
        <v>0</v>
      </c>
    </row>
    <row r="136" spans="1:13" x14ac:dyDescent="0.3">
      <c r="A136" s="674"/>
      <c r="B136" s="24" t="s">
        <v>84</v>
      </c>
      <c r="C136" s="11" t="s">
        <v>3</v>
      </c>
      <c r="D136" s="26">
        <f>Mulanje!M136+Mulanje!N136+Mulanje!O136</f>
        <v>0</v>
      </c>
      <c r="E136" s="26">
        <f>Luchenza!M136+Luchenza!N136+Luchenza!O136</f>
        <v>0</v>
      </c>
      <c r="F136" s="26">
        <f>Thyolo!M136+Thyolo!N136+Thyolo!O136</f>
        <v>0</v>
      </c>
      <c r="G136" s="26">
        <f>Muloza!M136+Muloza!N136+Muloza!O136</f>
        <v>0</v>
      </c>
      <c r="H136" s="26">
        <f>MUST!M136+MUST!N136+MUST!O136</f>
        <v>0</v>
      </c>
      <c r="I136" s="26">
        <f>Phalombe!M136+Phalombe!N136+Phalombe!O136</f>
        <v>0</v>
      </c>
      <c r="J136" s="26">
        <f>Mikolongwe!M136+Mikolongwe!N136+Mikolongwe!O136</f>
        <v>0</v>
      </c>
      <c r="K136" s="26">
        <f>Migowi!M136+Migowi!N136+Migowi!O136</f>
        <v>0</v>
      </c>
      <c r="L136" s="26">
        <f>Nkando!N136+Nkando!O136+Nkando!P136</f>
        <v>3</v>
      </c>
      <c r="M136" s="624">
        <f>SUM(E136:L136)</f>
        <v>3</v>
      </c>
    </row>
    <row r="137" spans="1:13" x14ac:dyDescent="0.3">
      <c r="A137" s="674"/>
      <c r="B137" s="82" t="s">
        <v>88</v>
      </c>
      <c r="C137" s="11" t="s">
        <v>3</v>
      </c>
      <c r="D137" s="26">
        <f>Mulanje!M137+Mulanje!N137+Mulanje!O137</f>
        <v>0</v>
      </c>
      <c r="E137" s="26">
        <f>Luchenza!M137+Luchenza!N137+Luchenza!O137</f>
        <v>0</v>
      </c>
      <c r="F137" s="26">
        <f>Thyolo!M137+Thyolo!N137+Thyolo!O137</f>
        <v>0</v>
      </c>
      <c r="G137" s="26">
        <f>Muloza!M137+Muloza!N137+Muloza!O137</f>
        <v>0</v>
      </c>
      <c r="H137" s="26">
        <f>MUST!M137+MUST!N137+MUST!O137</f>
        <v>0</v>
      </c>
      <c r="I137" s="26">
        <f>Phalombe!M137+Phalombe!N137+Phalombe!O137</f>
        <v>0</v>
      </c>
      <c r="J137" s="26">
        <f>Mikolongwe!M137+Mikolongwe!N137+Mikolongwe!O137</f>
        <v>0</v>
      </c>
      <c r="K137" s="26">
        <f>Migowi!M137+Migowi!N137+Migowi!O137</f>
        <v>0</v>
      </c>
      <c r="L137" s="26">
        <f>Nkando!N137+Nkando!O137+Nkando!P137</f>
        <v>3</v>
      </c>
      <c r="M137" s="624">
        <f>SUM(E137:L137)</f>
        <v>3</v>
      </c>
    </row>
    <row r="138" spans="1:13" x14ac:dyDescent="0.3">
      <c r="A138" s="674"/>
      <c r="B138" s="24" t="s">
        <v>82</v>
      </c>
      <c r="C138" s="11" t="s">
        <v>3</v>
      </c>
      <c r="D138" s="26">
        <f>Mulanje!M138+Mulanje!N138+Mulanje!O138</f>
        <v>0</v>
      </c>
      <c r="E138" s="26">
        <f>Luchenza!M138+Luchenza!N138+Luchenza!O138</f>
        <v>0</v>
      </c>
      <c r="F138" s="26">
        <f>Thyolo!M138+Thyolo!N138+Thyolo!O138</f>
        <v>0</v>
      </c>
      <c r="G138" s="26">
        <f>Muloza!M138+Muloza!N138+Muloza!O138</f>
        <v>0</v>
      </c>
      <c r="H138" s="26">
        <f>MUST!M138+MUST!N138+MUST!O138</f>
        <v>0</v>
      </c>
      <c r="I138" s="26">
        <f>Phalombe!M138+Phalombe!N138+Phalombe!O138</f>
        <v>0</v>
      </c>
      <c r="J138" s="26">
        <f>Mikolongwe!M138+Mikolongwe!N138+Mikolongwe!O138</f>
        <v>0</v>
      </c>
      <c r="K138" s="26">
        <f>Migowi!M138+Migowi!N138+Migowi!O138</f>
        <v>0</v>
      </c>
      <c r="L138" s="26">
        <f>Nkando!N138+Nkando!O138+Nkando!P138</f>
        <v>0</v>
      </c>
      <c r="M138" s="624">
        <f>SUM(E138:L138)</f>
        <v>0</v>
      </c>
    </row>
    <row r="139" spans="1:13" x14ac:dyDescent="0.3">
      <c r="A139" s="675"/>
      <c r="B139" s="24" t="s">
        <v>81</v>
      </c>
      <c r="C139" s="11" t="s">
        <v>3</v>
      </c>
      <c r="D139" s="139">
        <f t="shared" ref="D139:K139" si="84">D135+D136-D137-D138</f>
        <v>0</v>
      </c>
      <c r="E139" s="140">
        <f t="shared" si="84"/>
        <v>0</v>
      </c>
      <c r="F139" s="140">
        <f t="shared" si="84"/>
        <v>0</v>
      </c>
      <c r="G139" s="139">
        <f t="shared" si="84"/>
        <v>0</v>
      </c>
      <c r="H139" s="139">
        <f t="shared" si="84"/>
        <v>0</v>
      </c>
      <c r="I139" s="139">
        <f t="shared" si="84"/>
        <v>0</v>
      </c>
      <c r="J139" s="139">
        <f t="shared" si="84"/>
        <v>0</v>
      </c>
      <c r="K139" s="139">
        <f t="shared" si="84"/>
        <v>0</v>
      </c>
      <c r="L139" s="139">
        <f t="shared" ref="L139:M139" si="85">L135+L136-L137-L138</f>
        <v>0</v>
      </c>
      <c r="M139" s="203">
        <f t="shared" si="85"/>
        <v>0</v>
      </c>
    </row>
    <row r="140" spans="1:13" x14ac:dyDescent="0.3">
      <c r="A140" s="673" t="s">
        <v>87</v>
      </c>
      <c r="B140" s="24" t="s">
        <v>85</v>
      </c>
      <c r="C140" s="11" t="s">
        <v>3</v>
      </c>
      <c r="D140" s="34">
        <f>Mulanje!M140</f>
        <v>115</v>
      </c>
      <c r="E140" s="34">
        <f>Luchenza!M140</f>
        <v>22</v>
      </c>
      <c r="F140" s="34">
        <f>Thyolo!M140</f>
        <v>30</v>
      </c>
      <c r="G140" s="34">
        <f>Muloza!M140</f>
        <v>3</v>
      </c>
      <c r="H140" s="34">
        <f>MUST!M140</f>
        <v>2</v>
      </c>
      <c r="I140" s="34">
        <f>Phalombe!M140</f>
        <v>22</v>
      </c>
      <c r="J140" s="34">
        <f>Mikolongwe!M140</f>
        <v>0</v>
      </c>
      <c r="K140" s="34">
        <f>Migowi!M140</f>
        <v>0</v>
      </c>
      <c r="L140" s="34">
        <f>Nkando!N140</f>
        <v>109</v>
      </c>
      <c r="M140" s="624">
        <f>E140</f>
        <v>22</v>
      </c>
    </row>
    <row r="141" spans="1:13" x14ac:dyDescent="0.3">
      <c r="A141" s="674"/>
      <c r="B141" s="24" t="s">
        <v>84</v>
      </c>
      <c r="C141" s="11" t="s">
        <v>3</v>
      </c>
      <c r="D141" s="26">
        <f>Mulanje!M141+Mulanje!N141+Mulanje!O141</f>
        <v>129</v>
      </c>
      <c r="E141" s="26">
        <f>Luchenza!M141+Luchenza!N141+Luchenza!O141</f>
        <v>111</v>
      </c>
      <c r="F141" s="26">
        <f>Thyolo!M141+Thyolo!N141+Thyolo!O141</f>
        <v>35</v>
      </c>
      <c r="G141" s="26">
        <f>Muloza!M141+Muloza!N141+Muloza!O141</f>
        <v>48</v>
      </c>
      <c r="H141" s="26">
        <f>MUST!M141+MUST!N141+MUST!O141</f>
        <v>0</v>
      </c>
      <c r="I141" s="26">
        <f>Phalombe!M141+Phalombe!N141+Phalombe!O141</f>
        <v>19</v>
      </c>
      <c r="J141" s="26">
        <f>Mikolongwe!M141+Mikolongwe!N141+Mikolongwe!O141</f>
        <v>0</v>
      </c>
      <c r="K141" s="26">
        <f>Migowi!M141+Migowi!N141+Migowi!O141</f>
        <v>0</v>
      </c>
      <c r="L141" s="26">
        <f>Nkando!N141+Nkando!O141+Nkando!P141</f>
        <v>28</v>
      </c>
      <c r="M141" s="624">
        <f>SUM(E141:L141)</f>
        <v>241</v>
      </c>
    </row>
    <row r="142" spans="1:13" x14ac:dyDescent="0.3">
      <c r="A142" s="674"/>
      <c r="B142" s="24" t="s">
        <v>83</v>
      </c>
      <c r="C142" s="11" t="s">
        <v>3</v>
      </c>
      <c r="D142" s="26">
        <f>Mulanje!M142+Mulanje!N142+Mulanje!O142</f>
        <v>0</v>
      </c>
      <c r="E142" s="26">
        <f>Luchenza!M142+Luchenza!N142+Luchenza!O142</f>
        <v>14</v>
      </c>
      <c r="F142" s="26">
        <f>Thyolo!M142+Thyolo!N142+Thyolo!O142</f>
        <v>3</v>
      </c>
      <c r="G142" s="26">
        <f>Muloza!M142+Muloza!N142+Muloza!O142</f>
        <v>0</v>
      </c>
      <c r="H142" s="26">
        <f>MUST!M142+MUST!N142+MUST!O142</f>
        <v>0</v>
      </c>
      <c r="I142" s="26">
        <f>Phalombe!M142+Phalombe!N142+Phalombe!O142</f>
        <v>11</v>
      </c>
      <c r="J142" s="26">
        <f>Mikolongwe!M142+Mikolongwe!N142+Mikolongwe!O142</f>
        <v>0</v>
      </c>
      <c r="K142" s="26">
        <f>Migowi!M142+Migowi!N142+Migowi!O142</f>
        <v>0</v>
      </c>
      <c r="L142" s="26">
        <f>Nkando!N142+Nkando!O142+Nkando!P142</f>
        <v>0</v>
      </c>
      <c r="M142" s="624">
        <f>SUM(E142:L142)</f>
        <v>28</v>
      </c>
    </row>
    <row r="143" spans="1:13" x14ac:dyDescent="0.3">
      <c r="A143" s="674"/>
      <c r="B143" s="24" t="s">
        <v>82</v>
      </c>
      <c r="C143" s="11" t="s">
        <v>3</v>
      </c>
      <c r="D143" s="26">
        <f>Mulanje!M143+Mulanje!N143+Mulanje!O143</f>
        <v>209</v>
      </c>
      <c r="E143" s="26">
        <f>Luchenza!M143+Luchenza!N143+Luchenza!O143</f>
        <v>114</v>
      </c>
      <c r="F143" s="26">
        <f>Thyolo!M143+Thyolo!N143+Thyolo!O143</f>
        <v>52</v>
      </c>
      <c r="G143" s="26">
        <f>Muloza!M143+Muloza!N143+Muloza!O143</f>
        <v>51</v>
      </c>
      <c r="H143" s="26">
        <f>MUST!M143+MUST!N143+MUST!O143</f>
        <v>2</v>
      </c>
      <c r="I143" s="26">
        <f>Phalombe!M143+Phalombe!N143+Phalombe!O143</f>
        <v>28</v>
      </c>
      <c r="J143" s="26">
        <f>Mikolongwe!M143+Mikolongwe!N143+Mikolongwe!O143</f>
        <v>0</v>
      </c>
      <c r="K143" s="26">
        <f>Migowi!M143+Migowi!N143+Migowi!O143</f>
        <v>0</v>
      </c>
      <c r="L143" s="26">
        <f>Nkando!N143+Nkando!O143+Nkando!P143</f>
        <v>0</v>
      </c>
      <c r="M143" s="624">
        <f>SUM(E143:L143)</f>
        <v>247</v>
      </c>
    </row>
    <row r="144" spans="1:13" x14ac:dyDescent="0.3">
      <c r="A144" s="675"/>
      <c r="B144" s="24" t="s">
        <v>81</v>
      </c>
      <c r="C144" s="11" t="s">
        <v>3</v>
      </c>
      <c r="D144" s="139">
        <f t="shared" ref="D144:K144" si="86">D140+D141-D142-D143</f>
        <v>35</v>
      </c>
      <c r="E144" s="139">
        <f t="shared" si="86"/>
        <v>5</v>
      </c>
      <c r="F144" s="139">
        <f t="shared" si="86"/>
        <v>10</v>
      </c>
      <c r="G144" s="139">
        <f t="shared" si="86"/>
        <v>0</v>
      </c>
      <c r="H144" s="139">
        <f t="shared" si="86"/>
        <v>0</v>
      </c>
      <c r="I144" s="139">
        <f t="shared" si="86"/>
        <v>2</v>
      </c>
      <c r="J144" s="139">
        <f t="shared" si="86"/>
        <v>0</v>
      </c>
      <c r="K144" s="139">
        <f t="shared" si="86"/>
        <v>0</v>
      </c>
      <c r="L144" s="139">
        <f t="shared" ref="L144:M144" si="87">L140+L141-L142-L143</f>
        <v>137</v>
      </c>
      <c r="M144" s="203">
        <f t="shared" si="87"/>
        <v>-12</v>
      </c>
    </row>
    <row r="145" spans="1:13" s="2" customFormat="1" x14ac:dyDescent="0.3">
      <c r="A145" s="673" t="s">
        <v>86</v>
      </c>
      <c r="B145" s="24" t="s">
        <v>85</v>
      </c>
      <c r="C145" s="11" t="s">
        <v>3</v>
      </c>
      <c r="D145" s="138">
        <f t="shared" ref="D145:K148" si="88">D125+D130+D135+D140</f>
        <v>115</v>
      </c>
      <c r="E145" s="138">
        <f t="shared" si="88"/>
        <v>22</v>
      </c>
      <c r="F145" s="138">
        <f t="shared" si="88"/>
        <v>30</v>
      </c>
      <c r="G145" s="138">
        <f t="shared" si="88"/>
        <v>3</v>
      </c>
      <c r="H145" s="138">
        <f t="shared" si="88"/>
        <v>2</v>
      </c>
      <c r="I145" s="138">
        <f t="shared" si="88"/>
        <v>23</v>
      </c>
      <c r="J145" s="138">
        <f t="shared" si="88"/>
        <v>0</v>
      </c>
      <c r="K145" s="138">
        <f t="shared" si="88"/>
        <v>0</v>
      </c>
      <c r="L145" s="138">
        <f t="shared" ref="L145:M149" si="89">L125+L130+L135+L140</f>
        <v>120</v>
      </c>
      <c r="M145" s="631">
        <f t="shared" si="89"/>
        <v>22</v>
      </c>
    </row>
    <row r="146" spans="1:13" x14ac:dyDescent="0.3">
      <c r="A146" s="674"/>
      <c r="B146" s="24" t="s">
        <v>84</v>
      </c>
      <c r="C146" s="11" t="s">
        <v>3</v>
      </c>
      <c r="D146" s="138">
        <f t="shared" si="88"/>
        <v>129</v>
      </c>
      <c r="E146" s="138">
        <f t="shared" si="88"/>
        <v>111</v>
      </c>
      <c r="F146" s="138">
        <f t="shared" si="88"/>
        <v>35</v>
      </c>
      <c r="G146" s="138">
        <f t="shared" si="88"/>
        <v>48</v>
      </c>
      <c r="H146" s="138">
        <f t="shared" si="88"/>
        <v>0</v>
      </c>
      <c r="I146" s="138">
        <f t="shared" si="88"/>
        <v>19</v>
      </c>
      <c r="J146" s="138">
        <f t="shared" si="88"/>
        <v>0</v>
      </c>
      <c r="K146" s="138">
        <f t="shared" si="88"/>
        <v>0</v>
      </c>
      <c r="L146" s="138">
        <f t="shared" ref="L146" si="90">L126+L131+L136+L141</f>
        <v>35</v>
      </c>
      <c r="M146" s="631">
        <f t="shared" si="89"/>
        <v>248</v>
      </c>
    </row>
    <row r="147" spans="1:13" x14ac:dyDescent="0.3">
      <c r="A147" s="674"/>
      <c r="B147" s="24" t="s">
        <v>83</v>
      </c>
      <c r="C147" s="11" t="s">
        <v>3</v>
      </c>
      <c r="D147" s="138">
        <f t="shared" si="88"/>
        <v>0</v>
      </c>
      <c r="E147" s="138">
        <f t="shared" si="88"/>
        <v>14</v>
      </c>
      <c r="F147" s="138">
        <f t="shared" si="88"/>
        <v>3</v>
      </c>
      <c r="G147" s="138">
        <f t="shared" si="88"/>
        <v>0</v>
      </c>
      <c r="H147" s="138">
        <f t="shared" si="88"/>
        <v>0</v>
      </c>
      <c r="I147" s="138">
        <f t="shared" si="88"/>
        <v>12</v>
      </c>
      <c r="J147" s="138">
        <f t="shared" si="88"/>
        <v>0</v>
      </c>
      <c r="K147" s="138">
        <f t="shared" si="88"/>
        <v>0</v>
      </c>
      <c r="L147" s="138">
        <f t="shared" ref="L147" si="91">L127+L132+L137+L142</f>
        <v>11</v>
      </c>
      <c r="M147" s="631">
        <f t="shared" si="89"/>
        <v>40</v>
      </c>
    </row>
    <row r="148" spans="1:13" x14ac:dyDescent="0.3">
      <c r="A148" s="674"/>
      <c r="B148" s="24" t="s">
        <v>82</v>
      </c>
      <c r="C148" s="11" t="s">
        <v>3</v>
      </c>
      <c r="D148" s="138">
        <f t="shared" si="88"/>
        <v>209</v>
      </c>
      <c r="E148" s="138">
        <f t="shared" si="88"/>
        <v>114</v>
      </c>
      <c r="F148" s="138">
        <f t="shared" si="88"/>
        <v>52</v>
      </c>
      <c r="G148" s="138">
        <f t="shared" si="88"/>
        <v>51</v>
      </c>
      <c r="H148" s="138">
        <f t="shared" si="88"/>
        <v>2</v>
      </c>
      <c r="I148" s="138">
        <f t="shared" si="88"/>
        <v>28</v>
      </c>
      <c r="J148" s="138">
        <f t="shared" si="88"/>
        <v>0</v>
      </c>
      <c r="K148" s="138">
        <f t="shared" si="88"/>
        <v>0</v>
      </c>
      <c r="L148" s="138">
        <f t="shared" ref="L148" si="92">L128+L133+L138+L143</f>
        <v>0</v>
      </c>
      <c r="M148" s="631">
        <f t="shared" si="89"/>
        <v>247</v>
      </c>
    </row>
    <row r="149" spans="1:13" x14ac:dyDescent="0.3">
      <c r="A149" s="675"/>
      <c r="B149" s="24" t="s">
        <v>81</v>
      </c>
      <c r="C149" s="11" t="s">
        <v>3</v>
      </c>
      <c r="D149" s="139">
        <f t="shared" ref="D149:K149" si="93">D145+D146-D147-D148</f>
        <v>35</v>
      </c>
      <c r="E149" s="140">
        <f t="shared" si="93"/>
        <v>5</v>
      </c>
      <c r="F149" s="140">
        <f t="shared" si="93"/>
        <v>10</v>
      </c>
      <c r="G149" s="139">
        <f t="shared" si="93"/>
        <v>0</v>
      </c>
      <c r="H149" s="139">
        <f t="shared" si="93"/>
        <v>0</v>
      </c>
      <c r="I149" s="139">
        <f t="shared" si="93"/>
        <v>2</v>
      </c>
      <c r="J149" s="139">
        <f t="shared" si="93"/>
        <v>0</v>
      </c>
      <c r="K149" s="139">
        <f t="shared" si="93"/>
        <v>0</v>
      </c>
      <c r="L149" s="139">
        <f t="shared" ref="L149" si="94">L145+L146-L147-L148</f>
        <v>144</v>
      </c>
      <c r="M149" s="631">
        <f t="shared" si="89"/>
        <v>-17</v>
      </c>
    </row>
    <row r="150" spans="1:13" ht="14.4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1"/>
    </row>
    <row r="151" spans="1:13" ht="15.6" customHeight="1" x14ac:dyDescent="0.3">
      <c r="A151" s="729" t="s">
        <v>79</v>
      </c>
      <c r="B151" s="730"/>
      <c r="C151" s="730"/>
      <c r="D151" s="730"/>
      <c r="E151" s="730"/>
      <c r="F151" s="730"/>
      <c r="G151" s="730"/>
      <c r="H151" s="730"/>
      <c r="I151" s="730"/>
      <c r="J151" s="730"/>
      <c r="K151" s="730"/>
      <c r="L151" s="730"/>
      <c r="M151" s="731"/>
    </row>
    <row r="152" spans="1:13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624"/>
    </row>
    <row r="153" spans="1:13" x14ac:dyDescent="0.3">
      <c r="A153" s="671"/>
      <c r="B153" s="19" t="s">
        <v>73</v>
      </c>
      <c r="C153" s="11" t="s">
        <v>57</v>
      </c>
      <c r="D153" s="26">
        <f>Mulanje!M153+Mulanje!N153+Mulanje!O153</f>
        <v>53</v>
      </c>
      <c r="E153" s="26">
        <f>Luchenza!M153+Luchenza!N153+Luchenza!O153</f>
        <v>272</v>
      </c>
      <c r="F153" s="26">
        <f>Thyolo!M153+Thyolo!N153+Thyolo!O153</f>
        <v>130</v>
      </c>
      <c r="G153" s="26">
        <f>Muloza!M153+Muloza!N153+Muloza!O153</f>
        <v>43</v>
      </c>
      <c r="H153" s="26">
        <f>MUST!M153+MUST!N153+MUST!O153</f>
        <v>13</v>
      </c>
      <c r="I153" s="26">
        <f>Phalombe!M153+Phalombe!N153+Phalombe!O153</f>
        <v>19</v>
      </c>
      <c r="J153" s="26">
        <f>Mikolongwe!M153+Mikolongwe!N153+Mikolongwe!O153</f>
        <v>3</v>
      </c>
      <c r="K153" s="26">
        <f>Migowi!M153+Migowi!N153+Migowi!O153</f>
        <v>1</v>
      </c>
      <c r="L153" s="26">
        <f>Nkando!N153+Nkando!O153+Nkando!P153</f>
        <v>31</v>
      </c>
      <c r="M153" s="624">
        <f t="shared" ref="M153:M165" si="95">SUM(E153:L153)</f>
        <v>512</v>
      </c>
    </row>
    <row r="154" spans="1:13" x14ac:dyDescent="0.3">
      <c r="A154" s="671"/>
      <c r="B154" s="19" t="s">
        <v>72</v>
      </c>
      <c r="C154" s="11" t="s">
        <v>57</v>
      </c>
      <c r="D154" s="26">
        <f>Mulanje!M154+Mulanje!N154+Mulanje!O154</f>
        <v>24</v>
      </c>
      <c r="E154" s="26">
        <f>Luchenza!M154+Luchenza!N154+Luchenza!O154</f>
        <v>183</v>
      </c>
      <c r="F154" s="26">
        <f>Thyolo!M154+Thyolo!N154+Thyolo!O154</f>
        <v>79</v>
      </c>
      <c r="G154" s="26">
        <f>Muloza!M154+Muloza!N154+Muloza!O154</f>
        <v>31</v>
      </c>
      <c r="H154" s="26">
        <f>MUST!M154+MUST!N154+MUST!O154</f>
        <v>3</v>
      </c>
      <c r="I154" s="26">
        <f>Phalombe!M154+Phalombe!N154+Phalombe!O154</f>
        <v>18</v>
      </c>
      <c r="J154" s="26">
        <f>Mikolongwe!M154+Mikolongwe!N154+Mikolongwe!O154</f>
        <v>0</v>
      </c>
      <c r="K154" s="26">
        <f>Migowi!M154+Migowi!N154+Migowi!O154</f>
        <v>0</v>
      </c>
      <c r="L154" s="26">
        <f>Nkando!N154+Nkando!O154+Nkando!P154</f>
        <v>5</v>
      </c>
      <c r="M154" s="624">
        <f t="shared" si="95"/>
        <v>319</v>
      </c>
    </row>
    <row r="155" spans="1:13" x14ac:dyDescent="0.3">
      <c r="A155" s="671"/>
      <c r="B155" s="19" t="s">
        <v>53</v>
      </c>
      <c r="C155" s="11" t="s">
        <v>57</v>
      </c>
      <c r="D155" s="26">
        <f>Mulanje!M155+Mulanje!N155+Mulanje!O155</f>
        <v>9</v>
      </c>
      <c r="E155" s="26">
        <f>Luchenza!M155+Luchenza!N155+Luchenza!O155</f>
        <v>34</v>
      </c>
      <c r="F155" s="26">
        <f>Thyolo!M155+Thyolo!N155+Thyolo!O155</f>
        <v>56</v>
      </c>
      <c r="G155" s="26">
        <f>Muloza!M155+Muloza!N155+Muloza!O155</f>
        <v>10</v>
      </c>
      <c r="H155" s="26">
        <f>MUST!M155+MUST!N155+MUST!O155</f>
        <v>2</v>
      </c>
      <c r="I155" s="26">
        <f>Phalombe!M155+Phalombe!N155+Phalombe!O155</f>
        <v>14</v>
      </c>
      <c r="J155" s="26">
        <f>Mikolongwe!M155+Mikolongwe!N155+Mikolongwe!O155</f>
        <v>0</v>
      </c>
      <c r="K155" s="26">
        <f>Migowi!M155+Migowi!N155+Migowi!O155</f>
        <v>0</v>
      </c>
      <c r="L155" s="26">
        <f>Nkando!N155+Nkando!O155+Nkando!P155</f>
        <v>1</v>
      </c>
      <c r="M155" s="624">
        <f t="shared" si="95"/>
        <v>117</v>
      </c>
    </row>
    <row r="156" spans="1:13" x14ac:dyDescent="0.3">
      <c r="A156" s="671"/>
      <c r="B156" s="19" t="s">
        <v>71</v>
      </c>
      <c r="C156" s="11" t="s">
        <v>57</v>
      </c>
      <c r="D156" s="26">
        <f>Mulanje!M156+Mulanje!N156+Mulanje!O156</f>
        <v>1</v>
      </c>
      <c r="E156" s="26">
        <f>Luchenza!M156+Luchenza!N156+Luchenza!O156</f>
        <v>5</v>
      </c>
      <c r="F156" s="26">
        <f>Thyolo!M156+Thyolo!N156+Thyolo!O156</f>
        <v>5</v>
      </c>
      <c r="G156" s="26">
        <f>Muloza!M156+Muloza!N156+Muloza!O156</f>
        <v>0</v>
      </c>
      <c r="H156" s="26">
        <f>MUST!M156+MUST!N156+MUST!O156</f>
        <v>3</v>
      </c>
      <c r="I156" s="26">
        <f>Phalombe!M156+Phalombe!N156+Phalombe!O156</f>
        <v>7</v>
      </c>
      <c r="J156" s="26">
        <f>Mikolongwe!M156+Mikolongwe!N156+Mikolongwe!O156</f>
        <v>0</v>
      </c>
      <c r="K156" s="26">
        <f>Migowi!M156+Migowi!N156+Migowi!O156</f>
        <v>0</v>
      </c>
      <c r="L156" s="26">
        <f>Nkando!N156+Nkando!O156+Nkando!P156</f>
        <v>2</v>
      </c>
      <c r="M156" s="624">
        <f t="shared" si="95"/>
        <v>22</v>
      </c>
    </row>
    <row r="157" spans="1:13" x14ac:dyDescent="0.3">
      <c r="A157" s="671"/>
      <c r="B157" s="19" t="s">
        <v>52</v>
      </c>
      <c r="C157" s="11" t="s">
        <v>57</v>
      </c>
      <c r="D157" s="26">
        <f>Mulanje!M157+Mulanje!N157+Mulanje!O157</f>
        <v>6</v>
      </c>
      <c r="E157" s="26">
        <f>Luchenza!M157+Luchenza!N157+Luchenza!O157</f>
        <v>6</v>
      </c>
      <c r="F157" s="26">
        <f>Thyolo!M157+Thyolo!N157+Thyolo!O157</f>
        <v>17</v>
      </c>
      <c r="G157" s="26">
        <f>Muloza!M157+Muloza!N157+Muloza!O157</f>
        <v>1</v>
      </c>
      <c r="H157" s="26">
        <f>MUST!M157+MUST!N157+MUST!O157</f>
        <v>2</v>
      </c>
      <c r="I157" s="26">
        <f>Phalombe!M157+Phalombe!N157+Phalombe!O157</f>
        <v>9</v>
      </c>
      <c r="J157" s="26">
        <f>Mikolongwe!M157+Mikolongwe!N157+Mikolongwe!O157</f>
        <v>1</v>
      </c>
      <c r="K157" s="26">
        <f>Migowi!M157+Migowi!N157+Migowi!O157</f>
        <v>0</v>
      </c>
      <c r="L157" s="26">
        <f>Nkando!N157+Nkando!O157+Nkando!P157</f>
        <v>0</v>
      </c>
      <c r="M157" s="624">
        <f t="shared" si="95"/>
        <v>36</v>
      </c>
    </row>
    <row r="158" spans="1:13" x14ac:dyDescent="0.3">
      <c r="A158" s="671"/>
      <c r="B158" s="19" t="s">
        <v>51</v>
      </c>
      <c r="C158" s="11" t="s">
        <v>57</v>
      </c>
      <c r="D158" s="26">
        <f>Mulanje!M158+Mulanje!N158+Mulanje!O158</f>
        <v>2</v>
      </c>
      <c r="E158" s="26">
        <f>Luchenza!M158+Luchenza!N158+Luchenza!O158</f>
        <v>10</v>
      </c>
      <c r="F158" s="26">
        <f>Thyolo!M158+Thyolo!N158+Thyolo!O158</f>
        <v>13</v>
      </c>
      <c r="G158" s="26">
        <f>Muloza!M158+Muloza!N158+Muloza!O158</f>
        <v>3</v>
      </c>
      <c r="H158" s="26">
        <f>MUST!M158+MUST!N158+MUST!O158</f>
        <v>1</v>
      </c>
      <c r="I158" s="26">
        <f>Phalombe!M158+Phalombe!N158+Phalombe!O158</f>
        <v>6</v>
      </c>
      <c r="J158" s="26">
        <f>Mikolongwe!M158+Mikolongwe!N158+Mikolongwe!O158</f>
        <v>1</v>
      </c>
      <c r="K158" s="26">
        <f>Migowi!M158+Migowi!N158+Migowi!O158</f>
        <v>0</v>
      </c>
      <c r="L158" s="26">
        <f>Nkando!N158+Nkando!O158+Nkando!P158</f>
        <v>0</v>
      </c>
      <c r="M158" s="624">
        <f t="shared" si="95"/>
        <v>34</v>
      </c>
    </row>
    <row r="159" spans="1:13" x14ac:dyDescent="0.3">
      <c r="A159" s="671"/>
      <c r="B159" s="19" t="s">
        <v>62</v>
      </c>
      <c r="C159" s="11" t="s">
        <v>57</v>
      </c>
      <c r="D159" s="26">
        <f>Mulanje!M159+Mulanje!N159+Mulanje!O159</f>
        <v>0</v>
      </c>
      <c r="E159" s="26">
        <f>Luchenza!M159+Luchenza!N159+Luchenza!O159</f>
        <v>0</v>
      </c>
      <c r="F159" s="26">
        <f>Thyolo!M159+Thyolo!N159+Thyolo!O159</f>
        <v>2</v>
      </c>
      <c r="G159" s="26">
        <f>Muloza!M159+Muloza!N159+Muloza!O159</f>
        <v>0</v>
      </c>
      <c r="H159" s="26">
        <f>MUST!M159+MUST!N159+MUST!O159</f>
        <v>0</v>
      </c>
      <c r="I159" s="26">
        <f>Phalombe!M159+Phalombe!N159+Phalombe!O159</f>
        <v>1</v>
      </c>
      <c r="J159" s="26">
        <f>Mikolongwe!M159+Mikolongwe!N159+Mikolongwe!O159</f>
        <v>0</v>
      </c>
      <c r="K159" s="26">
        <f>Migowi!M159+Migowi!N159+Migowi!O159</f>
        <v>0</v>
      </c>
      <c r="L159" s="26">
        <f>Nkando!N159+Nkando!O159+Nkando!P159</f>
        <v>0</v>
      </c>
      <c r="M159" s="624">
        <f t="shared" si="95"/>
        <v>3</v>
      </c>
    </row>
    <row r="160" spans="1:13" x14ac:dyDescent="0.3">
      <c r="A160" s="671"/>
      <c r="B160" s="19" t="s">
        <v>50</v>
      </c>
      <c r="C160" s="11" t="s">
        <v>57</v>
      </c>
      <c r="D160" s="26">
        <f>Mulanje!M160+Mulanje!N160+Mulanje!O160</f>
        <v>1</v>
      </c>
      <c r="E160" s="26">
        <f>Luchenza!M160+Luchenza!N160+Luchenza!O160</f>
        <v>0</v>
      </c>
      <c r="F160" s="26">
        <f>Thyolo!M160+Thyolo!N160+Thyolo!O160</f>
        <v>6</v>
      </c>
      <c r="G160" s="26">
        <f>Muloza!M160+Muloza!N160+Muloza!O160</f>
        <v>0</v>
      </c>
      <c r="H160" s="26">
        <f>MUST!M160+MUST!N160+MUST!O160</f>
        <v>0</v>
      </c>
      <c r="I160" s="26">
        <f>Phalombe!M160+Phalombe!N160+Phalombe!O160</f>
        <v>2</v>
      </c>
      <c r="J160" s="26">
        <f>Mikolongwe!M160+Mikolongwe!N160+Mikolongwe!O160</f>
        <v>0</v>
      </c>
      <c r="K160" s="26">
        <f>Migowi!M160+Migowi!N160+Migowi!O160</f>
        <v>0</v>
      </c>
      <c r="L160" s="26">
        <f>Nkando!N160+Nkando!O160+Nkando!P160</f>
        <v>0</v>
      </c>
      <c r="M160" s="624">
        <f t="shared" si="95"/>
        <v>8</v>
      </c>
    </row>
    <row r="161" spans="1:13" x14ac:dyDescent="0.3">
      <c r="A161" s="671"/>
      <c r="B161" s="19" t="s">
        <v>49</v>
      </c>
      <c r="C161" s="11" t="s">
        <v>57</v>
      </c>
      <c r="D161" s="26">
        <f>Mulanje!M161+Mulanje!N161+Mulanje!O161</f>
        <v>3</v>
      </c>
      <c r="E161" s="26">
        <f>Luchenza!M161+Luchenza!N161+Luchenza!O161</f>
        <v>4</v>
      </c>
      <c r="F161" s="26">
        <f>Thyolo!M161+Thyolo!N161+Thyolo!O161</f>
        <v>8</v>
      </c>
      <c r="G161" s="26">
        <f>Muloza!M161+Muloza!N161+Muloza!O161</f>
        <v>1</v>
      </c>
      <c r="H161" s="26">
        <f>MUST!M161+MUST!N161+MUST!O161</f>
        <v>1</v>
      </c>
      <c r="I161" s="26">
        <f>Phalombe!M161+Phalombe!N161+Phalombe!O161</f>
        <v>2</v>
      </c>
      <c r="J161" s="26">
        <f>Mikolongwe!M161+Mikolongwe!N161+Mikolongwe!O161</f>
        <v>0</v>
      </c>
      <c r="K161" s="26">
        <f>Migowi!M161+Migowi!N161+Migowi!O161</f>
        <v>0</v>
      </c>
      <c r="L161" s="26">
        <f>Nkando!N161+Nkando!O161+Nkando!P161</f>
        <v>0</v>
      </c>
      <c r="M161" s="624">
        <f t="shared" si="95"/>
        <v>16</v>
      </c>
    </row>
    <row r="162" spans="1:13" x14ac:dyDescent="0.3">
      <c r="A162" s="671"/>
      <c r="B162" s="19" t="s">
        <v>77</v>
      </c>
      <c r="C162" s="11" t="s">
        <v>57</v>
      </c>
      <c r="D162" s="26">
        <f>Mulanje!M162+Mulanje!N162+Mulanje!O162</f>
        <v>4</v>
      </c>
      <c r="E162" s="26">
        <f>Luchenza!M162+Luchenza!N162+Luchenza!O162</f>
        <v>0</v>
      </c>
      <c r="F162" s="26">
        <f>Thyolo!M162+Thyolo!N162+Thyolo!O162</f>
        <v>10</v>
      </c>
      <c r="G162" s="26">
        <f>Muloza!M162+Muloza!N162+Muloza!O162</f>
        <v>0</v>
      </c>
      <c r="H162" s="26">
        <f>MUST!M162+MUST!N162+MUST!O162</f>
        <v>1</v>
      </c>
      <c r="I162" s="26">
        <f>Phalombe!M162+Phalombe!N162+Phalombe!O162</f>
        <v>0</v>
      </c>
      <c r="J162" s="26">
        <f>Mikolongwe!M162+Mikolongwe!N162+Mikolongwe!O162</f>
        <v>0</v>
      </c>
      <c r="K162" s="26">
        <f>Migowi!M162+Migowi!N162+Migowi!O162</f>
        <v>0</v>
      </c>
      <c r="L162" s="26">
        <f>Nkando!N162+Nkando!O162+Nkando!P162</f>
        <v>0</v>
      </c>
      <c r="M162" s="624">
        <f t="shared" si="95"/>
        <v>11</v>
      </c>
    </row>
    <row r="163" spans="1:13" x14ac:dyDescent="0.3">
      <c r="A163" s="671"/>
      <c r="B163" s="19" t="s">
        <v>69</v>
      </c>
      <c r="C163" s="11" t="s">
        <v>57</v>
      </c>
      <c r="D163" s="26">
        <f>Mulanje!M163+Mulanje!N163+Mulanje!O163</f>
        <v>0</v>
      </c>
      <c r="E163" s="26">
        <f>Luchenza!M163+Luchenza!N163+Luchenza!O163</f>
        <v>0</v>
      </c>
      <c r="F163" s="26">
        <f>Thyolo!M163+Thyolo!N163+Thyolo!O163</f>
        <v>2</v>
      </c>
      <c r="G163" s="26">
        <f>Muloza!M163+Muloza!N163+Muloza!O163</f>
        <v>0</v>
      </c>
      <c r="H163" s="26">
        <f>MUST!M163+MUST!N163+MUST!O163</f>
        <v>0</v>
      </c>
      <c r="I163" s="26">
        <f>Phalombe!M163+Phalombe!N163+Phalombe!O163</f>
        <v>0</v>
      </c>
      <c r="J163" s="26">
        <f>Mikolongwe!M163+Mikolongwe!N163+Mikolongwe!O163</f>
        <v>0</v>
      </c>
      <c r="K163" s="26">
        <f>Migowi!M163+Migowi!N163+Migowi!O163</f>
        <v>0</v>
      </c>
      <c r="L163" s="26">
        <f>Nkando!N163+Nkando!O163+Nkando!P163</f>
        <v>0</v>
      </c>
      <c r="M163" s="624">
        <f t="shared" si="95"/>
        <v>2</v>
      </c>
    </row>
    <row r="164" spans="1:13" x14ac:dyDescent="0.3">
      <c r="A164" s="671"/>
      <c r="B164" s="19" t="s">
        <v>68</v>
      </c>
      <c r="C164" s="11" t="s">
        <v>57</v>
      </c>
      <c r="D164" s="26">
        <f>Mulanje!M164+Mulanje!N164+Mulanje!O164</f>
        <v>0</v>
      </c>
      <c r="E164" s="26">
        <f>Luchenza!M164+Luchenza!N164+Luchenza!O164</f>
        <v>0</v>
      </c>
      <c r="F164" s="26">
        <f>Thyolo!M164+Thyolo!N164+Thyolo!O164</f>
        <v>0</v>
      </c>
      <c r="G164" s="26">
        <f>Muloza!M164+Muloza!N164+Muloza!O164</f>
        <v>0</v>
      </c>
      <c r="H164" s="26">
        <f>MUST!M164+MUST!N164+MUST!O164</f>
        <v>0</v>
      </c>
      <c r="I164" s="26">
        <f>Phalombe!M164+Phalombe!N164+Phalombe!O164</f>
        <v>0</v>
      </c>
      <c r="J164" s="26">
        <f>Mikolongwe!M164+Mikolongwe!N164+Mikolongwe!O164</f>
        <v>0</v>
      </c>
      <c r="K164" s="26">
        <f>Migowi!M164+Migowi!N164+Migowi!O164</f>
        <v>0</v>
      </c>
      <c r="L164" s="26">
        <f>Nkando!N164+Nkando!O164+Nkando!P164</f>
        <v>0</v>
      </c>
      <c r="M164" s="624">
        <f t="shared" si="95"/>
        <v>0</v>
      </c>
    </row>
    <row r="165" spans="1:13" x14ac:dyDescent="0.3">
      <c r="A165" s="672"/>
      <c r="B165" s="19" t="s">
        <v>76</v>
      </c>
      <c r="C165" s="11" t="s">
        <v>57</v>
      </c>
      <c r="D165" s="26">
        <f>Mulanje!M165+Mulanje!N165+Mulanje!O165</f>
        <v>0</v>
      </c>
      <c r="E165" s="26">
        <f>Luchenza!M165+Luchenza!N165+Luchenza!O165</f>
        <v>0</v>
      </c>
      <c r="F165" s="26">
        <f>Thyolo!M165+Thyolo!N165+Thyolo!O165</f>
        <v>0</v>
      </c>
      <c r="G165" s="26">
        <f>Muloza!M165+Muloza!N165+Muloza!O165</f>
        <v>0</v>
      </c>
      <c r="H165" s="26">
        <f>MUST!M165+MUST!N165+MUST!O165</f>
        <v>0</v>
      </c>
      <c r="I165" s="26">
        <f>Phalombe!M165+Phalombe!N165+Phalombe!O165</f>
        <v>0</v>
      </c>
      <c r="J165" s="26">
        <f>Mikolongwe!M165+Mikolongwe!N165+Mikolongwe!O165</f>
        <v>0</v>
      </c>
      <c r="K165" s="26">
        <f>Migowi!M165+Migowi!N165+Migowi!O165</f>
        <v>0</v>
      </c>
      <c r="L165" s="26">
        <f>Nkando!N165+Nkando!O165+Nkando!P165</f>
        <v>0</v>
      </c>
      <c r="M165" s="624">
        <f t="shared" si="95"/>
        <v>0</v>
      </c>
    </row>
    <row r="166" spans="1:13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624"/>
    </row>
    <row r="167" spans="1:13" x14ac:dyDescent="0.3">
      <c r="A167" s="671"/>
      <c r="B167" s="19" t="s">
        <v>74</v>
      </c>
      <c r="C167" s="11" t="s">
        <v>57</v>
      </c>
      <c r="D167" s="26">
        <f>Mulanje!M167+Mulanje!N167+Mulanje!O167</f>
        <v>0</v>
      </c>
      <c r="E167" s="26">
        <f>Luchenza!M167+Luchenza!N167+Luchenza!O167</f>
        <v>0</v>
      </c>
      <c r="F167" s="26">
        <f>Thyolo!M167+Thyolo!N167+Thyolo!O167</f>
        <v>13</v>
      </c>
      <c r="G167" s="26">
        <f>Muloza!M167+Muloza!N167+Muloza!O167</f>
        <v>0</v>
      </c>
      <c r="H167" s="26">
        <f>MUST!M167+MUST!N167+MUST!O167</f>
        <v>0</v>
      </c>
      <c r="I167" s="26">
        <f>Phalombe!M167+Phalombe!N167+Phalombe!O167</f>
        <v>2</v>
      </c>
      <c r="J167" s="26">
        <f>Mikolongwe!M167+Mikolongwe!N167+Mikolongwe!O167</f>
        <v>2</v>
      </c>
      <c r="K167" s="26">
        <f>Migowi!M167+Migowi!N167+Migowi!O167</f>
        <v>1</v>
      </c>
      <c r="L167" s="26">
        <f>Nkando!N167+Nkando!O167+Nkando!P167</f>
        <v>6</v>
      </c>
      <c r="M167" s="624">
        <f t="shared" ref="M167:M175" si="96">SUM(E167:L167)</f>
        <v>24</v>
      </c>
    </row>
    <row r="168" spans="1:13" x14ac:dyDescent="0.3">
      <c r="A168" s="671"/>
      <c r="B168" s="19" t="s">
        <v>73</v>
      </c>
      <c r="C168" s="11" t="s">
        <v>57</v>
      </c>
      <c r="D168" s="26">
        <f>Mulanje!M168+Mulanje!N168+Mulanje!O168</f>
        <v>0</v>
      </c>
      <c r="E168" s="26">
        <f>Luchenza!M168+Luchenza!N168+Luchenza!O168</f>
        <v>0</v>
      </c>
      <c r="F168" s="26">
        <f>Thyolo!M168+Thyolo!N168+Thyolo!O168</f>
        <v>3</v>
      </c>
      <c r="G168" s="26">
        <f>Muloza!M168+Muloza!N168+Muloza!O168</f>
        <v>0</v>
      </c>
      <c r="H168" s="26">
        <f>MUST!M168+MUST!N168+MUST!O168</f>
        <v>0</v>
      </c>
      <c r="I168" s="26">
        <f>Phalombe!M168+Phalombe!N168+Phalombe!O168</f>
        <v>0</v>
      </c>
      <c r="J168" s="26">
        <f>Mikolongwe!M168+Mikolongwe!N168+Mikolongwe!O168</f>
        <v>0</v>
      </c>
      <c r="K168" s="26">
        <f>Migowi!M168+Migowi!N168+Migowi!O168</f>
        <v>0</v>
      </c>
      <c r="L168" s="26">
        <f>Nkando!N168+Nkando!O168+Nkando!P168</f>
        <v>4</v>
      </c>
      <c r="M168" s="624">
        <f t="shared" si="96"/>
        <v>7</v>
      </c>
    </row>
    <row r="169" spans="1:13" x14ac:dyDescent="0.3">
      <c r="A169" s="671"/>
      <c r="B169" s="19" t="s">
        <v>72</v>
      </c>
      <c r="C169" s="11" t="s">
        <v>57</v>
      </c>
      <c r="D169" s="26">
        <f>Mulanje!M169+Mulanje!N169+Mulanje!O169</f>
        <v>0</v>
      </c>
      <c r="E169" s="26">
        <f>Luchenza!M169+Luchenza!N169+Luchenza!O169</f>
        <v>0</v>
      </c>
      <c r="F169" s="26">
        <f>Thyolo!M169+Thyolo!N169+Thyolo!O169</f>
        <v>0</v>
      </c>
      <c r="G169" s="26">
        <f>Muloza!M169+Muloza!N169+Muloza!O169</f>
        <v>0</v>
      </c>
      <c r="H169" s="26">
        <f>MUST!M169+MUST!N169+MUST!O169</f>
        <v>0</v>
      </c>
      <c r="I169" s="26">
        <f>Phalombe!M169+Phalombe!N169+Phalombe!O169</f>
        <v>0</v>
      </c>
      <c r="J169" s="26">
        <f>Mikolongwe!M169+Mikolongwe!N169+Mikolongwe!O169</f>
        <v>1</v>
      </c>
      <c r="K169" s="26">
        <f>Migowi!M169+Migowi!N169+Migowi!O169</f>
        <v>0</v>
      </c>
      <c r="L169" s="26">
        <f>Nkando!N169+Nkando!O169+Nkando!P169</f>
        <v>0</v>
      </c>
      <c r="M169" s="624">
        <f t="shared" si="96"/>
        <v>1</v>
      </c>
    </row>
    <row r="170" spans="1:13" x14ac:dyDescent="0.3">
      <c r="A170" s="671"/>
      <c r="B170" s="19" t="s">
        <v>71</v>
      </c>
      <c r="C170" s="11" t="s">
        <v>57</v>
      </c>
      <c r="D170" s="26">
        <f>Mulanje!M170+Mulanje!N170+Mulanje!O170</f>
        <v>0</v>
      </c>
      <c r="E170" s="26">
        <f>Luchenza!M170+Luchenza!N170+Luchenza!O170</f>
        <v>0</v>
      </c>
      <c r="F170" s="26">
        <f>Thyolo!M170+Thyolo!N170+Thyolo!O170</f>
        <v>0</v>
      </c>
      <c r="G170" s="26">
        <f>Muloza!M170+Muloza!N170+Muloza!O170</f>
        <v>0</v>
      </c>
      <c r="H170" s="26">
        <f>MUST!M170+MUST!N170+MUST!O170</f>
        <v>0</v>
      </c>
      <c r="I170" s="26">
        <f>Phalombe!M170+Phalombe!N170+Phalombe!O170</f>
        <v>0</v>
      </c>
      <c r="J170" s="26">
        <f>Mikolongwe!M170+Mikolongwe!N170+Mikolongwe!O170</f>
        <v>0</v>
      </c>
      <c r="K170" s="26">
        <f>Migowi!M170+Migowi!N170+Migowi!O170</f>
        <v>0</v>
      </c>
      <c r="L170" s="26">
        <f>Nkando!N170+Nkando!O170+Nkando!P170</f>
        <v>0</v>
      </c>
      <c r="M170" s="624">
        <f t="shared" si="96"/>
        <v>0</v>
      </c>
    </row>
    <row r="171" spans="1:13" x14ac:dyDescent="0.3">
      <c r="A171" s="671"/>
      <c r="B171" s="19" t="s">
        <v>52</v>
      </c>
      <c r="C171" s="11" t="s">
        <v>57</v>
      </c>
      <c r="D171" s="26">
        <f>Mulanje!M171+Mulanje!N171+Mulanje!O171</f>
        <v>0</v>
      </c>
      <c r="E171" s="26">
        <f>Luchenza!M171+Luchenza!N171+Luchenza!O171</f>
        <v>0</v>
      </c>
      <c r="F171" s="26">
        <f>Thyolo!M171+Thyolo!N171+Thyolo!O171</f>
        <v>1</v>
      </c>
      <c r="G171" s="26">
        <f>Muloza!M171+Muloza!N171+Muloza!O171</f>
        <v>0</v>
      </c>
      <c r="H171" s="26">
        <f>MUST!M171+MUST!N171+MUST!O171</f>
        <v>0</v>
      </c>
      <c r="I171" s="26">
        <f>Phalombe!M171+Phalombe!N171+Phalombe!O171</f>
        <v>0</v>
      </c>
      <c r="J171" s="26">
        <f>Mikolongwe!M171+Mikolongwe!N171+Mikolongwe!O171</f>
        <v>0</v>
      </c>
      <c r="K171" s="26">
        <f>Migowi!M171+Migowi!N171+Migowi!O171</f>
        <v>0</v>
      </c>
      <c r="L171" s="26">
        <f>Nkando!N171+Nkando!O171+Nkando!P171</f>
        <v>0</v>
      </c>
      <c r="M171" s="624">
        <f t="shared" si="96"/>
        <v>1</v>
      </c>
    </row>
    <row r="172" spans="1:13" x14ac:dyDescent="0.3">
      <c r="A172" s="671"/>
      <c r="B172" s="19" t="s">
        <v>62</v>
      </c>
      <c r="C172" s="11" t="s">
        <v>57</v>
      </c>
      <c r="D172" s="26">
        <f>Mulanje!M172+Mulanje!N172+Mulanje!O172</f>
        <v>0</v>
      </c>
      <c r="E172" s="26">
        <f>Luchenza!M172+Luchenza!N172+Luchenza!O172</f>
        <v>0</v>
      </c>
      <c r="F172" s="26">
        <f>Thyolo!M172+Thyolo!N172+Thyolo!O172</f>
        <v>0</v>
      </c>
      <c r="G172" s="26">
        <f>Muloza!M172+Muloza!N172+Muloza!O172</f>
        <v>0</v>
      </c>
      <c r="H172" s="26">
        <f>MUST!M172+MUST!N172+MUST!O172</f>
        <v>0</v>
      </c>
      <c r="I172" s="26">
        <f>Phalombe!M172+Phalombe!N172+Phalombe!O172</f>
        <v>0</v>
      </c>
      <c r="J172" s="26">
        <f>Mikolongwe!M172+Mikolongwe!N172+Mikolongwe!O172</f>
        <v>0</v>
      </c>
      <c r="K172" s="26">
        <f>Migowi!M172+Migowi!N172+Migowi!O172</f>
        <v>0</v>
      </c>
      <c r="L172" s="26">
        <f>Nkando!N172+Nkando!O172+Nkando!P172</f>
        <v>0</v>
      </c>
      <c r="M172" s="624">
        <f t="shared" si="96"/>
        <v>0</v>
      </c>
    </row>
    <row r="173" spans="1:13" x14ac:dyDescent="0.3">
      <c r="A173" s="671"/>
      <c r="B173" s="19" t="s">
        <v>61</v>
      </c>
      <c r="C173" s="11" t="s">
        <v>57</v>
      </c>
      <c r="D173" s="26">
        <f>Mulanje!M173+Mulanje!N173+Mulanje!O173</f>
        <v>0</v>
      </c>
      <c r="E173" s="26">
        <f>Luchenza!M173+Luchenza!N173+Luchenza!O173</f>
        <v>0</v>
      </c>
      <c r="F173" s="26">
        <f>Thyolo!M173+Thyolo!N173+Thyolo!O173</f>
        <v>0</v>
      </c>
      <c r="G173" s="26">
        <f>Muloza!M173+Muloza!N173+Muloza!O173</f>
        <v>0</v>
      </c>
      <c r="H173" s="26">
        <f>MUST!M173+MUST!N173+MUST!O173</f>
        <v>0</v>
      </c>
      <c r="I173" s="26">
        <f>Phalombe!M173+Phalombe!N173+Phalombe!O173</f>
        <v>0</v>
      </c>
      <c r="J173" s="26">
        <f>Mikolongwe!M173+Mikolongwe!N173+Mikolongwe!O173</f>
        <v>0</v>
      </c>
      <c r="K173" s="26">
        <f>Migowi!M173+Migowi!N173+Migowi!O173</f>
        <v>0</v>
      </c>
      <c r="L173" s="26">
        <f>Nkando!N173+Nkando!O173+Nkando!P173</f>
        <v>0</v>
      </c>
      <c r="M173" s="624">
        <f t="shared" si="96"/>
        <v>0</v>
      </c>
    </row>
    <row r="174" spans="1:13" x14ac:dyDescent="0.3">
      <c r="A174" s="671"/>
      <c r="B174" s="19" t="s">
        <v>60</v>
      </c>
      <c r="C174" s="11" t="s">
        <v>57</v>
      </c>
      <c r="D174" s="26">
        <f>Mulanje!M174+Mulanje!N174+Mulanje!O174</f>
        <v>0</v>
      </c>
      <c r="E174" s="26">
        <f>Luchenza!M174+Luchenza!N174+Luchenza!O174</f>
        <v>0</v>
      </c>
      <c r="F174" s="26">
        <f>Thyolo!M174+Thyolo!N174+Thyolo!O174</f>
        <v>0</v>
      </c>
      <c r="G174" s="26">
        <f>Muloza!M174+Muloza!N174+Muloza!O174</f>
        <v>0</v>
      </c>
      <c r="H174" s="26">
        <f>MUST!M174+MUST!N174+MUST!O174</f>
        <v>0</v>
      </c>
      <c r="I174" s="26">
        <f>Phalombe!M174+Phalombe!N174+Phalombe!O174</f>
        <v>0</v>
      </c>
      <c r="J174" s="26">
        <f>Mikolongwe!M174+Mikolongwe!N174+Mikolongwe!O174</f>
        <v>0</v>
      </c>
      <c r="K174" s="26">
        <f>Migowi!M174+Migowi!N174+Migowi!O174</f>
        <v>0</v>
      </c>
      <c r="L174" s="26">
        <f>Nkando!N174+Nkando!O174+Nkando!P174</f>
        <v>0</v>
      </c>
      <c r="M174" s="624">
        <f t="shared" si="96"/>
        <v>0</v>
      </c>
    </row>
    <row r="175" spans="1:13" x14ac:dyDescent="0.3">
      <c r="A175" s="672"/>
      <c r="B175" s="19" t="s">
        <v>69</v>
      </c>
      <c r="C175" s="11" t="s">
        <v>57</v>
      </c>
      <c r="D175" s="26">
        <f>Mulanje!M175+Mulanje!N175+Mulanje!O175</f>
        <v>0</v>
      </c>
      <c r="E175" s="26">
        <f>Luchenza!M175+Luchenza!N175+Luchenza!O175</f>
        <v>0</v>
      </c>
      <c r="F175" s="26">
        <f>Thyolo!M175+Thyolo!N175+Thyolo!O175</f>
        <v>0</v>
      </c>
      <c r="G175" s="26">
        <f>Muloza!M175+Muloza!N175+Muloza!O175</f>
        <v>0</v>
      </c>
      <c r="H175" s="26">
        <f>MUST!M175+MUST!N175+MUST!O175</f>
        <v>0</v>
      </c>
      <c r="I175" s="26">
        <f>Phalombe!M175+Phalombe!N175+Phalombe!O175</f>
        <v>0</v>
      </c>
      <c r="J175" s="26">
        <f>Mikolongwe!M175+Mikolongwe!N175+Mikolongwe!O175</f>
        <v>0</v>
      </c>
      <c r="K175" s="26">
        <f>Migowi!M175+Migowi!N175+Migowi!O175</f>
        <v>0</v>
      </c>
      <c r="L175" s="26">
        <f>Nkando!N175+Nkando!O175+Nkando!P175</f>
        <v>0</v>
      </c>
      <c r="M175" s="624">
        <f t="shared" si="96"/>
        <v>0</v>
      </c>
    </row>
    <row r="176" spans="1:13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624"/>
    </row>
    <row r="177" spans="1:13" x14ac:dyDescent="0.3">
      <c r="A177" s="671"/>
      <c r="B177" s="19" t="s">
        <v>60</v>
      </c>
      <c r="C177" s="11" t="s">
        <v>57</v>
      </c>
      <c r="D177" s="26">
        <f>Mulanje!M177+Mulanje!N177+Mulanje!O177</f>
        <v>0</v>
      </c>
      <c r="E177" s="26">
        <f>Luchenza!M177+Luchenza!N177+Luchenza!O177</f>
        <v>0</v>
      </c>
      <c r="F177" s="26">
        <f>Thyolo!M177+Thyolo!N177+Thyolo!O177</f>
        <v>0</v>
      </c>
      <c r="G177" s="26">
        <f>Muloza!M177+Muloza!N177+Muloza!O177</f>
        <v>0</v>
      </c>
      <c r="H177" s="26">
        <f>MUST!M177+MUST!N177+MUST!O177</f>
        <v>0</v>
      </c>
      <c r="I177" s="26">
        <f>Phalombe!M177+Phalombe!N177+Phalombe!O177</f>
        <v>0</v>
      </c>
      <c r="J177" s="26">
        <f>Mikolongwe!M177+Mikolongwe!N177+Mikolongwe!O177</f>
        <v>0</v>
      </c>
      <c r="K177" s="26">
        <f>Migowi!M177+Migowi!N177+Migowi!O177</f>
        <v>0</v>
      </c>
      <c r="L177" s="26">
        <f>Nkando!N177+Nkando!O177+Nkando!P177</f>
        <v>0</v>
      </c>
      <c r="M177" s="624">
        <f t="shared" ref="M177:M182" si="97">SUM(E177:L177)</f>
        <v>0</v>
      </c>
    </row>
    <row r="178" spans="1:13" x14ac:dyDescent="0.3">
      <c r="A178" s="671"/>
      <c r="B178" s="19" t="s">
        <v>69</v>
      </c>
      <c r="C178" s="11" t="s">
        <v>57</v>
      </c>
      <c r="D178" s="26">
        <f>Mulanje!M178+Mulanje!N178+Mulanje!O178</f>
        <v>0</v>
      </c>
      <c r="E178" s="26">
        <f>Luchenza!M178+Luchenza!N178+Luchenza!O178</f>
        <v>0</v>
      </c>
      <c r="F178" s="26">
        <f>Thyolo!M178+Thyolo!N178+Thyolo!O178</f>
        <v>0</v>
      </c>
      <c r="G178" s="26">
        <f>Muloza!M178+Muloza!N178+Muloza!O178</f>
        <v>0</v>
      </c>
      <c r="H178" s="26">
        <f>MUST!M178+MUST!N178+MUST!O178</f>
        <v>0</v>
      </c>
      <c r="I178" s="26">
        <f>Phalombe!M178+Phalombe!N178+Phalombe!O178</f>
        <v>0</v>
      </c>
      <c r="J178" s="26">
        <f>Mikolongwe!M178+Mikolongwe!N178+Mikolongwe!O178</f>
        <v>0</v>
      </c>
      <c r="K178" s="26">
        <f>Migowi!M178+Migowi!N178+Migowi!O178</f>
        <v>0</v>
      </c>
      <c r="L178" s="26">
        <f>Nkando!N178+Nkando!O178+Nkando!P178</f>
        <v>0</v>
      </c>
      <c r="M178" s="624">
        <f t="shared" si="97"/>
        <v>0</v>
      </c>
    </row>
    <row r="179" spans="1:13" x14ac:dyDescent="0.3">
      <c r="A179" s="671"/>
      <c r="B179" s="19" t="s">
        <v>68</v>
      </c>
      <c r="C179" s="11" t="s">
        <v>57</v>
      </c>
      <c r="D179" s="26">
        <f>Mulanje!M179+Mulanje!N179+Mulanje!O179</f>
        <v>0</v>
      </c>
      <c r="E179" s="26">
        <f>Luchenza!M179+Luchenza!N179+Luchenza!O179</f>
        <v>0</v>
      </c>
      <c r="F179" s="26">
        <f>Thyolo!M179+Thyolo!N179+Thyolo!O179</f>
        <v>0</v>
      </c>
      <c r="G179" s="26">
        <f>Muloza!M179+Muloza!N179+Muloza!O179</f>
        <v>0</v>
      </c>
      <c r="H179" s="26">
        <f>MUST!M179+MUST!N179+MUST!O179</f>
        <v>0</v>
      </c>
      <c r="I179" s="26">
        <f>Phalombe!M179+Phalombe!N179+Phalombe!O179</f>
        <v>0</v>
      </c>
      <c r="J179" s="26">
        <f>Mikolongwe!M179+Mikolongwe!N179+Mikolongwe!O179</f>
        <v>0</v>
      </c>
      <c r="K179" s="26">
        <f>Migowi!M179+Migowi!N179+Migowi!O179</f>
        <v>0</v>
      </c>
      <c r="L179" s="26">
        <f>Nkando!N179+Nkando!O179+Nkando!P179</f>
        <v>0</v>
      </c>
      <c r="M179" s="624">
        <f t="shared" si="97"/>
        <v>0</v>
      </c>
    </row>
    <row r="180" spans="1:13" x14ac:dyDescent="0.3">
      <c r="A180" s="671"/>
      <c r="B180" s="19" t="s">
        <v>67</v>
      </c>
      <c r="C180" s="11" t="s">
        <v>57</v>
      </c>
      <c r="D180" s="26">
        <f>Mulanje!M180+Mulanje!N180+Mulanje!O180</f>
        <v>0</v>
      </c>
      <c r="E180" s="26">
        <f>Luchenza!M180+Luchenza!N180+Luchenza!O180</f>
        <v>0</v>
      </c>
      <c r="F180" s="26">
        <f>Thyolo!M180+Thyolo!N180+Thyolo!O180</f>
        <v>0</v>
      </c>
      <c r="G180" s="26">
        <f>Muloza!M180+Muloza!N180+Muloza!O180</f>
        <v>0</v>
      </c>
      <c r="H180" s="26">
        <f>MUST!M180+MUST!N180+MUST!O180</f>
        <v>0</v>
      </c>
      <c r="I180" s="26">
        <f>Phalombe!M180+Phalombe!N180+Phalombe!O180</f>
        <v>0</v>
      </c>
      <c r="J180" s="26">
        <f>Mikolongwe!M180+Mikolongwe!N180+Mikolongwe!O180</f>
        <v>0</v>
      </c>
      <c r="K180" s="26">
        <f>Migowi!M180+Migowi!N180+Migowi!O180</f>
        <v>0</v>
      </c>
      <c r="L180" s="26">
        <f>Nkando!N180+Nkando!O180+Nkando!P180</f>
        <v>0</v>
      </c>
      <c r="M180" s="624">
        <f t="shared" si="97"/>
        <v>0</v>
      </c>
    </row>
    <row r="181" spans="1:13" x14ac:dyDescent="0.3">
      <c r="A181" s="671"/>
      <c r="B181" s="19" t="s">
        <v>66</v>
      </c>
      <c r="C181" s="11" t="s">
        <v>57</v>
      </c>
      <c r="D181" s="26">
        <f>Mulanje!M181+Mulanje!N181+Mulanje!O181</f>
        <v>0</v>
      </c>
      <c r="E181" s="26">
        <f>Luchenza!M181+Luchenza!N181+Luchenza!O181</f>
        <v>0</v>
      </c>
      <c r="F181" s="26">
        <f>Thyolo!M181+Thyolo!N181+Thyolo!O181</f>
        <v>0</v>
      </c>
      <c r="G181" s="26">
        <f>Muloza!M181+Muloza!N181+Muloza!O181</f>
        <v>0</v>
      </c>
      <c r="H181" s="26">
        <f>MUST!M181+MUST!N181+MUST!O181</f>
        <v>0</v>
      </c>
      <c r="I181" s="26">
        <f>Phalombe!M181+Phalombe!N181+Phalombe!O181</f>
        <v>0</v>
      </c>
      <c r="J181" s="26">
        <f>Mikolongwe!M181+Mikolongwe!N181+Mikolongwe!O181</f>
        <v>0</v>
      </c>
      <c r="K181" s="26">
        <f>Migowi!M181+Migowi!N181+Migowi!O181</f>
        <v>0</v>
      </c>
      <c r="L181" s="26">
        <f>Nkando!N181+Nkando!O181+Nkando!P181</f>
        <v>0</v>
      </c>
      <c r="M181" s="624">
        <f t="shared" si="97"/>
        <v>0</v>
      </c>
    </row>
    <row r="182" spans="1:13" x14ac:dyDescent="0.3">
      <c r="A182" s="672"/>
      <c r="B182" s="19" t="s">
        <v>65</v>
      </c>
      <c r="C182" s="11" t="s">
        <v>57</v>
      </c>
      <c r="D182" s="26">
        <f>Mulanje!M182+Mulanje!N182+Mulanje!O182</f>
        <v>0</v>
      </c>
      <c r="E182" s="26">
        <f>Luchenza!M182+Luchenza!N182+Luchenza!O182</f>
        <v>0</v>
      </c>
      <c r="F182" s="26">
        <f>Thyolo!M182+Thyolo!N182+Thyolo!O182</f>
        <v>0</v>
      </c>
      <c r="G182" s="26">
        <f>Muloza!M182+Muloza!N182+Muloza!O182</f>
        <v>0</v>
      </c>
      <c r="H182" s="26">
        <f>MUST!M182+MUST!N182+MUST!O182</f>
        <v>0</v>
      </c>
      <c r="I182" s="26">
        <f>Phalombe!M182+Phalombe!N182+Phalombe!O182</f>
        <v>0</v>
      </c>
      <c r="J182" s="26">
        <f>Mikolongwe!M182+Mikolongwe!N182+Mikolongwe!O182</f>
        <v>0</v>
      </c>
      <c r="K182" s="26">
        <f>Migowi!M182+Migowi!N182+Migowi!O182</f>
        <v>0</v>
      </c>
      <c r="L182" s="26">
        <f>Nkando!N182+Nkando!O182+Nkando!P182</f>
        <v>0</v>
      </c>
      <c r="M182" s="624">
        <f t="shared" si="97"/>
        <v>0</v>
      </c>
    </row>
    <row r="183" spans="1:13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624"/>
    </row>
    <row r="184" spans="1:13" x14ac:dyDescent="0.3">
      <c r="A184" s="671"/>
      <c r="B184" s="19" t="s">
        <v>73</v>
      </c>
      <c r="C184" s="11"/>
      <c r="D184" s="26">
        <f>Mulanje!M184+Mulanje!N184+Mulanje!O184</f>
        <v>0</v>
      </c>
      <c r="E184" s="26">
        <f>Luchenza!M184+Luchenza!N184+Luchenza!O184</f>
        <v>0</v>
      </c>
      <c r="F184" s="26">
        <f>Thyolo!M184+Thyolo!N184+Thyolo!O184</f>
        <v>0</v>
      </c>
      <c r="G184" s="26">
        <f>Muloza!M184+Muloza!N184+Muloza!O184</f>
        <v>0</v>
      </c>
      <c r="H184" s="26">
        <f>MUST!M184+MUST!N184+MUST!O184</f>
        <v>0</v>
      </c>
      <c r="I184" s="26">
        <f>Phalombe!M184+Phalombe!N184+Phalombe!O184</f>
        <v>0</v>
      </c>
      <c r="J184" s="26">
        <f>Mikolongwe!M184+Mikolongwe!N184+Mikolongwe!O184</f>
        <v>0</v>
      </c>
      <c r="K184" s="26">
        <f>Migowi!M184+Migowi!N184+Migowi!O184</f>
        <v>0</v>
      </c>
      <c r="L184" s="26">
        <f>Nkando!N184+Nkando!O184+Nkando!P184</f>
        <v>0</v>
      </c>
      <c r="M184" s="624">
        <f>SUM(E184:L184)</f>
        <v>0</v>
      </c>
    </row>
    <row r="185" spans="1:13" x14ac:dyDescent="0.3">
      <c r="A185" s="671"/>
      <c r="B185" s="19" t="s">
        <v>72</v>
      </c>
      <c r="C185" s="11"/>
      <c r="D185" s="26">
        <f>Mulanje!M185+Mulanje!N185+Mulanje!O185</f>
        <v>0</v>
      </c>
      <c r="E185" s="26">
        <f>Luchenza!M185+Luchenza!N185+Luchenza!O185</f>
        <v>0</v>
      </c>
      <c r="F185" s="26">
        <f>Thyolo!M185+Thyolo!N185+Thyolo!O185</f>
        <v>0</v>
      </c>
      <c r="G185" s="26">
        <f>Muloza!M185+Muloza!N185+Muloza!O185</f>
        <v>0</v>
      </c>
      <c r="H185" s="26">
        <f>MUST!M185+MUST!N185+MUST!O185</f>
        <v>0</v>
      </c>
      <c r="I185" s="26">
        <f>Phalombe!M185+Phalombe!N185+Phalombe!O185</f>
        <v>0</v>
      </c>
      <c r="J185" s="26">
        <f>Mikolongwe!M185+Mikolongwe!N185+Mikolongwe!O185</f>
        <v>0</v>
      </c>
      <c r="K185" s="26">
        <f>Migowi!M185+Migowi!N185+Migowi!O185</f>
        <v>0</v>
      </c>
      <c r="L185" s="26">
        <f>Nkando!N185+Nkando!O185+Nkando!P185</f>
        <v>0</v>
      </c>
      <c r="M185" s="624">
        <f>SUM(E185:L185)</f>
        <v>0</v>
      </c>
    </row>
    <row r="186" spans="1:13" x14ac:dyDescent="0.3">
      <c r="A186" s="671"/>
      <c r="B186" s="19" t="s">
        <v>53</v>
      </c>
      <c r="C186" s="11"/>
      <c r="D186" s="26">
        <f>Mulanje!M186+Mulanje!N186+Mulanje!O186</f>
        <v>0</v>
      </c>
      <c r="E186" s="26">
        <f>Luchenza!M186+Luchenza!N186+Luchenza!O186</f>
        <v>0</v>
      </c>
      <c r="F186" s="26">
        <f>Thyolo!M186+Thyolo!N186+Thyolo!O186</f>
        <v>0</v>
      </c>
      <c r="G186" s="26">
        <f>Muloza!M186+Muloza!N186+Muloza!O186</f>
        <v>0</v>
      </c>
      <c r="H186" s="26">
        <f>MUST!M186+MUST!N186+MUST!O186</f>
        <v>0</v>
      </c>
      <c r="I186" s="26">
        <f>Phalombe!M186+Phalombe!N186+Phalombe!O186</f>
        <v>0</v>
      </c>
      <c r="J186" s="26">
        <f>Mikolongwe!M186+Mikolongwe!N186+Mikolongwe!O186</f>
        <v>0</v>
      </c>
      <c r="K186" s="26">
        <f>Migowi!M186+Migowi!N186+Migowi!O186</f>
        <v>0</v>
      </c>
      <c r="L186" s="26">
        <f>Nkando!N186+Nkando!O186+Nkando!P186</f>
        <v>0</v>
      </c>
      <c r="M186" s="624">
        <f>SUM(E186:L186)</f>
        <v>0</v>
      </c>
    </row>
    <row r="187" spans="1:13" x14ac:dyDescent="0.3">
      <c r="A187" s="672"/>
      <c r="B187" s="19" t="s">
        <v>52</v>
      </c>
      <c r="C187" s="11"/>
      <c r="D187" s="26">
        <f>Mulanje!M187+Mulanje!N187+Mulanje!O187</f>
        <v>0</v>
      </c>
      <c r="E187" s="26">
        <f>Luchenza!M187+Luchenza!N187+Luchenza!O187</f>
        <v>0</v>
      </c>
      <c r="F187" s="26">
        <f>Thyolo!M187+Thyolo!N187+Thyolo!O187</f>
        <v>0</v>
      </c>
      <c r="G187" s="26">
        <f>Muloza!M187+Muloza!N187+Muloza!O187</f>
        <v>0</v>
      </c>
      <c r="H187" s="26">
        <f>MUST!M187+MUST!N187+MUST!O187</f>
        <v>0</v>
      </c>
      <c r="I187" s="26">
        <f>Phalombe!M187+Phalombe!N187+Phalombe!O187</f>
        <v>0</v>
      </c>
      <c r="J187" s="26">
        <f>Mikolongwe!M187+Mikolongwe!N187+Mikolongwe!O187</f>
        <v>0</v>
      </c>
      <c r="K187" s="26">
        <f>Migowi!M187+Migowi!N187+Migowi!O187</f>
        <v>0</v>
      </c>
      <c r="L187" s="26">
        <f>Nkando!N187+Nkando!O187+Nkando!P187</f>
        <v>0</v>
      </c>
      <c r="M187" s="624">
        <f>SUM(E187:L187)</f>
        <v>0</v>
      </c>
    </row>
    <row r="188" spans="1:13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624"/>
    </row>
    <row r="189" spans="1:13" x14ac:dyDescent="0.3">
      <c r="A189" s="671"/>
      <c r="B189" s="20" t="s">
        <v>52</v>
      </c>
      <c r="C189" s="11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624">
        <f>SUM(E189:L189)</f>
        <v>0</v>
      </c>
    </row>
    <row r="190" spans="1:13" x14ac:dyDescent="0.3">
      <c r="A190" s="671"/>
      <c r="B190" s="19" t="s">
        <v>62</v>
      </c>
      <c r="C190" s="11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624">
        <f>SUM(E190:L190)</f>
        <v>0</v>
      </c>
    </row>
    <row r="191" spans="1:13" x14ac:dyDescent="0.3">
      <c r="A191" s="671"/>
      <c r="B191" s="19" t="s">
        <v>61</v>
      </c>
      <c r="C191" s="11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624">
        <f>SUM(E191:L191)</f>
        <v>0</v>
      </c>
    </row>
    <row r="192" spans="1:13" x14ac:dyDescent="0.3">
      <c r="A192" s="672"/>
      <c r="B192" s="19" t="s">
        <v>60</v>
      </c>
      <c r="C192" s="11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624">
        <f>SUM(E192:L192)</f>
        <v>0</v>
      </c>
    </row>
    <row r="193" spans="1:13" x14ac:dyDescent="0.3">
      <c r="A193" s="727" t="s">
        <v>59</v>
      </c>
      <c r="B193" s="728"/>
      <c r="C193" s="11"/>
      <c r="D193" s="10">
        <f>SUM(D153:D192)</f>
        <v>103</v>
      </c>
      <c r="E193" s="10">
        <f t="shared" ref="E193:K193" si="98">SUM(E153:E192)</f>
        <v>514</v>
      </c>
      <c r="F193" s="10">
        <f t="shared" si="98"/>
        <v>345</v>
      </c>
      <c r="G193" s="10">
        <f t="shared" si="98"/>
        <v>89</v>
      </c>
      <c r="H193" s="10">
        <f t="shared" si="98"/>
        <v>26</v>
      </c>
      <c r="I193" s="10">
        <f t="shared" si="98"/>
        <v>80</v>
      </c>
      <c r="J193" s="10">
        <f t="shared" si="98"/>
        <v>8</v>
      </c>
      <c r="K193" s="10">
        <f t="shared" si="98"/>
        <v>2</v>
      </c>
      <c r="L193" s="10">
        <f t="shared" ref="L193" si="99">SUM(L153:L192)</f>
        <v>49</v>
      </c>
      <c r="M193" s="105">
        <f>SUM(M153:M192)</f>
        <v>1113</v>
      </c>
    </row>
    <row r="194" spans="1:13" x14ac:dyDescent="0.3">
      <c r="A194" s="665" t="s">
        <v>58</v>
      </c>
      <c r="B194" s="666"/>
      <c r="C194" s="11" t="s">
        <v>57</v>
      </c>
      <c r="D194" s="26">
        <f>Mulanje!M194+Mulanje!N194+Mulanje!O194</f>
        <v>0</v>
      </c>
      <c r="E194" s="26">
        <f>Luchenza!M194+Luchenza!N194+Luchenza!O194</f>
        <v>0</v>
      </c>
      <c r="F194" s="26">
        <f>Thyolo!M194+Thyolo!N194+Thyolo!O194</f>
        <v>0</v>
      </c>
      <c r="G194" s="26">
        <f>Muloza!M194+Muloza!N194+Muloza!O194</f>
        <v>0</v>
      </c>
      <c r="H194" s="26">
        <f>MUST!M194+MUST!N194+MUST!O194</f>
        <v>13</v>
      </c>
      <c r="I194" s="26">
        <f>Phalombe!M194+Phalombe!N194+Phalombe!O194</f>
        <v>0</v>
      </c>
      <c r="J194" s="26">
        <f>Mikolongwe!M194+Mikolongwe!N194+Mikolongwe!O194</f>
        <v>6</v>
      </c>
      <c r="K194" s="26">
        <f>Migowi!M194+Migowi!N194+Migowi!O194</f>
        <v>3</v>
      </c>
      <c r="L194" s="26">
        <f>Nkando!N194+Nkando!O194+Nkando!P194</f>
        <v>4</v>
      </c>
      <c r="M194" s="624">
        <f>SUM(E194:L194)</f>
        <v>26</v>
      </c>
    </row>
    <row r="195" spans="1:13" x14ac:dyDescent="0.3">
      <c r="A195" s="667"/>
      <c r="B195" s="668"/>
      <c r="C195" s="16" t="s">
        <v>55</v>
      </c>
      <c r="D195" s="26">
        <f>Mulanje!M195+Mulanje!N195+Mulanje!O195</f>
        <v>0</v>
      </c>
      <c r="E195" s="26">
        <f>Luchenza!M195+Luchenza!N195+Luchenza!O195</f>
        <v>0</v>
      </c>
      <c r="F195" s="26">
        <f>Thyolo!M195+Thyolo!N195+Thyolo!O195</f>
        <v>0</v>
      </c>
      <c r="G195" s="26">
        <f>Muloza!M195+Muloza!N195+Muloza!O195</f>
        <v>0</v>
      </c>
      <c r="H195" s="26">
        <f>MUST!M195+MUST!N195+MUST!O195</f>
        <v>46</v>
      </c>
      <c r="I195" s="26">
        <f>Phalombe!M195+Phalombe!N195+Phalombe!O195</f>
        <v>0</v>
      </c>
      <c r="J195" s="26">
        <f>Mikolongwe!M195+Mikolongwe!N195+Mikolongwe!O195</f>
        <v>14</v>
      </c>
      <c r="K195" s="26">
        <f>Migowi!M195+Migowi!N195+Migowi!O195</f>
        <v>2184</v>
      </c>
      <c r="L195" s="26">
        <f>Nkando!N195+Nkando!O195+Nkando!P195</f>
        <v>16</v>
      </c>
      <c r="M195" s="624">
        <f>SUM(E195:L195)</f>
        <v>2260</v>
      </c>
    </row>
    <row r="196" spans="1:13" x14ac:dyDescent="0.3">
      <c r="A196" s="212" t="s">
        <v>202</v>
      </c>
      <c r="B196" s="216"/>
      <c r="C196" s="16" t="s">
        <v>55</v>
      </c>
      <c r="D196" s="26">
        <f>Mulanje!M196+Mulanje!N196+Mulanje!O196</f>
        <v>72</v>
      </c>
      <c r="E196" s="26">
        <f>Luchenza!M196+Luchenza!N196+Luchenza!O196</f>
        <v>17</v>
      </c>
      <c r="F196" s="26">
        <f>Thyolo!M196+Thyolo!N196+Thyolo!O196</f>
        <v>23.483870967741936</v>
      </c>
      <c r="G196" s="26">
        <f>Muloza!M196+Muloza!N196+Muloza!O196</f>
        <v>63.600667408231367</v>
      </c>
      <c r="H196" s="26">
        <f>MUST!M196+MUST!N196+MUST!O196</f>
        <v>72</v>
      </c>
      <c r="I196" s="26">
        <f>Phalombe!M196+Phalombe!N196+Phalombe!O196</f>
        <v>72</v>
      </c>
      <c r="J196" s="26">
        <f>Mikolongwe!M196+Mikolongwe!N196+Mikolongwe!O196</f>
        <v>72</v>
      </c>
      <c r="K196" s="26">
        <f>Migowi!M196+Migowi!N196+Migowi!O196</f>
        <v>72</v>
      </c>
      <c r="L196" s="26">
        <f>Nkando!N196+Nkando!O196+Nkando!P196</f>
        <v>9</v>
      </c>
      <c r="M196" s="624">
        <f>SUM(E196:L196)/10</f>
        <v>40.108453837597331</v>
      </c>
    </row>
    <row r="197" spans="1:13" x14ac:dyDescent="0.3">
      <c r="A197" s="661" t="s">
        <v>56</v>
      </c>
      <c r="B197" s="662"/>
      <c r="C197" s="16" t="s">
        <v>55</v>
      </c>
      <c r="D197" s="26">
        <f>Mulanje!M197+Mulanje!N197+Mulanje!O197</f>
        <v>0</v>
      </c>
      <c r="E197" s="26">
        <f>Luchenza!M197+Luchenza!N197+Luchenza!O197</f>
        <v>38</v>
      </c>
      <c r="F197" s="26">
        <f>Thyolo!M197+Thyolo!N197+Thyolo!O197</f>
        <v>163</v>
      </c>
      <c r="G197" s="26">
        <f>Muloza!M197+Muloza!N197+Muloza!O197</f>
        <v>147</v>
      </c>
      <c r="H197" s="26">
        <f>MUST!M197+MUST!N197+MUST!O197</f>
        <v>166</v>
      </c>
      <c r="I197" s="26">
        <f>Phalombe!M197+Phalombe!N197+Phalombe!O197</f>
        <v>0</v>
      </c>
      <c r="J197" s="26">
        <f>Mikolongwe!M197+Mikolongwe!N197+Mikolongwe!O197</f>
        <v>91</v>
      </c>
      <c r="K197" s="26">
        <f>Migowi!M197+Migowi!N197+Migowi!O197</f>
        <v>127</v>
      </c>
      <c r="L197" s="26">
        <f>Nkando!N197+Nkando!O197+Nkando!P197</f>
        <v>215</v>
      </c>
      <c r="M197" s="624">
        <f>SUM(E197:L197)</f>
        <v>947</v>
      </c>
    </row>
    <row r="198" spans="1:13" ht="14.4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1"/>
    </row>
    <row r="199" spans="1:13" x14ac:dyDescent="0.3">
      <c r="A199" s="665" t="s">
        <v>54</v>
      </c>
      <c r="B199" s="209" t="s">
        <v>53</v>
      </c>
      <c r="C199" s="11" t="s">
        <v>47</v>
      </c>
      <c r="D199" s="26">
        <f>Mulanje!M199+Mulanje!N199+Mulanje!O199</f>
        <v>35</v>
      </c>
      <c r="E199" s="26">
        <f>Luchenza!M199+Luchenza!N199+Luchenza!O199</f>
        <v>0</v>
      </c>
      <c r="F199" s="26">
        <f>Thyolo!M199+Thyolo!N199+Thyolo!O199</f>
        <v>0</v>
      </c>
      <c r="G199" s="26">
        <f>Muloza!M199+Muloza!N199+Muloza!O199</f>
        <v>116</v>
      </c>
      <c r="H199" s="26">
        <f>MUST!M199+MUST!N199+MUST!O199</f>
        <v>1520</v>
      </c>
      <c r="I199" s="26">
        <f>Phalombe!M199+Phalombe!N199+Phalombe!O199</f>
        <v>0</v>
      </c>
      <c r="J199" s="26">
        <f>Mikolongwe!M199+Mikolongwe!N199+Mikolongwe!O199</f>
        <v>0</v>
      </c>
      <c r="K199" s="26">
        <f>Migowi!M199+Migowi!N199+Migowi!O199</f>
        <v>0</v>
      </c>
      <c r="L199" s="26">
        <f>Nkando!N199+Nkando!O199+Nkando!P199</f>
        <v>0</v>
      </c>
      <c r="M199" s="624">
        <f t="shared" ref="M199:M204" si="100">SUM(E199:L199)</f>
        <v>1636</v>
      </c>
    </row>
    <row r="200" spans="1:13" x14ac:dyDescent="0.3">
      <c r="A200" s="669"/>
      <c r="B200" s="209" t="s">
        <v>52</v>
      </c>
      <c r="C200" s="11" t="s">
        <v>47</v>
      </c>
      <c r="D200" s="26">
        <f>Mulanje!M200+Mulanje!N200+Mulanje!O200</f>
        <v>401</v>
      </c>
      <c r="E200" s="26">
        <f>Luchenza!M200+Luchenza!N200+Luchenza!O200</f>
        <v>0</v>
      </c>
      <c r="F200" s="26">
        <f>Thyolo!M200+Thyolo!N200+Thyolo!O200</f>
        <v>450</v>
      </c>
      <c r="G200" s="26">
        <f>Muloza!M200+Muloza!N200+Muloza!O200</f>
        <v>45</v>
      </c>
      <c r="H200" s="26">
        <f>MUST!M200+MUST!N200+MUST!O200</f>
        <v>0</v>
      </c>
      <c r="I200" s="26">
        <f>Phalombe!M200+Phalombe!N200+Phalombe!O200</f>
        <v>0</v>
      </c>
      <c r="J200" s="26">
        <f>Mikolongwe!M200+Mikolongwe!N200+Mikolongwe!O200</f>
        <v>0</v>
      </c>
      <c r="K200" s="26">
        <f>Migowi!M200+Migowi!N200+Migowi!O200</f>
        <v>0</v>
      </c>
      <c r="L200" s="26">
        <f>Nkando!N200+Nkando!O200+Nkando!P200</f>
        <v>0</v>
      </c>
      <c r="M200" s="624">
        <f t="shared" si="100"/>
        <v>495</v>
      </c>
    </row>
    <row r="201" spans="1:13" x14ac:dyDescent="0.3">
      <c r="A201" s="669"/>
      <c r="B201" s="209" t="s">
        <v>51</v>
      </c>
      <c r="C201" s="11" t="s">
        <v>47</v>
      </c>
      <c r="D201" s="26">
        <f>Mulanje!M201+Mulanje!N201+Mulanje!O201</f>
        <v>1326</v>
      </c>
      <c r="E201" s="26">
        <f>Luchenza!M201+Luchenza!N201+Luchenza!O201</f>
        <v>0</v>
      </c>
      <c r="F201" s="26">
        <f>Thyolo!M201+Thyolo!N201+Thyolo!O201</f>
        <v>510</v>
      </c>
      <c r="G201" s="26">
        <f>Muloza!M201+Muloza!N201+Muloza!O201</f>
        <v>18</v>
      </c>
      <c r="H201" s="26">
        <f>MUST!M201+MUST!N201+MUST!O201</f>
        <v>0</v>
      </c>
      <c r="I201" s="26">
        <f>Phalombe!M201+Phalombe!N201+Phalombe!O201</f>
        <v>0</v>
      </c>
      <c r="J201" s="26">
        <f>Mikolongwe!M201+Mikolongwe!N201+Mikolongwe!O201</f>
        <v>0</v>
      </c>
      <c r="K201" s="26">
        <f>Migowi!M201+Migowi!N201+Migowi!O201</f>
        <v>0</v>
      </c>
      <c r="L201" s="26">
        <f>Nkando!N201+Nkando!O201+Nkando!P201</f>
        <v>0</v>
      </c>
      <c r="M201" s="624">
        <f t="shared" si="100"/>
        <v>528</v>
      </c>
    </row>
    <row r="202" spans="1:13" x14ac:dyDescent="0.3">
      <c r="A202" s="669"/>
      <c r="B202" s="209" t="s">
        <v>50</v>
      </c>
      <c r="C202" s="11" t="s">
        <v>47</v>
      </c>
      <c r="D202" s="26">
        <f>Mulanje!M202+Mulanje!N202+Mulanje!O202</f>
        <v>1386</v>
      </c>
      <c r="E202" s="26">
        <f>Luchenza!M202+Luchenza!N202+Luchenza!O202</f>
        <v>0</v>
      </c>
      <c r="F202" s="26">
        <f>Thyolo!M202+Thyolo!N202+Thyolo!O202</f>
        <v>256</v>
      </c>
      <c r="G202" s="26">
        <f>Muloza!M202+Muloza!N202+Muloza!O202</f>
        <v>0</v>
      </c>
      <c r="H202" s="26">
        <f>MUST!M202+MUST!N202+MUST!O202</f>
        <v>0</v>
      </c>
      <c r="I202" s="26">
        <f>Phalombe!M202+Phalombe!N202+Phalombe!O202</f>
        <v>0</v>
      </c>
      <c r="J202" s="26">
        <f>Mikolongwe!M202+Mikolongwe!N202+Mikolongwe!O202</f>
        <v>0</v>
      </c>
      <c r="K202" s="26">
        <f>Migowi!M202+Migowi!N202+Migowi!O202</f>
        <v>0</v>
      </c>
      <c r="L202" s="26">
        <f>Nkando!N202+Nkando!O202+Nkando!P202</f>
        <v>0</v>
      </c>
      <c r="M202" s="624">
        <f t="shared" si="100"/>
        <v>256</v>
      </c>
    </row>
    <row r="203" spans="1:13" x14ac:dyDescent="0.3">
      <c r="A203" s="667"/>
      <c r="B203" s="209" t="s">
        <v>49</v>
      </c>
      <c r="C203" s="11" t="s">
        <v>47</v>
      </c>
      <c r="D203" s="26">
        <f>Mulanje!M203+Mulanje!N203+Mulanje!O203</f>
        <v>242</v>
      </c>
      <c r="E203" s="26">
        <f>Luchenza!M203+Luchenza!N203+Luchenza!O203</f>
        <v>0</v>
      </c>
      <c r="F203" s="26">
        <f>Thyolo!M203+Thyolo!N203+Thyolo!O203</f>
        <v>1080</v>
      </c>
      <c r="G203" s="26">
        <f>Muloza!M203+Muloza!N203+Muloza!O203</f>
        <v>0</v>
      </c>
      <c r="H203" s="26">
        <f>MUST!M203+MUST!N203+MUST!O203</f>
        <v>0</v>
      </c>
      <c r="I203" s="26">
        <f>Phalombe!M203+Phalombe!N203+Phalombe!O203</f>
        <v>0</v>
      </c>
      <c r="J203" s="26">
        <f>Mikolongwe!M203+Mikolongwe!N203+Mikolongwe!O203</f>
        <v>0</v>
      </c>
      <c r="K203" s="26">
        <f>Migowi!M203+Migowi!N203+Migowi!O203</f>
        <v>0</v>
      </c>
      <c r="L203" s="26">
        <f>Nkando!N203+Nkando!O203+Nkando!P203</f>
        <v>0</v>
      </c>
      <c r="M203" s="624">
        <f t="shared" si="100"/>
        <v>1080</v>
      </c>
    </row>
    <row r="204" spans="1:13" x14ac:dyDescent="0.3">
      <c r="A204" s="83" t="s">
        <v>48</v>
      </c>
      <c r="B204" s="209"/>
      <c r="C204" s="11" t="s">
        <v>47</v>
      </c>
      <c r="D204" s="15">
        <f t="shared" ref="D204:K204" si="101">SUM(D199:D203)</f>
        <v>3390</v>
      </c>
      <c r="E204" s="15">
        <f t="shared" si="101"/>
        <v>0</v>
      </c>
      <c r="F204" s="15">
        <f t="shared" si="101"/>
        <v>2296</v>
      </c>
      <c r="G204" s="15">
        <f t="shared" si="101"/>
        <v>179</v>
      </c>
      <c r="H204" s="15">
        <f t="shared" si="101"/>
        <v>1520</v>
      </c>
      <c r="I204" s="15">
        <f t="shared" si="101"/>
        <v>0</v>
      </c>
      <c r="J204" s="15">
        <f t="shared" si="101"/>
        <v>0</v>
      </c>
      <c r="K204" s="15">
        <f t="shared" si="101"/>
        <v>0</v>
      </c>
      <c r="L204" s="15">
        <f t="shared" ref="L204" si="102">SUM(L199:L203)</f>
        <v>0</v>
      </c>
      <c r="M204" s="624">
        <f t="shared" si="100"/>
        <v>3995</v>
      </c>
    </row>
    <row r="205" spans="1:13" s="2" customFormat="1" ht="14.4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1"/>
    </row>
    <row r="206" spans="1:13" x14ac:dyDescent="0.3">
      <c r="A206" s="661" t="s">
        <v>43</v>
      </c>
      <c r="B206" s="662"/>
      <c r="C206" s="11" t="s">
        <v>31</v>
      </c>
      <c r="D206" s="15">
        <f>Mulanje!M206+Mulanje!N206+Mulanje!O206</f>
        <v>52596999.259999998</v>
      </c>
      <c r="E206" s="15">
        <f>Luchenza!M206+Luchenza!N206+Luchenza!O206</f>
        <v>20770586.439999998</v>
      </c>
      <c r="F206" s="15">
        <f>Thyolo!M206+Thyolo!N206+Thyolo!O206</f>
        <v>18784257.289999999</v>
      </c>
      <c r="G206" s="15">
        <f>Muloza!M206+Muloza!N206+Muloza!O206</f>
        <v>13409519.07</v>
      </c>
      <c r="H206" s="15">
        <f>MUST!M206+MUST!N206+MUST!O206</f>
        <v>1274481.3799999999</v>
      </c>
      <c r="I206" s="15">
        <f>Phalombe!M206+Phalombe!N206+Phalombe!O206</f>
        <v>11367150.710000001</v>
      </c>
      <c r="J206" s="15">
        <f>Mikolongwe!M206+Mikolongwe!N206+Mikolongwe!O206</f>
        <v>642050</v>
      </c>
      <c r="K206" s="15">
        <f>Migowi!M206+Migowi!N206+Migowi!O206</f>
        <v>0</v>
      </c>
      <c r="L206" s="15">
        <f>Nkando!N206+Nkando!O206+Nkando!P206</f>
        <v>499290</v>
      </c>
      <c r="M206" s="624">
        <f>SUM(E206:L206)</f>
        <v>66747334.890000001</v>
      </c>
    </row>
    <row r="207" spans="1:13" x14ac:dyDescent="0.3">
      <c r="A207" s="661" t="s">
        <v>42</v>
      </c>
      <c r="B207" s="662"/>
      <c r="C207" s="11" t="s">
        <v>31</v>
      </c>
      <c r="D207" s="15">
        <f>Mulanje!M207+Mulanje!N207+Mulanje!O207</f>
        <v>551250</v>
      </c>
      <c r="E207" s="15">
        <f>Luchenza!M207+Luchenza!N207+Luchenza!O207</f>
        <v>0</v>
      </c>
      <c r="F207" s="15">
        <f>Thyolo!M207+Thyolo!N207+Thyolo!O207</f>
        <v>10000</v>
      </c>
      <c r="G207" s="15">
        <f>Muloza!M207+Muloza!N207+Muloza!O207</f>
        <v>8500</v>
      </c>
      <c r="H207" s="15">
        <f>MUST!M207+MUST!N207+MUST!O207</f>
        <v>0</v>
      </c>
      <c r="I207" s="15">
        <f>Phalombe!M207+Phalombe!N207+Phalombe!O207</f>
        <v>0</v>
      </c>
      <c r="J207" s="15">
        <f>Mikolongwe!M207+Mikolongwe!N207+Mikolongwe!O207</f>
        <v>0</v>
      </c>
      <c r="K207" s="15">
        <f>Migowi!M207+Migowi!N207+Migowi!O207</f>
        <v>0</v>
      </c>
      <c r="L207" s="15">
        <f>Nkando!N207+Nkando!O207+Nkando!P207</f>
        <v>14940</v>
      </c>
      <c r="M207" s="624">
        <f>SUM(E207:L207)</f>
        <v>33440</v>
      </c>
    </row>
    <row r="208" spans="1:13" x14ac:dyDescent="0.3">
      <c r="A208" s="663" t="s">
        <v>41</v>
      </c>
      <c r="B208" s="664"/>
      <c r="C208" s="11" t="s">
        <v>31</v>
      </c>
      <c r="D208" s="15">
        <f>Mulanje!M208+Mulanje!N208+Mulanje!O208</f>
        <v>750643</v>
      </c>
      <c r="E208" s="15">
        <f>Luchenza!M208+Luchenza!N208+Luchenza!O208</f>
        <v>1170245</v>
      </c>
      <c r="F208" s="15">
        <f>Thyolo!M208+Thyolo!N208+Thyolo!O208</f>
        <v>27158954.850000001</v>
      </c>
      <c r="G208" s="15">
        <f>Muloza!M208+Muloza!N208+Muloza!O208</f>
        <v>469926</v>
      </c>
      <c r="H208" s="15">
        <f>MUST!M208+MUST!N208+MUST!O208</f>
        <v>0</v>
      </c>
      <c r="I208" s="15">
        <f>Phalombe!M208+Phalombe!N208+Phalombe!O208</f>
        <v>145255.53</v>
      </c>
      <c r="J208" s="15">
        <f>Mikolongwe!M208+Mikolongwe!N208+Mikolongwe!O208</f>
        <v>0</v>
      </c>
      <c r="K208" s="15">
        <f>Migowi!M208+Migowi!N208+Migowi!O208</f>
        <v>0</v>
      </c>
      <c r="L208" s="15">
        <f>Nkando!N208+Nkando!O208+Nkando!P208</f>
        <v>173890</v>
      </c>
      <c r="M208" s="624">
        <f>SUM(E208:L208)</f>
        <v>29118271.380000003</v>
      </c>
    </row>
    <row r="209" spans="1:13" x14ac:dyDescent="0.3">
      <c r="A209" s="661" t="s">
        <v>40</v>
      </c>
      <c r="B209" s="662"/>
      <c r="C209" s="11" t="s">
        <v>31</v>
      </c>
      <c r="D209" s="15">
        <f>Mulanje!M209+Mulanje!N209+Mulanje!O209</f>
        <v>113920250</v>
      </c>
      <c r="E209" s="15">
        <f>Luchenza!M209+Luchenza!N209+Luchenza!O209</f>
        <v>43485797.240000002</v>
      </c>
      <c r="F209" s="15">
        <f>Thyolo!M209+Thyolo!N209+Thyolo!O209</f>
        <v>30755392.5</v>
      </c>
      <c r="G209" s="15">
        <f>Muloza!M209+Muloza!N209+Muloza!O209</f>
        <v>23392656</v>
      </c>
      <c r="H209" s="15">
        <f>MUST!M209+MUST!N209+MUST!O209</f>
        <v>95816202</v>
      </c>
      <c r="I209" s="15">
        <f>Phalombe!M209+Phalombe!N209+Phalombe!O209</f>
        <v>22771205.710000001</v>
      </c>
      <c r="J209" s="15">
        <f>Mikolongwe!M209+Mikolongwe!N209+Mikolongwe!O209</f>
        <v>0</v>
      </c>
      <c r="K209" s="15">
        <f>Migowi!M209+Migowi!N209+Migowi!O209</f>
        <v>0</v>
      </c>
      <c r="L209" s="15">
        <f>Nkando!N209+Nkando!O209+Nkando!P209</f>
        <v>80240</v>
      </c>
      <c r="M209" s="624">
        <f>SUM(E209:L209)</f>
        <v>216301493.45000002</v>
      </c>
    </row>
    <row r="210" spans="1:13" x14ac:dyDescent="0.3">
      <c r="A210" s="647" t="s">
        <v>45</v>
      </c>
      <c r="B210" s="648"/>
      <c r="C210" s="11" t="s">
        <v>31</v>
      </c>
      <c r="D210" s="10">
        <f t="shared" ref="D210:K210" si="103">SUM(D206:D209)</f>
        <v>167819142.25999999</v>
      </c>
      <c r="E210" s="10">
        <f t="shared" si="103"/>
        <v>65426628.68</v>
      </c>
      <c r="F210" s="10">
        <f t="shared" si="103"/>
        <v>76708604.640000001</v>
      </c>
      <c r="G210" s="10">
        <f t="shared" si="103"/>
        <v>37280601.07</v>
      </c>
      <c r="H210" s="10">
        <f t="shared" si="103"/>
        <v>97090683.379999995</v>
      </c>
      <c r="I210" s="10">
        <f t="shared" si="103"/>
        <v>34283611.950000003</v>
      </c>
      <c r="J210" s="10">
        <f t="shared" si="103"/>
        <v>642050</v>
      </c>
      <c r="K210" s="10">
        <f t="shared" si="103"/>
        <v>0</v>
      </c>
      <c r="L210" s="10">
        <f t="shared" ref="L210" si="104">SUM(L206:L209)</f>
        <v>768360</v>
      </c>
      <c r="M210" s="624">
        <f>SUM(E210:L210)</f>
        <v>312200539.71999997</v>
      </c>
    </row>
    <row r="211" spans="1:13" s="2" customFormat="1" ht="14.4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1"/>
    </row>
    <row r="212" spans="1:13" x14ac:dyDescent="0.3">
      <c r="A212" s="661" t="s">
        <v>43</v>
      </c>
      <c r="B212" s="662"/>
      <c r="C212" s="11" t="s">
        <v>31</v>
      </c>
      <c r="D212" s="15">
        <f>Mulanje!M212+Mulanje!N212+Mulanje!O212</f>
        <v>25211123.280000001</v>
      </c>
      <c r="E212" s="15">
        <f>Luchenza!M212+Luchenza!N212+Luchenza!O212</f>
        <v>4222398.2699999996</v>
      </c>
      <c r="F212" s="15">
        <f>Thyolo!M212+Thyolo!N212+Thyolo!O212</f>
        <v>10710186.510000002</v>
      </c>
      <c r="G212" s="15">
        <f>Muloza!M212+Muloza!N212+Muloza!O212</f>
        <v>3650345.42</v>
      </c>
      <c r="H212" s="15">
        <f>MUST!M212+MUST!N212+MUST!O212</f>
        <v>795200</v>
      </c>
      <c r="I212" s="15">
        <f>Phalombe!M212+Phalombe!N212+Phalombe!O212</f>
        <v>6490258</v>
      </c>
      <c r="J212" s="15">
        <f>Mikolongwe!M212+Mikolongwe!N212+Mikolongwe!O212</f>
        <v>113600</v>
      </c>
      <c r="K212" s="15">
        <f>Migowi!M212+Migowi!N212+Migowi!O212</f>
        <v>2692703.31</v>
      </c>
      <c r="L212" s="15">
        <f>Nkando!N212+Nkando!O212+Nkando!P212</f>
        <v>0</v>
      </c>
      <c r="M212" s="624">
        <f>SUM(E212:L212)</f>
        <v>28674691.510000002</v>
      </c>
    </row>
    <row r="213" spans="1:13" x14ac:dyDescent="0.3">
      <c r="A213" s="661" t="s">
        <v>42</v>
      </c>
      <c r="B213" s="662"/>
      <c r="C213" s="11" t="s">
        <v>31</v>
      </c>
      <c r="D213" s="15">
        <f>Mulanje!M213+Mulanje!N213+Mulanje!O213</f>
        <v>1476192.48</v>
      </c>
      <c r="E213" s="15">
        <f>Luchenza!M213+Luchenza!N213+Luchenza!O213</f>
        <v>0</v>
      </c>
      <c r="F213" s="15">
        <f>Thyolo!M213+Thyolo!N213+Thyolo!O213</f>
        <v>10000</v>
      </c>
      <c r="G213" s="15">
        <f>Muloza!M213+Muloza!N213+Muloza!O213</f>
        <v>0</v>
      </c>
      <c r="H213" s="15">
        <f>MUST!M213+MUST!N213+MUST!O213</f>
        <v>0</v>
      </c>
      <c r="I213" s="15">
        <f>Phalombe!M213+Phalombe!N213+Phalombe!O213</f>
        <v>0</v>
      </c>
      <c r="J213" s="15">
        <f>Mikolongwe!M213+Mikolongwe!N213+Mikolongwe!O213</f>
        <v>0</v>
      </c>
      <c r="K213" s="15">
        <f>Migowi!M213+Migowi!N213+Migowi!O213</f>
        <v>0</v>
      </c>
      <c r="L213" s="15">
        <f>Nkando!N213+Nkando!O213+Nkando!P213</f>
        <v>0</v>
      </c>
      <c r="M213" s="624">
        <f>SUM(E213:L213)</f>
        <v>10000</v>
      </c>
    </row>
    <row r="214" spans="1:13" x14ac:dyDescent="0.3">
      <c r="A214" s="663" t="s">
        <v>41</v>
      </c>
      <c r="B214" s="664"/>
      <c r="C214" s="11" t="s">
        <v>31</v>
      </c>
      <c r="D214" s="15">
        <f>Mulanje!M214+Mulanje!N214+Mulanje!O214</f>
        <v>7000936.1200000001</v>
      </c>
      <c r="E214" s="15">
        <f>Luchenza!M214+Luchenza!N214+Luchenza!O214</f>
        <v>1329437.3999999999</v>
      </c>
      <c r="F214" s="15">
        <f>Thyolo!M214+Thyolo!N214+Thyolo!O214</f>
        <v>3117905.87</v>
      </c>
      <c r="G214" s="15">
        <f>Muloza!M214+Muloza!N214+Muloza!O214</f>
        <v>1457977.23</v>
      </c>
      <c r="H214" s="15">
        <f>MUST!M214+MUST!N214+MUST!O214</f>
        <v>9420400</v>
      </c>
      <c r="I214" s="15">
        <f>Phalombe!M214+Phalombe!N214+Phalombe!O214</f>
        <v>902800</v>
      </c>
      <c r="J214" s="15">
        <f>Mikolongwe!M214+Mikolongwe!N214+Mikolongwe!O214</f>
        <v>0</v>
      </c>
      <c r="K214" s="15">
        <f>Migowi!M214+Migowi!N214+Migowi!O214</f>
        <v>0</v>
      </c>
      <c r="L214" s="15">
        <f>Nkando!N214+Nkando!O214+Nkando!P214</f>
        <v>0</v>
      </c>
      <c r="M214" s="624">
        <f>SUM(E214:L214)</f>
        <v>16228520.5</v>
      </c>
    </row>
    <row r="215" spans="1:13" x14ac:dyDescent="0.3">
      <c r="A215" s="661" t="s">
        <v>40</v>
      </c>
      <c r="B215" s="662"/>
      <c r="C215" s="11" t="s">
        <v>31</v>
      </c>
      <c r="D215" s="15">
        <f>Mulanje!M215+Mulanje!N215+Mulanje!O215</f>
        <v>33906641.890000001</v>
      </c>
      <c r="E215" s="15">
        <f>Luchenza!M215+Luchenza!N215+Luchenza!O215</f>
        <v>4714506.2799999993</v>
      </c>
      <c r="F215" s="15">
        <f>Thyolo!M215+Thyolo!N215+Thyolo!O215</f>
        <v>15775326.5</v>
      </c>
      <c r="G215" s="15">
        <f>Muloza!M215+Muloza!N215+Muloza!O215</f>
        <v>526926.30000000005</v>
      </c>
      <c r="H215" s="15">
        <f>MUST!M215+MUST!N215+MUST!O215</f>
        <v>63000000</v>
      </c>
      <c r="I215" s="15">
        <f>Phalombe!M215+Phalombe!N215+Phalombe!O215</f>
        <v>3540312.67</v>
      </c>
      <c r="J215" s="15">
        <f>Mikolongwe!M215+Mikolongwe!N215+Mikolongwe!O215</f>
        <v>528900</v>
      </c>
      <c r="K215" s="15">
        <f>Migowi!M215+Migowi!N215+Migowi!O215</f>
        <v>27040000</v>
      </c>
      <c r="L215" s="15">
        <f>Nkando!N215+Nkando!O215+Nkando!P215</f>
        <v>0</v>
      </c>
      <c r="M215" s="624">
        <f>SUM(E215:L215)</f>
        <v>115125971.75</v>
      </c>
    </row>
    <row r="216" spans="1:13" x14ac:dyDescent="0.3">
      <c r="A216" s="647" t="s">
        <v>39</v>
      </c>
      <c r="B216" s="648"/>
      <c r="C216" s="11" t="s">
        <v>31</v>
      </c>
      <c r="D216" s="10">
        <f t="shared" ref="D216:K216" si="105">SUM(D212:D215)</f>
        <v>67594893.770000011</v>
      </c>
      <c r="E216" s="10">
        <f t="shared" si="105"/>
        <v>10266341.949999999</v>
      </c>
      <c r="F216" s="10">
        <f t="shared" si="105"/>
        <v>29613418.880000003</v>
      </c>
      <c r="G216" s="10">
        <f t="shared" si="105"/>
        <v>5635248.9500000002</v>
      </c>
      <c r="H216" s="10">
        <f>SUM(H212:H215)</f>
        <v>73215600</v>
      </c>
      <c r="I216" s="10">
        <f t="shared" si="105"/>
        <v>10933370.67</v>
      </c>
      <c r="J216" s="10">
        <f t="shared" si="105"/>
        <v>642500</v>
      </c>
      <c r="K216" s="10">
        <f t="shared" si="105"/>
        <v>29732703.309999999</v>
      </c>
      <c r="L216" s="10">
        <f t="shared" ref="L216" si="106">SUM(L212:L215)</f>
        <v>0</v>
      </c>
      <c r="M216" s="624">
        <f>SUM(E216:L216)</f>
        <v>160039183.75999999</v>
      </c>
    </row>
    <row r="217" spans="1:13" s="2" customFormat="1" x14ac:dyDescent="0.3">
      <c r="A217" s="210" t="s">
        <v>38</v>
      </c>
      <c r="B217" s="211"/>
      <c r="C217" s="11" t="s">
        <v>31</v>
      </c>
      <c r="D217" s="10">
        <f>D210+D216</f>
        <v>235414036.03</v>
      </c>
      <c r="E217" s="10">
        <f t="shared" ref="E217:K217" si="107">E210+E216</f>
        <v>75692970.629999995</v>
      </c>
      <c r="F217" s="10">
        <f t="shared" si="107"/>
        <v>106322023.52000001</v>
      </c>
      <c r="G217" s="10">
        <f t="shared" si="107"/>
        <v>42915850.020000003</v>
      </c>
      <c r="H217" s="10">
        <f t="shared" si="107"/>
        <v>170306283.38</v>
      </c>
      <c r="I217" s="10">
        <f t="shared" si="107"/>
        <v>45216982.620000005</v>
      </c>
      <c r="J217" s="10">
        <f t="shared" si="107"/>
        <v>1284550</v>
      </c>
      <c r="K217" s="10">
        <f t="shared" si="107"/>
        <v>29732703.309999999</v>
      </c>
      <c r="L217" s="10">
        <f t="shared" ref="L217:M217" si="108">L210+L216</f>
        <v>768360</v>
      </c>
      <c r="M217" s="55">
        <f t="shared" si="108"/>
        <v>472239723.47999996</v>
      </c>
    </row>
    <row r="218" spans="1:13" s="2" customFormat="1" ht="14.4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1"/>
    </row>
    <row r="219" spans="1:13" x14ac:dyDescent="0.3">
      <c r="A219" s="661" t="s">
        <v>35</v>
      </c>
      <c r="B219" s="662"/>
      <c r="C219" s="11" t="s">
        <v>31</v>
      </c>
      <c r="D219" s="15">
        <f>Mulanje!M219+Mulanje!N219+Mulanje!O219</f>
        <v>151871308.97</v>
      </c>
      <c r="E219" s="15">
        <f>Luchenza!M219+Luchenza!N219+Luchenza!O219</f>
        <v>17917842.879999999</v>
      </c>
      <c r="F219" s="15">
        <f>Thyolo!M219+Thyolo!N219+Thyolo!O219</f>
        <v>17230780.18</v>
      </c>
      <c r="G219" s="15">
        <f>Muloza!M219+Muloza!N219+Muloza!O219</f>
        <v>12248617.59</v>
      </c>
      <c r="H219" s="15">
        <f>MUST!M219+MUST!N219+MUST!O219</f>
        <v>2502773.65</v>
      </c>
      <c r="I219" s="15">
        <f>Phalombe!M219+Phalombe!N219+Phalombe!O219</f>
        <v>11049410.949999999</v>
      </c>
      <c r="J219" s="15">
        <f>Mikolongwe!M219+Mikolongwe!N219+Mikolongwe!O219</f>
        <v>254878.60000000003</v>
      </c>
      <c r="K219" s="15">
        <f>Migowi!M219+Migowi!N219+Migowi!O219</f>
        <v>0</v>
      </c>
      <c r="L219" s="15">
        <f>Nkando!N219+Nkando!O219+Nkando!P219</f>
        <v>5385391.6299999999</v>
      </c>
      <c r="M219" s="624">
        <f>SUM(E219:L219)</f>
        <v>66589695.480000004</v>
      </c>
    </row>
    <row r="220" spans="1:13" x14ac:dyDescent="0.3">
      <c r="A220" s="661" t="s">
        <v>34</v>
      </c>
      <c r="B220" s="662"/>
      <c r="C220" s="11" t="s">
        <v>31</v>
      </c>
      <c r="D220" s="15">
        <f>Mulanje!M220+Mulanje!N220+Mulanje!O220</f>
        <v>482370.56</v>
      </c>
      <c r="E220" s="15">
        <f>Luchenza!M220+Luchenza!N220+Luchenza!O220</f>
        <v>3477.5699999999997</v>
      </c>
      <c r="F220" s="15">
        <f>Thyolo!M220+Thyolo!N220+Thyolo!O220</f>
        <v>8346.48</v>
      </c>
      <c r="G220" s="15">
        <f>Muloza!M220+Muloza!N220+Muloza!O220</f>
        <v>11476.83</v>
      </c>
      <c r="H220" s="15">
        <f>MUST!M220+MUST!N220+MUST!O220</f>
        <v>0</v>
      </c>
      <c r="I220" s="15">
        <f>Phalombe!M220+Phalombe!N220+Phalombe!O220</f>
        <v>0</v>
      </c>
      <c r="J220" s="15">
        <f>Mikolongwe!M220+Mikolongwe!N220+Mikolongwe!O220</f>
        <v>0</v>
      </c>
      <c r="K220" s="15">
        <f>Migowi!M220+Migowi!N220+Migowi!O220</f>
        <v>0</v>
      </c>
      <c r="L220" s="15">
        <f>Nkando!N220+Nkando!O220+Nkando!P220</f>
        <v>6608.7</v>
      </c>
      <c r="M220" s="624">
        <f>SUM(E220:L220)</f>
        <v>29909.579999999998</v>
      </c>
    </row>
    <row r="221" spans="1:13" x14ac:dyDescent="0.3">
      <c r="A221" s="661" t="s">
        <v>33</v>
      </c>
      <c r="B221" s="662"/>
      <c r="C221" s="11" t="s">
        <v>31</v>
      </c>
      <c r="D221" s="15">
        <f>Mulanje!M221+Mulanje!N221+Mulanje!O221</f>
        <v>1405505.86</v>
      </c>
      <c r="E221" s="15">
        <f>Luchenza!M221+Luchenza!N221+Luchenza!O221</f>
        <v>20092414.899999999</v>
      </c>
      <c r="F221" s="15">
        <f>Thyolo!M221+Thyolo!N221+Thyolo!O221</f>
        <v>264849.7</v>
      </c>
      <c r="G221" s="15">
        <f>Muloza!M221+Muloza!N221+Muloza!O221</f>
        <v>3967935.76</v>
      </c>
      <c r="H221" s="15">
        <f>MUST!M221+MUST!N221+MUST!O221</f>
        <v>212231.89</v>
      </c>
      <c r="I221" s="15">
        <f>Phalombe!M221+Phalombe!N221+Phalombe!O221</f>
        <v>128903.63</v>
      </c>
      <c r="J221" s="15">
        <f>Mikolongwe!M221+Mikolongwe!N221+Mikolongwe!O221</f>
        <v>0</v>
      </c>
      <c r="K221" s="15">
        <f>Migowi!M221+Migowi!N221+Migowi!O221</f>
        <v>0</v>
      </c>
      <c r="L221" s="15">
        <f>Nkando!N221+Nkando!O221+Nkando!P221</f>
        <v>9734299.0099999998</v>
      </c>
      <c r="M221" s="624">
        <f>SUM(E221:L221)</f>
        <v>34400634.890000001</v>
      </c>
    </row>
    <row r="222" spans="1:13" x14ac:dyDescent="0.3">
      <c r="A222" s="661" t="s">
        <v>32</v>
      </c>
      <c r="B222" s="662"/>
      <c r="C222" s="11" t="s">
        <v>31</v>
      </c>
      <c r="D222" s="15">
        <f>Mulanje!M222+Mulanje!N222+Mulanje!O222</f>
        <v>571356.11</v>
      </c>
      <c r="E222" s="15">
        <f>Luchenza!M222+Luchenza!N222+Luchenza!O222</f>
        <v>1224177.72</v>
      </c>
      <c r="F222" s="15">
        <f>Thyolo!M222+Thyolo!N222+Thyolo!O222</f>
        <v>2235259.38</v>
      </c>
      <c r="G222" s="15">
        <f>Muloza!M222+Muloza!N222+Muloza!O222</f>
        <v>796340.89</v>
      </c>
      <c r="H222" s="15">
        <f>MUST!M222+MUST!N222+MUST!O222</f>
        <v>202877.34000000003</v>
      </c>
      <c r="I222" s="15">
        <f>Phalombe!M222+Phalombe!N222+Phalombe!O222</f>
        <v>162546.78</v>
      </c>
      <c r="J222" s="15">
        <f>Mikolongwe!M222+Mikolongwe!N222+Mikolongwe!O222</f>
        <v>1007700</v>
      </c>
      <c r="K222" s="15">
        <f>Migowi!M222+Migowi!N222+Migowi!O222</f>
        <v>0</v>
      </c>
      <c r="L222" s="15">
        <f>Nkando!N222+Nkando!O222+Nkando!P222</f>
        <v>4138751.8400000003</v>
      </c>
      <c r="M222" s="624">
        <f>SUM(E222:L222)</f>
        <v>9767653.9499999993</v>
      </c>
    </row>
    <row r="223" spans="1:13" x14ac:dyDescent="0.3">
      <c r="A223" s="647" t="s">
        <v>36</v>
      </c>
      <c r="B223" s="648"/>
      <c r="C223" s="11" t="s">
        <v>31</v>
      </c>
      <c r="D223" s="12">
        <f t="shared" ref="D223:K223" si="109">SUM(D219:D222)</f>
        <v>154330541.50000003</v>
      </c>
      <c r="E223" s="10">
        <f t="shared" si="109"/>
        <v>39237913.069999993</v>
      </c>
      <c r="F223" s="10">
        <f t="shared" si="109"/>
        <v>19739235.739999998</v>
      </c>
      <c r="G223" s="10">
        <f t="shared" si="109"/>
        <v>17024371.07</v>
      </c>
      <c r="H223" s="10">
        <f t="shared" si="109"/>
        <v>2917882.88</v>
      </c>
      <c r="I223" s="10">
        <f t="shared" si="109"/>
        <v>11340861.359999999</v>
      </c>
      <c r="J223" s="14">
        <f t="shared" si="109"/>
        <v>1262578.6000000001</v>
      </c>
      <c r="K223" s="14">
        <f t="shared" si="109"/>
        <v>0</v>
      </c>
      <c r="L223" s="14">
        <f t="shared" ref="L223" si="110">SUM(L219:L222)</f>
        <v>19265051.18</v>
      </c>
      <c r="M223" s="624">
        <f>SUM(E223:L223)</f>
        <v>110787893.89999998</v>
      </c>
    </row>
    <row r="224" spans="1:13" ht="14.4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1"/>
    </row>
    <row r="225" spans="1:13" x14ac:dyDescent="0.3">
      <c r="A225" s="661" t="s">
        <v>35</v>
      </c>
      <c r="B225" s="662"/>
      <c r="C225" s="11" t="s">
        <v>31</v>
      </c>
      <c r="D225" s="15">
        <f>Mulanje!M225+Mulanje!N225+Mulanje!O225</f>
        <v>0</v>
      </c>
      <c r="E225" s="15">
        <f>Luchenza!M225+Luchenza!N225+Luchenza!O225</f>
        <v>0</v>
      </c>
      <c r="F225" s="15">
        <f>Thyolo!M225+Thyolo!N225+Thyolo!O225</f>
        <v>0</v>
      </c>
      <c r="G225" s="15">
        <f>Muloza!M225+Muloza!N225+Muloza!O225</f>
        <v>0</v>
      </c>
      <c r="H225" s="15">
        <f>MUST!M225+MUST!N225+MUST!O225</f>
        <v>0</v>
      </c>
      <c r="I225" s="15">
        <f>Phalombe!M225+Phalombe!N225+Phalombe!O225</f>
        <v>0</v>
      </c>
      <c r="J225" s="15">
        <f>Mikolongwe!M225+Mikolongwe!N225+Mikolongwe!O225</f>
        <v>82484.61</v>
      </c>
      <c r="K225" s="15">
        <f>Migowi!M225+Migowi!N225+Migowi!O225</f>
        <v>0</v>
      </c>
      <c r="L225" s="15">
        <f>Nkando!N225+Nkando!O225+Nkando!P225</f>
        <v>0</v>
      </c>
      <c r="M225" s="624">
        <f t="shared" ref="M225:M230" si="111">SUM(E225:L225)</f>
        <v>82484.61</v>
      </c>
    </row>
    <row r="226" spans="1:13" x14ac:dyDescent="0.3">
      <c r="A226" s="661" t="s">
        <v>34</v>
      </c>
      <c r="B226" s="662"/>
      <c r="C226" s="11" t="s">
        <v>31</v>
      </c>
      <c r="D226" s="15">
        <f>Mulanje!M226+Mulanje!N226+Mulanje!O226</f>
        <v>0</v>
      </c>
      <c r="E226" s="15">
        <f>Luchenza!M226+Luchenza!N226+Luchenza!O226</f>
        <v>0</v>
      </c>
      <c r="F226" s="15">
        <f>Thyolo!M226+Thyolo!N226+Thyolo!O226</f>
        <v>0</v>
      </c>
      <c r="G226" s="15">
        <f>Muloza!M226+Muloza!N226+Muloza!O226</f>
        <v>0</v>
      </c>
      <c r="H226" s="15">
        <f>MUST!M226+MUST!N226+MUST!O226</f>
        <v>0</v>
      </c>
      <c r="I226" s="15">
        <f>Phalombe!M226+Phalombe!N226+Phalombe!O226</f>
        <v>0</v>
      </c>
      <c r="J226" s="15">
        <f>Mikolongwe!M226+Mikolongwe!N226+Mikolongwe!O226</f>
        <v>0</v>
      </c>
      <c r="K226" s="15">
        <f>Migowi!M226+Migowi!N226+Migowi!O226</f>
        <v>0</v>
      </c>
      <c r="L226" s="15">
        <f>Nkando!N226+Nkando!O226+Nkando!P226</f>
        <v>0</v>
      </c>
      <c r="M226" s="624">
        <f t="shared" si="111"/>
        <v>0</v>
      </c>
    </row>
    <row r="227" spans="1:13" x14ac:dyDescent="0.3">
      <c r="A227" s="661" t="s">
        <v>33</v>
      </c>
      <c r="B227" s="662"/>
      <c r="C227" s="11" t="s">
        <v>31</v>
      </c>
      <c r="D227" s="15">
        <f>Mulanje!M227+Mulanje!N227+Mulanje!O227</f>
        <v>0</v>
      </c>
      <c r="E227" s="15">
        <f>Luchenza!M227+Luchenza!N227+Luchenza!O227</f>
        <v>0</v>
      </c>
      <c r="F227" s="15">
        <f>Thyolo!M227+Thyolo!N227+Thyolo!O227</f>
        <v>0</v>
      </c>
      <c r="G227" s="15">
        <f>Muloza!M227+Muloza!N227+Muloza!O227</f>
        <v>0</v>
      </c>
      <c r="H227" s="15">
        <f>MUST!M227+MUST!N227+MUST!O227</f>
        <v>0</v>
      </c>
      <c r="I227" s="15">
        <f>Phalombe!M227+Phalombe!N227+Phalombe!O227</f>
        <v>0</v>
      </c>
      <c r="J227" s="15">
        <f>Mikolongwe!M227+Mikolongwe!N227+Mikolongwe!O227</f>
        <v>0</v>
      </c>
      <c r="K227" s="15">
        <f>Migowi!M227+Migowi!N227+Migowi!O227</f>
        <v>0</v>
      </c>
      <c r="L227" s="15">
        <f>Nkando!N227+Nkando!O227+Nkando!P227</f>
        <v>0</v>
      </c>
      <c r="M227" s="624">
        <f t="shared" si="111"/>
        <v>0</v>
      </c>
    </row>
    <row r="228" spans="1:13" x14ac:dyDescent="0.3">
      <c r="A228" s="661" t="s">
        <v>32</v>
      </c>
      <c r="B228" s="662"/>
      <c r="C228" s="11" t="s">
        <v>31</v>
      </c>
      <c r="D228" s="15">
        <f>Mulanje!M228+Mulanje!N228+Mulanje!O228</f>
        <v>0</v>
      </c>
      <c r="E228" s="15">
        <f>Luchenza!M228+Luchenza!N228+Luchenza!O228</f>
        <v>0</v>
      </c>
      <c r="F228" s="15">
        <f>Thyolo!M228+Thyolo!N228+Thyolo!O228</f>
        <v>0</v>
      </c>
      <c r="G228" s="15">
        <f>Muloza!M228+Muloza!N228+Muloza!O228</f>
        <v>0</v>
      </c>
      <c r="H228" s="15">
        <f>MUST!M228+MUST!N228+MUST!O228</f>
        <v>0</v>
      </c>
      <c r="I228" s="15">
        <f>Phalombe!M228+Phalombe!N228+Phalombe!O228</f>
        <v>0</v>
      </c>
      <c r="J228" s="15">
        <f>Mikolongwe!M228+Mikolongwe!N228+Mikolongwe!O228</f>
        <v>0</v>
      </c>
      <c r="K228" s="15">
        <f>Migowi!M228+Migowi!N228+Migowi!O228</f>
        <v>0</v>
      </c>
      <c r="L228" s="15">
        <f>Nkando!N228+Nkando!O228+Nkando!P228</f>
        <v>0</v>
      </c>
      <c r="M228" s="624">
        <f t="shared" si="111"/>
        <v>0</v>
      </c>
    </row>
    <row r="229" spans="1:13" x14ac:dyDescent="0.3">
      <c r="A229" s="647" t="s">
        <v>212</v>
      </c>
      <c r="B229" s="648"/>
      <c r="C229" s="11" t="s">
        <v>31</v>
      </c>
      <c r="D229" s="12">
        <f t="shared" ref="D229:K229" si="112">SUM(D225:D228)</f>
        <v>0</v>
      </c>
      <c r="E229" s="10">
        <f t="shared" si="112"/>
        <v>0</v>
      </c>
      <c r="F229" s="10">
        <f t="shared" si="112"/>
        <v>0</v>
      </c>
      <c r="G229" s="10">
        <f t="shared" si="112"/>
        <v>0</v>
      </c>
      <c r="H229" s="10">
        <f t="shared" si="112"/>
        <v>0</v>
      </c>
      <c r="I229" s="10">
        <f t="shared" si="112"/>
        <v>0</v>
      </c>
      <c r="J229" s="14">
        <f t="shared" si="112"/>
        <v>82484.61</v>
      </c>
      <c r="K229" s="14">
        <f t="shared" si="112"/>
        <v>0</v>
      </c>
      <c r="L229" s="14">
        <f t="shared" ref="L229" si="113">SUM(L225:L228)</f>
        <v>0</v>
      </c>
      <c r="M229" s="624">
        <f t="shared" si="111"/>
        <v>82484.61</v>
      </c>
    </row>
    <row r="230" spans="1:13" x14ac:dyDescent="0.3">
      <c r="A230" s="210" t="s">
        <v>213</v>
      </c>
      <c r="B230" s="119"/>
      <c r="C230" s="11" t="s">
        <v>31</v>
      </c>
      <c r="D230" s="12">
        <f>D223+D229</f>
        <v>154330541.50000003</v>
      </c>
      <c r="E230" s="12">
        <f t="shared" ref="E230:K230" si="114">E223+E229</f>
        <v>39237913.069999993</v>
      </c>
      <c r="F230" s="12">
        <f t="shared" si="114"/>
        <v>19739235.739999998</v>
      </c>
      <c r="G230" s="12">
        <f t="shared" si="114"/>
        <v>17024371.07</v>
      </c>
      <c r="H230" s="12">
        <f t="shared" si="114"/>
        <v>2917882.88</v>
      </c>
      <c r="I230" s="12">
        <f t="shared" si="114"/>
        <v>11340861.359999999</v>
      </c>
      <c r="J230" s="12">
        <f t="shared" si="114"/>
        <v>1345063.2100000002</v>
      </c>
      <c r="K230" s="12">
        <f t="shared" si="114"/>
        <v>0</v>
      </c>
      <c r="L230" s="12">
        <f t="shared" ref="L230" si="115">L223+L229</f>
        <v>19265051.18</v>
      </c>
      <c r="M230" s="624">
        <f t="shared" si="111"/>
        <v>110870378.50999999</v>
      </c>
    </row>
    <row r="231" spans="1:13" ht="14.4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1"/>
    </row>
    <row r="232" spans="1:13" x14ac:dyDescent="0.3">
      <c r="A232" s="661" t="s">
        <v>29</v>
      </c>
      <c r="B232" s="662"/>
      <c r="C232" s="11" t="s">
        <v>18</v>
      </c>
      <c r="D232" s="15">
        <f>Mulanje!M232+Mulanje!N232+Mulanje!O232</f>
        <v>3268395.21</v>
      </c>
      <c r="E232" s="15">
        <f>Luchenza!M232+Luchenza!N232+Luchenza!O232</f>
        <v>1459516.8599999999</v>
      </c>
      <c r="F232" s="15">
        <f>Thyolo!M232+Thyolo!N232+Thyolo!O232</f>
        <v>1321481.8</v>
      </c>
      <c r="G232" s="15">
        <f>Muloza!M232+Muloza!N232+Muloza!O232</f>
        <v>817985.47</v>
      </c>
      <c r="H232" s="15">
        <f>MUST!M232+MUST!N232+MUST!O232</f>
        <v>138519.6</v>
      </c>
      <c r="I232" s="15">
        <f>Phalombe!M232+Phalombe!N232+Phalombe!O232</f>
        <v>775463.34</v>
      </c>
      <c r="J232" s="15">
        <f>Mikolongwe!M232+Mikolongwe!N232+Mikolongwe!O232</f>
        <v>34016.22</v>
      </c>
      <c r="K232" s="15">
        <f>Migowi!M232+Migowi!N232+Migowi!O232</f>
        <v>0</v>
      </c>
      <c r="L232" s="15">
        <f>Nkando!N232+Nkando!O232+Nkando!P232</f>
        <v>358599.5</v>
      </c>
      <c r="M232" s="624">
        <f>SUM(E232:L232)</f>
        <v>4905582.79</v>
      </c>
    </row>
    <row r="233" spans="1:13" x14ac:dyDescent="0.3">
      <c r="A233" s="661" t="s">
        <v>28</v>
      </c>
      <c r="B233" s="662"/>
      <c r="C233" s="11" t="s">
        <v>18</v>
      </c>
      <c r="D233" s="15">
        <f>Mulanje!M233+Mulanje!N233+Mulanje!O233</f>
        <v>6260.36</v>
      </c>
      <c r="E233" s="15">
        <f>Luchenza!M233+Luchenza!N233+Luchenza!O233</f>
        <v>1043.56</v>
      </c>
      <c r="F233" s="15">
        <f>Thyolo!M233+Thyolo!N233+Thyolo!O233</f>
        <v>1043.56</v>
      </c>
      <c r="G233" s="15">
        <f>Muloza!M233+Muloza!N233+Muloza!O233</f>
        <v>521.78</v>
      </c>
      <c r="H233" s="15">
        <f>MUST!M233+MUST!N233+MUST!O233</f>
        <v>0</v>
      </c>
      <c r="I233" s="15">
        <f>Phalombe!M233+Phalombe!N233+Phalombe!O233</f>
        <v>0</v>
      </c>
      <c r="J233" s="15">
        <f>Mikolongwe!M233+Mikolongwe!N233+Mikolongwe!O233</f>
        <v>0</v>
      </c>
      <c r="K233" s="15">
        <f>Migowi!M233+Migowi!N233+Migowi!O233</f>
        <v>0</v>
      </c>
      <c r="L233" s="15">
        <f>Nkando!N233+Nkando!O233+Nkando!P233</f>
        <v>869.67</v>
      </c>
      <c r="M233" s="624">
        <f>SUM(E233:L233)</f>
        <v>3478.5699999999997</v>
      </c>
    </row>
    <row r="234" spans="1:13" x14ac:dyDescent="0.3">
      <c r="A234" s="661" t="s">
        <v>27</v>
      </c>
      <c r="B234" s="662"/>
      <c r="C234" s="11" t="s">
        <v>18</v>
      </c>
      <c r="D234" s="15">
        <f>Mulanje!M234+Mulanje!N234+Mulanje!O234</f>
        <v>237554.63</v>
      </c>
      <c r="E234" s="15">
        <f>Luchenza!M234+Luchenza!N234+Luchenza!O234</f>
        <v>80213.209999999992</v>
      </c>
      <c r="F234" s="15">
        <f>Thyolo!M234+Thyolo!N234+Thyolo!O234</f>
        <v>83298.34</v>
      </c>
      <c r="G234" s="15">
        <f>Muloza!M234+Muloza!N234+Muloza!O234</f>
        <v>30851.78</v>
      </c>
      <c r="H234" s="15">
        <f>MUST!M234+MUST!N234+MUST!O234</f>
        <v>18510.78</v>
      </c>
      <c r="I234" s="15">
        <f>Phalombe!M234+Phalombe!N234+Phalombe!O234</f>
        <v>18510.52</v>
      </c>
      <c r="J234" s="15">
        <f>Mikolongwe!M234+Mikolongwe!N234+Mikolongwe!O234</f>
        <v>0</v>
      </c>
      <c r="K234" s="15">
        <f>Migowi!M234+Migowi!N234+Migowi!O234</f>
        <v>0</v>
      </c>
      <c r="L234" s="15">
        <f>Nkando!N234+Nkando!O234+Nkando!P234</f>
        <v>141915.38</v>
      </c>
      <c r="M234" s="624">
        <f>SUM(E234:L234)</f>
        <v>373300.01</v>
      </c>
    </row>
    <row r="235" spans="1:13" x14ac:dyDescent="0.3">
      <c r="A235" s="661" t="s">
        <v>26</v>
      </c>
      <c r="B235" s="662"/>
      <c r="C235" s="11" t="s">
        <v>18</v>
      </c>
      <c r="D235" s="15">
        <f>Mulanje!M235+Mulanje!N235+Mulanje!O235</f>
        <v>231867.72</v>
      </c>
      <c r="E235" s="15">
        <f>Luchenza!M235+Luchenza!N235+Luchenza!O235</f>
        <v>219220.41</v>
      </c>
      <c r="F235" s="15">
        <f>Thyolo!M235+Thyolo!N235+Thyolo!O235</f>
        <v>198140.87</v>
      </c>
      <c r="G235" s="15">
        <f>Muloza!M235+Muloza!N235+Muloza!O235</f>
        <v>164415.02000000002</v>
      </c>
      <c r="H235" s="15">
        <f>MUST!M235+MUST!N235+MUST!O235</f>
        <v>12647.310000000001</v>
      </c>
      <c r="I235" s="15">
        <f>Phalombe!M235+Phalombe!N235+Phalombe!O235</f>
        <v>50589.16</v>
      </c>
      <c r="J235" s="15">
        <f>Mikolongwe!M235+Mikolongwe!N235+Mikolongwe!O235</f>
        <v>0</v>
      </c>
      <c r="K235" s="15">
        <f>Migowi!M235+Migowi!N235+Migowi!O235</f>
        <v>0</v>
      </c>
      <c r="L235" s="15">
        <f>Nkando!N235+Nkando!O235+Nkando!P235</f>
        <v>311967.88</v>
      </c>
      <c r="M235" s="624">
        <f>SUM(E235:L235)</f>
        <v>956980.65000000014</v>
      </c>
    </row>
    <row r="236" spans="1:13" x14ac:dyDescent="0.3">
      <c r="A236" s="647" t="s">
        <v>25</v>
      </c>
      <c r="B236" s="648"/>
      <c r="C236" s="11" t="s">
        <v>18</v>
      </c>
      <c r="D236" s="12">
        <f>SUM(D232:D235)</f>
        <v>3744077.92</v>
      </c>
      <c r="E236" s="12">
        <f t="shared" ref="E236:K236" si="116">SUM(E232:E235)</f>
        <v>1759994.0399999998</v>
      </c>
      <c r="F236" s="12">
        <f t="shared" si="116"/>
        <v>1603964.5700000003</v>
      </c>
      <c r="G236" s="12">
        <f t="shared" si="116"/>
        <v>1013774.05</v>
      </c>
      <c r="H236" s="12">
        <f t="shared" si="116"/>
        <v>169677.69</v>
      </c>
      <c r="I236" s="12">
        <f t="shared" si="116"/>
        <v>844563.02</v>
      </c>
      <c r="J236" s="12">
        <f t="shared" si="116"/>
        <v>34016.22</v>
      </c>
      <c r="K236" s="12">
        <f t="shared" si="116"/>
        <v>0</v>
      </c>
      <c r="L236" s="12">
        <f t="shared" ref="L236" si="117">SUM(L232:L235)</f>
        <v>813352.42999999993</v>
      </c>
      <c r="M236" s="55">
        <f>SUM(M232:M235)</f>
        <v>6239342.0200000005</v>
      </c>
    </row>
    <row r="237" spans="1:13" ht="14.4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1"/>
    </row>
    <row r="238" spans="1:13" x14ac:dyDescent="0.3">
      <c r="A238" s="661" t="s">
        <v>23</v>
      </c>
      <c r="B238" s="662"/>
      <c r="C238" s="11" t="s">
        <v>18</v>
      </c>
      <c r="D238" s="15">
        <f>Mulanje!M238+Mulanje!N238+Mulanje!O238</f>
        <v>5692875</v>
      </c>
      <c r="E238" s="15">
        <f>Luchenza!M238+Luchenza!N238+Luchenza!O238</f>
        <v>2543264</v>
      </c>
      <c r="F238" s="15">
        <f>Thyolo!M238+Thyolo!N238+Thyolo!O238</f>
        <v>2424495</v>
      </c>
      <c r="G238" s="15">
        <f>Muloza!M238+Muloza!N238+Muloza!O238</f>
        <v>1530602</v>
      </c>
      <c r="H238" s="15">
        <f>MUST!M238+MUST!N238+MUST!O238</f>
        <v>237538</v>
      </c>
      <c r="I238" s="15">
        <f>Phalombe!M238+Phalombe!N238+Phalombe!O238</f>
        <v>1338607</v>
      </c>
      <c r="J238" s="15">
        <f>Mikolongwe!M238+Mikolongwe!N238+Mikolongwe!O238</f>
        <v>43580</v>
      </c>
      <c r="K238" s="15">
        <f>Migowi!M238+Migowi!N238+Migowi!O238</f>
        <v>0</v>
      </c>
      <c r="L238" s="15">
        <f>Nkando!N238+Nkando!O238+Nkando!P238</f>
        <v>626886</v>
      </c>
      <c r="M238" s="624">
        <f>SUM(E238:L238)</f>
        <v>8744972</v>
      </c>
    </row>
    <row r="239" spans="1:13" x14ac:dyDescent="0.3">
      <c r="A239" s="661" t="s">
        <v>22</v>
      </c>
      <c r="B239" s="662"/>
      <c r="C239" s="11" t="s">
        <v>18</v>
      </c>
      <c r="D239" s="15">
        <f>Mulanje!M239+Mulanje!N239+Mulanje!O239</f>
        <v>32148</v>
      </c>
      <c r="E239" s="15">
        <f>Luchenza!M239+Luchenza!N239+Luchenza!O239</f>
        <v>5358</v>
      </c>
      <c r="F239" s="15">
        <f>Thyolo!M239+Thyolo!N239+Thyolo!O239</f>
        <v>5358</v>
      </c>
      <c r="G239" s="15">
        <f>Muloza!M239+Muloza!N239+Muloza!O239</f>
        <v>2679</v>
      </c>
      <c r="H239" s="15">
        <f>MUST!M239+MUST!N239+MUST!O239</f>
        <v>0</v>
      </c>
      <c r="I239" s="15">
        <f>Phalombe!M239+Phalombe!N239+Phalombe!O239</f>
        <v>0</v>
      </c>
      <c r="J239" s="15">
        <f>Mikolongwe!M239+Mikolongwe!N239+Mikolongwe!O239</f>
        <v>0</v>
      </c>
      <c r="K239" s="15">
        <f>Migowi!M239+Migowi!N239+Migowi!O239</f>
        <v>0</v>
      </c>
      <c r="L239" s="15">
        <f>Nkando!N239+Nkando!O239+Nkando!P239</f>
        <v>4465</v>
      </c>
      <c r="M239" s="624">
        <f>SUM(E239:L239)</f>
        <v>17860</v>
      </c>
    </row>
    <row r="240" spans="1:13" x14ac:dyDescent="0.3">
      <c r="A240" s="661" t="s">
        <v>21</v>
      </c>
      <c r="B240" s="662"/>
      <c r="C240" s="11" t="s">
        <v>18</v>
      </c>
      <c r="D240" s="15">
        <f>Mulanje!M240+Mulanje!N240+Mulanje!O240</f>
        <v>68761</v>
      </c>
      <c r="E240" s="15">
        <f>Luchenza!M240+Luchenza!N240+Luchenza!O240</f>
        <v>23218</v>
      </c>
      <c r="F240" s="15">
        <f>Thyolo!M240+Thyolo!N240+Thyolo!O240</f>
        <v>24111</v>
      </c>
      <c r="G240" s="15">
        <f>Muloza!M240+Muloza!N240+Muloza!O240</f>
        <v>8930</v>
      </c>
      <c r="H240" s="15">
        <f>MUST!M240+MUST!N240+MUST!O240</f>
        <v>5358</v>
      </c>
      <c r="I240" s="15">
        <f>Phalombe!M240+Phalombe!N240+Phalombe!O240</f>
        <v>5358</v>
      </c>
      <c r="J240" s="15">
        <f>Mikolongwe!M240+Mikolongwe!N240+Mikolongwe!O240</f>
        <v>0</v>
      </c>
      <c r="K240" s="15">
        <f>Migowi!M240+Migowi!N240+Migowi!O240</f>
        <v>0</v>
      </c>
      <c r="L240" s="15">
        <f>Nkando!N240+Nkando!O240+Nkando!P240</f>
        <v>41078</v>
      </c>
      <c r="M240" s="624">
        <f>SUM(E240:L240)</f>
        <v>108053</v>
      </c>
    </row>
    <row r="241" spans="1:13" x14ac:dyDescent="0.3">
      <c r="A241" s="661" t="s">
        <v>20</v>
      </c>
      <c r="B241" s="662"/>
      <c r="C241" s="11" t="s">
        <v>18</v>
      </c>
      <c r="D241" s="15">
        <f>Mulanje!M241+Mulanje!N241+Mulanje!O241</f>
        <v>49115</v>
      </c>
      <c r="E241" s="15">
        <f>Luchenza!M241+Luchenza!N241+Luchenza!O241</f>
        <v>46436</v>
      </c>
      <c r="F241" s="15">
        <f>Thyolo!M241+Thyolo!N241+Thyolo!O241</f>
        <v>41971</v>
      </c>
      <c r="G241" s="15">
        <f>Muloza!M241+Muloza!N241+Muloza!O241</f>
        <v>34827</v>
      </c>
      <c r="H241" s="15">
        <f>MUST!M241+MUST!N241+MUST!O241</f>
        <v>2679</v>
      </c>
      <c r="I241" s="15">
        <f>Phalombe!M241+Phalombe!N241+Phalombe!O241</f>
        <v>10716</v>
      </c>
      <c r="J241" s="15">
        <f>Mikolongwe!M241+Mikolongwe!N241+Mikolongwe!O241</f>
        <v>0</v>
      </c>
      <c r="K241" s="15">
        <f>Migowi!M241+Migowi!N241+Migowi!O241</f>
        <v>0</v>
      </c>
      <c r="L241" s="15">
        <f>Nkando!N241+Nkando!O241+Nkando!P241</f>
        <v>66082</v>
      </c>
      <c r="M241" s="624">
        <f>SUM(E241:L241)</f>
        <v>202711</v>
      </c>
    </row>
    <row r="242" spans="1:13" x14ac:dyDescent="0.3">
      <c r="A242" s="647" t="s">
        <v>19</v>
      </c>
      <c r="B242" s="648"/>
      <c r="C242" s="11" t="s">
        <v>18</v>
      </c>
      <c r="D242" s="12">
        <f t="shared" ref="D242:K242" si="118">SUM(D238:D241)</f>
        <v>5842899</v>
      </c>
      <c r="E242" s="12">
        <f t="shared" si="118"/>
        <v>2618276</v>
      </c>
      <c r="F242" s="12">
        <f t="shared" si="118"/>
        <v>2495935</v>
      </c>
      <c r="G242" s="12">
        <f t="shared" si="118"/>
        <v>1577038</v>
      </c>
      <c r="H242" s="12">
        <f t="shared" si="118"/>
        <v>245575</v>
      </c>
      <c r="I242" s="12">
        <f t="shared" si="118"/>
        <v>1354681</v>
      </c>
      <c r="J242" s="12">
        <f t="shared" si="118"/>
        <v>43580</v>
      </c>
      <c r="K242" s="12">
        <f t="shared" si="118"/>
        <v>0</v>
      </c>
      <c r="L242" s="12">
        <f t="shared" ref="L242:M242" si="119">SUM(L238:L241)</f>
        <v>738511</v>
      </c>
      <c r="M242" s="55">
        <f t="shared" si="119"/>
        <v>9073596</v>
      </c>
    </row>
    <row r="243" spans="1:13" x14ac:dyDescent="0.3">
      <c r="A243" s="647" t="s">
        <v>214</v>
      </c>
      <c r="B243" s="648"/>
      <c r="C243" s="11" t="s">
        <v>18</v>
      </c>
      <c r="D243" s="10">
        <f>D230+D236+D242</f>
        <v>163917518.42000002</v>
      </c>
      <c r="E243" s="10">
        <f t="shared" ref="E243:K243" si="120">E230+E236+E242</f>
        <v>43616183.109999992</v>
      </c>
      <c r="F243" s="10">
        <f t="shared" si="120"/>
        <v>23839135.309999999</v>
      </c>
      <c r="G243" s="10">
        <f t="shared" si="120"/>
        <v>19615183.120000001</v>
      </c>
      <c r="H243" s="10">
        <f t="shared" si="120"/>
        <v>3333135.57</v>
      </c>
      <c r="I243" s="10">
        <f t="shared" si="120"/>
        <v>13540105.379999999</v>
      </c>
      <c r="J243" s="10">
        <f t="shared" si="120"/>
        <v>1422659.4300000002</v>
      </c>
      <c r="K243" s="10">
        <f t="shared" si="120"/>
        <v>0</v>
      </c>
      <c r="L243" s="10">
        <f t="shared" ref="L243" si="121">L230+L236+L242</f>
        <v>20816914.609999999</v>
      </c>
      <c r="M243" s="55">
        <f t="shared" ref="M243" si="122">M216+M223+M236+M242</f>
        <v>286140015.67999995</v>
      </c>
    </row>
    <row r="244" spans="1:13" ht="14.4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1"/>
    </row>
    <row r="245" spans="1:13" x14ac:dyDescent="0.3">
      <c r="A245" s="657" t="s">
        <v>205</v>
      </c>
      <c r="B245" s="658"/>
      <c r="C245" s="11" t="s">
        <v>18</v>
      </c>
      <c r="D245" s="15">
        <f>Mulanje!O245</f>
        <v>142624648.46000001</v>
      </c>
      <c r="E245" s="15">
        <f>Luchenza!O245</f>
        <v>109066257.01000001</v>
      </c>
      <c r="F245" s="15">
        <f>Thyolo!O245</f>
        <v>55888168.770000003</v>
      </c>
      <c r="G245" s="15">
        <f>Muloza!O245</f>
        <v>50220039.380000003</v>
      </c>
      <c r="H245" s="15">
        <f>MUST!O245</f>
        <v>-292637168.90999997</v>
      </c>
      <c r="I245" s="15">
        <f>Phalombe!O245</f>
        <v>37564750.920000002</v>
      </c>
      <c r="J245" s="15">
        <f>Mikolongwe!O245</f>
        <v>2036022.81</v>
      </c>
      <c r="K245" s="15">
        <f>Migowi!O245</f>
        <v>0</v>
      </c>
      <c r="L245" s="15">
        <f>Nkando!P245</f>
        <v>0</v>
      </c>
      <c r="M245" s="55">
        <f>SUM(E245:L245)</f>
        <v>-37861930.019999966</v>
      </c>
    </row>
    <row r="246" spans="1:13" x14ac:dyDescent="0.3">
      <c r="A246" s="657" t="s">
        <v>206</v>
      </c>
      <c r="B246" s="658"/>
      <c r="C246" s="11" t="s">
        <v>18</v>
      </c>
      <c r="D246" s="15">
        <f>Mulanje!O246</f>
        <v>156190681.59999999</v>
      </c>
      <c r="E246" s="15">
        <f>Luchenza!O246</f>
        <v>78065373.120000005</v>
      </c>
      <c r="F246" s="15">
        <f>Thyolo!O246</f>
        <v>27965301.140000001</v>
      </c>
      <c r="G246" s="15">
        <f>Muloza!O246</f>
        <v>24917789.399999999</v>
      </c>
      <c r="H246" s="15">
        <f>MUST!O246</f>
        <v>1125285.1100000001</v>
      </c>
      <c r="I246" s="15">
        <f>Phalombe!O246</f>
        <v>641785.68000000005</v>
      </c>
      <c r="J246" s="15">
        <f>Mikolongwe!O246</f>
        <v>0</v>
      </c>
      <c r="K246" s="15">
        <f>Migowi!O246</f>
        <v>0</v>
      </c>
      <c r="L246" s="15">
        <f>Nkando!P246</f>
        <v>0</v>
      </c>
      <c r="M246" s="55">
        <f>SUM(E246:L246)</f>
        <v>132715534.45</v>
      </c>
    </row>
    <row r="247" spans="1:13" x14ac:dyDescent="0.3">
      <c r="A247" s="659" t="s">
        <v>207</v>
      </c>
      <c r="B247" s="660"/>
      <c r="C247" s="11" t="s">
        <v>18</v>
      </c>
      <c r="D247" s="142">
        <f>D245+D246</f>
        <v>298815330.06</v>
      </c>
      <c r="E247" s="142">
        <f t="shared" ref="E247:K247" si="123">E245+E246</f>
        <v>187131630.13</v>
      </c>
      <c r="F247" s="142">
        <f t="shared" si="123"/>
        <v>83853469.909999996</v>
      </c>
      <c r="G247" s="142">
        <f t="shared" si="123"/>
        <v>75137828.780000001</v>
      </c>
      <c r="H247" s="142">
        <f t="shared" si="123"/>
        <v>-291511883.79999995</v>
      </c>
      <c r="I247" s="142">
        <f t="shared" si="123"/>
        <v>38206536.600000001</v>
      </c>
      <c r="J247" s="142">
        <f t="shared" si="123"/>
        <v>2036022.81</v>
      </c>
      <c r="K247" s="142">
        <f t="shared" si="123"/>
        <v>0</v>
      </c>
      <c r="L247" s="142">
        <f t="shared" ref="L247:M247" si="124">L245+L246</f>
        <v>0</v>
      </c>
      <c r="M247" s="632">
        <f t="shared" si="124"/>
        <v>94853604.430000037</v>
      </c>
    </row>
    <row r="248" spans="1:13" ht="14.4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1"/>
    </row>
    <row r="249" spans="1:13" x14ac:dyDescent="0.3">
      <c r="A249" s="643" t="s">
        <v>16</v>
      </c>
      <c r="B249" s="644"/>
      <c r="C249" s="5" t="s">
        <v>6</v>
      </c>
      <c r="D249" s="8">
        <f>D58/D243%</f>
        <v>18.45001531807597</v>
      </c>
      <c r="E249" s="8">
        <f t="shared" ref="E249:K249" si="125">E58/E243%</f>
        <v>42.636889488012798</v>
      </c>
      <c r="F249" s="8">
        <f t="shared" si="125"/>
        <v>145.04634655848361</v>
      </c>
      <c r="G249" s="8">
        <f t="shared" si="125"/>
        <v>100.16044335585867</v>
      </c>
      <c r="H249" s="8">
        <f t="shared" si="125"/>
        <v>242.85307556512021</v>
      </c>
      <c r="I249" s="8">
        <f t="shared" si="125"/>
        <v>86.126324685468092</v>
      </c>
      <c r="J249" s="8">
        <f t="shared" si="125"/>
        <v>42.021011557207331</v>
      </c>
      <c r="K249" s="8" t="e">
        <f t="shared" si="125"/>
        <v>#DIV/0!</v>
      </c>
      <c r="L249" s="571">
        <f t="shared" ref="L249:M249" si="126">L58/L243%</f>
        <v>18.308548449197872</v>
      </c>
      <c r="M249" s="633">
        <f t="shared" si="126"/>
        <v>34.192650031896903</v>
      </c>
    </row>
    <row r="250" spans="1:13" x14ac:dyDescent="0.3">
      <c r="A250" s="643" t="s">
        <v>208</v>
      </c>
      <c r="B250" s="644"/>
      <c r="C250" s="5" t="s">
        <v>6</v>
      </c>
      <c r="D250" s="29">
        <f>D210/(D223+D245)%</f>
        <v>56.513288177453731</v>
      </c>
      <c r="E250" s="29">
        <f t="shared" ref="E250:K250" si="127">E210/(E223+E245)%</f>
        <v>44.116513139655346</v>
      </c>
      <c r="F250" s="29">
        <f t="shared" si="127"/>
        <v>101.42964066664092</v>
      </c>
      <c r="G250" s="29">
        <f t="shared" si="127"/>
        <v>55.440446009590971</v>
      </c>
      <c r="H250" s="29">
        <f t="shared" si="127"/>
        <v>-33.511984897666224</v>
      </c>
      <c r="I250" s="29">
        <f t="shared" si="127"/>
        <v>70.101590291346426</v>
      </c>
      <c r="J250" s="29">
        <f t="shared" si="127"/>
        <v>19.46430987549963</v>
      </c>
      <c r="K250" s="29" t="e">
        <f t="shared" si="127"/>
        <v>#DIV/0!</v>
      </c>
      <c r="L250" s="573">
        <f t="shared" ref="L250:M250" si="128">L210/(L223+L245)%</f>
        <v>3.9883621009928714</v>
      </c>
      <c r="M250" s="630">
        <f t="shared" si="128"/>
        <v>428.10615466629599</v>
      </c>
    </row>
    <row r="251" spans="1:13" ht="16.2" thickBot="1" x14ac:dyDescent="0.35">
      <c r="A251" s="652" t="s">
        <v>15</v>
      </c>
      <c r="B251" s="653"/>
      <c r="C251" s="5" t="s">
        <v>6</v>
      </c>
      <c r="D251" s="7">
        <f>D210/D223%</f>
        <v>108.7400722040491</v>
      </c>
      <c r="E251" s="7">
        <f t="shared" ref="E251:K251" si="129">E210/E223%</f>
        <v>166.74339576439664</v>
      </c>
      <c r="F251" s="7">
        <f t="shared" si="129"/>
        <v>388.60980055350416</v>
      </c>
      <c r="G251" s="7">
        <f t="shared" si="129"/>
        <v>218.98371996657849</v>
      </c>
      <c r="H251" s="7">
        <f t="shared" si="129"/>
        <v>3327.4359312187335</v>
      </c>
      <c r="I251" s="7">
        <f t="shared" si="129"/>
        <v>302.30165824018155</v>
      </c>
      <c r="J251" s="7">
        <f t="shared" si="129"/>
        <v>50.852279612532641</v>
      </c>
      <c r="K251" s="7" t="e">
        <f t="shared" si="129"/>
        <v>#DIV/0!</v>
      </c>
      <c r="L251" s="7">
        <f t="shared" ref="L251:M251" si="130">L210/L223%</f>
        <v>3.9883621009928714</v>
      </c>
      <c r="M251" s="634">
        <f t="shared" si="130"/>
        <v>281.80022990761091</v>
      </c>
    </row>
    <row r="252" spans="1:13" ht="14.4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6"/>
    </row>
    <row r="253" spans="1:13" s="2" customFormat="1" ht="15" customHeight="1" x14ac:dyDescent="0.3">
      <c r="A253" s="643" t="s">
        <v>13</v>
      </c>
      <c r="B253" s="644"/>
      <c r="C253" s="5" t="s">
        <v>3</v>
      </c>
      <c r="D253" s="26">
        <f>Mulanje!M253+Mulanje!N253+Mulanje!O253</f>
        <v>49</v>
      </c>
      <c r="E253" s="26">
        <f>Luchenza!M253+Luchenza!N253+Luchenza!O253</f>
        <v>33</v>
      </c>
      <c r="F253" s="26">
        <f>Thyolo!M253+Thyolo!N253+Thyolo!O253</f>
        <v>20</v>
      </c>
      <c r="G253" s="26">
        <f>Muloza!M253+Muloza!N253+Muloza!O253</f>
        <v>38</v>
      </c>
      <c r="H253" s="26">
        <f>MUST!M253+MUST!N253+MUST!O253</f>
        <v>8</v>
      </c>
      <c r="I253" s="26">
        <f>Phalombe!M253+Phalombe!N253+Phalombe!O253</f>
        <v>94</v>
      </c>
      <c r="J253" s="26">
        <f>Mikolongwe!M253+Mikolongwe!N253+Mikolongwe!O253</f>
        <v>0</v>
      </c>
      <c r="K253" s="26">
        <f>Migowi!M253+Migowi!N253+Migowi!O253</f>
        <v>0</v>
      </c>
      <c r="L253" s="26">
        <f>Nkando!N253+Nkando!O253+Nkando!P253</f>
        <v>0</v>
      </c>
      <c r="M253" s="635">
        <f>SUM(E253:L253)</f>
        <v>193</v>
      </c>
    </row>
    <row r="254" spans="1:13" s="2" customFormat="1" x14ac:dyDescent="0.3">
      <c r="A254" s="643" t="s">
        <v>12</v>
      </c>
      <c r="B254" s="644"/>
      <c r="C254" s="5" t="s">
        <v>3</v>
      </c>
      <c r="D254" s="26">
        <f>Mulanje!M254+Mulanje!N254+Mulanje!O254</f>
        <v>26</v>
      </c>
      <c r="E254" s="26">
        <f>Luchenza!M254+Luchenza!N254+Luchenza!O254</f>
        <v>18</v>
      </c>
      <c r="F254" s="26">
        <f>Thyolo!M254+Thyolo!N254+Thyolo!O254</f>
        <v>15</v>
      </c>
      <c r="G254" s="26">
        <f>Muloza!M254+Muloza!N254+Muloza!O254</f>
        <v>16</v>
      </c>
      <c r="H254" s="26">
        <f>MUST!M254+MUST!N254+MUST!O254</f>
        <v>7</v>
      </c>
      <c r="I254" s="26">
        <f>Phalombe!M254+Phalombe!N254+Phalombe!O254</f>
        <v>19</v>
      </c>
      <c r="J254" s="26">
        <f>Mikolongwe!M254+Mikolongwe!N254+Mikolongwe!O254</f>
        <v>0</v>
      </c>
      <c r="K254" s="26">
        <f>Migowi!M254+Migowi!N254+Migowi!O254</f>
        <v>0</v>
      </c>
      <c r="L254" s="26">
        <f>Nkando!N254+Nkando!O254+Nkando!P254</f>
        <v>0</v>
      </c>
      <c r="M254" s="635">
        <f>SUM(E254:L254)</f>
        <v>75</v>
      </c>
    </row>
    <row r="255" spans="1:13" ht="15.75" customHeight="1" x14ac:dyDescent="0.3">
      <c r="A255" s="643" t="s">
        <v>11</v>
      </c>
      <c r="B255" s="644"/>
      <c r="C255" s="5" t="s">
        <v>3</v>
      </c>
      <c r="D255" s="26">
        <f>Mulanje!M255+Mulanje!N255+Mulanje!O255</f>
        <v>991</v>
      </c>
      <c r="E255" s="26">
        <f>Luchenza!M255+Luchenza!N255+Luchenza!O255</f>
        <v>133</v>
      </c>
      <c r="F255" s="26">
        <f>Thyolo!M255+Thyolo!N255+Thyolo!O255</f>
        <v>27</v>
      </c>
      <c r="G255" s="26">
        <f>Muloza!M255+Muloza!N255+Muloza!O255</f>
        <v>396</v>
      </c>
      <c r="H255" s="26">
        <f>MUST!M255+MUST!N255+MUST!O255</f>
        <v>20</v>
      </c>
      <c r="I255" s="26">
        <f>Phalombe!M255+Phalombe!N255+Phalombe!O255</f>
        <v>151</v>
      </c>
      <c r="J255" s="26">
        <f>Mikolongwe!M255+Mikolongwe!N255+Mikolongwe!O255</f>
        <v>0</v>
      </c>
      <c r="K255" s="26">
        <f>Migowi!M255+Migowi!N255+Migowi!O255</f>
        <v>0</v>
      </c>
      <c r="L255" s="26">
        <f>Nkando!N255+Nkando!O255+Nkando!P255</f>
        <v>2</v>
      </c>
      <c r="M255" s="635">
        <f>SUM(E255:L255)</f>
        <v>729</v>
      </c>
    </row>
    <row r="256" spans="1:13" x14ac:dyDescent="0.3">
      <c r="A256" s="643" t="s">
        <v>10</v>
      </c>
      <c r="B256" s="644"/>
      <c r="C256" s="5" t="s">
        <v>3</v>
      </c>
      <c r="D256" s="26">
        <f>Mulanje!M256+Mulanje!N256+Mulanje!O256</f>
        <v>49</v>
      </c>
      <c r="E256" s="26">
        <f>Luchenza!M256+Luchenza!N256+Luchenza!O256</f>
        <v>33</v>
      </c>
      <c r="F256" s="26">
        <f>Thyolo!M256+Thyolo!N256+Thyolo!O256</f>
        <v>20</v>
      </c>
      <c r="G256" s="26">
        <f>Muloza!M256+Muloza!N256+Muloza!O256</f>
        <v>39</v>
      </c>
      <c r="H256" s="26">
        <f>MUST!M256+MUST!N256+MUST!O256</f>
        <v>7</v>
      </c>
      <c r="I256" s="26">
        <f>Phalombe!M256+Phalombe!N256+Phalombe!O256</f>
        <v>4</v>
      </c>
      <c r="J256" s="26">
        <f>Mikolongwe!M256+Mikolongwe!N256+Mikolongwe!O256</f>
        <v>0</v>
      </c>
      <c r="K256" s="26">
        <f>Migowi!M256+Migowi!N256+Migowi!O256</f>
        <v>0</v>
      </c>
      <c r="L256" s="26">
        <f>Nkando!N256+Nkando!O256+Nkando!P256</f>
        <v>0</v>
      </c>
      <c r="M256" s="635">
        <f>SUM(E256:L256)</f>
        <v>103</v>
      </c>
    </row>
    <row r="257" spans="1:13" ht="15.6" customHeight="1" x14ac:dyDescent="0.3">
      <c r="A257" s="643" t="s">
        <v>9</v>
      </c>
      <c r="B257" s="644"/>
      <c r="C257" s="5" t="s">
        <v>3</v>
      </c>
      <c r="D257" s="26">
        <f>Mulanje!M257+Mulanje!N257+Mulanje!O257</f>
        <v>90</v>
      </c>
      <c r="E257" s="26">
        <f>Luchenza!M257+Luchenza!N257+Luchenza!O257</f>
        <v>82</v>
      </c>
      <c r="F257" s="26">
        <f>Thyolo!M257+Thyolo!N257+Thyolo!O257</f>
        <v>69</v>
      </c>
      <c r="G257" s="26">
        <f>Muloza!M257+Muloza!N257+Muloza!O257</f>
        <v>40</v>
      </c>
      <c r="H257" s="26">
        <f>MUST!M257+MUST!N257+MUST!O257</f>
        <v>16</v>
      </c>
      <c r="I257" s="26">
        <f>Phalombe!M257+Phalombe!N257+Phalombe!O257</f>
        <v>11</v>
      </c>
      <c r="J257" s="26">
        <f>Mikolongwe!M257+Mikolongwe!N257+Mikolongwe!O257</f>
        <v>0</v>
      </c>
      <c r="K257" s="26">
        <f>Migowi!M257+Migowi!N257+Migowi!O257</f>
        <v>0</v>
      </c>
      <c r="L257" s="26">
        <f>Nkando!N257+Nkando!O257+Nkando!P257</f>
        <v>0</v>
      </c>
      <c r="M257" s="635">
        <f>SUM(E257:L257)</f>
        <v>218</v>
      </c>
    </row>
    <row r="258" spans="1:13" x14ac:dyDescent="0.3">
      <c r="A258" s="647" t="s">
        <v>8</v>
      </c>
      <c r="B258" s="648"/>
      <c r="C258" s="5" t="s">
        <v>3</v>
      </c>
      <c r="D258" s="1">
        <f t="shared" ref="D258:K258" si="131">D257/D256</f>
        <v>1.8367346938775511</v>
      </c>
      <c r="E258" s="1">
        <f t="shared" si="131"/>
        <v>2.4848484848484849</v>
      </c>
      <c r="F258" s="1">
        <f t="shared" si="131"/>
        <v>3.45</v>
      </c>
      <c r="G258" s="3">
        <f t="shared" si="131"/>
        <v>1.0256410256410255</v>
      </c>
      <c r="H258" s="3">
        <f t="shared" si="131"/>
        <v>2.2857142857142856</v>
      </c>
      <c r="I258" s="3">
        <f t="shared" si="131"/>
        <v>2.75</v>
      </c>
      <c r="J258" s="3" t="e">
        <f t="shared" si="131"/>
        <v>#DIV/0!</v>
      </c>
      <c r="K258" s="3" t="e">
        <f t="shared" si="131"/>
        <v>#DIV/0!</v>
      </c>
      <c r="L258" s="3" t="e">
        <f t="shared" ref="L258:M258" si="132">L257/L256</f>
        <v>#DIV/0!</v>
      </c>
      <c r="M258" s="635">
        <f t="shared" si="132"/>
        <v>2.116504854368932</v>
      </c>
    </row>
    <row r="259" spans="1:13" x14ac:dyDescent="0.3">
      <c r="A259" s="647" t="s">
        <v>7</v>
      </c>
      <c r="B259" s="648"/>
      <c r="C259" s="5" t="s">
        <v>6</v>
      </c>
      <c r="D259" s="1">
        <f t="shared" ref="D259:K259" si="133">D92/D255*100</f>
        <v>5.2472250252270429</v>
      </c>
      <c r="E259" s="1">
        <f t="shared" si="133"/>
        <v>26.315789473684209</v>
      </c>
      <c r="F259" s="1">
        <f t="shared" si="133"/>
        <v>114.81481481481481</v>
      </c>
      <c r="G259" s="6">
        <f t="shared" si="133"/>
        <v>9.0909090909090917</v>
      </c>
      <c r="H259" s="6">
        <f t="shared" si="133"/>
        <v>40</v>
      </c>
      <c r="I259" s="6">
        <f t="shared" si="133"/>
        <v>2.6490066225165565</v>
      </c>
      <c r="J259" s="6" t="e">
        <f t="shared" si="133"/>
        <v>#DIV/0!</v>
      </c>
      <c r="K259" s="6" t="e">
        <f t="shared" si="133"/>
        <v>#DIV/0!</v>
      </c>
      <c r="L259" s="6">
        <f t="shared" ref="L259:M259" si="134">L92/L255*100</f>
        <v>0</v>
      </c>
      <c r="M259" s="635">
        <f t="shared" si="134"/>
        <v>15.637860082304528</v>
      </c>
    </row>
    <row r="260" spans="1:13" ht="14.4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1"/>
    </row>
    <row r="261" spans="1:13" s="2" customFormat="1" ht="15" customHeight="1" x14ac:dyDescent="0.3">
      <c r="A261" s="643" t="s">
        <v>4</v>
      </c>
      <c r="B261" s="644"/>
      <c r="C261" s="5" t="s">
        <v>3</v>
      </c>
      <c r="D261" s="26">
        <f>Mulanje!M261+Mulanje!N261+Mulanje!O261</f>
        <v>66</v>
      </c>
      <c r="E261" s="26">
        <f>Luchenza!M261+Luchenza!N261+Luchenza!O261</f>
        <v>66</v>
      </c>
      <c r="F261" s="26">
        <f>Thyolo!M261+Thyolo!N261+Thyolo!O261</f>
        <v>20</v>
      </c>
      <c r="G261" s="26">
        <f>Muloza!M261+Muloza!N261+Muloza!O261</f>
        <v>15</v>
      </c>
      <c r="H261" s="26">
        <f>MUST!M261+MUST!N261+MUST!O261</f>
        <v>3</v>
      </c>
      <c r="I261" s="26">
        <f>Phalombe!M261+Phalombe!N261+Phalombe!O261</f>
        <v>41</v>
      </c>
      <c r="J261" s="26">
        <f>Mikolongwe!M261+Mikolongwe!N261+Mikolongwe!O261</f>
        <v>0</v>
      </c>
      <c r="K261" s="26">
        <f>Migowi!M261+Migowi!N261+Migowi!O261</f>
        <v>12</v>
      </c>
      <c r="L261" s="26">
        <f>Nkando!N261+Nkando!O261+Nkando!P261</f>
        <v>46</v>
      </c>
      <c r="M261" s="635">
        <f>SUM(E261:L261)</f>
        <v>203</v>
      </c>
    </row>
    <row r="262" spans="1:13" s="2" customFormat="1" ht="15.75" customHeight="1" x14ac:dyDescent="0.3">
      <c r="A262" s="643" t="s">
        <v>2</v>
      </c>
      <c r="B262" s="644"/>
      <c r="C262" s="5" t="s">
        <v>0</v>
      </c>
      <c r="D262" s="26">
        <f>Mulanje!M262+Mulanje!N262+Mulanje!O262</f>
        <v>9</v>
      </c>
      <c r="E262" s="26">
        <f>Luchenza!M262+Luchenza!N262+Luchenza!O262</f>
        <v>91</v>
      </c>
      <c r="F262" s="26">
        <f>Thyolo!M262+Thyolo!N262+Thyolo!O262</f>
        <v>11</v>
      </c>
      <c r="G262" s="26">
        <f>Muloza!M262+Muloza!N262+Muloza!O262</f>
        <v>6</v>
      </c>
      <c r="H262" s="26">
        <f>MUST!M262+MUST!N262+MUST!O262</f>
        <v>4</v>
      </c>
      <c r="I262" s="26">
        <f>Phalombe!M262+Phalombe!N262+Phalombe!O262</f>
        <v>44</v>
      </c>
      <c r="J262" s="26">
        <f>Mikolongwe!M262+Mikolongwe!N262+Mikolongwe!O262</f>
        <v>0</v>
      </c>
      <c r="K262" s="26">
        <f>Migowi!M262+Migowi!N262+Migowi!O262</f>
        <v>14</v>
      </c>
      <c r="L262" s="26">
        <f>Nkando!N262+Nkando!O262+Nkando!P262</f>
        <v>14</v>
      </c>
      <c r="M262" s="635">
        <f>SUM(E262:L262)</f>
        <v>184</v>
      </c>
    </row>
    <row r="263" spans="1:13" ht="16.2" thickBot="1" x14ac:dyDescent="0.35">
      <c r="A263" s="645" t="s">
        <v>1</v>
      </c>
      <c r="B263" s="646"/>
      <c r="C263" s="115" t="s">
        <v>0</v>
      </c>
      <c r="D263" s="116">
        <f t="shared" ref="D263:K263" si="135">D261/D262</f>
        <v>7.333333333333333</v>
      </c>
      <c r="E263" s="116">
        <f t="shared" si="135"/>
        <v>0.72527472527472525</v>
      </c>
      <c r="F263" s="116">
        <f t="shared" si="135"/>
        <v>1.8181818181818181</v>
      </c>
      <c r="G263" s="116">
        <f t="shared" si="135"/>
        <v>2.5</v>
      </c>
      <c r="H263" s="116">
        <f t="shared" si="135"/>
        <v>0.75</v>
      </c>
      <c r="I263" s="116">
        <f t="shared" si="135"/>
        <v>0.93181818181818177</v>
      </c>
      <c r="J263" s="116" t="e">
        <f t="shared" si="135"/>
        <v>#DIV/0!</v>
      </c>
      <c r="K263" s="116">
        <f t="shared" si="135"/>
        <v>0.8571428571428571</v>
      </c>
      <c r="L263" s="116">
        <f t="shared" ref="L263:M263" si="136">L261/L262</f>
        <v>3.2857142857142856</v>
      </c>
      <c r="M263" s="177">
        <f t="shared" si="136"/>
        <v>1.1032608695652173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M265"/>
  <sheetViews>
    <sheetView tabSelected="1" workbookViewId="0">
      <pane xSplit="2" ySplit="8" topLeftCell="G114" activePane="bottomRight" state="frozen"/>
      <selection pane="topRight" activeCell="C1" sqref="C1"/>
      <selection pane="bottomLeft" activeCell="A9" sqref="A9"/>
      <selection pane="bottomRight" activeCell="H122" sqref="H12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1.109375" bestFit="1" customWidth="1"/>
  </cols>
  <sheetData>
    <row r="1" spans="1:13" ht="18" thickBot="1" x14ac:dyDescent="0.35">
      <c r="A1" s="117" t="s">
        <v>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20"/>
    </row>
    <row r="2" spans="1:13" ht="18" thickBot="1" x14ac:dyDescent="0.35">
      <c r="A2" s="92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1:13" ht="18" thickBot="1" x14ac:dyDescent="0.35">
      <c r="A3" s="190" t="s">
        <v>217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320"/>
      <c r="M3" s="192"/>
    </row>
    <row r="4" spans="1:13" ht="18" thickBot="1" x14ac:dyDescent="0.35">
      <c r="A4" s="93" t="s">
        <v>218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4"/>
    </row>
    <row r="5" spans="1:13" ht="14.4" customHeight="1" x14ac:dyDescent="0.3">
      <c r="A5" s="94" t="s">
        <v>218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125"/>
    </row>
    <row r="6" spans="1:13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1:13" ht="16.2" thickBot="1" x14ac:dyDescent="0.35">
      <c r="A7" s="720" t="s">
        <v>174</v>
      </c>
      <c r="B7" s="72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60" t="s">
        <v>223</v>
      </c>
      <c r="I7" s="60" t="s">
        <v>224</v>
      </c>
      <c r="J7" s="60" t="s">
        <v>225</v>
      </c>
      <c r="K7" s="60" t="s">
        <v>226</v>
      </c>
      <c r="L7" s="60" t="s">
        <v>229</v>
      </c>
      <c r="M7" s="59" t="s">
        <v>160</v>
      </c>
    </row>
    <row r="8" spans="1:13" ht="15" thickBot="1" x14ac:dyDescent="0.35">
      <c r="A8" s="722" t="s">
        <v>159</v>
      </c>
      <c r="B8" s="723"/>
      <c r="C8" s="723"/>
      <c r="D8" s="723"/>
      <c r="E8" s="723"/>
      <c r="F8" s="723"/>
      <c r="G8" s="723"/>
      <c r="H8" s="723"/>
      <c r="I8" s="723"/>
      <c r="J8" s="723"/>
      <c r="K8" s="723"/>
      <c r="L8" s="723"/>
      <c r="M8" s="724"/>
    </row>
    <row r="9" spans="1:13" ht="15.6" x14ac:dyDescent="0.3">
      <c r="A9" s="725" t="s">
        <v>176</v>
      </c>
      <c r="B9" s="726"/>
      <c r="C9" s="58" t="s">
        <v>152</v>
      </c>
      <c r="D9" s="57">
        <f>Mulanje!P9</f>
        <v>538494</v>
      </c>
      <c r="E9" s="57">
        <f>Luchenza!P9</f>
        <v>201721</v>
      </c>
      <c r="F9" s="57">
        <f>Thyolo!P9</f>
        <v>273830</v>
      </c>
      <c r="G9" s="57">
        <f>Muloza!P9</f>
        <v>97034</v>
      </c>
      <c r="H9" s="57">
        <f>MUST!P9</f>
        <v>179671</v>
      </c>
      <c r="I9" s="57">
        <f>Phalombe!P9</f>
        <v>129029</v>
      </c>
      <c r="J9" s="57">
        <f>Mikolongwe!P9</f>
        <v>10242</v>
      </c>
      <c r="K9" s="57">
        <f>Migowi!P9</f>
        <v>42797</v>
      </c>
      <c r="L9" s="57">
        <f>Nkando!N9+Nkando!O9+Nkando!P9</f>
        <v>12856</v>
      </c>
      <c r="M9" s="152">
        <f>SUM(D9:L9)</f>
        <v>1485674</v>
      </c>
    </row>
    <row r="10" spans="1:13" x14ac:dyDescent="0.3">
      <c r="A10" s="649" t="s">
        <v>177</v>
      </c>
      <c r="B10" s="650"/>
      <c r="C10" s="650"/>
      <c r="D10" s="741"/>
      <c r="E10" s="741"/>
      <c r="F10" s="741"/>
      <c r="G10" s="741"/>
      <c r="H10" s="741"/>
      <c r="I10" s="741"/>
      <c r="J10" s="741"/>
      <c r="K10" s="741"/>
      <c r="L10" s="741"/>
      <c r="M10" s="651"/>
    </row>
    <row r="11" spans="1:13" ht="15.6" x14ac:dyDescent="0.3">
      <c r="A11" s="663" t="s">
        <v>157</v>
      </c>
      <c r="B11" s="664"/>
      <c r="C11" s="11" t="s">
        <v>152</v>
      </c>
      <c r="D11" s="26">
        <f>Mulanje!P11</f>
        <v>271744</v>
      </c>
      <c r="E11" s="26">
        <f>Luchenza!P11</f>
        <v>82499</v>
      </c>
      <c r="F11" s="26">
        <f>Thyolo!P11</f>
        <v>90060</v>
      </c>
      <c r="G11" s="26">
        <f>Muloza!P11</f>
        <v>53841</v>
      </c>
      <c r="H11" s="26">
        <f>MUST!P11</f>
        <v>11464</v>
      </c>
      <c r="I11" s="26">
        <f>Phalombe!P11</f>
        <v>68596</v>
      </c>
      <c r="J11" s="26">
        <f>Mikolongwe!P11</f>
        <v>1581</v>
      </c>
      <c r="K11" s="26">
        <f>Migowi!P11</f>
        <v>688.69999999999993</v>
      </c>
      <c r="L11" s="26">
        <f>Nkando!N11+Nkando!O11+Nkando!P11</f>
        <v>6305</v>
      </c>
      <c r="M11" s="55">
        <f>SUM(D11:L11)</f>
        <v>586778.69999999995</v>
      </c>
    </row>
    <row r="12" spans="1:13" ht="15.6" x14ac:dyDescent="0.3">
      <c r="A12" s="663" t="s">
        <v>156</v>
      </c>
      <c r="B12" s="664"/>
      <c r="C12" s="11" t="s">
        <v>152</v>
      </c>
      <c r="D12" s="26">
        <f>Mulanje!P12</f>
        <v>12816</v>
      </c>
      <c r="E12" s="26">
        <f>Luchenza!P12</f>
        <v>171</v>
      </c>
      <c r="F12" s="26">
        <f>Thyolo!P12</f>
        <v>232</v>
      </c>
      <c r="G12" s="26">
        <f>Muloza!P12</f>
        <v>174</v>
      </c>
      <c r="H12" s="26">
        <f>MUST!P12</f>
        <v>0</v>
      </c>
      <c r="I12" s="26">
        <f>Phalombe!P12</f>
        <v>0</v>
      </c>
      <c r="J12" s="26">
        <f>Mikolongwe!P12</f>
        <v>0</v>
      </c>
      <c r="K12" s="26">
        <f>Migowi!P12</f>
        <v>0</v>
      </c>
      <c r="L12" s="26">
        <f>Nkando!N12+Nkando!O12+Nkando!P12</f>
        <v>38</v>
      </c>
      <c r="M12" s="55">
        <f>SUM(D12:L12)</f>
        <v>13431</v>
      </c>
    </row>
    <row r="13" spans="1:13" ht="15.6" x14ac:dyDescent="0.3">
      <c r="A13" s="663" t="s">
        <v>155</v>
      </c>
      <c r="B13" s="664"/>
      <c r="C13" s="11" t="s">
        <v>152</v>
      </c>
      <c r="D13" s="26">
        <f>Mulanje!P13</f>
        <v>6398</v>
      </c>
      <c r="E13" s="26">
        <f>Luchenza!P13</f>
        <v>34957</v>
      </c>
      <c r="F13" s="26">
        <f>Thyolo!P13</f>
        <v>6630</v>
      </c>
      <c r="G13" s="26">
        <f>Muloza!P13</f>
        <v>4299</v>
      </c>
      <c r="H13" s="26">
        <f>MUST!P13</f>
        <v>49531</v>
      </c>
      <c r="I13" s="26">
        <f>Phalombe!P13</f>
        <v>1478</v>
      </c>
      <c r="J13" s="26">
        <f>Mikolongwe!P13</f>
        <v>0</v>
      </c>
      <c r="K13" s="26">
        <f>Migowi!P13</f>
        <v>3258</v>
      </c>
      <c r="L13" s="26">
        <f>Nkando!N13+Nkando!O13+Nkando!P13</f>
        <v>3183</v>
      </c>
      <c r="M13" s="55">
        <f>SUM(D13:L13)</f>
        <v>109734</v>
      </c>
    </row>
    <row r="14" spans="1:13" ht="15.6" x14ac:dyDescent="0.3">
      <c r="A14" s="661" t="s">
        <v>154</v>
      </c>
      <c r="B14" s="662"/>
      <c r="C14" s="11" t="s">
        <v>152</v>
      </c>
      <c r="D14" s="26">
        <f>Mulanje!P14</f>
        <v>802</v>
      </c>
      <c r="E14" s="26">
        <f>Luchenza!P14</f>
        <v>6236</v>
      </c>
      <c r="F14" s="26">
        <f>Thyolo!P14</f>
        <v>2986</v>
      </c>
      <c r="G14" s="26">
        <f>Muloza!P14</f>
        <v>1284</v>
      </c>
      <c r="H14" s="26">
        <f>MUST!P14</f>
        <v>510</v>
      </c>
      <c r="I14" s="26">
        <f>Phalombe!P14</f>
        <v>422</v>
      </c>
      <c r="J14" s="26">
        <f>Mikolongwe!P14</f>
        <v>0</v>
      </c>
      <c r="K14" s="26">
        <f>Migowi!P14</f>
        <v>0</v>
      </c>
      <c r="L14" s="26">
        <f>Nkando!N14+Nkando!O14+Nkando!P14</f>
        <v>1147</v>
      </c>
      <c r="M14" s="55">
        <f>SUM(D14:L14)</f>
        <v>13387</v>
      </c>
    </row>
    <row r="15" spans="1:13" s="63" customFormat="1" ht="15.6" x14ac:dyDescent="0.3">
      <c r="A15" s="676" t="s">
        <v>158</v>
      </c>
      <c r="B15" s="677"/>
      <c r="C15" s="62" t="s">
        <v>152</v>
      </c>
      <c r="D15" s="34">
        <f t="shared" ref="D15:M15" si="0">SUM(D11:D14)</f>
        <v>291760</v>
      </c>
      <c r="E15" s="34">
        <f t="shared" si="0"/>
        <v>123863</v>
      </c>
      <c r="F15" s="34">
        <f t="shared" si="0"/>
        <v>99908</v>
      </c>
      <c r="G15" s="34">
        <f t="shared" si="0"/>
        <v>59598</v>
      </c>
      <c r="H15" s="34">
        <f t="shared" si="0"/>
        <v>61505</v>
      </c>
      <c r="I15" s="34">
        <f t="shared" si="0"/>
        <v>70496</v>
      </c>
      <c r="J15" s="34">
        <f t="shared" si="0"/>
        <v>1581</v>
      </c>
      <c r="K15" s="34">
        <f t="shared" si="0"/>
        <v>3946.7</v>
      </c>
      <c r="L15" s="34">
        <f t="shared" si="0"/>
        <v>10673</v>
      </c>
      <c r="M15" s="55">
        <f t="shared" si="0"/>
        <v>723330.7</v>
      </c>
    </row>
    <row r="16" spans="1:13" s="2" customFormat="1" x14ac:dyDescent="0.3">
      <c r="A16" s="649" t="s">
        <v>178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1"/>
    </row>
    <row r="17" spans="1:13" s="2" customFormat="1" ht="15.6" x14ac:dyDescent="0.3">
      <c r="A17" s="663" t="s">
        <v>180</v>
      </c>
      <c r="B17" s="664"/>
      <c r="C17" s="11" t="s">
        <v>152</v>
      </c>
      <c r="D17" s="26">
        <f>Mulanje!P17</f>
        <v>41072</v>
      </c>
      <c r="E17" s="26">
        <f>Luchenza!P17</f>
        <v>10450</v>
      </c>
      <c r="F17" s="26">
        <f>Thyolo!P17</f>
        <v>19537</v>
      </c>
      <c r="G17" s="26">
        <f>Muloza!P17</f>
        <v>11158</v>
      </c>
      <c r="H17" s="26">
        <f>MUST!P17</f>
        <v>3023</v>
      </c>
      <c r="I17" s="26">
        <f>Phalombe!P17</f>
        <v>11006.7</v>
      </c>
      <c r="J17" s="26">
        <f>Mikolongwe!P17</f>
        <v>1461</v>
      </c>
      <c r="K17" s="26">
        <f>Migowi!P17</f>
        <v>9419.5</v>
      </c>
      <c r="L17" s="26">
        <f>Nkando!N17+Nkando!O17+Nkando!P17</f>
        <v>0</v>
      </c>
      <c r="M17" s="55">
        <f>SUM(D17:L17)</f>
        <v>107127.2</v>
      </c>
    </row>
    <row r="18" spans="1:13" s="2" customFormat="1" ht="15.6" x14ac:dyDescent="0.3">
      <c r="A18" s="663" t="s">
        <v>181</v>
      </c>
      <c r="B18" s="664"/>
      <c r="C18" s="11" t="s">
        <v>152</v>
      </c>
      <c r="D18" s="26">
        <f>Mulanje!P18</f>
        <v>2100</v>
      </c>
      <c r="E18" s="26">
        <f>Luchenza!P18</f>
        <v>0</v>
      </c>
      <c r="F18" s="26">
        <f>Thyolo!P18</f>
        <v>0</v>
      </c>
      <c r="G18" s="26">
        <f>Muloza!P18</f>
        <v>0</v>
      </c>
      <c r="H18" s="26">
        <f>MUST!P18</f>
        <v>0</v>
      </c>
      <c r="I18" s="26">
        <f>Phalombe!P18</f>
        <v>0</v>
      </c>
      <c r="J18" s="26">
        <f>Mikolongwe!P18</f>
        <v>0</v>
      </c>
      <c r="K18" s="26">
        <f>Migowi!P18</f>
        <v>0</v>
      </c>
      <c r="L18" s="26">
        <f>Nkando!N18+Nkando!O18+Nkando!P18</f>
        <v>0</v>
      </c>
      <c r="M18" s="55">
        <f>SUM(D18:L18)</f>
        <v>2100</v>
      </c>
    </row>
    <row r="19" spans="1:13" s="2" customFormat="1" ht="15.6" x14ac:dyDescent="0.3">
      <c r="A19" s="663" t="s">
        <v>182</v>
      </c>
      <c r="B19" s="664"/>
      <c r="C19" s="11" t="s">
        <v>152</v>
      </c>
      <c r="D19" s="26">
        <f>Mulanje!P19</f>
        <v>58795</v>
      </c>
      <c r="E19" s="26">
        <f>Luchenza!P19</f>
        <v>9015</v>
      </c>
      <c r="F19" s="26">
        <f>Thyolo!P19</f>
        <v>17040</v>
      </c>
      <c r="G19" s="26">
        <f>Muloza!P19</f>
        <v>1521</v>
      </c>
      <c r="H19" s="26">
        <f>MUST!P19</f>
        <v>78062</v>
      </c>
      <c r="I19" s="26">
        <f>Phalombe!P19</f>
        <v>8988</v>
      </c>
      <c r="J19" s="26">
        <f>Mikolongwe!P19</f>
        <v>4893.2999999999993</v>
      </c>
      <c r="K19" s="26">
        <f>Migowi!P19</f>
        <v>22449</v>
      </c>
      <c r="L19" s="26">
        <f>Nkando!N19+Nkando!O19+Nkando!P19</f>
        <v>0</v>
      </c>
      <c r="M19" s="55">
        <f>SUM(D19:L19)</f>
        <v>200763.3</v>
      </c>
    </row>
    <row r="20" spans="1:13" s="2" customFormat="1" ht="15.6" x14ac:dyDescent="0.3">
      <c r="A20" s="661" t="s">
        <v>183</v>
      </c>
      <c r="B20" s="662"/>
      <c r="C20" s="11" t="s">
        <v>152</v>
      </c>
      <c r="D20" s="26">
        <f>Mulanje!P20</f>
        <v>7501.5999999999995</v>
      </c>
      <c r="E20" s="26">
        <f>Luchenza!P20</f>
        <v>3393</v>
      </c>
      <c r="F20" s="26">
        <f>Thyolo!P20</f>
        <v>3658</v>
      </c>
      <c r="G20" s="26">
        <f>Muloza!P20</f>
        <v>2710.7</v>
      </c>
      <c r="H20" s="26">
        <f>MUST!P20</f>
        <v>9547</v>
      </c>
      <c r="I20" s="26">
        <f>Phalombe!P20</f>
        <v>836.5</v>
      </c>
      <c r="J20" s="26">
        <f>Mikolongwe!P20</f>
        <v>0</v>
      </c>
      <c r="K20" s="26">
        <f>Migowi!P20</f>
        <v>0</v>
      </c>
      <c r="L20" s="26">
        <f>Nkando!N20+Nkando!O20+Nkando!P20</f>
        <v>0</v>
      </c>
      <c r="M20" s="55">
        <f>SUM(D20:L20)</f>
        <v>27646.799999999999</v>
      </c>
    </row>
    <row r="21" spans="1:13" s="73" customFormat="1" ht="15.6" x14ac:dyDescent="0.3">
      <c r="A21" s="676" t="s">
        <v>184</v>
      </c>
      <c r="B21" s="677"/>
      <c r="C21" s="62" t="s">
        <v>152</v>
      </c>
      <c r="D21" s="34">
        <f>SUM(D17:D20)</f>
        <v>109468.6</v>
      </c>
      <c r="E21" s="34">
        <f t="shared" ref="E21:M21" si="1">SUM(E17:E20)</f>
        <v>22858</v>
      </c>
      <c r="F21" s="34">
        <f t="shared" si="1"/>
        <v>40235</v>
      </c>
      <c r="G21" s="34">
        <f t="shared" si="1"/>
        <v>15389.7</v>
      </c>
      <c r="H21" s="34">
        <f t="shared" si="1"/>
        <v>90632</v>
      </c>
      <c r="I21" s="34">
        <f t="shared" si="1"/>
        <v>20831.2</v>
      </c>
      <c r="J21" s="34">
        <f t="shared" si="1"/>
        <v>6354.2999999999993</v>
      </c>
      <c r="K21" s="34">
        <f t="shared" si="1"/>
        <v>31868.5</v>
      </c>
      <c r="L21" s="34">
        <f t="shared" si="1"/>
        <v>0</v>
      </c>
      <c r="M21" s="55">
        <f t="shared" si="1"/>
        <v>337637.3</v>
      </c>
    </row>
    <row r="22" spans="1:13" s="2" customFormat="1" ht="15.6" x14ac:dyDescent="0.3">
      <c r="A22" s="201" t="s">
        <v>185</v>
      </c>
      <c r="B22" s="194"/>
      <c r="C22" s="11" t="s">
        <v>152</v>
      </c>
      <c r="D22" s="34">
        <f>D21+D15</f>
        <v>401228.6</v>
      </c>
      <c r="E22" s="34">
        <f t="shared" ref="E22:M22" si="2">E21+E15</f>
        <v>146721</v>
      </c>
      <c r="F22" s="34">
        <f t="shared" si="2"/>
        <v>140143</v>
      </c>
      <c r="G22" s="34">
        <f t="shared" si="2"/>
        <v>74987.7</v>
      </c>
      <c r="H22" s="34">
        <f t="shared" si="2"/>
        <v>152137</v>
      </c>
      <c r="I22" s="34">
        <f t="shared" si="2"/>
        <v>91327.2</v>
      </c>
      <c r="J22" s="34">
        <f t="shared" si="2"/>
        <v>7935.2999999999993</v>
      </c>
      <c r="K22" s="34">
        <f t="shared" si="2"/>
        <v>35815.199999999997</v>
      </c>
      <c r="L22" s="34">
        <f t="shared" si="2"/>
        <v>10673</v>
      </c>
      <c r="M22" s="55">
        <f t="shared" si="2"/>
        <v>1060968</v>
      </c>
    </row>
    <row r="23" spans="1:13" x14ac:dyDescent="0.3">
      <c r="A23" s="649" t="s">
        <v>215</v>
      </c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1"/>
    </row>
    <row r="24" spans="1:13" ht="15.6" x14ac:dyDescent="0.3">
      <c r="A24" s="715" t="s">
        <v>179</v>
      </c>
      <c r="B24" s="37" t="s">
        <v>153</v>
      </c>
      <c r="C24" s="5" t="s">
        <v>152</v>
      </c>
      <c r="D24" s="54">
        <f>D9-D22</f>
        <v>137265.40000000002</v>
      </c>
      <c r="E24" s="54">
        <f t="shared" ref="E24:M24" si="3">E9-E22</f>
        <v>55000</v>
      </c>
      <c r="F24" s="54">
        <f t="shared" si="3"/>
        <v>133687</v>
      </c>
      <c r="G24" s="54">
        <f t="shared" si="3"/>
        <v>22046.300000000003</v>
      </c>
      <c r="H24" s="54">
        <f t="shared" si="3"/>
        <v>27534</v>
      </c>
      <c r="I24" s="54">
        <f t="shared" si="3"/>
        <v>37701.800000000003</v>
      </c>
      <c r="J24" s="54">
        <f t="shared" si="3"/>
        <v>2306.7000000000007</v>
      </c>
      <c r="K24" s="54">
        <f t="shared" si="3"/>
        <v>6981.8000000000029</v>
      </c>
      <c r="L24" s="54">
        <f t="shared" si="3"/>
        <v>2183</v>
      </c>
      <c r="M24" s="99">
        <f t="shared" si="3"/>
        <v>424706</v>
      </c>
    </row>
    <row r="25" spans="1:13" ht="15.6" x14ac:dyDescent="0.3">
      <c r="A25" s="716"/>
      <c r="B25" s="53" t="s">
        <v>151</v>
      </c>
      <c r="C25" s="52" t="s">
        <v>6</v>
      </c>
      <c r="D25" s="51">
        <f t="shared" ref="D25:M25" si="4">D24/D9</f>
        <v>0.25490608994714892</v>
      </c>
      <c r="E25" s="51">
        <f t="shared" si="4"/>
        <v>0.2726538139311227</v>
      </c>
      <c r="F25" s="51">
        <f t="shared" si="4"/>
        <v>0.4882116641712011</v>
      </c>
      <c r="G25" s="51">
        <f t="shared" si="4"/>
        <v>0.2272018055526929</v>
      </c>
      <c r="H25" s="51">
        <f t="shared" si="4"/>
        <v>0.15324676770319084</v>
      </c>
      <c r="I25" s="51">
        <f t="shared" si="4"/>
        <v>0.29219632795728095</v>
      </c>
      <c r="J25" s="51">
        <f t="shared" si="4"/>
        <v>0.2252196836555361</v>
      </c>
      <c r="K25" s="51">
        <f t="shared" si="4"/>
        <v>0.16313760310302131</v>
      </c>
      <c r="L25" s="51">
        <f t="shared" si="4"/>
        <v>0.169803982576229</v>
      </c>
      <c r="M25" s="153">
        <f t="shared" si="4"/>
        <v>0.28586755910112177</v>
      </c>
    </row>
    <row r="26" spans="1:13" x14ac:dyDescent="0.3">
      <c r="A26" s="649" t="s">
        <v>150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1"/>
    </row>
    <row r="27" spans="1:13" x14ac:dyDescent="0.3">
      <c r="A27" s="738" t="s">
        <v>149</v>
      </c>
      <c r="B27" s="739"/>
      <c r="C27" s="739"/>
      <c r="D27" s="739"/>
      <c r="E27" s="739"/>
      <c r="F27" s="739"/>
      <c r="G27" s="739"/>
      <c r="H27" s="739"/>
      <c r="I27" s="739"/>
      <c r="J27" s="739"/>
      <c r="K27" s="739"/>
      <c r="L27" s="739"/>
      <c r="M27" s="740"/>
    </row>
    <row r="28" spans="1:13" ht="15.6" x14ac:dyDescent="0.3">
      <c r="A28" s="101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206"/>
      <c r="M28" s="46"/>
    </row>
    <row r="29" spans="1:13" ht="15.6" x14ac:dyDescent="0.3">
      <c r="A29" s="710" t="s">
        <v>146</v>
      </c>
      <c r="B29" s="642">
        <v>5111.67</v>
      </c>
      <c r="C29" s="5" t="s">
        <v>140</v>
      </c>
      <c r="D29" s="26">
        <f>Mulanje!P29</f>
        <v>1079</v>
      </c>
      <c r="E29" s="26">
        <f>Luchenza!P29</f>
        <v>517</v>
      </c>
      <c r="F29" s="26">
        <f>Thyolo!P29</f>
        <v>988</v>
      </c>
      <c r="G29" s="26">
        <f>Muloza!P29</f>
        <v>119</v>
      </c>
      <c r="H29" s="26">
        <f>MUST!P29</f>
        <v>176</v>
      </c>
      <c r="I29" s="26">
        <f>Phalombe!P29</f>
        <v>314</v>
      </c>
      <c r="J29" s="26">
        <f>Mikolongwe!P29</f>
        <v>40</v>
      </c>
      <c r="K29" s="26">
        <f>Migowi!P29</f>
        <v>42</v>
      </c>
      <c r="L29" s="26">
        <f>Nkando!N29+Nkando!O29+Nkando!P29</f>
        <v>4</v>
      </c>
      <c r="M29" s="45">
        <f>SUM(D29:L29)</f>
        <v>3279</v>
      </c>
    </row>
    <row r="30" spans="1:13" ht="15.6" x14ac:dyDescent="0.3">
      <c r="A30" s="711"/>
      <c r="B30" s="642"/>
      <c r="C30" s="42" t="s">
        <v>139</v>
      </c>
      <c r="D30" s="15">
        <f t="shared" ref="D30:M30" si="5">D29/(D9/1000)</f>
        <v>2.0037363461802729</v>
      </c>
      <c r="E30" s="15">
        <f t="shared" si="5"/>
        <v>2.5629458509525533</v>
      </c>
      <c r="F30" s="15">
        <f t="shared" si="5"/>
        <v>3.6080780046013952</v>
      </c>
      <c r="G30" s="15">
        <f t="shared" si="5"/>
        <v>1.2263742605684604</v>
      </c>
      <c r="H30" s="15">
        <f t="shared" si="5"/>
        <v>0.97956821078526868</v>
      </c>
      <c r="I30" s="15">
        <f t="shared" si="5"/>
        <v>2.4335614474265475</v>
      </c>
      <c r="J30" s="15">
        <f t="shared" si="5"/>
        <v>3.9054872095293884</v>
      </c>
      <c r="K30" s="15">
        <f t="shared" si="5"/>
        <v>0.98137719933640211</v>
      </c>
      <c r="L30" s="15">
        <f t="shared" si="5"/>
        <v>0.31113876789047917</v>
      </c>
      <c r="M30" s="102">
        <f t="shared" si="5"/>
        <v>2.2070790765672683</v>
      </c>
    </row>
    <row r="31" spans="1:13" ht="15.6" x14ac:dyDescent="0.3">
      <c r="A31" s="673" t="s">
        <v>145</v>
      </c>
      <c r="B31" s="642">
        <v>1537</v>
      </c>
      <c r="C31" s="5" t="s">
        <v>140</v>
      </c>
      <c r="D31" s="26">
        <f>Mulanje!P31</f>
        <v>0</v>
      </c>
      <c r="E31" s="26">
        <f>Luchenza!P31</f>
        <v>0</v>
      </c>
      <c r="F31" s="26">
        <f>Thyolo!P31</f>
        <v>0</v>
      </c>
      <c r="G31" s="26">
        <f>Muloza!P31</f>
        <v>0</v>
      </c>
      <c r="H31" s="26">
        <f>MUST!P31</f>
        <v>0</v>
      </c>
      <c r="I31" s="26">
        <f>Phalombe!P31</f>
        <v>0</v>
      </c>
      <c r="J31" s="26">
        <f>Mikolongwe!P31</f>
        <v>0</v>
      </c>
      <c r="K31" s="26">
        <f>Migowi!P31</f>
        <v>0</v>
      </c>
      <c r="L31" s="26">
        <f>Nkando!N31+Nkando!O31+Nkando!P31</f>
        <v>0</v>
      </c>
      <c r="M31" s="45">
        <f>SUM(D31:L31)</f>
        <v>0</v>
      </c>
    </row>
    <row r="32" spans="1:13" ht="15.6" x14ac:dyDescent="0.3">
      <c r="A32" s="675"/>
      <c r="B32" s="642"/>
      <c r="C32" s="42" t="s">
        <v>139</v>
      </c>
      <c r="D32" s="15">
        <f t="shared" ref="D32:M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02">
        <f t="shared" si="6"/>
        <v>0</v>
      </c>
    </row>
    <row r="33" spans="1:13" ht="15.6" x14ac:dyDescent="0.3">
      <c r="A33" s="673" t="s">
        <v>144</v>
      </c>
      <c r="B33" s="642">
        <v>1781.02</v>
      </c>
      <c r="C33" s="5" t="s">
        <v>140</v>
      </c>
      <c r="D33" s="26">
        <f>Mulanje!P33</f>
        <v>0</v>
      </c>
      <c r="E33" s="26">
        <f>Luchenza!P33</f>
        <v>0</v>
      </c>
      <c r="F33" s="26">
        <f>Thyolo!P33</f>
        <v>0</v>
      </c>
      <c r="G33" s="26">
        <f>Muloza!P33</f>
        <v>0</v>
      </c>
      <c r="H33" s="26">
        <f>MUST!P33</f>
        <v>0</v>
      </c>
      <c r="I33" s="26">
        <f>Phalombe!P33</f>
        <v>0</v>
      </c>
      <c r="J33" s="26">
        <f>Mikolongwe!P33</f>
        <v>0</v>
      </c>
      <c r="K33" s="26">
        <f>Migowi!P33</f>
        <v>0</v>
      </c>
      <c r="L33" s="26">
        <f>Nkando!N33+Nkando!O33+Nkando!P33</f>
        <v>0</v>
      </c>
      <c r="M33" s="45">
        <f>SUM(D33:L33)</f>
        <v>0</v>
      </c>
    </row>
    <row r="34" spans="1:13" ht="15.6" x14ac:dyDescent="0.3">
      <c r="A34" s="675"/>
      <c r="B34" s="642"/>
      <c r="C34" s="42" t="s">
        <v>139</v>
      </c>
      <c r="D34" s="15">
        <f t="shared" ref="D34:M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02">
        <f t="shared" si="7"/>
        <v>0</v>
      </c>
    </row>
    <row r="35" spans="1:13" ht="15.6" x14ac:dyDescent="0.3">
      <c r="A35" s="673" t="s">
        <v>143</v>
      </c>
      <c r="B35" s="642">
        <v>5979.95</v>
      </c>
      <c r="C35" s="5" t="s">
        <v>126</v>
      </c>
      <c r="D35" s="26">
        <f>Mulanje!P35</f>
        <v>0</v>
      </c>
      <c r="E35" s="26">
        <f>Luchenza!P35</f>
        <v>0</v>
      </c>
      <c r="F35" s="26">
        <f>Thyolo!P35</f>
        <v>0</v>
      </c>
      <c r="G35" s="26">
        <f>Muloza!P35</f>
        <v>0</v>
      </c>
      <c r="H35" s="26">
        <f>MUST!P35</f>
        <v>0</v>
      </c>
      <c r="I35" s="26">
        <f>Phalombe!P35</f>
        <v>0</v>
      </c>
      <c r="J35" s="26">
        <f>Mikolongwe!P35</f>
        <v>0</v>
      </c>
      <c r="K35" s="26">
        <f>Migowi!P35</f>
        <v>0</v>
      </c>
      <c r="L35" s="4">
        <f>Nkando!N35+Nkando!O35+Nkando!P35</f>
        <v>0</v>
      </c>
      <c r="M35" s="102"/>
    </row>
    <row r="36" spans="1:13" ht="15.6" x14ac:dyDescent="0.3">
      <c r="A36" s="675"/>
      <c r="B36" s="642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02"/>
    </row>
    <row r="37" spans="1:13" ht="15.6" x14ac:dyDescent="0.3">
      <c r="A37" s="673" t="s">
        <v>186</v>
      </c>
      <c r="B37" s="642">
        <v>5403.75</v>
      </c>
      <c r="C37" s="5" t="s">
        <v>126</v>
      </c>
      <c r="D37" s="26">
        <f>Mulanje!P37</f>
        <v>0</v>
      </c>
      <c r="E37" s="26">
        <f>Luchenza!P37</f>
        <v>0</v>
      </c>
      <c r="F37" s="26">
        <f>Thyolo!P37</f>
        <v>0</v>
      </c>
      <c r="G37" s="26">
        <f>Muloza!P37</f>
        <v>0</v>
      </c>
      <c r="H37" s="26">
        <f>MUST!P37</f>
        <v>0</v>
      </c>
      <c r="I37" s="26">
        <f>Phalombe!P37</f>
        <v>0</v>
      </c>
      <c r="J37" s="26">
        <f>Mikolongwe!P37</f>
        <v>0</v>
      </c>
      <c r="K37" s="26">
        <f>Migowi!P37</f>
        <v>0</v>
      </c>
      <c r="L37" s="43">
        <v>0</v>
      </c>
      <c r="M37" s="45">
        <f>SUM(D37:L37)</f>
        <v>0</v>
      </c>
    </row>
    <row r="38" spans="1:13" ht="15.6" x14ac:dyDescent="0.3">
      <c r="A38" s="675"/>
      <c r="B38" s="642"/>
      <c r="C38" s="5" t="s">
        <v>142</v>
      </c>
      <c r="D38" s="15">
        <f t="shared" ref="D38:M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02">
        <f t="shared" si="8"/>
        <v>0</v>
      </c>
    </row>
    <row r="39" spans="1:13" ht="15.6" x14ac:dyDescent="0.3">
      <c r="A39" s="673" t="s">
        <v>141</v>
      </c>
      <c r="B39" s="642">
        <v>1950</v>
      </c>
      <c r="C39" s="5" t="s">
        <v>140</v>
      </c>
      <c r="D39" s="26">
        <f>Mulanje!P39</f>
        <v>0</v>
      </c>
      <c r="E39" s="26">
        <f>Luchenza!P39</f>
        <v>0</v>
      </c>
      <c r="F39" s="26">
        <f>Thyolo!P39</f>
        <v>0</v>
      </c>
      <c r="G39" s="26">
        <f>Muloza!P39</f>
        <v>0</v>
      </c>
      <c r="H39" s="26">
        <f>MUST!P39</f>
        <v>0</v>
      </c>
      <c r="I39" s="26">
        <f>Phalombe!P39</f>
        <v>0</v>
      </c>
      <c r="J39" s="26">
        <f>Mikolongwe!P39</f>
        <v>0</v>
      </c>
      <c r="K39" s="26">
        <f>Migowi!P39</f>
        <v>0</v>
      </c>
      <c r="L39" s="43">
        <v>0</v>
      </c>
      <c r="M39" s="45">
        <f>SUM(D39:L39)</f>
        <v>0</v>
      </c>
    </row>
    <row r="40" spans="1:13" ht="15.6" x14ac:dyDescent="0.3">
      <c r="A40" s="675"/>
      <c r="B40" s="642"/>
      <c r="C40" s="42" t="s">
        <v>139</v>
      </c>
      <c r="D40" s="15">
        <f t="shared" ref="D40:M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02">
        <f t="shared" si="9"/>
        <v>0</v>
      </c>
    </row>
    <row r="41" spans="1:13" ht="15.6" x14ac:dyDescent="0.3">
      <c r="A41" s="661" t="s">
        <v>138</v>
      </c>
      <c r="B41" s="662"/>
      <c r="C41" s="11" t="s">
        <v>31</v>
      </c>
      <c r="D41" s="41">
        <f>(D29*$B29)+(D31*$B31)+(D33*$B33)+(D35*$B35)+(D37*$B37)+(D39*$B39)</f>
        <v>5515491.9299999997</v>
      </c>
      <c r="E41" s="41">
        <f t="shared" ref="E41:L41" si="10">(E29*$B29)+(E31*$B31)+(E33*$B33)+(E35*$B35)+(E37*$B37)+(E39*$B39)</f>
        <v>2642733.39</v>
      </c>
      <c r="F41" s="41">
        <f t="shared" si="10"/>
        <v>5050329.96</v>
      </c>
      <c r="G41" s="41">
        <f t="shared" si="10"/>
        <v>608288.73</v>
      </c>
      <c r="H41" s="41">
        <f t="shared" si="10"/>
        <v>899653.92</v>
      </c>
      <c r="I41" s="41">
        <f t="shared" si="10"/>
        <v>1605064.3800000001</v>
      </c>
      <c r="J41" s="41">
        <f t="shared" si="10"/>
        <v>204466.8</v>
      </c>
      <c r="K41" s="41">
        <f t="shared" si="10"/>
        <v>214690.14</v>
      </c>
      <c r="L41" s="41">
        <f t="shared" si="10"/>
        <v>20446.68</v>
      </c>
      <c r="M41" s="39">
        <f>SUM(D41:L41)</f>
        <v>16761165.930000003</v>
      </c>
    </row>
    <row r="42" spans="1:13" ht="15.6" x14ac:dyDescent="0.3">
      <c r="A42" s="708" t="s">
        <v>137</v>
      </c>
      <c r="B42" s="709"/>
      <c r="C42" s="42" t="s">
        <v>115</v>
      </c>
      <c r="D42" s="15">
        <f t="shared" ref="D42:M42" si="11">D41/D9</f>
        <v>10.242438968679316</v>
      </c>
      <c r="E42" s="15">
        <f t="shared" si="11"/>
        <v>13.100933417938638</v>
      </c>
      <c r="F42" s="15">
        <f t="shared" si="11"/>
        <v>18.443304093780814</v>
      </c>
      <c r="G42" s="15">
        <f t="shared" si="11"/>
        <v>6.2688205165199822</v>
      </c>
      <c r="H42" s="15">
        <f t="shared" si="11"/>
        <v>5.0072294360247342</v>
      </c>
      <c r="I42" s="15">
        <f t="shared" si="11"/>
        <v>12.439563043966862</v>
      </c>
      <c r="J42" s="15">
        <f t="shared" si="11"/>
        <v>19.96356180433509</v>
      </c>
      <c r="K42" s="15">
        <f t="shared" si="11"/>
        <v>5.016476388531907</v>
      </c>
      <c r="L42" s="15">
        <f t="shared" si="11"/>
        <v>1.5904387056627256</v>
      </c>
      <c r="M42" s="44">
        <f t="shared" si="11"/>
        <v>11.281859903316612</v>
      </c>
    </row>
    <row r="43" spans="1:13" ht="15" thickBot="1" x14ac:dyDescent="0.35">
      <c r="A43" s="705" t="s">
        <v>136</v>
      </c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7"/>
    </row>
    <row r="44" spans="1:13" ht="15.6" x14ac:dyDescent="0.3">
      <c r="A44" s="661" t="s">
        <v>135</v>
      </c>
      <c r="B44" s="662"/>
      <c r="C44" s="11" t="s">
        <v>134</v>
      </c>
      <c r="D44" s="26">
        <f>Mulanje!P44</f>
        <v>383</v>
      </c>
      <c r="E44" s="26">
        <f>Luchenza!P44</f>
        <v>106339</v>
      </c>
      <c r="F44" s="26">
        <f>Thyolo!P44</f>
        <v>59034</v>
      </c>
      <c r="G44" s="26">
        <f>Muloza!P44</f>
        <v>103632</v>
      </c>
      <c r="H44" s="26">
        <f>MUST!P44</f>
        <v>71601</v>
      </c>
      <c r="I44" s="26">
        <f>Phalombe!P44</f>
        <v>4548.9699999999993</v>
      </c>
      <c r="J44" s="26">
        <f>Mikolongwe!P44</f>
        <v>4115</v>
      </c>
      <c r="K44" s="26">
        <f>Migowi!P44</f>
        <v>15894</v>
      </c>
      <c r="L44" s="179">
        <f>Nkando!N44+Nkando!O44+Nkando!P44</f>
        <v>7378</v>
      </c>
      <c r="M44" s="39">
        <f>SUM(D44:L44)</f>
        <v>372924.97</v>
      </c>
    </row>
    <row r="45" spans="1:13" ht="16.2" thickBot="1" x14ac:dyDescent="0.35">
      <c r="A45" s="708" t="s">
        <v>133</v>
      </c>
      <c r="B45" s="709"/>
      <c r="C45" s="42" t="s">
        <v>132</v>
      </c>
      <c r="D45" s="15">
        <f t="shared" ref="D45:M45" si="12">D44/D9</f>
        <v>7.112428365032851E-4</v>
      </c>
      <c r="E45" s="15">
        <f t="shared" si="12"/>
        <v>0.52715879853857561</v>
      </c>
      <c r="F45" s="15">
        <f t="shared" si="12"/>
        <v>0.21558631267574774</v>
      </c>
      <c r="G45" s="15">
        <f t="shared" si="12"/>
        <v>1.0679967846321907</v>
      </c>
      <c r="H45" s="15">
        <f t="shared" si="12"/>
        <v>0.39851172420702285</v>
      </c>
      <c r="I45" s="15">
        <f t="shared" si="12"/>
        <v>3.5255407699044394E-2</v>
      </c>
      <c r="J45" s="15">
        <f t="shared" si="12"/>
        <v>0.4017769966803359</v>
      </c>
      <c r="K45" s="15">
        <f t="shared" si="12"/>
        <v>0.37138117157744704</v>
      </c>
      <c r="L45" s="15">
        <f t="shared" si="12"/>
        <v>0.57389545737398884</v>
      </c>
      <c r="M45" s="102">
        <f t="shared" si="12"/>
        <v>0.25101399768724497</v>
      </c>
    </row>
    <row r="46" spans="1:13" ht="15.6" x14ac:dyDescent="0.3">
      <c r="A46" s="643" t="s">
        <v>131</v>
      </c>
      <c r="B46" s="644"/>
      <c r="C46" s="5" t="s">
        <v>31</v>
      </c>
      <c r="D46" s="26">
        <f>Mulanje!P46</f>
        <v>149278.60500000001</v>
      </c>
      <c r="E46" s="26">
        <f>Luchenza!P46</f>
        <v>14820593.052000001</v>
      </c>
      <c r="F46" s="26">
        <f>Thyolo!P46</f>
        <v>8388174.0510000009</v>
      </c>
      <c r="G46" s="26">
        <f>Muloza!P46</f>
        <v>14576213.448000001</v>
      </c>
      <c r="H46" s="26">
        <f>MUST!P46</f>
        <v>10131864.1515</v>
      </c>
      <c r="I46" s="26">
        <f>Phalombe!P46</f>
        <v>795441.41095499997</v>
      </c>
      <c r="J46" s="26">
        <f>Mikolongwe!P46</f>
        <v>768080.42249999999</v>
      </c>
      <c r="K46" s="26">
        <f>Migowi!P46</f>
        <v>2072011.1515000002</v>
      </c>
      <c r="L46" s="179">
        <f>Nkando!N46+Nkando!O46+Nkando!P46</f>
        <v>1253679.567</v>
      </c>
      <c r="M46" s="39">
        <f>SUM(D46:L46)</f>
        <v>52955335.859455004</v>
      </c>
    </row>
    <row r="47" spans="1:13" s="2" customFormat="1" ht="15.6" x14ac:dyDescent="0.3">
      <c r="A47" s="661" t="s">
        <v>130</v>
      </c>
      <c r="B47" s="662"/>
      <c r="C47" s="11" t="s">
        <v>115</v>
      </c>
      <c r="D47" s="15">
        <f t="shared" ref="D47:M47" si="13">D46/D9</f>
        <v>0.2772149828967454</v>
      </c>
      <c r="E47" s="15">
        <f t="shared" si="13"/>
        <v>73.470749460889053</v>
      </c>
      <c r="F47" s="15">
        <f t="shared" si="13"/>
        <v>30.632779647956763</v>
      </c>
      <c r="G47" s="15">
        <f t="shared" si="13"/>
        <v>150.21758814436177</v>
      </c>
      <c r="H47" s="15">
        <f t="shared" si="13"/>
        <v>56.391204765933288</v>
      </c>
      <c r="I47" s="15">
        <f t="shared" si="13"/>
        <v>6.1648265967728184</v>
      </c>
      <c r="J47" s="15">
        <f t="shared" si="13"/>
        <v>74.993206649091974</v>
      </c>
      <c r="K47" s="15">
        <f t="shared" si="13"/>
        <v>48.414869067925324</v>
      </c>
      <c r="L47" s="15">
        <f t="shared" si="13"/>
        <v>97.517078951462352</v>
      </c>
      <c r="M47" s="102">
        <f t="shared" si="13"/>
        <v>35.643981021041633</v>
      </c>
    </row>
    <row r="48" spans="1:13" ht="15" thickBot="1" x14ac:dyDescent="0.35">
      <c r="A48" s="705" t="s">
        <v>129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7"/>
    </row>
    <row r="49" spans="1:13" ht="15.6" x14ac:dyDescent="0.3">
      <c r="A49" s="661" t="s">
        <v>128</v>
      </c>
      <c r="B49" s="662"/>
      <c r="C49" s="5" t="s">
        <v>127</v>
      </c>
      <c r="D49" s="26">
        <f>Mulanje!P49</f>
        <v>25389</v>
      </c>
      <c r="E49" s="26">
        <f>Luchenza!P49</f>
        <v>0</v>
      </c>
      <c r="F49" s="26">
        <f>Thyolo!P49</f>
        <v>17820.8</v>
      </c>
      <c r="G49" s="26">
        <f>Muloza!P49</f>
        <v>20981</v>
      </c>
      <c r="H49" s="26">
        <f>MUST!P49</f>
        <v>21319</v>
      </c>
      <c r="I49" s="26">
        <f>Phalombe!P49</f>
        <v>0</v>
      </c>
      <c r="J49" s="26">
        <f>Mikolongwe!P49</f>
        <v>0</v>
      </c>
      <c r="K49" s="26">
        <f>Migowi!P49</f>
        <v>0</v>
      </c>
      <c r="L49" s="183">
        <f>Nkando!N49+Nkando!O49+Nkando!P49</f>
        <v>210</v>
      </c>
      <c r="M49" s="39">
        <f>SUM(D49:L49)</f>
        <v>85719.8</v>
      </c>
    </row>
    <row r="50" spans="1:13" ht="15.6" x14ac:dyDescent="0.3">
      <c r="A50" s="661" t="s">
        <v>187</v>
      </c>
      <c r="B50" s="662"/>
      <c r="C50" s="5" t="s">
        <v>126</v>
      </c>
      <c r="D50" s="26">
        <f>Mulanje!P50</f>
        <v>2046</v>
      </c>
      <c r="E50" s="26">
        <f>Luchenza!P50</f>
        <v>0</v>
      </c>
      <c r="F50" s="26">
        <f>Thyolo!P50</f>
        <v>1943.4493150684932</v>
      </c>
      <c r="G50" s="26">
        <f>Muloza!P50</f>
        <v>1936.07</v>
      </c>
      <c r="H50" s="26">
        <f>MUST!P50</f>
        <v>1259</v>
      </c>
      <c r="I50" s="26">
        <f>Phalombe!P50</f>
        <v>0</v>
      </c>
      <c r="J50" s="26">
        <f>Mikolongwe!P50</f>
        <v>0</v>
      </c>
      <c r="K50" s="26">
        <f>Migowi!P50</f>
        <v>0</v>
      </c>
      <c r="L50" s="26">
        <f>Nkando!N50+Nkando!O50+Nkando!P50</f>
        <v>7</v>
      </c>
      <c r="M50" s="39">
        <f>SUM(D50:L50)</f>
        <v>7191.5193150684927</v>
      </c>
    </row>
    <row r="51" spans="1:13" ht="15.6" x14ac:dyDescent="0.3">
      <c r="A51" s="643" t="s">
        <v>125</v>
      </c>
      <c r="B51" s="644"/>
      <c r="C51" s="5" t="s">
        <v>31</v>
      </c>
      <c r="D51" s="26">
        <f>Mulanje!P51</f>
        <v>4726263.7399999993</v>
      </c>
      <c r="E51" s="26">
        <f>Luchenza!P51</f>
        <v>0</v>
      </c>
      <c r="F51" s="26">
        <f>Thyolo!P51</f>
        <v>4368424.0712328767</v>
      </c>
      <c r="G51" s="26">
        <f>Muloza!P51</f>
        <v>4407334.16</v>
      </c>
      <c r="H51" s="26">
        <f>MUST!P51</f>
        <v>2807784</v>
      </c>
      <c r="I51" s="26">
        <f>Phalombe!P51</f>
        <v>0</v>
      </c>
      <c r="J51" s="26">
        <f>Mikolongwe!P51</f>
        <v>0</v>
      </c>
      <c r="K51" s="26">
        <f>Migowi!P51</f>
        <v>0</v>
      </c>
      <c r="L51" s="4">
        <f>Nkando!N51+Nkando!O51+Nkando!P51</f>
        <v>17710</v>
      </c>
      <c r="M51" s="40">
        <f>SUM(D51:L51)</f>
        <v>16327515.971232876</v>
      </c>
    </row>
    <row r="52" spans="1:13" ht="15.6" x14ac:dyDescent="0.3">
      <c r="A52" s="661" t="s">
        <v>124</v>
      </c>
      <c r="B52" s="662"/>
      <c r="C52" s="5" t="s">
        <v>31</v>
      </c>
      <c r="D52" s="26">
        <f>Mulanje!P52</f>
        <v>80000</v>
      </c>
      <c r="E52" s="26">
        <f>Luchenza!P52</f>
        <v>0</v>
      </c>
      <c r="F52" s="26">
        <f>Thyolo!P52</f>
        <v>1404127</v>
      </c>
      <c r="G52" s="26">
        <f>Muloza!P52</f>
        <v>0</v>
      </c>
      <c r="H52" s="26">
        <f>MUST!P52</f>
        <v>0</v>
      </c>
      <c r="I52" s="26">
        <f>Phalombe!P52</f>
        <v>0</v>
      </c>
      <c r="J52" s="26">
        <f>Mikolongwe!P52</f>
        <v>0</v>
      </c>
      <c r="K52" s="26">
        <f>Migowi!P52</f>
        <v>0</v>
      </c>
      <c r="L52" s="13">
        <v>0</v>
      </c>
      <c r="M52" s="40">
        <f>SUM(D52:L52)</f>
        <v>1484127</v>
      </c>
    </row>
    <row r="53" spans="1:13" x14ac:dyDescent="0.3">
      <c r="A53" s="705" t="s">
        <v>123</v>
      </c>
      <c r="B53" s="706"/>
      <c r="C53" s="706"/>
      <c r="D53" s="706"/>
      <c r="E53" s="706"/>
      <c r="F53" s="706"/>
      <c r="G53" s="706"/>
      <c r="H53" s="706"/>
      <c r="I53" s="706"/>
      <c r="J53" s="706"/>
      <c r="K53" s="706"/>
      <c r="L53" s="706"/>
      <c r="M53" s="707"/>
    </row>
    <row r="54" spans="1:13" ht="15.6" x14ac:dyDescent="0.3">
      <c r="A54" s="661" t="s">
        <v>122</v>
      </c>
      <c r="B54" s="662"/>
      <c r="C54" s="11" t="s">
        <v>18</v>
      </c>
      <c r="D54" s="26">
        <f>Mulanje!P54</f>
        <v>61548881.445</v>
      </c>
      <c r="E54" s="26">
        <f>Luchenza!P54</f>
        <v>42958281.881999999</v>
      </c>
      <c r="F54" s="26">
        <f>Thyolo!P54</f>
        <v>60227131.130000003</v>
      </c>
      <c r="G54" s="26">
        <f>Muloza!P54</f>
        <v>33924971.039999992</v>
      </c>
      <c r="H54" s="26">
        <f>MUST!P54</f>
        <v>19441890.441000003</v>
      </c>
      <c r="I54" s="26">
        <f>Phalombe!P54</f>
        <v>26417748.419</v>
      </c>
      <c r="J54" s="26">
        <f>Mikolongwe!P54</f>
        <v>0</v>
      </c>
      <c r="K54" s="26">
        <f>Migowi!P54</f>
        <v>742356.08000000007</v>
      </c>
      <c r="L54" s="26">
        <f>Nkando!N54+Nkando!O54+Nkando!P54</f>
        <v>1799438.65</v>
      </c>
      <c r="M54" s="39">
        <f>SUM(D54:L54)</f>
        <v>247060699.08700001</v>
      </c>
    </row>
    <row r="55" spans="1:13" ht="15.6" x14ac:dyDescent="0.3">
      <c r="A55" s="193" t="s">
        <v>121</v>
      </c>
      <c r="B55" s="194"/>
      <c r="C55" s="11" t="s">
        <v>18</v>
      </c>
      <c r="D55" s="26">
        <f>Mulanje!P55</f>
        <v>15207265.509999998</v>
      </c>
      <c r="E55" s="26">
        <f>Luchenza!P55</f>
        <v>13417478.547499999</v>
      </c>
      <c r="F55" s="26">
        <f>Thyolo!P55</f>
        <v>15795081.57</v>
      </c>
      <c r="G55" s="26">
        <f>Muloza!P55</f>
        <v>7127043.7299999995</v>
      </c>
      <c r="H55" s="26">
        <f>MUST!P55</f>
        <v>4871714.24</v>
      </c>
      <c r="I55" s="26">
        <f>Phalombe!P55</f>
        <v>5171405.8919999991</v>
      </c>
      <c r="J55" s="26">
        <f>Mikolongwe!P55</f>
        <v>1519737.32</v>
      </c>
      <c r="K55" s="26">
        <f>Migowi!P55</f>
        <v>1179106.1994444444</v>
      </c>
      <c r="L55" s="26">
        <f>Nkando!N55+Nkando!O55+Nkando!P55</f>
        <v>160000</v>
      </c>
      <c r="M55" s="39">
        <f>SUM(D55:L55)</f>
        <v>64448833.008944437</v>
      </c>
    </row>
    <row r="56" spans="1:13" ht="15.6" x14ac:dyDescent="0.3">
      <c r="A56" s="661" t="s">
        <v>120</v>
      </c>
      <c r="B56" s="662"/>
      <c r="C56" s="5" t="s">
        <v>18</v>
      </c>
      <c r="D56" s="26">
        <f>Mulanje!P56</f>
        <v>5936323.3300000001</v>
      </c>
      <c r="E56" s="26">
        <f>Luchenza!P56</f>
        <v>5686188.2750000004</v>
      </c>
      <c r="F56" s="26">
        <f>Thyolo!P56</f>
        <v>4981545.0855555553</v>
      </c>
      <c r="G56" s="26">
        <f>Muloza!P56</f>
        <v>4736767.2055555563</v>
      </c>
      <c r="H56" s="26">
        <f>MUST!P56</f>
        <v>1381000</v>
      </c>
      <c r="I56" s="26">
        <f>Phalombe!P56</f>
        <v>1820698.5883333334</v>
      </c>
      <c r="J56" s="26">
        <f>Mikolongwe!P56</f>
        <v>268866.66666666663</v>
      </c>
      <c r="K56" s="26">
        <f>Migowi!P56</f>
        <v>837733.12305555551</v>
      </c>
      <c r="L56" s="26">
        <f>Nkando!N56+Nkando!O56+Nkando!P56</f>
        <v>560000</v>
      </c>
      <c r="M56" s="39">
        <f>SUM(D56:L56)</f>
        <v>26209122.27416667</v>
      </c>
    </row>
    <row r="57" spans="1:13" x14ac:dyDescent="0.3">
      <c r="A57" s="705" t="s">
        <v>119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7"/>
    </row>
    <row r="58" spans="1:13" ht="15.6" x14ac:dyDescent="0.3">
      <c r="A58" s="643" t="s">
        <v>118</v>
      </c>
      <c r="B58" s="644"/>
      <c r="C58" s="5" t="s">
        <v>18</v>
      </c>
      <c r="D58" s="13">
        <f>D41+D46+D51+D52+D54+D55+D56</f>
        <v>93163504.559999987</v>
      </c>
      <c r="E58" s="13">
        <f t="shared" ref="E58:L58" si="14">E41+E46+E51+E52+E54+E55+E56</f>
        <v>79525275.146500006</v>
      </c>
      <c r="F58" s="13">
        <f t="shared" si="14"/>
        <v>100214812.86778843</v>
      </c>
      <c r="G58" s="13">
        <f t="shared" si="14"/>
        <v>65380618.313555546</v>
      </c>
      <c r="H58" s="13">
        <f t="shared" si="14"/>
        <v>39533906.752500005</v>
      </c>
      <c r="I58" s="13">
        <f t="shared" si="14"/>
        <v>35810358.690288328</v>
      </c>
      <c r="J58" s="13">
        <f t="shared" si="14"/>
        <v>2761151.2091666665</v>
      </c>
      <c r="K58" s="13">
        <f t="shared" si="14"/>
        <v>5045896.6940000011</v>
      </c>
      <c r="L58" s="13">
        <f t="shared" si="14"/>
        <v>3811274.8969999999</v>
      </c>
      <c r="M58" s="64">
        <f>SUM(D58:L58)</f>
        <v>425246799.13079894</v>
      </c>
    </row>
    <row r="59" spans="1:13" ht="15.6" x14ac:dyDescent="0.3">
      <c r="A59" s="643" t="s">
        <v>117</v>
      </c>
      <c r="B59" s="644"/>
      <c r="C59" s="5" t="s">
        <v>115</v>
      </c>
      <c r="D59" s="15">
        <f t="shared" ref="D59:M59" si="15">D58/D9</f>
        <v>173.00750715885411</v>
      </c>
      <c r="E59" s="15">
        <f t="shared" si="15"/>
        <v>394.23399222936632</v>
      </c>
      <c r="F59" s="15">
        <f t="shared" si="15"/>
        <v>365.97455672420273</v>
      </c>
      <c r="G59" s="15">
        <f t="shared" si="15"/>
        <v>673.79081882181038</v>
      </c>
      <c r="H59" s="15">
        <f t="shared" si="15"/>
        <v>220.03499035737545</v>
      </c>
      <c r="I59" s="15">
        <f t="shared" si="15"/>
        <v>277.53728766624812</v>
      </c>
      <c r="J59" s="15">
        <f t="shared" si="15"/>
        <v>269.59101827442555</v>
      </c>
      <c r="K59" s="15">
        <f t="shared" si="15"/>
        <v>117.90304680234598</v>
      </c>
      <c r="L59" s="15">
        <f t="shared" si="15"/>
        <v>296.45884388612319</v>
      </c>
      <c r="M59" s="102">
        <f t="shared" si="15"/>
        <v>286.2315683863344</v>
      </c>
    </row>
    <row r="60" spans="1:13" ht="15.6" x14ac:dyDescent="0.3">
      <c r="A60" s="643" t="s">
        <v>116</v>
      </c>
      <c r="B60" s="644"/>
      <c r="C60" s="5" t="s">
        <v>115</v>
      </c>
      <c r="D60" s="15">
        <f>D58/D22</f>
        <v>232.19557269845669</v>
      </c>
      <c r="E60" s="15">
        <f t="shared" ref="E60:L60" si="16">E58/E22</f>
        <v>542.016992431213</v>
      </c>
      <c r="F60" s="15">
        <f t="shared" si="16"/>
        <v>715.08967888362906</v>
      </c>
      <c r="G60" s="15">
        <f t="shared" si="16"/>
        <v>871.88456658299356</v>
      </c>
      <c r="H60" s="15">
        <f t="shared" si="16"/>
        <v>259.85727832479938</v>
      </c>
      <c r="I60" s="15">
        <f t="shared" si="16"/>
        <v>392.11055074817062</v>
      </c>
      <c r="J60" s="15">
        <f t="shared" si="16"/>
        <v>347.95801156436011</v>
      </c>
      <c r="K60" s="15">
        <f t="shared" si="16"/>
        <v>140.88701707654855</v>
      </c>
      <c r="L60" s="15">
        <f t="shared" si="16"/>
        <v>357.09499643961396</v>
      </c>
      <c r="M60" s="103">
        <f>M58/M22</f>
        <v>400.81020269301143</v>
      </c>
    </row>
    <row r="61" spans="1:13" ht="15.6" x14ac:dyDescent="0.3">
      <c r="A61" s="661" t="s">
        <v>114</v>
      </c>
      <c r="B61" s="662"/>
      <c r="C61" s="5" t="s">
        <v>3</v>
      </c>
      <c r="D61" s="26">
        <f>Mulanje!P61</f>
        <v>10</v>
      </c>
      <c r="E61" s="26">
        <f>Luchenza!P61</f>
        <v>8</v>
      </c>
      <c r="F61" s="26">
        <f>Thyolo!P61</f>
        <v>18</v>
      </c>
      <c r="G61" s="26">
        <f>Muloza!P61</f>
        <v>6</v>
      </c>
      <c r="H61" s="26">
        <f>MUST!P61</f>
        <v>4</v>
      </c>
      <c r="I61" s="26">
        <f>Phalombe!P61</f>
        <v>5</v>
      </c>
      <c r="J61" s="26">
        <f>Mikolongwe!P61</f>
        <v>0</v>
      </c>
      <c r="K61" s="26">
        <f>Migowi!P61</f>
        <v>0</v>
      </c>
      <c r="L61" s="4"/>
      <c r="M61" s="26">
        <f>Migowi!Q61</f>
        <v>0</v>
      </c>
    </row>
    <row r="62" spans="1:13" ht="15.6" customHeight="1" x14ac:dyDescent="0.3">
      <c r="A62" s="643" t="s">
        <v>113</v>
      </c>
      <c r="B62" s="644"/>
      <c r="C62" s="5" t="s">
        <v>112</v>
      </c>
      <c r="D62" s="15">
        <f t="shared" ref="D62:M62" si="17">(D61*1000*31)/D9</f>
        <v>0.57567958045957801</v>
      </c>
      <c r="E62" s="15">
        <f t="shared" si="17"/>
        <v>1.2294208337257895</v>
      </c>
      <c r="F62" s="15">
        <f t="shared" si="17"/>
        <v>2.0377606544206261</v>
      </c>
      <c r="G62" s="15">
        <f t="shared" si="17"/>
        <v>1.9168538862666693</v>
      </c>
      <c r="H62" s="15">
        <f t="shared" si="17"/>
        <v>0.69015033032598472</v>
      </c>
      <c r="I62" s="15">
        <f t="shared" si="17"/>
        <v>1.2012803323283914</v>
      </c>
      <c r="J62" s="15">
        <f t="shared" si="17"/>
        <v>0</v>
      </c>
      <c r="K62" s="15">
        <f t="shared" si="17"/>
        <v>0</v>
      </c>
      <c r="L62" s="15">
        <f t="shared" si="17"/>
        <v>0</v>
      </c>
      <c r="M62" s="102">
        <f t="shared" si="17"/>
        <v>0</v>
      </c>
    </row>
    <row r="63" spans="1:13" ht="15.6" x14ac:dyDescent="0.3">
      <c r="A63" s="700" t="s">
        <v>111</v>
      </c>
      <c r="B63" s="701"/>
      <c r="C63" s="38" t="s">
        <v>3</v>
      </c>
      <c r="D63" s="26">
        <f>Mulanje!P63</f>
        <v>316</v>
      </c>
      <c r="E63" s="26">
        <f>Luchenza!P63</f>
        <v>170</v>
      </c>
      <c r="F63" s="26">
        <f>Thyolo!P63</f>
        <v>226</v>
      </c>
      <c r="G63" s="26">
        <f>Muloza!P63</f>
        <v>100</v>
      </c>
      <c r="H63" s="26">
        <f>MUST!P63</f>
        <v>87</v>
      </c>
      <c r="I63" s="26">
        <f>Phalombe!P63</f>
        <v>92</v>
      </c>
      <c r="J63" s="26">
        <f>Mikolongwe!P63</f>
        <v>29</v>
      </c>
      <c r="K63" s="26">
        <f>Migowi!P63</f>
        <v>24</v>
      </c>
      <c r="L63" s="4"/>
      <c r="M63" s="9">
        <f>SUM(D63:L63)</f>
        <v>1044</v>
      </c>
    </row>
    <row r="64" spans="1:13" x14ac:dyDescent="0.3">
      <c r="A64" s="735"/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6"/>
      <c r="M64" s="737"/>
    </row>
    <row r="65" spans="1:13" ht="14.4" customHeight="1" x14ac:dyDescent="0.3">
      <c r="A65" s="705" t="s">
        <v>110</v>
      </c>
      <c r="B65" s="706"/>
      <c r="C65" s="706"/>
      <c r="D65" s="706"/>
      <c r="E65" s="706"/>
      <c r="F65" s="706"/>
      <c r="G65" s="706"/>
      <c r="H65" s="706"/>
      <c r="I65" s="706"/>
      <c r="J65" s="706"/>
      <c r="K65" s="706"/>
      <c r="L65" s="706"/>
      <c r="M65" s="707"/>
    </row>
    <row r="66" spans="1:13" ht="15.6" x14ac:dyDescent="0.3">
      <c r="A66" s="688" t="s">
        <v>109</v>
      </c>
      <c r="B66" s="37" t="s">
        <v>85</v>
      </c>
      <c r="C66" s="5" t="s">
        <v>3</v>
      </c>
      <c r="D66" s="26">
        <f>Mulanje!D66</f>
        <v>589</v>
      </c>
      <c r="E66" s="26">
        <f>Luchenza!D66</f>
        <v>10</v>
      </c>
      <c r="F66" s="26">
        <f>Thyolo!P66</f>
        <v>11</v>
      </c>
      <c r="G66" s="26">
        <f>Muloza!D66</f>
        <v>98</v>
      </c>
      <c r="H66" s="26">
        <f>MUST!P66</f>
        <v>5</v>
      </c>
      <c r="I66" s="26">
        <f>Phalombe!P66</f>
        <v>78</v>
      </c>
      <c r="J66" s="26">
        <f>Mikolongwe!D66</f>
        <v>0</v>
      </c>
      <c r="K66" s="26">
        <f>Migowi!D66</f>
        <v>0</v>
      </c>
      <c r="L66" s="34">
        <f>Nkando!N66</f>
        <v>1</v>
      </c>
      <c r="M66" s="35">
        <f>D66</f>
        <v>589</v>
      </c>
    </row>
    <row r="67" spans="1:13" ht="15.6" x14ac:dyDescent="0.3">
      <c r="A67" s="689"/>
      <c r="B67" s="24" t="s">
        <v>104</v>
      </c>
      <c r="C67" s="5" t="s">
        <v>3</v>
      </c>
      <c r="D67" s="26">
        <f>Mulanje!P67</f>
        <v>139</v>
      </c>
      <c r="E67" s="26">
        <f>Luchenza!P67</f>
        <v>191</v>
      </c>
      <c r="F67" s="26">
        <f>Thyolo!P67</f>
        <v>108</v>
      </c>
      <c r="G67" s="26">
        <f>Muloza!P67</f>
        <v>169</v>
      </c>
      <c r="H67" s="26">
        <f>MUST!P67</f>
        <v>47</v>
      </c>
      <c r="I67" s="26">
        <f>Phalombe!P67</f>
        <v>37</v>
      </c>
      <c r="J67" s="26">
        <f>Mikolongwe!P67</f>
        <v>0</v>
      </c>
      <c r="K67" s="26">
        <f>Migowi!P67</f>
        <v>0</v>
      </c>
      <c r="L67" s="26">
        <f>Nkando!N67+Nkando!O67+Nkando!P67</f>
        <v>0</v>
      </c>
      <c r="M67" s="35">
        <f>SUM(D67:L67)</f>
        <v>691</v>
      </c>
    </row>
    <row r="68" spans="1:13" ht="27" x14ac:dyDescent="0.3">
      <c r="A68" s="689"/>
      <c r="B68" s="24" t="s">
        <v>103</v>
      </c>
      <c r="C68" s="5" t="s">
        <v>3</v>
      </c>
      <c r="D68" s="26">
        <f>Mulanje!P68</f>
        <v>268</v>
      </c>
      <c r="E68" s="26">
        <f>Luchenza!P68</f>
        <v>156</v>
      </c>
      <c r="F68" s="26">
        <f>Thyolo!P68</f>
        <v>115</v>
      </c>
      <c r="G68" s="26">
        <f>Muloza!P68</f>
        <v>140</v>
      </c>
      <c r="H68" s="26">
        <f>MUST!P68</f>
        <v>37</v>
      </c>
      <c r="I68" s="26">
        <f>Phalombe!P68</f>
        <v>37</v>
      </c>
      <c r="J68" s="26">
        <f>Mikolongwe!P68</f>
        <v>0</v>
      </c>
      <c r="K68" s="26">
        <f>Migowi!P68</f>
        <v>0</v>
      </c>
      <c r="L68" s="26">
        <f>Nkando!N68+Nkando!O68+Nkando!P68</f>
        <v>0</v>
      </c>
      <c r="M68" s="35">
        <f>SUM(D68:L68)</f>
        <v>753</v>
      </c>
    </row>
    <row r="69" spans="1:13" s="2" customFormat="1" ht="27" x14ac:dyDescent="0.3">
      <c r="A69" s="689"/>
      <c r="B69" s="24" t="s">
        <v>102</v>
      </c>
      <c r="C69" s="11" t="s">
        <v>3</v>
      </c>
      <c r="D69" s="26">
        <f>Mulanje!P69</f>
        <v>1</v>
      </c>
      <c r="E69" s="26">
        <f>Luchenza!P69</f>
        <v>0</v>
      </c>
      <c r="F69" s="26">
        <f>Thyolo!P69</f>
        <v>2</v>
      </c>
      <c r="G69" s="26">
        <f>Muloza!P69</f>
        <v>0</v>
      </c>
      <c r="H69" s="26">
        <f>MUST!P69</f>
        <v>8</v>
      </c>
      <c r="I69" s="26">
        <f>Phalombe!P69</f>
        <v>33</v>
      </c>
      <c r="J69" s="26">
        <f>Mikolongwe!P69</f>
        <v>0</v>
      </c>
      <c r="K69" s="26">
        <f>Migowi!P69</f>
        <v>0</v>
      </c>
      <c r="L69" s="26">
        <f>Nkando!N69+Nkando!O69+Nkando!P69</f>
        <v>0</v>
      </c>
      <c r="M69" s="74">
        <f>SUM(D69:L69)</f>
        <v>44</v>
      </c>
    </row>
    <row r="70" spans="1:13" s="2" customFormat="1" ht="15.6" x14ac:dyDescent="0.3">
      <c r="A70" s="689"/>
      <c r="B70" s="24" t="s">
        <v>188</v>
      </c>
      <c r="C70" s="11" t="s">
        <v>3</v>
      </c>
      <c r="D70" s="4">
        <f>D68+D69</f>
        <v>269</v>
      </c>
      <c r="E70" s="4">
        <f t="shared" ref="E70:M70" si="18">E68+E69</f>
        <v>156</v>
      </c>
      <c r="F70" s="4">
        <f t="shared" si="18"/>
        <v>117</v>
      </c>
      <c r="G70" s="4">
        <f t="shared" si="18"/>
        <v>140</v>
      </c>
      <c r="H70" s="4">
        <f t="shared" si="18"/>
        <v>45</v>
      </c>
      <c r="I70" s="4">
        <f t="shared" si="18"/>
        <v>70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104">
        <f t="shared" si="18"/>
        <v>797</v>
      </c>
    </row>
    <row r="71" spans="1:13" ht="15.6" x14ac:dyDescent="0.3">
      <c r="A71" s="690"/>
      <c r="B71" s="37" t="s">
        <v>81</v>
      </c>
      <c r="C71" s="5" t="s">
        <v>3</v>
      </c>
      <c r="D71" s="26">
        <f>D66+D67-D70</f>
        <v>459</v>
      </c>
      <c r="E71" s="26">
        <f t="shared" ref="E71:L71" si="19">E66+E67-E70</f>
        <v>45</v>
      </c>
      <c r="F71" s="26">
        <f t="shared" si="19"/>
        <v>2</v>
      </c>
      <c r="G71" s="26">
        <f t="shared" si="19"/>
        <v>127</v>
      </c>
      <c r="H71" s="26">
        <f t="shared" si="19"/>
        <v>7</v>
      </c>
      <c r="I71" s="26">
        <f t="shared" si="19"/>
        <v>45</v>
      </c>
      <c r="J71" s="26">
        <f t="shared" si="19"/>
        <v>0</v>
      </c>
      <c r="K71" s="26">
        <f t="shared" si="19"/>
        <v>0</v>
      </c>
      <c r="L71" s="34">
        <f t="shared" si="19"/>
        <v>1</v>
      </c>
      <c r="M71" s="105">
        <f>M66+M67-M70</f>
        <v>483</v>
      </c>
    </row>
    <row r="72" spans="1:13" ht="15.6" x14ac:dyDescent="0.3">
      <c r="A72" s="688" t="s">
        <v>108</v>
      </c>
      <c r="B72" s="37" t="s">
        <v>85</v>
      </c>
      <c r="C72" s="5" t="s">
        <v>3</v>
      </c>
      <c r="D72" s="26">
        <f>Mulanje!D72</f>
        <v>1</v>
      </c>
      <c r="E72" s="26">
        <f>Luchenza!D72</f>
        <v>0</v>
      </c>
      <c r="F72" s="26">
        <f>Thyolo!P72</f>
        <v>0</v>
      </c>
      <c r="G72" s="26">
        <f>Muloza!D72</f>
        <v>0</v>
      </c>
      <c r="H72" s="26">
        <f>MUST!P72</f>
        <v>0</v>
      </c>
      <c r="I72" s="26">
        <f>Phalombe!P72</f>
        <v>0</v>
      </c>
      <c r="J72" s="26">
        <f>Mikolongwe!D72</f>
        <v>0</v>
      </c>
      <c r="K72" s="26">
        <f>Migowi!D72</f>
        <v>0</v>
      </c>
      <c r="L72" s="34">
        <f>Nkando!N72</f>
        <v>0</v>
      </c>
      <c r="M72" s="35">
        <f>D72</f>
        <v>1</v>
      </c>
    </row>
    <row r="73" spans="1:13" ht="15.6" x14ac:dyDescent="0.3">
      <c r="A73" s="689"/>
      <c r="B73" s="24" t="s">
        <v>104</v>
      </c>
      <c r="C73" s="5" t="s">
        <v>3</v>
      </c>
      <c r="D73" s="26">
        <f>Mulanje!P73</f>
        <v>0</v>
      </c>
      <c r="E73" s="26">
        <f>Luchenza!P73</f>
        <v>3</v>
      </c>
      <c r="F73" s="26">
        <f>Thyolo!P73</f>
        <v>0</v>
      </c>
      <c r="G73" s="26">
        <f>Muloza!P73</f>
        <v>3</v>
      </c>
      <c r="H73" s="26">
        <f>MUST!P73</f>
        <v>0</v>
      </c>
      <c r="I73" s="26">
        <f>Phalombe!P73</f>
        <v>0</v>
      </c>
      <c r="J73" s="26">
        <f>Mikolongwe!P73</f>
        <v>0</v>
      </c>
      <c r="K73" s="26">
        <f>Migowi!P73</f>
        <v>0</v>
      </c>
      <c r="L73" s="26">
        <f>Nkando!N73+Nkando!O73+Nkando!P73</f>
        <v>0</v>
      </c>
      <c r="M73" s="35">
        <f>SUM(D73:L73)</f>
        <v>6</v>
      </c>
    </row>
    <row r="74" spans="1:13" ht="27" x14ac:dyDescent="0.3">
      <c r="A74" s="689"/>
      <c r="B74" s="24" t="s">
        <v>103</v>
      </c>
      <c r="C74" s="5" t="s">
        <v>3</v>
      </c>
      <c r="D74" s="26">
        <f>Mulanje!P74</f>
        <v>1</v>
      </c>
      <c r="E74" s="26">
        <f>Luchenza!P74</f>
        <v>2</v>
      </c>
      <c r="F74" s="26">
        <f>Thyolo!P74</f>
        <v>0</v>
      </c>
      <c r="G74" s="26">
        <f>Muloza!P74</f>
        <v>1</v>
      </c>
      <c r="H74" s="26">
        <f>MUST!P74</f>
        <v>0</v>
      </c>
      <c r="I74" s="26">
        <f>Phalombe!P74</f>
        <v>0</v>
      </c>
      <c r="J74" s="26">
        <f>Mikolongwe!P74</f>
        <v>0</v>
      </c>
      <c r="K74" s="26">
        <f>Migowi!P74</f>
        <v>0</v>
      </c>
      <c r="L74" s="26">
        <f>Nkando!N74+Nkando!O74+Nkando!P74</f>
        <v>0</v>
      </c>
      <c r="M74" s="35">
        <f>SUM(D74:L74)</f>
        <v>4</v>
      </c>
    </row>
    <row r="75" spans="1:13" s="2" customFormat="1" ht="27" x14ac:dyDescent="0.3">
      <c r="A75" s="689"/>
      <c r="B75" s="24" t="s">
        <v>102</v>
      </c>
      <c r="C75" s="11" t="s">
        <v>3</v>
      </c>
      <c r="D75" s="26">
        <f>Mulanje!P75</f>
        <v>0</v>
      </c>
      <c r="E75" s="26">
        <f>Luchenza!P75</f>
        <v>1</v>
      </c>
      <c r="F75" s="26">
        <f>Thyolo!P75</f>
        <v>0</v>
      </c>
      <c r="G75" s="26">
        <f>Muloza!P75</f>
        <v>0</v>
      </c>
      <c r="H75" s="26">
        <f>MUST!P75</f>
        <v>0</v>
      </c>
      <c r="I75" s="26">
        <f>Phalombe!P75</f>
        <v>0</v>
      </c>
      <c r="J75" s="26">
        <f>Mikolongwe!P75</f>
        <v>0</v>
      </c>
      <c r="K75" s="26">
        <f>Migowi!P75</f>
        <v>0</v>
      </c>
      <c r="L75" s="26">
        <f>Nkando!N75+Nkando!O75+Nkando!P75</f>
        <v>0</v>
      </c>
      <c r="M75" s="74"/>
    </row>
    <row r="76" spans="1:13" s="2" customFormat="1" ht="15.6" x14ac:dyDescent="0.3">
      <c r="A76" s="689"/>
      <c r="B76" s="24" t="s">
        <v>188</v>
      </c>
      <c r="C76" s="11" t="s">
        <v>3</v>
      </c>
      <c r="D76" s="4">
        <f>D74+D75</f>
        <v>1</v>
      </c>
      <c r="E76" s="4">
        <f t="shared" ref="E76:L76" si="20">E74+E75</f>
        <v>3</v>
      </c>
      <c r="F76" s="4">
        <f t="shared" si="20"/>
        <v>0</v>
      </c>
      <c r="G76" s="4">
        <f t="shared" si="20"/>
        <v>1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104">
        <f t="shared" ref="M76" si="21">M74+M75</f>
        <v>4</v>
      </c>
    </row>
    <row r="77" spans="1:13" ht="15.6" x14ac:dyDescent="0.3">
      <c r="A77" s="690"/>
      <c r="B77" s="37" t="s">
        <v>81</v>
      </c>
      <c r="C77" s="5" t="s">
        <v>3</v>
      </c>
      <c r="D77" s="26">
        <f>D73+D74-D76</f>
        <v>0</v>
      </c>
      <c r="E77" s="26">
        <f t="shared" ref="E77:M77" si="22">E73+E74-E76</f>
        <v>2</v>
      </c>
      <c r="F77" s="26">
        <f t="shared" si="22"/>
        <v>0</v>
      </c>
      <c r="G77" s="26">
        <f t="shared" si="22"/>
        <v>3</v>
      </c>
      <c r="H77" s="26">
        <f t="shared" si="22"/>
        <v>0</v>
      </c>
      <c r="I77" s="26">
        <f t="shared" si="22"/>
        <v>0</v>
      </c>
      <c r="J77" s="26">
        <f t="shared" si="22"/>
        <v>0</v>
      </c>
      <c r="K77" s="26">
        <f t="shared" si="22"/>
        <v>0</v>
      </c>
      <c r="L77" s="34">
        <f t="shared" ref="L77" si="23">L72+L73-L76</f>
        <v>0</v>
      </c>
      <c r="M77" s="105">
        <f t="shared" si="22"/>
        <v>6</v>
      </c>
    </row>
    <row r="78" spans="1:13" ht="15.6" customHeight="1" x14ac:dyDescent="0.3">
      <c r="A78" s="688" t="s">
        <v>107</v>
      </c>
      <c r="B78" s="37" t="s">
        <v>85</v>
      </c>
      <c r="C78" s="5" t="s">
        <v>3</v>
      </c>
      <c r="D78" s="26">
        <f>Mulanje!D78</f>
        <v>1</v>
      </c>
      <c r="E78" s="26">
        <f>Luchenza!D78</f>
        <v>0</v>
      </c>
      <c r="F78" s="26">
        <f>Thyolo!P78</f>
        <v>0</v>
      </c>
      <c r="G78" s="26">
        <f>Muloza!D78</f>
        <v>0</v>
      </c>
      <c r="H78" s="26">
        <f>MUST!P78</f>
        <v>0</v>
      </c>
      <c r="I78" s="26">
        <f>Phalombe!P78</f>
        <v>4</v>
      </c>
      <c r="J78" s="26">
        <f>Mikolongwe!D78</f>
        <v>0</v>
      </c>
      <c r="K78" s="26">
        <f>Migowi!D78</f>
        <v>0</v>
      </c>
      <c r="L78" s="34">
        <f>Nkando!N78</f>
        <v>0</v>
      </c>
      <c r="M78" s="35">
        <f>D78</f>
        <v>1</v>
      </c>
    </row>
    <row r="79" spans="1:13" ht="15.6" x14ac:dyDescent="0.3">
      <c r="A79" s="689"/>
      <c r="B79" s="24" t="s">
        <v>104</v>
      </c>
      <c r="C79" s="5" t="s">
        <v>3</v>
      </c>
      <c r="D79" s="26">
        <f>Mulanje!P79</f>
        <v>13</v>
      </c>
      <c r="E79" s="26">
        <f>Luchenza!P79</f>
        <v>0</v>
      </c>
      <c r="F79" s="26">
        <f>Thyolo!P79</f>
        <v>2</v>
      </c>
      <c r="G79" s="26">
        <f>Muloza!P79</f>
        <v>2</v>
      </c>
      <c r="H79" s="26">
        <f>MUST!P79</f>
        <v>0</v>
      </c>
      <c r="I79" s="26">
        <f>Phalombe!P79</f>
        <v>0</v>
      </c>
      <c r="J79" s="26">
        <f>Mikolongwe!P79</f>
        <v>0</v>
      </c>
      <c r="K79" s="26">
        <f>Migowi!P79</f>
        <v>0</v>
      </c>
      <c r="L79" s="26">
        <f>Nkando!N79+Nkando!O79+Nkando!P79</f>
        <v>0</v>
      </c>
      <c r="M79" s="35">
        <f>SUM(D79:L79)</f>
        <v>17</v>
      </c>
    </row>
    <row r="80" spans="1:13" ht="27" x14ac:dyDescent="0.3">
      <c r="A80" s="689"/>
      <c r="B80" s="24" t="s">
        <v>103</v>
      </c>
      <c r="C80" s="5" t="s">
        <v>3</v>
      </c>
      <c r="D80" s="26">
        <f>Mulanje!P80</f>
        <v>10</v>
      </c>
      <c r="E80" s="26">
        <f>Luchenza!P80</f>
        <v>0</v>
      </c>
      <c r="F80" s="26">
        <f>Thyolo!P80</f>
        <v>1</v>
      </c>
      <c r="G80" s="26">
        <f>Muloza!P80</f>
        <v>2</v>
      </c>
      <c r="H80" s="26">
        <f>MUST!P80</f>
        <v>0</v>
      </c>
      <c r="I80" s="26">
        <f>Phalombe!P80</f>
        <v>0</v>
      </c>
      <c r="J80" s="26">
        <f>Mikolongwe!P80</f>
        <v>0</v>
      </c>
      <c r="K80" s="26">
        <f>Migowi!P80</f>
        <v>0</v>
      </c>
      <c r="L80" s="26">
        <f>Nkando!N80+Nkando!O80+Nkando!P80</f>
        <v>0</v>
      </c>
      <c r="M80" s="35">
        <f>SUM(D80:L80)</f>
        <v>13</v>
      </c>
    </row>
    <row r="81" spans="1:13" s="2" customFormat="1" ht="27" x14ac:dyDescent="0.3">
      <c r="A81" s="689"/>
      <c r="B81" s="24" t="s">
        <v>102</v>
      </c>
      <c r="C81" s="11" t="s">
        <v>3</v>
      </c>
      <c r="D81" s="26">
        <f>Mulanje!P81</f>
        <v>4</v>
      </c>
      <c r="E81" s="26">
        <f>Luchenza!P81</f>
        <v>0</v>
      </c>
      <c r="F81" s="26">
        <f>Thyolo!P81</f>
        <v>1</v>
      </c>
      <c r="G81" s="26">
        <f>Muloza!P81</f>
        <v>0</v>
      </c>
      <c r="H81" s="26">
        <f>MUST!P81</f>
        <v>0</v>
      </c>
      <c r="I81" s="26">
        <f>Phalombe!P81</f>
        <v>0</v>
      </c>
      <c r="J81" s="26">
        <f>Mikolongwe!P81</f>
        <v>0</v>
      </c>
      <c r="K81" s="26">
        <f>Migowi!P81</f>
        <v>0</v>
      </c>
      <c r="L81" s="26">
        <f>Nkando!N81+Nkando!O81+Nkando!P81</f>
        <v>0</v>
      </c>
      <c r="M81" s="74">
        <f>SUM(D81:L81)</f>
        <v>5</v>
      </c>
    </row>
    <row r="82" spans="1:13" s="2" customFormat="1" ht="15.6" x14ac:dyDescent="0.3">
      <c r="A82" s="689"/>
      <c r="B82" s="24" t="s">
        <v>188</v>
      </c>
      <c r="C82" s="11" t="s">
        <v>3</v>
      </c>
      <c r="D82" s="4">
        <f>D80+D81</f>
        <v>14</v>
      </c>
      <c r="E82" s="4">
        <f t="shared" ref="E82:L82" si="24">E80+E81</f>
        <v>0</v>
      </c>
      <c r="F82" s="4">
        <f t="shared" si="24"/>
        <v>2</v>
      </c>
      <c r="G82" s="4">
        <f t="shared" si="24"/>
        <v>2</v>
      </c>
      <c r="H82" s="4">
        <f t="shared" si="24"/>
        <v>0</v>
      </c>
      <c r="I82" s="4">
        <f t="shared" si="24"/>
        <v>0</v>
      </c>
      <c r="J82" s="4">
        <f t="shared" si="24"/>
        <v>0</v>
      </c>
      <c r="K82" s="4">
        <f t="shared" si="24"/>
        <v>0</v>
      </c>
      <c r="L82" s="4">
        <f t="shared" si="24"/>
        <v>0</v>
      </c>
      <c r="M82" s="104">
        <f t="shared" ref="M82" si="25">M81+M80</f>
        <v>18</v>
      </c>
    </row>
    <row r="83" spans="1:13" ht="15.6" x14ac:dyDescent="0.3">
      <c r="A83" s="690"/>
      <c r="B83" s="37" t="s">
        <v>81</v>
      </c>
      <c r="C83" s="5" t="s">
        <v>3</v>
      </c>
      <c r="D83" s="26">
        <f>D78+D79-D82</f>
        <v>0</v>
      </c>
      <c r="E83" s="26">
        <f t="shared" ref="E83:M83" si="26">E78+E79-E82</f>
        <v>0</v>
      </c>
      <c r="F83" s="26">
        <f t="shared" si="26"/>
        <v>0</v>
      </c>
      <c r="G83" s="26">
        <f t="shared" si="26"/>
        <v>0</v>
      </c>
      <c r="H83" s="26">
        <f t="shared" si="26"/>
        <v>0</v>
      </c>
      <c r="I83" s="26">
        <f t="shared" si="26"/>
        <v>4</v>
      </c>
      <c r="J83" s="26">
        <f t="shared" si="26"/>
        <v>0</v>
      </c>
      <c r="K83" s="26">
        <f t="shared" si="26"/>
        <v>0</v>
      </c>
      <c r="L83" s="34">
        <f t="shared" si="26"/>
        <v>0</v>
      </c>
      <c r="M83" s="105">
        <f t="shared" si="26"/>
        <v>0</v>
      </c>
    </row>
    <row r="84" spans="1:13" ht="15.6" x14ac:dyDescent="0.3">
      <c r="A84" s="691" t="s">
        <v>106</v>
      </c>
      <c r="B84" s="37" t="s">
        <v>85</v>
      </c>
      <c r="C84" s="5" t="s">
        <v>3</v>
      </c>
      <c r="D84" s="26">
        <f>Mulanje!D84</f>
        <v>0</v>
      </c>
      <c r="E84" s="26">
        <f>Luchenza!D84</f>
        <v>0</v>
      </c>
      <c r="F84" s="26">
        <f>Thyolo!P84</f>
        <v>0</v>
      </c>
      <c r="G84" s="26">
        <f>Muloza!D84</f>
        <v>0</v>
      </c>
      <c r="H84" s="26">
        <f>MUST!P84</f>
        <v>0</v>
      </c>
      <c r="I84" s="26">
        <f>Phalombe!P84</f>
        <v>0</v>
      </c>
      <c r="J84" s="26">
        <f>Mikolongwe!D84</f>
        <v>0</v>
      </c>
      <c r="K84" s="26">
        <f>Migowi!D84</f>
        <v>0</v>
      </c>
      <c r="L84" s="34">
        <f>Nkando!N84</f>
        <v>0</v>
      </c>
      <c r="M84" s="35">
        <f>D84</f>
        <v>0</v>
      </c>
    </row>
    <row r="85" spans="1:13" ht="15.6" x14ac:dyDescent="0.3">
      <c r="A85" s="692"/>
      <c r="B85" s="37" t="s">
        <v>104</v>
      </c>
      <c r="C85" s="5" t="s">
        <v>3</v>
      </c>
      <c r="D85" s="26">
        <f>Mulanje!P85</f>
        <v>2</v>
      </c>
      <c r="E85" s="26">
        <f>Luchenza!P85</f>
        <v>0</v>
      </c>
      <c r="F85" s="26">
        <f>Thyolo!P85</f>
        <v>0</v>
      </c>
      <c r="G85" s="26">
        <f>Muloza!P85</f>
        <v>0</v>
      </c>
      <c r="H85" s="26">
        <f>MUST!P85</f>
        <v>0</v>
      </c>
      <c r="I85" s="26">
        <f>Phalombe!P85</f>
        <v>0</v>
      </c>
      <c r="J85" s="26">
        <f>Mikolongwe!P85</f>
        <v>0</v>
      </c>
      <c r="K85" s="26">
        <f>Migowi!P85</f>
        <v>0</v>
      </c>
      <c r="L85" s="26">
        <f>Nkando!N85+Nkando!O85+Nkando!P85</f>
        <v>0</v>
      </c>
      <c r="M85" s="35">
        <f>SUM(D85:L85)</f>
        <v>2</v>
      </c>
    </row>
    <row r="86" spans="1:13" ht="27" x14ac:dyDescent="0.3">
      <c r="A86" s="692"/>
      <c r="B86" s="37" t="s">
        <v>103</v>
      </c>
      <c r="C86" s="5" t="s">
        <v>3</v>
      </c>
      <c r="D86" s="26">
        <f>Mulanje!P86</f>
        <v>0</v>
      </c>
      <c r="E86" s="26">
        <f>Luchenza!P86</f>
        <v>0</v>
      </c>
      <c r="F86" s="26">
        <f>Thyolo!P86</f>
        <v>0</v>
      </c>
      <c r="G86" s="26">
        <f>Muloza!P86</f>
        <v>0</v>
      </c>
      <c r="H86" s="26">
        <f>MUST!P86</f>
        <v>0</v>
      </c>
      <c r="I86" s="26">
        <f>Phalombe!P86</f>
        <v>0</v>
      </c>
      <c r="J86" s="26">
        <f>Mikolongwe!P86</f>
        <v>0</v>
      </c>
      <c r="K86" s="26">
        <f>Migowi!P86</f>
        <v>0</v>
      </c>
      <c r="L86" s="26">
        <f>Nkando!N86+Nkando!O86+Nkando!P86</f>
        <v>0</v>
      </c>
      <c r="M86" s="35">
        <f>SUM(D86:L86)</f>
        <v>0</v>
      </c>
    </row>
    <row r="87" spans="1:13" s="2" customFormat="1" ht="27" x14ac:dyDescent="0.3">
      <c r="A87" s="692"/>
      <c r="B87" s="24" t="s">
        <v>102</v>
      </c>
      <c r="C87" s="11" t="s">
        <v>3</v>
      </c>
      <c r="D87" s="26">
        <f>Mulanje!P87</f>
        <v>2</v>
      </c>
      <c r="E87" s="26">
        <f>Luchenza!P87</f>
        <v>0</v>
      </c>
      <c r="F87" s="26">
        <f>Thyolo!P87</f>
        <v>0</v>
      </c>
      <c r="G87" s="26">
        <f>Muloza!P87</f>
        <v>0</v>
      </c>
      <c r="H87" s="26">
        <f>MUST!P87</f>
        <v>0</v>
      </c>
      <c r="I87" s="26">
        <f>Phalombe!P87</f>
        <v>0</v>
      </c>
      <c r="J87" s="26">
        <f>Mikolongwe!P87</f>
        <v>0</v>
      </c>
      <c r="K87" s="26">
        <f>Migowi!P87</f>
        <v>0</v>
      </c>
      <c r="L87" s="26">
        <f>Nkando!N87+Nkando!O87+Nkando!P87</f>
        <v>0</v>
      </c>
      <c r="M87" s="74">
        <f>SUM(D87:L87)</f>
        <v>2</v>
      </c>
    </row>
    <row r="88" spans="1:13" s="2" customFormat="1" ht="15.6" x14ac:dyDescent="0.3">
      <c r="A88" s="692"/>
      <c r="B88" s="24" t="s">
        <v>188</v>
      </c>
      <c r="C88" s="11" t="s">
        <v>3</v>
      </c>
      <c r="D88" s="4">
        <f>D86+D87</f>
        <v>2</v>
      </c>
      <c r="E88" s="4">
        <f t="shared" ref="E88:L88" si="27">E86+E87</f>
        <v>0</v>
      </c>
      <c r="F88" s="4">
        <f t="shared" si="27"/>
        <v>0</v>
      </c>
      <c r="G88" s="4">
        <f t="shared" si="27"/>
        <v>0</v>
      </c>
      <c r="H88" s="4">
        <f t="shared" si="27"/>
        <v>0</v>
      </c>
      <c r="I88" s="4">
        <f t="shared" si="27"/>
        <v>0</v>
      </c>
      <c r="J88" s="4">
        <f t="shared" si="27"/>
        <v>0</v>
      </c>
      <c r="K88" s="4">
        <f t="shared" si="27"/>
        <v>0</v>
      </c>
      <c r="L88" s="4">
        <f t="shared" si="27"/>
        <v>0</v>
      </c>
      <c r="M88" s="74">
        <f>SUM(D88:L88)</f>
        <v>2</v>
      </c>
    </row>
    <row r="89" spans="1:13" ht="15.6" x14ac:dyDescent="0.3">
      <c r="A89" s="693"/>
      <c r="B89" s="36" t="s">
        <v>81</v>
      </c>
      <c r="C89" s="5" t="s">
        <v>3</v>
      </c>
      <c r="D89" s="26">
        <f>D84+D85-D88</f>
        <v>0</v>
      </c>
      <c r="E89" s="26"/>
      <c r="F89" s="26"/>
      <c r="G89" s="26"/>
      <c r="H89" s="26"/>
      <c r="I89" s="26"/>
      <c r="J89" s="26"/>
      <c r="K89" s="26"/>
      <c r="L89" s="34">
        <f t="shared" ref="L89" si="28">L84+L85-L88</f>
        <v>0</v>
      </c>
      <c r="M89" s="105">
        <f t="shared" ref="M89" si="29">M84+M85-M86-M87</f>
        <v>0</v>
      </c>
    </row>
    <row r="90" spans="1:13" ht="15.6" x14ac:dyDescent="0.3">
      <c r="A90" s="694" t="s">
        <v>105</v>
      </c>
      <c r="B90" s="24" t="s">
        <v>85</v>
      </c>
      <c r="C90" s="11" t="s">
        <v>3</v>
      </c>
      <c r="D90" s="135">
        <f>D66+D72+D78+D84</f>
        <v>591</v>
      </c>
      <c r="E90" s="135">
        <f t="shared" ref="E90:L93" si="30">E66+E72+E78+E84</f>
        <v>10</v>
      </c>
      <c r="F90" s="135">
        <f t="shared" si="30"/>
        <v>11</v>
      </c>
      <c r="G90" s="135">
        <f t="shared" si="30"/>
        <v>98</v>
      </c>
      <c r="H90" s="135">
        <f t="shared" si="30"/>
        <v>5</v>
      </c>
      <c r="I90" s="135">
        <f t="shared" si="30"/>
        <v>82</v>
      </c>
      <c r="J90" s="135">
        <f t="shared" si="30"/>
        <v>0</v>
      </c>
      <c r="K90" s="135">
        <f t="shared" si="30"/>
        <v>0</v>
      </c>
      <c r="L90" s="135">
        <f t="shared" si="30"/>
        <v>1</v>
      </c>
      <c r="M90" s="35">
        <f>SUM(D90:L90)</f>
        <v>798</v>
      </c>
    </row>
    <row r="91" spans="1:13" ht="15.6" x14ac:dyDescent="0.3">
      <c r="A91" s="695"/>
      <c r="B91" s="24" t="s">
        <v>104</v>
      </c>
      <c r="C91" s="11" t="s">
        <v>3</v>
      </c>
      <c r="D91" s="135">
        <f t="shared" ref="D91:K93" si="31">D67+D73+D79+D85</f>
        <v>154</v>
      </c>
      <c r="E91" s="135">
        <f t="shared" si="31"/>
        <v>194</v>
      </c>
      <c r="F91" s="135">
        <f t="shared" si="31"/>
        <v>110</v>
      </c>
      <c r="G91" s="135">
        <f t="shared" si="31"/>
        <v>174</v>
      </c>
      <c r="H91" s="135">
        <f t="shared" si="31"/>
        <v>47</v>
      </c>
      <c r="I91" s="135">
        <f t="shared" si="31"/>
        <v>37</v>
      </c>
      <c r="J91" s="135">
        <f t="shared" si="31"/>
        <v>0</v>
      </c>
      <c r="K91" s="135">
        <f t="shared" si="31"/>
        <v>0</v>
      </c>
      <c r="L91" s="135">
        <f t="shared" si="30"/>
        <v>0</v>
      </c>
      <c r="M91" s="35">
        <f>SUM(D91:L91)</f>
        <v>716</v>
      </c>
    </row>
    <row r="92" spans="1:13" ht="27" x14ac:dyDescent="0.3">
      <c r="A92" s="695"/>
      <c r="B92" s="24" t="s">
        <v>103</v>
      </c>
      <c r="C92" s="11" t="s">
        <v>3</v>
      </c>
      <c r="D92" s="135">
        <f t="shared" si="31"/>
        <v>279</v>
      </c>
      <c r="E92" s="135">
        <f t="shared" si="31"/>
        <v>158</v>
      </c>
      <c r="F92" s="135">
        <f t="shared" si="31"/>
        <v>116</v>
      </c>
      <c r="G92" s="135">
        <f t="shared" si="31"/>
        <v>143</v>
      </c>
      <c r="H92" s="135">
        <f t="shared" si="31"/>
        <v>37</v>
      </c>
      <c r="I92" s="135">
        <f t="shared" si="31"/>
        <v>37</v>
      </c>
      <c r="J92" s="135">
        <f t="shared" si="31"/>
        <v>0</v>
      </c>
      <c r="K92" s="135">
        <f t="shared" si="31"/>
        <v>0</v>
      </c>
      <c r="L92" s="135">
        <f t="shared" si="30"/>
        <v>0</v>
      </c>
      <c r="M92" s="35">
        <f>SUM(D92:L92)</f>
        <v>770</v>
      </c>
    </row>
    <row r="93" spans="1:13" s="2" customFormat="1" ht="27" x14ac:dyDescent="0.3">
      <c r="A93" s="695"/>
      <c r="B93" s="24" t="s">
        <v>102</v>
      </c>
      <c r="C93" s="11"/>
      <c r="D93" s="135">
        <f t="shared" si="31"/>
        <v>7</v>
      </c>
      <c r="E93" s="135">
        <f t="shared" si="31"/>
        <v>1</v>
      </c>
      <c r="F93" s="135">
        <f t="shared" si="31"/>
        <v>3</v>
      </c>
      <c r="G93" s="135">
        <f t="shared" si="31"/>
        <v>0</v>
      </c>
      <c r="H93" s="135">
        <f t="shared" si="31"/>
        <v>8</v>
      </c>
      <c r="I93" s="135">
        <f t="shared" si="31"/>
        <v>33</v>
      </c>
      <c r="J93" s="135">
        <f t="shared" si="31"/>
        <v>0</v>
      </c>
      <c r="K93" s="135">
        <f t="shared" si="31"/>
        <v>0</v>
      </c>
      <c r="L93" s="135">
        <f t="shared" si="30"/>
        <v>0</v>
      </c>
      <c r="M93" s="35">
        <f>SUM(D93:L93)</f>
        <v>52</v>
      </c>
    </row>
    <row r="94" spans="1:13" s="2" customFormat="1" ht="15.6" x14ac:dyDescent="0.3">
      <c r="A94" s="695"/>
      <c r="B94" s="24" t="s">
        <v>188</v>
      </c>
      <c r="C94" s="11" t="s">
        <v>3</v>
      </c>
      <c r="D94" s="136">
        <f>D93+D92</f>
        <v>286</v>
      </c>
      <c r="E94" s="136">
        <f t="shared" ref="E94:L94" si="32">E93+E92</f>
        <v>159</v>
      </c>
      <c r="F94" s="136">
        <f t="shared" si="32"/>
        <v>119</v>
      </c>
      <c r="G94" s="136">
        <f t="shared" si="32"/>
        <v>143</v>
      </c>
      <c r="H94" s="136">
        <f t="shared" si="32"/>
        <v>45</v>
      </c>
      <c r="I94" s="136">
        <f t="shared" si="32"/>
        <v>70</v>
      </c>
      <c r="J94" s="136">
        <f t="shared" si="32"/>
        <v>0</v>
      </c>
      <c r="K94" s="136">
        <f t="shared" si="32"/>
        <v>0</v>
      </c>
      <c r="L94" s="136">
        <f t="shared" si="32"/>
        <v>0</v>
      </c>
      <c r="M94" s="143">
        <f t="shared" ref="M94" si="33">M93+M92</f>
        <v>822</v>
      </c>
    </row>
    <row r="95" spans="1:13" ht="16.2" thickBot="1" x14ac:dyDescent="0.35">
      <c r="A95" s="696"/>
      <c r="B95" s="24" t="s">
        <v>81</v>
      </c>
      <c r="C95" s="11" t="s">
        <v>3</v>
      </c>
      <c r="D95" s="137">
        <f>D90+D91-D94</f>
        <v>459</v>
      </c>
      <c r="E95" s="137">
        <f t="shared" ref="E95:L95" si="34">E90+E91-E94</f>
        <v>45</v>
      </c>
      <c r="F95" s="137">
        <f t="shared" si="34"/>
        <v>2</v>
      </c>
      <c r="G95" s="137">
        <f t="shared" si="34"/>
        <v>129</v>
      </c>
      <c r="H95" s="137">
        <f t="shared" si="34"/>
        <v>7</v>
      </c>
      <c r="I95" s="137">
        <f t="shared" si="34"/>
        <v>49</v>
      </c>
      <c r="J95" s="137">
        <f t="shared" si="34"/>
        <v>0</v>
      </c>
      <c r="K95" s="137">
        <f t="shared" si="34"/>
        <v>0</v>
      </c>
      <c r="L95" s="137">
        <f t="shared" si="34"/>
        <v>1</v>
      </c>
      <c r="M95" s="144">
        <f t="shared" ref="M95" si="35">M90+M91-M94</f>
        <v>692</v>
      </c>
    </row>
    <row r="96" spans="1:13" ht="16.2" customHeight="1" thickBot="1" x14ac:dyDescent="0.35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4"/>
    </row>
    <row r="97" spans="1:13" s="2" customFormat="1" ht="15.75" customHeight="1" thickBot="1" x14ac:dyDescent="0.35">
      <c r="A97" s="697" t="s">
        <v>189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9"/>
    </row>
    <row r="98" spans="1:13" ht="15.6" x14ac:dyDescent="0.3">
      <c r="A98" s="88" t="s">
        <v>190</v>
      </c>
      <c r="B98" s="69"/>
      <c r="C98" s="11" t="s">
        <v>3</v>
      </c>
      <c r="D98" s="26">
        <f>Mulanje!P98</f>
        <v>13</v>
      </c>
      <c r="E98" s="26">
        <f>Luchenza!P98</f>
        <v>13</v>
      </c>
      <c r="F98" s="26">
        <f>Thyolo!P98</f>
        <v>56</v>
      </c>
      <c r="G98" s="26">
        <f>Muloza!P98</f>
        <v>8</v>
      </c>
      <c r="H98" s="26">
        <f>MUST!P98</f>
        <v>14</v>
      </c>
      <c r="I98" s="26">
        <f>Phalombe!P98</f>
        <v>45</v>
      </c>
      <c r="J98" s="26">
        <f>Mikolongwe!P98</f>
        <v>0</v>
      </c>
      <c r="K98" s="26">
        <f>Migowi!P98</f>
        <v>1</v>
      </c>
      <c r="L98" s="26">
        <f>Nkando!N98+Nkando!O98+Nkando!P98</f>
        <v>0</v>
      </c>
      <c r="M98" s="107">
        <f>SUM(D98:K98)</f>
        <v>150</v>
      </c>
    </row>
    <row r="99" spans="1:13" ht="15.6" x14ac:dyDescent="0.3">
      <c r="A99" s="88"/>
      <c r="B99" s="24"/>
      <c r="C99" s="11"/>
      <c r="D99" s="65">
        <f>D94/3269*400</f>
        <v>34.995411440807587</v>
      </c>
      <c r="E99" s="65">
        <f t="shared" ref="E99:K99" si="36">E94/3269*400</f>
        <v>19.455490975833591</v>
      </c>
      <c r="F99" s="65">
        <f t="shared" si="36"/>
        <v>14.5610278372591</v>
      </c>
      <c r="G99" s="65">
        <f t="shared" si="36"/>
        <v>17.497705720403793</v>
      </c>
      <c r="H99" s="65">
        <f t="shared" si="36"/>
        <v>5.5062710308962988</v>
      </c>
      <c r="I99" s="65">
        <f t="shared" si="36"/>
        <v>8.5653104925053523</v>
      </c>
      <c r="J99" s="65">
        <f t="shared" si="36"/>
        <v>0</v>
      </c>
      <c r="K99" s="65">
        <f t="shared" si="36"/>
        <v>0</v>
      </c>
      <c r="L99" s="66"/>
      <c r="M99" s="106"/>
    </row>
    <row r="100" spans="1:13" s="2" customFormat="1" x14ac:dyDescent="0.3">
      <c r="A100" s="680" t="s">
        <v>101</v>
      </c>
      <c r="B100" s="681"/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2"/>
    </row>
    <row r="101" spans="1:13" ht="15.6" x14ac:dyDescent="0.3">
      <c r="A101" s="661" t="s">
        <v>100</v>
      </c>
      <c r="B101" s="662"/>
      <c r="C101" s="11" t="s">
        <v>3</v>
      </c>
      <c r="D101" s="26">
        <f>Mulanje!P101</f>
        <v>675</v>
      </c>
      <c r="E101" s="26">
        <f>Luchenza!P101</f>
        <v>1068</v>
      </c>
      <c r="F101" s="26">
        <f>Thyolo!P101</f>
        <v>485</v>
      </c>
      <c r="G101" s="26">
        <f>Muloza!P101</f>
        <v>498</v>
      </c>
      <c r="H101" s="26">
        <f>MUST!P101</f>
        <v>25</v>
      </c>
      <c r="I101" s="26">
        <f>Phalombe!P101</f>
        <v>238</v>
      </c>
      <c r="J101" s="26">
        <f>Mikolongwe!P101</f>
        <v>16</v>
      </c>
      <c r="K101" s="26">
        <f>Migowi!P101</f>
        <v>0</v>
      </c>
      <c r="L101" s="26">
        <f>Nkando!P101</f>
        <v>46</v>
      </c>
      <c r="M101" s="171">
        <f>SUM(D101:L101)</f>
        <v>3051</v>
      </c>
    </row>
    <row r="102" spans="1:13" ht="15.6" x14ac:dyDescent="0.3">
      <c r="A102" s="661" t="s">
        <v>99</v>
      </c>
      <c r="B102" s="662"/>
      <c r="C102" s="11" t="s">
        <v>3</v>
      </c>
      <c r="D102" s="26">
        <f>Mulanje!P102</f>
        <v>46</v>
      </c>
      <c r="E102" s="26">
        <f>Luchenza!P102</f>
        <v>12</v>
      </c>
      <c r="F102" s="26">
        <f>Thyolo!P102</f>
        <v>18</v>
      </c>
      <c r="G102" s="26">
        <f>Muloza!P102</f>
        <v>18</v>
      </c>
      <c r="H102" s="26">
        <f>MUST!P102</f>
        <v>1</v>
      </c>
      <c r="I102" s="26">
        <f>Phalombe!P102</f>
        <v>14</v>
      </c>
      <c r="J102" s="26">
        <f>Mikolongwe!P102</f>
        <v>2</v>
      </c>
      <c r="K102" s="26">
        <f>Migowi!P102</f>
        <v>0</v>
      </c>
      <c r="L102" s="26">
        <f>Nkando!P102</f>
        <v>6</v>
      </c>
      <c r="M102" s="171">
        <f>SUM(D102:L102)</f>
        <v>117</v>
      </c>
    </row>
    <row r="103" spans="1:13" ht="15.6" customHeight="1" x14ac:dyDescent="0.3">
      <c r="A103" s="663" t="s">
        <v>98</v>
      </c>
      <c r="B103" s="664"/>
      <c r="C103" s="11" t="s">
        <v>3</v>
      </c>
      <c r="D103" s="26">
        <f>Mulanje!P103</f>
        <v>81</v>
      </c>
      <c r="E103" s="26">
        <f>Luchenza!P103</f>
        <v>35</v>
      </c>
      <c r="F103" s="26">
        <f>Thyolo!P103</f>
        <v>82</v>
      </c>
      <c r="G103" s="26">
        <f>Muloza!P103</f>
        <v>73</v>
      </c>
      <c r="H103" s="26">
        <f>MUST!P103</f>
        <v>11</v>
      </c>
      <c r="I103" s="26">
        <f>Phalombe!P103</f>
        <v>25</v>
      </c>
      <c r="J103" s="26">
        <f>Mikolongwe!P103</f>
        <v>0</v>
      </c>
      <c r="K103" s="26">
        <f>Migowi!P103</f>
        <v>0</v>
      </c>
      <c r="L103" s="26">
        <f>Nkando!P103</f>
        <v>5</v>
      </c>
      <c r="M103" s="171">
        <f>SUM(D103:L103)</f>
        <v>312</v>
      </c>
    </row>
    <row r="104" spans="1:13" ht="15.6" x14ac:dyDescent="0.3">
      <c r="A104" s="663" t="s">
        <v>97</v>
      </c>
      <c r="B104" s="664"/>
      <c r="C104" s="11" t="s">
        <v>3</v>
      </c>
      <c r="D104" s="26">
        <f>Mulanje!P104</f>
        <v>15</v>
      </c>
      <c r="E104" s="26">
        <f>Luchenza!P104</f>
        <v>20</v>
      </c>
      <c r="F104" s="26">
        <f>Thyolo!P104</f>
        <v>16</v>
      </c>
      <c r="G104" s="26">
        <f>Muloza!P104</f>
        <v>0</v>
      </c>
      <c r="H104" s="26">
        <f>MUST!P104</f>
        <v>0</v>
      </c>
      <c r="I104" s="26">
        <f>Phalombe!P104</f>
        <v>0</v>
      </c>
      <c r="J104" s="26">
        <f>Mikolongwe!P104</f>
        <v>0</v>
      </c>
      <c r="K104" s="26">
        <f>Migowi!P104</f>
        <v>0</v>
      </c>
      <c r="L104" s="26">
        <f>Nkando!P104</f>
        <v>11</v>
      </c>
      <c r="M104" s="171">
        <f>SUM(D104:L104)</f>
        <v>62</v>
      </c>
    </row>
    <row r="105" spans="1:13" ht="15.6" x14ac:dyDescent="0.3">
      <c r="A105" s="686" t="s">
        <v>96</v>
      </c>
      <c r="B105" s="687"/>
      <c r="C105" s="11" t="s">
        <v>3</v>
      </c>
      <c r="D105" s="33">
        <f>SUM(D101:D104)</f>
        <v>817</v>
      </c>
      <c r="E105" s="33">
        <f t="shared" ref="E105:M105" si="37">SUM(E101:E104)</f>
        <v>1135</v>
      </c>
      <c r="F105" s="33">
        <f t="shared" si="37"/>
        <v>601</v>
      </c>
      <c r="G105" s="33">
        <f t="shared" si="37"/>
        <v>589</v>
      </c>
      <c r="H105" s="33">
        <f t="shared" si="37"/>
        <v>37</v>
      </c>
      <c r="I105" s="33">
        <f t="shared" si="37"/>
        <v>277</v>
      </c>
      <c r="J105" s="33">
        <f t="shared" si="37"/>
        <v>18</v>
      </c>
      <c r="K105" s="33">
        <f t="shared" si="37"/>
        <v>0</v>
      </c>
      <c r="L105" s="33">
        <f t="shared" ref="L105" si="38">SUM(L101:L104)</f>
        <v>68</v>
      </c>
      <c r="M105" s="55">
        <f t="shared" si="37"/>
        <v>3542</v>
      </c>
    </row>
    <row r="106" spans="1:13" s="2" customFormat="1" ht="15.6" customHeight="1" x14ac:dyDescent="0.3">
      <c r="A106" s="683" t="s">
        <v>210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5"/>
    </row>
    <row r="107" spans="1:13" ht="15.6" x14ac:dyDescent="0.3">
      <c r="A107" s="661" t="s">
        <v>193</v>
      </c>
      <c r="B107" s="662"/>
      <c r="C107" s="11" t="s">
        <v>3</v>
      </c>
      <c r="D107" s="26">
        <f>Mulanje!P107</f>
        <v>2163</v>
      </c>
      <c r="E107" s="26">
        <f>Luchenza!P107</f>
        <v>980</v>
      </c>
      <c r="F107" s="26">
        <f>Thyolo!P107</f>
        <v>1024</v>
      </c>
      <c r="G107" s="26">
        <f>Muloza!P107</f>
        <v>558</v>
      </c>
      <c r="H107" s="26">
        <f>MUST!P107</f>
        <v>92</v>
      </c>
      <c r="I107" s="26">
        <f>Phalombe!P107</f>
        <v>535</v>
      </c>
      <c r="J107" s="26">
        <f>Mikolongwe!P107</f>
        <v>20</v>
      </c>
      <c r="K107" s="26">
        <f>Migowi!P107</f>
        <v>0</v>
      </c>
      <c r="L107" s="26">
        <f>Nkando!P107</f>
        <v>138</v>
      </c>
      <c r="M107" s="171">
        <f>SUM(D107:L107)</f>
        <v>5510</v>
      </c>
    </row>
    <row r="108" spans="1:13" ht="15.6" x14ac:dyDescent="0.3">
      <c r="A108" s="661" t="s">
        <v>194</v>
      </c>
      <c r="B108" s="662"/>
      <c r="C108" s="11" t="s">
        <v>3</v>
      </c>
      <c r="D108" s="26">
        <f>Mulanje!P108</f>
        <v>26</v>
      </c>
      <c r="E108" s="26">
        <f>Luchenza!P108</f>
        <v>9</v>
      </c>
      <c r="F108" s="26">
        <f>Thyolo!P108</f>
        <v>8</v>
      </c>
      <c r="G108" s="26">
        <f>Muloza!P108</f>
        <v>5</v>
      </c>
      <c r="H108" s="26">
        <f>MUST!P108</f>
        <v>0</v>
      </c>
      <c r="I108" s="26">
        <f>Phalombe!P108</f>
        <v>2</v>
      </c>
      <c r="J108" s="26">
        <f>Mikolongwe!P108</f>
        <v>0</v>
      </c>
      <c r="K108" s="26">
        <f>Migowi!P108</f>
        <v>0</v>
      </c>
      <c r="L108" s="26">
        <f>Nkando!P108</f>
        <v>7</v>
      </c>
      <c r="M108" s="171">
        <f>SUM(D108:L108)</f>
        <v>57</v>
      </c>
    </row>
    <row r="109" spans="1:13" ht="15.6" x14ac:dyDescent="0.3">
      <c r="A109" s="661" t="s">
        <v>195</v>
      </c>
      <c r="B109" s="662"/>
      <c r="C109" s="11" t="s">
        <v>3</v>
      </c>
      <c r="D109" s="26">
        <f>Mulanje!P109</f>
        <v>19</v>
      </c>
      <c r="E109" s="26">
        <f>Luchenza!P109</f>
        <v>19</v>
      </c>
      <c r="F109" s="26">
        <f>Thyolo!P109</f>
        <v>11</v>
      </c>
      <c r="G109" s="26">
        <f>Muloza!P109</f>
        <v>40</v>
      </c>
      <c r="H109" s="26">
        <f>MUST!P109</f>
        <v>2</v>
      </c>
      <c r="I109" s="26">
        <f>Phalombe!P109</f>
        <v>3</v>
      </c>
      <c r="J109" s="26">
        <f>Mikolongwe!P109</f>
        <v>0</v>
      </c>
      <c r="K109" s="26">
        <f>Migowi!P109</f>
        <v>0</v>
      </c>
      <c r="L109" s="26">
        <f>Nkando!P109</f>
        <v>15</v>
      </c>
      <c r="M109" s="171">
        <f>SUM(D109:L109)</f>
        <v>109</v>
      </c>
    </row>
    <row r="110" spans="1:13" ht="15.6" x14ac:dyDescent="0.3">
      <c r="A110" s="661" t="s">
        <v>196</v>
      </c>
      <c r="B110" s="662"/>
      <c r="C110" s="11" t="s">
        <v>3</v>
      </c>
      <c r="D110" s="26">
        <f>Mulanje!P110</f>
        <v>12</v>
      </c>
      <c r="E110" s="26">
        <f>Luchenza!P110</f>
        <v>2</v>
      </c>
      <c r="F110" s="26">
        <f>Thyolo!P110</f>
        <v>2</v>
      </c>
      <c r="G110" s="26">
        <f>Muloza!P110</f>
        <v>1</v>
      </c>
      <c r="H110" s="26">
        <f>MUST!P110</f>
        <v>0</v>
      </c>
      <c r="I110" s="26">
        <f>Phalombe!P110</f>
        <v>0</v>
      </c>
      <c r="J110" s="26">
        <f>Mikolongwe!P110</f>
        <v>0</v>
      </c>
      <c r="K110" s="26">
        <f>Migowi!P110</f>
        <v>0</v>
      </c>
      <c r="L110" s="26">
        <f>Nkando!P110</f>
        <v>1</v>
      </c>
      <c r="M110" s="171">
        <f>SUM(D110:L110)</f>
        <v>18</v>
      </c>
    </row>
    <row r="111" spans="1:13" ht="15.6" x14ac:dyDescent="0.3">
      <c r="A111" s="676" t="s">
        <v>95</v>
      </c>
      <c r="B111" s="677"/>
      <c r="C111" s="11" t="s">
        <v>3</v>
      </c>
      <c r="D111" s="33">
        <f>SUM(D107:D110)</f>
        <v>2220</v>
      </c>
      <c r="E111" s="33">
        <f t="shared" ref="E111:M111" si="39">SUM(E107:E110)</f>
        <v>1010</v>
      </c>
      <c r="F111" s="33">
        <f t="shared" si="39"/>
        <v>1045</v>
      </c>
      <c r="G111" s="33">
        <f t="shared" si="39"/>
        <v>604</v>
      </c>
      <c r="H111" s="33">
        <f t="shared" si="39"/>
        <v>94</v>
      </c>
      <c r="I111" s="33">
        <f t="shared" si="39"/>
        <v>540</v>
      </c>
      <c r="J111" s="33">
        <f t="shared" si="39"/>
        <v>20</v>
      </c>
      <c r="K111" s="33">
        <f t="shared" si="39"/>
        <v>0</v>
      </c>
      <c r="L111" s="33">
        <f t="shared" ref="L111" si="40">SUM(L107:L110)</f>
        <v>161</v>
      </c>
      <c r="M111" s="55">
        <f t="shared" si="39"/>
        <v>5694</v>
      </c>
    </row>
    <row r="112" spans="1:13" s="2" customFormat="1" ht="15.6" customHeight="1" x14ac:dyDescent="0.3">
      <c r="A112" s="680" t="s">
        <v>210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2"/>
    </row>
    <row r="113" spans="1:13" ht="15.6" x14ac:dyDescent="0.3">
      <c r="A113" s="661" t="s">
        <v>197</v>
      </c>
      <c r="B113" s="662"/>
      <c r="C113" s="11" t="s">
        <v>3</v>
      </c>
      <c r="D113" s="26">
        <f>Mulanje!P113</f>
        <v>549</v>
      </c>
      <c r="E113" s="26">
        <f>Luchenza!P113</f>
        <v>288</v>
      </c>
      <c r="F113" s="26">
        <f>Thyolo!P113</f>
        <v>344</v>
      </c>
      <c r="G113" s="26">
        <f>Muloza!P113</f>
        <v>238</v>
      </c>
      <c r="H113" s="26">
        <f>MUST!P113</f>
        <v>56</v>
      </c>
      <c r="I113" s="26">
        <f>Phalombe!P113</f>
        <v>200</v>
      </c>
      <c r="J113" s="26">
        <f>Mikolongwe!P113</f>
        <v>17</v>
      </c>
      <c r="K113" s="26">
        <f>Migowi!P113</f>
        <v>75</v>
      </c>
      <c r="L113" s="26">
        <f>Nkando!P113</f>
        <v>0</v>
      </c>
      <c r="M113" s="171">
        <f t="shared" ref="M113:M118" si="41">SUM(D113:L113)</f>
        <v>1767</v>
      </c>
    </row>
    <row r="114" spans="1:13" ht="15.6" x14ac:dyDescent="0.3">
      <c r="A114" s="661" t="s">
        <v>198</v>
      </c>
      <c r="B114" s="662"/>
      <c r="C114" s="11" t="s">
        <v>3</v>
      </c>
      <c r="D114" s="26">
        <f>Mulanje!P114</f>
        <v>47</v>
      </c>
      <c r="E114" s="26">
        <f>Luchenza!P114</f>
        <v>13</v>
      </c>
      <c r="F114" s="26">
        <f>Thyolo!P114</f>
        <v>34</v>
      </c>
      <c r="G114" s="26">
        <f>Muloza!P114</f>
        <v>10</v>
      </c>
      <c r="H114" s="26">
        <f>MUST!P114</f>
        <v>7</v>
      </c>
      <c r="I114" s="26">
        <f>Phalombe!P114</f>
        <v>20</v>
      </c>
      <c r="J114" s="26">
        <f>Mikolongwe!P114</f>
        <v>8</v>
      </c>
      <c r="K114" s="26">
        <f>Migowi!P114</f>
        <v>1</v>
      </c>
      <c r="L114" s="26">
        <f>Nkando!P114</f>
        <v>0</v>
      </c>
      <c r="M114" s="171">
        <f t="shared" si="41"/>
        <v>140</v>
      </c>
    </row>
    <row r="115" spans="1:13" ht="15.6" x14ac:dyDescent="0.3">
      <c r="A115" s="661" t="s">
        <v>199</v>
      </c>
      <c r="B115" s="662"/>
      <c r="C115" s="11" t="s">
        <v>3</v>
      </c>
      <c r="D115" s="26">
        <f>Mulanje!P115</f>
        <v>96</v>
      </c>
      <c r="E115" s="26">
        <f>Luchenza!P115</f>
        <v>52</v>
      </c>
      <c r="F115" s="26">
        <f>Thyolo!P115</f>
        <v>20</v>
      </c>
      <c r="G115" s="26">
        <f>Muloza!P115</f>
        <v>24</v>
      </c>
      <c r="H115" s="26">
        <f>MUST!P115</f>
        <v>8</v>
      </c>
      <c r="I115" s="26">
        <f>Phalombe!P115</f>
        <v>16</v>
      </c>
      <c r="J115" s="26">
        <f>Mikolongwe!P115</f>
        <v>0</v>
      </c>
      <c r="K115" s="26">
        <f>Migowi!P115</f>
        <v>0</v>
      </c>
      <c r="L115" s="26">
        <f>Nkando!P115</f>
        <v>0</v>
      </c>
      <c r="M115" s="171">
        <f t="shared" si="41"/>
        <v>216</v>
      </c>
    </row>
    <row r="116" spans="1:13" ht="15.6" x14ac:dyDescent="0.3">
      <c r="A116" s="661" t="s">
        <v>200</v>
      </c>
      <c r="B116" s="662"/>
      <c r="C116" s="11" t="s">
        <v>3</v>
      </c>
      <c r="D116" s="26">
        <f>Mulanje!P116</f>
        <v>4</v>
      </c>
      <c r="E116" s="26">
        <f>Luchenza!P116</f>
        <v>0</v>
      </c>
      <c r="F116" s="26">
        <f>Thyolo!P116</f>
        <v>2</v>
      </c>
      <c r="G116" s="26">
        <f>Muloza!P116</f>
        <v>0</v>
      </c>
      <c r="H116" s="26">
        <f>MUST!P116</f>
        <v>0</v>
      </c>
      <c r="I116" s="26">
        <f>Phalombe!P116</f>
        <v>0</v>
      </c>
      <c r="J116" s="26">
        <f>Mikolongwe!P116</f>
        <v>0</v>
      </c>
      <c r="K116" s="26">
        <f>Migowi!P116</f>
        <v>0</v>
      </c>
      <c r="L116" s="26">
        <f>Nkando!P116</f>
        <v>0</v>
      </c>
      <c r="M116" s="171">
        <f t="shared" si="41"/>
        <v>6</v>
      </c>
    </row>
    <row r="117" spans="1:13" ht="15.6" x14ac:dyDescent="0.3">
      <c r="A117" s="676" t="s">
        <v>94</v>
      </c>
      <c r="B117" s="677"/>
      <c r="C117" s="11" t="s">
        <v>3</v>
      </c>
      <c r="D117" s="33">
        <f>SUM(D113:D116)</f>
        <v>696</v>
      </c>
      <c r="E117" s="33">
        <f t="shared" ref="E117:K117" si="42">SUM(E113:E116)</f>
        <v>353</v>
      </c>
      <c r="F117" s="33">
        <f t="shared" si="42"/>
        <v>400</v>
      </c>
      <c r="G117" s="33">
        <f t="shared" si="42"/>
        <v>272</v>
      </c>
      <c r="H117" s="33">
        <f t="shared" si="42"/>
        <v>71</v>
      </c>
      <c r="I117" s="33">
        <f t="shared" si="42"/>
        <v>236</v>
      </c>
      <c r="J117" s="33">
        <f t="shared" si="42"/>
        <v>25</v>
      </c>
      <c r="K117" s="33">
        <f t="shared" si="42"/>
        <v>76</v>
      </c>
      <c r="L117" s="33">
        <f t="shared" ref="L117" si="43">SUM(L113:L116)</f>
        <v>0</v>
      </c>
      <c r="M117" s="55">
        <f t="shared" si="41"/>
        <v>2129</v>
      </c>
    </row>
    <row r="118" spans="1:13" s="2" customFormat="1" ht="15.6" x14ac:dyDescent="0.3">
      <c r="A118" s="195" t="s">
        <v>191</v>
      </c>
      <c r="B118" s="196"/>
      <c r="C118" s="11" t="s">
        <v>3</v>
      </c>
      <c r="D118" s="33">
        <f>D111+D117</f>
        <v>2916</v>
      </c>
      <c r="E118" s="33">
        <f t="shared" ref="E118:K118" si="44">E111+E117</f>
        <v>1363</v>
      </c>
      <c r="F118" s="33">
        <f t="shared" si="44"/>
        <v>1445</v>
      </c>
      <c r="G118" s="33">
        <f t="shared" si="44"/>
        <v>876</v>
      </c>
      <c r="H118" s="33">
        <f t="shared" si="44"/>
        <v>165</v>
      </c>
      <c r="I118" s="33">
        <f t="shared" si="44"/>
        <v>776</v>
      </c>
      <c r="J118" s="33">
        <f t="shared" si="44"/>
        <v>45</v>
      </c>
      <c r="K118" s="33">
        <f t="shared" si="44"/>
        <v>76</v>
      </c>
      <c r="L118" s="33">
        <f>L117+L111</f>
        <v>161</v>
      </c>
      <c r="M118" s="55">
        <f t="shared" si="41"/>
        <v>7823</v>
      </c>
    </row>
    <row r="119" spans="1:13" ht="15.6" x14ac:dyDescent="0.3">
      <c r="A119" s="676" t="s">
        <v>192</v>
      </c>
      <c r="B119" s="677"/>
      <c r="C119" s="11" t="s">
        <v>3</v>
      </c>
      <c r="D119" s="33">
        <f>D118+D105</f>
        <v>3733</v>
      </c>
      <c r="E119" s="33">
        <f t="shared" ref="E119:L119" si="45">E118+E105</f>
        <v>2498</v>
      </c>
      <c r="F119" s="33">
        <f t="shared" si="45"/>
        <v>2046</v>
      </c>
      <c r="G119" s="33">
        <f t="shared" si="45"/>
        <v>1465</v>
      </c>
      <c r="H119" s="33">
        <f t="shared" si="45"/>
        <v>202</v>
      </c>
      <c r="I119" s="33">
        <f t="shared" si="45"/>
        <v>1053</v>
      </c>
      <c r="J119" s="33">
        <f t="shared" si="45"/>
        <v>63</v>
      </c>
      <c r="K119" s="33">
        <f t="shared" si="45"/>
        <v>76</v>
      </c>
      <c r="L119" s="33">
        <f t="shared" si="45"/>
        <v>229</v>
      </c>
      <c r="M119" s="55">
        <f>SUM(D119:L119)</f>
        <v>11365</v>
      </c>
    </row>
    <row r="120" spans="1:13" x14ac:dyDescent="0.3">
      <c r="A120" s="649" t="s">
        <v>201</v>
      </c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1"/>
    </row>
    <row r="121" spans="1:13" ht="15.6" x14ac:dyDescent="0.3">
      <c r="A121" s="661" t="s">
        <v>93</v>
      </c>
      <c r="B121" s="662"/>
      <c r="C121" s="5" t="s">
        <v>3</v>
      </c>
      <c r="D121" s="26">
        <f>Mulanje!P121</f>
        <v>24691</v>
      </c>
      <c r="E121" s="26">
        <f>Luchenza!P121</f>
        <v>18155</v>
      </c>
      <c r="F121" s="26">
        <f>Thyolo!P121</f>
        <v>11959</v>
      </c>
      <c r="G121" s="26">
        <f>Muloza!P121</f>
        <v>9795</v>
      </c>
      <c r="H121" s="26">
        <f>MUST!P121</f>
        <v>4339</v>
      </c>
      <c r="I121" s="26">
        <f>Phalombe!P121</f>
        <v>10003</v>
      </c>
      <c r="J121" s="26">
        <f>Mikolongwe!P121</f>
        <v>1258</v>
      </c>
      <c r="K121" s="26">
        <f>Migowi!P121</f>
        <v>551</v>
      </c>
      <c r="L121" s="26">
        <f>Nkando!P121</f>
        <v>2241</v>
      </c>
      <c r="M121" s="26">
        <f>L121</f>
        <v>2241</v>
      </c>
    </row>
    <row r="122" spans="1:13" ht="15.6" x14ac:dyDescent="0.3">
      <c r="A122" s="661" t="s">
        <v>92</v>
      </c>
      <c r="B122" s="662"/>
      <c r="C122" s="5" t="s">
        <v>3</v>
      </c>
      <c r="D122" s="26">
        <f>Mulanje!P122</f>
        <v>22101</v>
      </c>
      <c r="E122" s="26">
        <f>Luchenza!P122</f>
        <v>16077</v>
      </c>
      <c r="F122" s="26">
        <f>Thyolo!P122</f>
        <v>10859</v>
      </c>
      <c r="G122" s="26">
        <f>Muloza!P122</f>
        <v>8965</v>
      </c>
      <c r="H122" s="26">
        <f>MUST!P122</f>
        <v>4009</v>
      </c>
      <c r="I122" s="26">
        <f>Phalombe!P122</f>
        <v>7382</v>
      </c>
      <c r="J122" s="26">
        <f>Mikolongwe!P122</f>
        <v>1032</v>
      </c>
      <c r="K122" s="26">
        <f>Migowi!P122</f>
        <v>551</v>
      </c>
      <c r="L122" s="26">
        <f>Nkando!P122</f>
        <v>1145</v>
      </c>
      <c r="M122" s="26">
        <f>L122</f>
        <v>1145</v>
      </c>
    </row>
    <row r="123" spans="1:13" ht="15.6" x14ac:dyDescent="0.3">
      <c r="A123" s="678" t="s">
        <v>91</v>
      </c>
      <c r="B123" s="679"/>
      <c r="C123" s="30" t="s">
        <v>6</v>
      </c>
      <c r="D123" s="29">
        <f t="shared" ref="D123:M123" si="46">D122/D121</f>
        <v>0.89510347900044551</v>
      </c>
      <c r="E123" s="29">
        <f t="shared" si="46"/>
        <v>0.88554117323051496</v>
      </c>
      <c r="F123" s="29">
        <f t="shared" si="46"/>
        <v>0.9080190651392257</v>
      </c>
      <c r="G123" s="29">
        <f t="shared" si="46"/>
        <v>0.91526288922919852</v>
      </c>
      <c r="H123" s="29">
        <f t="shared" si="46"/>
        <v>0.92394560958746252</v>
      </c>
      <c r="I123" s="29">
        <f t="shared" si="46"/>
        <v>0.73797860641807456</v>
      </c>
      <c r="J123" s="29">
        <f t="shared" si="46"/>
        <v>0.82034976152623207</v>
      </c>
      <c r="K123" s="29">
        <f t="shared" si="46"/>
        <v>1</v>
      </c>
      <c r="L123" s="573">
        <f t="shared" si="46"/>
        <v>0.51093261936635426</v>
      </c>
      <c r="M123" s="108">
        <f t="shared" si="46"/>
        <v>0.51093261936635426</v>
      </c>
    </row>
    <row r="124" spans="1:13" x14ac:dyDescent="0.3">
      <c r="A124" s="654" t="s">
        <v>90</v>
      </c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6"/>
    </row>
    <row r="125" spans="1:13" ht="15.6" x14ac:dyDescent="0.3">
      <c r="A125" s="673" t="s">
        <v>230</v>
      </c>
      <c r="B125" s="24" t="s">
        <v>85</v>
      </c>
      <c r="C125" s="11" t="s">
        <v>3</v>
      </c>
      <c r="D125" s="26">
        <f>Mulanje!P125</f>
        <v>0</v>
      </c>
      <c r="E125" s="26">
        <f>Luchenza!P125</f>
        <v>0</v>
      </c>
      <c r="F125" s="26">
        <f>Thyolo!P125</f>
        <v>0</v>
      </c>
      <c r="G125" s="26">
        <f>Muloza!P125</f>
        <v>0</v>
      </c>
      <c r="H125" s="26">
        <f>MUST!P125</f>
        <v>0</v>
      </c>
      <c r="I125" s="26">
        <f>Phalombe!P125</f>
        <v>0</v>
      </c>
      <c r="J125" s="26">
        <f>Mikolongwe!P125</f>
        <v>0</v>
      </c>
      <c r="K125" s="26">
        <f>Migowi!P125</f>
        <v>0</v>
      </c>
      <c r="L125" s="34">
        <f>Nkando!N125</f>
        <v>5</v>
      </c>
      <c r="M125" s="74">
        <f>SUM(D125:L125)</f>
        <v>5</v>
      </c>
    </row>
    <row r="126" spans="1:13" ht="15.6" x14ac:dyDescent="0.3">
      <c r="A126" s="674"/>
      <c r="B126" s="24" t="s">
        <v>84</v>
      </c>
      <c r="C126" s="11" t="s">
        <v>3</v>
      </c>
      <c r="D126" s="26">
        <f>Mulanje!P126</f>
        <v>0</v>
      </c>
      <c r="E126" s="26">
        <f>Luchenza!P126</f>
        <v>0</v>
      </c>
      <c r="F126" s="26">
        <f>Thyolo!P126</f>
        <v>0</v>
      </c>
      <c r="G126" s="26">
        <f>Muloza!P126</f>
        <v>5</v>
      </c>
      <c r="H126" s="26">
        <f>MUST!P126</f>
        <v>1</v>
      </c>
      <c r="I126" s="26">
        <f>Phalombe!P126</f>
        <v>1</v>
      </c>
      <c r="J126" s="26">
        <f>Mikolongwe!P126</f>
        <v>3</v>
      </c>
      <c r="K126" s="26">
        <f>Migowi!P126</f>
        <v>0</v>
      </c>
      <c r="L126" s="26">
        <f>Nkando!N126+Nkando!O126+Nkando!P126</f>
        <v>4</v>
      </c>
      <c r="M126" s="74">
        <f>SUM(D126:L126)</f>
        <v>14</v>
      </c>
    </row>
    <row r="127" spans="1:13" ht="15.6" x14ac:dyDescent="0.3">
      <c r="A127" s="674"/>
      <c r="B127" s="82" t="s">
        <v>88</v>
      </c>
      <c r="C127" s="11" t="s">
        <v>3</v>
      </c>
      <c r="D127" s="26">
        <f>Mulanje!P127</f>
        <v>0</v>
      </c>
      <c r="E127" s="26">
        <f>Luchenza!P127</f>
        <v>0</v>
      </c>
      <c r="F127" s="26">
        <f>Thyolo!P127</f>
        <v>0</v>
      </c>
      <c r="G127" s="26">
        <f>Muloza!P127</f>
        <v>5</v>
      </c>
      <c r="H127" s="26">
        <f>MUST!P127</f>
        <v>1</v>
      </c>
      <c r="I127" s="26">
        <f>Phalombe!P127</f>
        <v>1</v>
      </c>
      <c r="J127" s="26">
        <f>Mikolongwe!P127</f>
        <v>0</v>
      </c>
      <c r="K127" s="26">
        <f>Migowi!P127</f>
        <v>0</v>
      </c>
      <c r="L127" s="26">
        <f>Nkando!N127+Nkando!O127+Nkando!P127</f>
        <v>8</v>
      </c>
      <c r="M127" s="74">
        <f>SUM(D127:L127)</f>
        <v>15</v>
      </c>
    </row>
    <row r="128" spans="1:13" ht="15.6" x14ac:dyDescent="0.3">
      <c r="A128" s="674"/>
      <c r="B128" s="24" t="s">
        <v>82</v>
      </c>
      <c r="C128" s="11" t="s">
        <v>3</v>
      </c>
      <c r="D128" s="26">
        <f>Mulanje!P128</f>
        <v>0</v>
      </c>
      <c r="E128" s="26">
        <f>Luchenza!P128</f>
        <v>0</v>
      </c>
      <c r="F128" s="26">
        <f>Thyolo!P128</f>
        <v>0</v>
      </c>
      <c r="G128" s="26">
        <f>Muloza!P128</f>
        <v>0</v>
      </c>
      <c r="H128" s="26">
        <f>MUST!P128</f>
        <v>0</v>
      </c>
      <c r="I128" s="26">
        <f>Phalombe!P128</f>
        <v>0</v>
      </c>
      <c r="J128" s="26">
        <f>Mikolongwe!P128</f>
        <v>3</v>
      </c>
      <c r="K128" s="26">
        <f>Migowi!P128</f>
        <v>0</v>
      </c>
      <c r="L128" s="26">
        <f>Nkando!N128+Nkando!O128+Nkando!P128</f>
        <v>0</v>
      </c>
      <c r="M128" s="74">
        <f>SUM(D128:L128)</f>
        <v>3</v>
      </c>
    </row>
    <row r="129" spans="1:13" ht="15.6" x14ac:dyDescent="0.3">
      <c r="A129" s="675"/>
      <c r="B129" s="24" t="s">
        <v>81</v>
      </c>
      <c r="C129" s="11" t="s">
        <v>3</v>
      </c>
      <c r="D129" s="139">
        <f t="shared" ref="D129:M129" si="47">D125+D126-D127-D128</f>
        <v>0</v>
      </c>
      <c r="E129" s="139">
        <f t="shared" si="47"/>
        <v>0</v>
      </c>
      <c r="F129" s="139">
        <f t="shared" si="47"/>
        <v>0</v>
      </c>
      <c r="G129" s="139">
        <f t="shared" si="47"/>
        <v>0</v>
      </c>
      <c r="H129" s="139">
        <f t="shared" si="47"/>
        <v>0</v>
      </c>
      <c r="I129" s="139">
        <f t="shared" si="47"/>
        <v>0</v>
      </c>
      <c r="J129" s="139">
        <f t="shared" si="47"/>
        <v>0</v>
      </c>
      <c r="K129" s="139">
        <f t="shared" si="47"/>
        <v>0</v>
      </c>
      <c r="L129" s="139">
        <f t="shared" si="47"/>
        <v>1</v>
      </c>
      <c r="M129" s="35">
        <f t="shared" si="47"/>
        <v>1</v>
      </c>
    </row>
    <row r="130" spans="1:13" ht="15.6" x14ac:dyDescent="0.3">
      <c r="A130" s="673" t="s">
        <v>231</v>
      </c>
      <c r="B130" s="28" t="s">
        <v>85</v>
      </c>
      <c r="C130" s="27" t="s">
        <v>3</v>
      </c>
      <c r="D130" s="26">
        <f>Mulanje!P130</f>
        <v>0</v>
      </c>
      <c r="E130" s="26">
        <f>Luchenza!P130</f>
        <v>0</v>
      </c>
      <c r="F130" s="26">
        <f>Thyolo!P130</f>
        <v>2</v>
      </c>
      <c r="G130" s="26">
        <f>Muloza!P130</f>
        <v>0</v>
      </c>
      <c r="H130" s="26">
        <f>MUST!P130</f>
        <v>0</v>
      </c>
      <c r="I130" s="26">
        <f>Phalombe!P130</f>
        <v>0</v>
      </c>
      <c r="J130" s="26">
        <f>Mikolongwe!P130</f>
        <v>0</v>
      </c>
      <c r="K130" s="26">
        <f>Migowi!P130</f>
        <v>0</v>
      </c>
      <c r="L130" s="34">
        <f>Nkando!N130</f>
        <v>6</v>
      </c>
      <c r="M130" s="74">
        <f>SUM(D130:L130)</f>
        <v>8</v>
      </c>
    </row>
    <row r="131" spans="1:13" ht="15.6" x14ac:dyDescent="0.3">
      <c r="A131" s="674"/>
      <c r="B131" s="24" t="s">
        <v>84</v>
      </c>
      <c r="C131" s="11" t="s">
        <v>3</v>
      </c>
      <c r="D131" s="26">
        <f>Mulanje!P131</f>
        <v>0</v>
      </c>
      <c r="E131" s="26">
        <f>Luchenza!P131</f>
        <v>0</v>
      </c>
      <c r="F131" s="26">
        <f>Thyolo!P131</f>
        <v>2</v>
      </c>
      <c r="G131" s="26">
        <f>Muloza!P131</f>
        <v>0</v>
      </c>
      <c r="H131" s="26">
        <f>MUST!P131</f>
        <v>0</v>
      </c>
      <c r="I131" s="26">
        <f>Phalombe!P131</f>
        <v>1</v>
      </c>
      <c r="J131" s="26">
        <f>Mikolongwe!P131</f>
        <v>0</v>
      </c>
      <c r="K131" s="26">
        <f>Migowi!P131</f>
        <v>0</v>
      </c>
      <c r="L131" s="26">
        <f>Nkando!N131+Nkando!O131+Nkando!P131</f>
        <v>0</v>
      </c>
      <c r="M131" s="74">
        <f>SUM(D131:L131)</f>
        <v>3</v>
      </c>
    </row>
    <row r="132" spans="1:13" ht="15.6" x14ac:dyDescent="0.3">
      <c r="A132" s="674"/>
      <c r="B132" s="82" t="s">
        <v>88</v>
      </c>
      <c r="C132" s="11" t="s">
        <v>3</v>
      </c>
      <c r="D132" s="26">
        <f>Mulanje!P132</f>
        <v>0</v>
      </c>
      <c r="E132" s="26">
        <f>Luchenza!P132</f>
        <v>0</v>
      </c>
      <c r="F132" s="26">
        <f>Thyolo!P132</f>
        <v>3</v>
      </c>
      <c r="G132" s="26">
        <f>Muloza!P132</f>
        <v>0</v>
      </c>
      <c r="H132" s="26">
        <f>MUST!P132</f>
        <v>0</v>
      </c>
      <c r="I132" s="26">
        <f>Phalombe!P132</f>
        <v>1</v>
      </c>
      <c r="J132" s="26">
        <f>Mikolongwe!P132</f>
        <v>0</v>
      </c>
      <c r="K132" s="26">
        <f>Migowi!P132</f>
        <v>0</v>
      </c>
      <c r="L132" s="26">
        <f>Nkando!N132+Nkando!O132+Nkando!P132</f>
        <v>0</v>
      </c>
      <c r="M132" s="74">
        <f>SUM(D132:L132)</f>
        <v>4</v>
      </c>
    </row>
    <row r="133" spans="1:13" ht="15.6" x14ac:dyDescent="0.3">
      <c r="A133" s="674"/>
      <c r="B133" s="24" t="s">
        <v>82</v>
      </c>
      <c r="C133" s="11" t="s">
        <v>3</v>
      </c>
      <c r="D133" s="26">
        <f>Mulanje!P133</f>
        <v>0</v>
      </c>
      <c r="E133" s="26">
        <f>Luchenza!P133</f>
        <v>0</v>
      </c>
      <c r="F133" s="26">
        <f>Thyolo!P133</f>
        <v>1</v>
      </c>
      <c r="G133" s="26">
        <f>Muloza!P133</f>
        <v>0</v>
      </c>
      <c r="H133" s="26">
        <f>MUST!P133</f>
        <v>0</v>
      </c>
      <c r="I133" s="26">
        <f>Phalombe!P133</f>
        <v>0</v>
      </c>
      <c r="J133" s="26">
        <f>Mikolongwe!P133</f>
        <v>0</v>
      </c>
      <c r="K133" s="26">
        <f>Migowi!P133</f>
        <v>0</v>
      </c>
      <c r="L133" s="26">
        <f>Nkando!N133+Nkando!O133+Nkando!P133</f>
        <v>0</v>
      </c>
      <c r="M133" s="74">
        <f>SUM(D133:L133)</f>
        <v>1</v>
      </c>
    </row>
    <row r="134" spans="1:13" ht="15.6" x14ac:dyDescent="0.3">
      <c r="A134" s="675"/>
      <c r="B134" s="24" t="s">
        <v>81</v>
      </c>
      <c r="C134" s="11" t="s">
        <v>3</v>
      </c>
      <c r="D134" s="139">
        <f t="shared" ref="D134:M134" si="48">D130+D131-D132-D133</f>
        <v>0</v>
      </c>
      <c r="E134" s="139">
        <f t="shared" si="48"/>
        <v>0</v>
      </c>
      <c r="F134" s="139">
        <f t="shared" si="48"/>
        <v>0</v>
      </c>
      <c r="G134" s="139">
        <f t="shared" si="48"/>
        <v>0</v>
      </c>
      <c r="H134" s="139">
        <f t="shared" si="48"/>
        <v>0</v>
      </c>
      <c r="I134" s="139">
        <f t="shared" si="48"/>
        <v>0</v>
      </c>
      <c r="J134" s="139">
        <f t="shared" si="48"/>
        <v>0</v>
      </c>
      <c r="K134" s="139">
        <f t="shared" si="48"/>
        <v>0</v>
      </c>
      <c r="L134" s="139">
        <f t="shared" si="48"/>
        <v>6</v>
      </c>
      <c r="M134" s="35">
        <f t="shared" si="48"/>
        <v>6</v>
      </c>
    </row>
    <row r="135" spans="1:13" ht="15.6" x14ac:dyDescent="0.3">
      <c r="A135" s="673" t="s">
        <v>89</v>
      </c>
      <c r="B135" s="24" t="s">
        <v>85</v>
      </c>
      <c r="C135" s="11" t="s">
        <v>3</v>
      </c>
      <c r="D135" s="26">
        <f>Mulanje!P135</f>
        <v>0</v>
      </c>
      <c r="E135" s="26">
        <f>Luchenza!P135</f>
        <v>0</v>
      </c>
      <c r="F135" s="26">
        <f>Thyolo!P135</f>
        <v>0</v>
      </c>
      <c r="G135" s="26">
        <f>Muloza!P135</f>
        <v>0</v>
      </c>
      <c r="H135" s="26">
        <f>MUST!P135</f>
        <v>0</v>
      </c>
      <c r="I135" s="26">
        <f>Phalombe!P135</f>
        <v>0</v>
      </c>
      <c r="J135" s="26">
        <f>Mikolongwe!P135</f>
        <v>0</v>
      </c>
      <c r="K135" s="26">
        <f>Migowi!P135</f>
        <v>0</v>
      </c>
      <c r="L135" s="34">
        <f>Nkando!N135</f>
        <v>0</v>
      </c>
      <c r="M135" s="74">
        <f>SUM(D135:L135)</f>
        <v>0</v>
      </c>
    </row>
    <row r="136" spans="1:13" ht="15.6" x14ac:dyDescent="0.3">
      <c r="A136" s="674"/>
      <c r="B136" s="24" t="s">
        <v>84</v>
      </c>
      <c r="C136" s="11" t="s">
        <v>3</v>
      </c>
      <c r="D136" s="26">
        <f>Mulanje!P136</f>
        <v>1</v>
      </c>
      <c r="E136" s="26">
        <f>Luchenza!P136</f>
        <v>0</v>
      </c>
      <c r="F136" s="26">
        <f>Thyolo!P136</f>
        <v>0</v>
      </c>
      <c r="G136" s="26">
        <f>Muloza!P136</f>
        <v>0</v>
      </c>
      <c r="H136" s="26">
        <f>MUST!P136</f>
        <v>0</v>
      </c>
      <c r="I136" s="26">
        <f>Phalombe!P136</f>
        <v>0</v>
      </c>
      <c r="J136" s="26">
        <f>Mikolongwe!P136</f>
        <v>0</v>
      </c>
      <c r="K136" s="26">
        <f>Migowi!P136</f>
        <v>0</v>
      </c>
      <c r="L136" s="26">
        <f>Nkando!N136+Nkando!O136+Nkando!P136</f>
        <v>3</v>
      </c>
      <c r="M136" s="74">
        <f>SUM(D136:L136)</f>
        <v>4</v>
      </c>
    </row>
    <row r="137" spans="1:13" ht="15.6" x14ac:dyDescent="0.3">
      <c r="A137" s="674"/>
      <c r="B137" s="82" t="s">
        <v>88</v>
      </c>
      <c r="C137" s="11" t="s">
        <v>3</v>
      </c>
      <c r="D137" s="26">
        <f>Mulanje!P137</f>
        <v>1</v>
      </c>
      <c r="E137" s="26">
        <f>Luchenza!P137</f>
        <v>0</v>
      </c>
      <c r="F137" s="26">
        <f>Thyolo!P137</f>
        <v>0</v>
      </c>
      <c r="G137" s="26">
        <f>Muloza!P137</f>
        <v>0</v>
      </c>
      <c r="H137" s="26">
        <f>MUST!P137</f>
        <v>0</v>
      </c>
      <c r="I137" s="26">
        <f>Phalombe!P137</f>
        <v>0</v>
      </c>
      <c r="J137" s="26">
        <f>Mikolongwe!P137</f>
        <v>0</v>
      </c>
      <c r="K137" s="26">
        <f>Migowi!P137</f>
        <v>0</v>
      </c>
      <c r="L137" s="26">
        <f>Nkando!N137+Nkando!O137+Nkando!P137</f>
        <v>3</v>
      </c>
      <c r="M137" s="74">
        <f>SUM(D137:L137)</f>
        <v>4</v>
      </c>
    </row>
    <row r="138" spans="1:13" ht="15.6" x14ac:dyDescent="0.3">
      <c r="A138" s="674"/>
      <c r="B138" s="24" t="s">
        <v>82</v>
      </c>
      <c r="C138" s="11" t="s">
        <v>3</v>
      </c>
      <c r="D138" s="26">
        <f>Mulanje!P138</f>
        <v>0</v>
      </c>
      <c r="E138" s="26">
        <f>Luchenza!P138</f>
        <v>0</v>
      </c>
      <c r="F138" s="26">
        <f>Thyolo!P138</f>
        <v>0</v>
      </c>
      <c r="G138" s="26">
        <f>Muloza!P138</f>
        <v>0</v>
      </c>
      <c r="H138" s="26">
        <f>MUST!P138</f>
        <v>0</v>
      </c>
      <c r="I138" s="26">
        <f>Phalombe!P138</f>
        <v>0</v>
      </c>
      <c r="J138" s="26">
        <f>Mikolongwe!P138</f>
        <v>0</v>
      </c>
      <c r="K138" s="26">
        <f>Migowi!P138</f>
        <v>0</v>
      </c>
      <c r="L138" s="26">
        <f>Nkando!N138+Nkando!O138+Nkando!P138</f>
        <v>0</v>
      </c>
      <c r="M138" s="74">
        <f>SUM(D138:L138)</f>
        <v>0</v>
      </c>
    </row>
    <row r="139" spans="1:13" ht="15.6" x14ac:dyDescent="0.3">
      <c r="A139" s="675"/>
      <c r="B139" s="24" t="s">
        <v>81</v>
      </c>
      <c r="C139" s="11" t="s">
        <v>3</v>
      </c>
      <c r="D139" s="139">
        <f t="shared" ref="D139:M139" si="49">D135+D136-D137-D138</f>
        <v>0</v>
      </c>
      <c r="E139" s="139">
        <f t="shared" si="49"/>
        <v>0</v>
      </c>
      <c r="F139" s="139">
        <f t="shared" si="49"/>
        <v>0</v>
      </c>
      <c r="G139" s="139">
        <f t="shared" si="49"/>
        <v>0</v>
      </c>
      <c r="H139" s="139">
        <f t="shared" si="49"/>
        <v>0</v>
      </c>
      <c r="I139" s="139">
        <f t="shared" si="49"/>
        <v>0</v>
      </c>
      <c r="J139" s="139">
        <f t="shared" si="49"/>
        <v>0</v>
      </c>
      <c r="K139" s="139">
        <f t="shared" si="49"/>
        <v>0</v>
      </c>
      <c r="L139" s="139">
        <f t="shared" si="49"/>
        <v>0</v>
      </c>
      <c r="M139" s="35">
        <f t="shared" si="49"/>
        <v>0</v>
      </c>
    </row>
    <row r="140" spans="1:13" ht="15.6" x14ac:dyDescent="0.3">
      <c r="A140" s="673" t="s">
        <v>87</v>
      </c>
      <c r="B140" s="24" t="s">
        <v>85</v>
      </c>
      <c r="C140" s="11" t="s">
        <v>3</v>
      </c>
      <c r="D140" s="26">
        <f>Mulanje!P140</f>
        <v>218</v>
      </c>
      <c r="E140" s="26">
        <f>Luchenza!P140</f>
        <v>19</v>
      </c>
      <c r="F140" s="26">
        <f>Thyolo!P140</f>
        <v>36</v>
      </c>
      <c r="G140" s="26">
        <f>Muloza!P140</f>
        <v>0</v>
      </c>
      <c r="H140" s="26">
        <f>MUST!P140</f>
        <v>0</v>
      </c>
      <c r="I140" s="26">
        <f>Phalombe!P140</f>
        <v>15</v>
      </c>
      <c r="J140" s="26">
        <f>Mikolongwe!P140</f>
        <v>0</v>
      </c>
      <c r="K140" s="26">
        <f>Migowi!P140</f>
        <v>0</v>
      </c>
      <c r="L140" s="34">
        <f>Nkando!N140</f>
        <v>109</v>
      </c>
      <c r="M140" s="74">
        <f>SUM(D140:L140)</f>
        <v>397</v>
      </c>
    </row>
    <row r="141" spans="1:13" ht="15.6" x14ac:dyDescent="0.3">
      <c r="A141" s="674"/>
      <c r="B141" s="24" t="s">
        <v>84</v>
      </c>
      <c r="C141" s="11" t="s">
        <v>3</v>
      </c>
      <c r="D141" s="26">
        <f>Mulanje!P141</f>
        <v>244</v>
      </c>
      <c r="E141" s="26">
        <f>Luchenza!P141</f>
        <v>271</v>
      </c>
      <c r="F141" s="26">
        <f>Thyolo!P141</f>
        <v>176</v>
      </c>
      <c r="G141" s="26">
        <f>Muloza!P141</f>
        <v>101</v>
      </c>
      <c r="H141" s="26">
        <f>MUST!P141</f>
        <v>4</v>
      </c>
      <c r="I141" s="26">
        <f>Phalombe!P141</f>
        <v>208</v>
      </c>
      <c r="J141" s="26">
        <f>Mikolongwe!P141</f>
        <v>1</v>
      </c>
      <c r="K141" s="26">
        <f>Migowi!P141</f>
        <v>0</v>
      </c>
      <c r="L141" s="26">
        <f>Nkando!N141+Nkando!O141+Nkando!P141</f>
        <v>28</v>
      </c>
      <c r="M141" s="74">
        <f>SUM(D141:L141)</f>
        <v>1033</v>
      </c>
    </row>
    <row r="142" spans="1:13" ht="15.6" x14ac:dyDescent="0.3">
      <c r="A142" s="674"/>
      <c r="B142" s="24" t="s">
        <v>83</v>
      </c>
      <c r="C142" s="11" t="s">
        <v>3</v>
      </c>
      <c r="D142" s="26">
        <f>Mulanje!P142</f>
        <v>206</v>
      </c>
      <c r="E142" s="26">
        <f>Luchenza!P142</f>
        <v>116</v>
      </c>
      <c r="F142" s="26">
        <f>Thyolo!P142</f>
        <v>110</v>
      </c>
      <c r="G142" s="26">
        <f>Muloza!P142</f>
        <v>39</v>
      </c>
      <c r="H142" s="26">
        <f>MUST!P142</f>
        <v>1</v>
      </c>
      <c r="I142" s="26">
        <f>Phalombe!P142</f>
        <v>133</v>
      </c>
      <c r="J142" s="26">
        <f>Mikolongwe!P142</f>
        <v>1</v>
      </c>
      <c r="K142" s="26">
        <f>Migowi!P142</f>
        <v>0</v>
      </c>
      <c r="L142" s="26">
        <f>Nkando!N142+Nkando!O142+Nkando!P142</f>
        <v>0</v>
      </c>
      <c r="M142" s="74">
        <f>SUM(D142:L142)</f>
        <v>606</v>
      </c>
    </row>
    <row r="143" spans="1:13" ht="15.6" x14ac:dyDescent="0.3">
      <c r="A143" s="674"/>
      <c r="B143" s="24" t="s">
        <v>82</v>
      </c>
      <c r="C143" s="11" t="s">
        <v>3</v>
      </c>
      <c r="D143" s="26">
        <f>Mulanje!P143</f>
        <v>221</v>
      </c>
      <c r="E143" s="26">
        <f>Luchenza!P143</f>
        <v>169</v>
      </c>
      <c r="F143" s="26">
        <f>Thyolo!P143</f>
        <v>92</v>
      </c>
      <c r="G143" s="26">
        <f>Muloza!P143</f>
        <v>62</v>
      </c>
      <c r="H143" s="26">
        <f>MUST!P143</f>
        <v>3</v>
      </c>
      <c r="I143" s="26">
        <f>Phalombe!P143</f>
        <v>88</v>
      </c>
      <c r="J143" s="26">
        <f>Mikolongwe!P143</f>
        <v>0</v>
      </c>
      <c r="K143" s="26">
        <f>Migowi!P143</f>
        <v>0</v>
      </c>
      <c r="L143" s="26">
        <f>Nkando!N143+Nkando!O143+Nkando!P143</f>
        <v>0</v>
      </c>
      <c r="M143" s="74">
        <f>SUM(D143:L143)</f>
        <v>635</v>
      </c>
    </row>
    <row r="144" spans="1:13" ht="15.6" x14ac:dyDescent="0.3">
      <c r="A144" s="675"/>
      <c r="B144" s="24" t="s">
        <v>81</v>
      </c>
      <c r="C144" s="11" t="s">
        <v>3</v>
      </c>
      <c r="D144" s="139">
        <f t="shared" ref="D144:M144" si="50">D140+D141-D142-D143</f>
        <v>35</v>
      </c>
      <c r="E144" s="139">
        <f t="shared" si="50"/>
        <v>5</v>
      </c>
      <c r="F144" s="139">
        <f t="shared" si="50"/>
        <v>10</v>
      </c>
      <c r="G144" s="139">
        <f t="shared" si="50"/>
        <v>0</v>
      </c>
      <c r="H144" s="139">
        <f t="shared" si="50"/>
        <v>0</v>
      </c>
      <c r="I144" s="139">
        <f t="shared" si="50"/>
        <v>2</v>
      </c>
      <c r="J144" s="139">
        <f t="shared" si="50"/>
        <v>0</v>
      </c>
      <c r="K144" s="139">
        <f t="shared" si="50"/>
        <v>0</v>
      </c>
      <c r="L144" s="139">
        <f t="shared" si="50"/>
        <v>137</v>
      </c>
      <c r="M144" s="35">
        <f t="shared" si="50"/>
        <v>189</v>
      </c>
    </row>
    <row r="145" spans="1:13" s="2" customFormat="1" ht="15.6" x14ac:dyDescent="0.3">
      <c r="A145" s="673" t="s">
        <v>86</v>
      </c>
      <c r="B145" s="24" t="s">
        <v>85</v>
      </c>
      <c r="C145" s="11" t="s">
        <v>3</v>
      </c>
      <c r="D145" s="140">
        <f t="shared" ref="D145:L148" si="51">D125+D130+D135+D140</f>
        <v>218</v>
      </c>
      <c r="E145" s="140">
        <f t="shared" si="51"/>
        <v>19</v>
      </c>
      <c r="F145" s="140">
        <f t="shared" si="51"/>
        <v>38</v>
      </c>
      <c r="G145" s="140">
        <f t="shared" si="51"/>
        <v>0</v>
      </c>
      <c r="H145" s="140">
        <f t="shared" si="51"/>
        <v>0</v>
      </c>
      <c r="I145" s="140">
        <f t="shared" si="51"/>
        <v>15</v>
      </c>
      <c r="J145" s="140">
        <f t="shared" si="51"/>
        <v>0</v>
      </c>
      <c r="K145" s="140">
        <f t="shared" si="51"/>
        <v>0</v>
      </c>
      <c r="L145" s="138">
        <f t="shared" si="51"/>
        <v>120</v>
      </c>
      <c r="M145" s="109">
        <f t="shared" ref="M145:M149" si="52">M125+M130+M135+M140</f>
        <v>410</v>
      </c>
    </row>
    <row r="146" spans="1:13" ht="15.6" x14ac:dyDescent="0.3">
      <c r="A146" s="674"/>
      <c r="B146" s="24" t="s">
        <v>84</v>
      </c>
      <c r="C146" s="11" t="s">
        <v>3</v>
      </c>
      <c r="D146" s="140">
        <f t="shared" ref="D146:K148" si="53">D126+D131+D136+D141</f>
        <v>245</v>
      </c>
      <c r="E146" s="140">
        <f t="shared" si="53"/>
        <v>271</v>
      </c>
      <c r="F146" s="140">
        <f t="shared" si="53"/>
        <v>178</v>
      </c>
      <c r="G146" s="140">
        <f t="shared" si="53"/>
        <v>106</v>
      </c>
      <c r="H146" s="140">
        <f t="shared" si="53"/>
        <v>5</v>
      </c>
      <c r="I146" s="140">
        <f t="shared" si="53"/>
        <v>210</v>
      </c>
      <c r="J146" s="140">
        <f t="shared" si="53"/>
        <v>4</v>
      </c>
      <c r="K146" s="140">
        <f t="shared" si="53"/>
        <v>0</v>
      </c>
      <c r="L146" s="138">
        <f t="shared" si="51"/>
        <v>35</v>
      </c>
      <c r="M146" s="109">
        <f t="shared" si="52"/>
        <v>1054</v>
      </c>
    </row>
    <row r="147" spans="1:13" ht="15.6" x14ac:dyDescent="0.3">
      <c r="A147" s="674"/>
      <c r="B147" s="24" t="s">
        <v>83</v>
      </c>
      <c r="C147" s="11" t="s">
        <v>3</v>
      </c>
      <c r="D147" s="140">
        <f t="shared" si="53"/>
        <v>207</v>
      </c>
      <c r="E147" s="140">
        <f t="shared" si="53"/>
        <v>116</v>
      </c>
      <c r="F147" s="140">
        <f t="shared" si="53"/>
        <v>113</v>
      </c>
      <c r="G147" s="140">
        <f t="shared" si="53"/>
        <v>44</v>
      </c>
      <c r="H147" s="140">
        <f t="shared" si="53"/>
        <v>2</v>
      </c>
      <c r="I147" s="140">
        <f t="shared" si="53"/>
        <v>135</v>
      </c>
      <c r="J147" s="140">
        <f t="shared" si="53"/>
        <v>1</v>
      </c>
      <c r="K147" s="140">
        <f t="shared" si="53"/>
        <v>0</v>
      </c>
      <c r="L147" s="138">
        <f t="shared" si="51"/>
        <v>11</v>
      </c>
      <c r="M147" s="109">
        <f t="shared" si="52"/>
        <v>629</v>
      </c>
    </row>
    <row r="148" spans="1:13" ht="15.6" x14ac:dyDescent="0.3">
      <c r="A148" s="674"/>
      <c r="B148" s="24" t="s">
        <v>82</v>
      </c>
      <c r="C148" s="11" t="s">
        <v>3</v>
      </c>
      <c r="D148" s="140">
        <f t="shared" si="53"/>
        <v>221</v>
      </c>
      <c r="E148" s="140">
        <f t="shared" si="53"/>
        <v>169</v>
      </c>
      <c r="F148" s="140">
        <f t="shared" si="53"/>
        <v>93</v>
      </c>
      <c r="G148" s="140">
        <f t="shared" si="53"/>
        <v>62</v>
      </c>
      <c r="H148" s="140">
        <f t="shared" si="53"/>
        <v>3</v>
      </c>
      <c r="I148" s="140">
        <f t="shared" si="53"/>
        <v>88</v>
      </c>
      <c r="J148" s="140">
        <f t="shared" si="53"/>
        <v>3</v>
      </c>
      <c r="K148" s="140">
        <f t="shared" si="53"/>
        <v>0</v>
      </c>
      <c r="L148" s="138">
        <f t="shared" si="51"/>
        <v>0</v>
      </c>
      <c r="M148" s="109">
        <f t="shared" si="52"/>
        <v>639</v>
      </c>
    </row>
    <row r="149" spans="1:13" ht="15.6" x14ac:dyDescent="0.3">
      <c r="A149" s="675"/>
      <c r="B149" s="24" t="s">
        <v>81</v>
      </c>
      <c r="C149" s="11" t="s">
        <v>3</v>
      </c>
      <c r="D149" s="139">
        <f t="shared" ref="D149:L149" si="54">D145+D146-D147-D148</f>
        <v>35</v>
      </c>
      <c r="E149" s="139">
        <f t="shared" si="54"/>
        <v>5</v>
      </c>
      <c r="F149" s="139">
        <f t="shared" si="54"/>
        <v>10</v>
      </c>
      <c r="G149" s="139">
        <f t="shared" si="54"/>
        <v>0</v>
      </c>
      <c r="H149" s="139">
        <f t="shared" si="54"/>
        <v>0</v>
      </c>
      <c r="I149" s="139">
        <f t="shared" si="54"/>
        <v>2</v>
      </c>
      <c r="J149" s="139">
        <f t="shared" si="54"/>
        <v>0</v>
      </c>
      <c r="K149" s="139">
        <f t="shared" si="54"/>
        <v>0</v>
      </c>
      <c r="L149" s="139">
        <f t="shared" si="54"/>
        <v>144</v>
      </c>
      <c r="M149" s="109">
        <f t="shared" si="52"/>
        <v>196</v>
      </c>
    </row>
    <row r="150" spans="1:13" x14ac:dyDescent="0.3">
      <c r="A150" s="649" t="s">
        <v>80</v>
      </c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1"/>
    </row>
    <row r="151" spans="1:13" ht="15.6" customHeight="1" x14ac:dyDescent="0.3">
      <c r="A151" s="729" t="s">
        <v>79</v>
      </c>
      <c r="B151" s="730"/>
      <c r="C151" s="730"/>
      <c r="D151" s="730"/>
      <c r="E151" s="730"/>
      <c r="F151" s="730"/>
      <c r="G151" s="730"/>
      <c r="H151" s="730"/>
      <c r="I151" s="730"/>
      <c r="J151" s="730"/>
      <c r="K151" s="730"/>
      <c r="L151" s="730"/>
      <c r="M151" s="731"/>
    </row>
    <row r="152" spans="1:13" ht="15.6" x14ac:dyDescent="0.3">
      <c r="A152" s="670" t="s">
        <v>78</v>
      </c>
      <c r="B152" s="91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9"/>
    </row>
    <row r="153" spans="1:13" ht="15.6" x14ac:dyDescent="0.3">
      <c r="A153" s="671"/>
      <c r="B153" s="19" t="s">
        <v>73</v>
      </c>
      <c r="C153" s="11" t="s">
        <v>57</v>
      </c>
      <c r="D153" s="26">
        <f>Mulanje!P153</f>
        <v>235</v>
      </c>
      <c r="E153" s="26">
        <f>Luchenza!P153</f>
        <v>1035</v>
      </c>
      <c r="F153" s="26">
        <f>Thyolo!P153</f>
        <v>532</v>
      </c>
      <c r="G153" s="26">
        <f>Muloza!P153</f>
        <v>133</v>
      </c>
      <c r="H153" s="26">
        <f>MUST!P153</f>
        <v>29</v>
      </c>
      <c r="I153" s="26">
        <f>Phalombe!P153</f>
        <v>89</v>
      </c>
      <c r="J153" s="26">
        <f>Mikolongwe!P153</f>
        <v>8</v>
      </c>
      <c r="K153" s="26">
        <f>Migowi!P153</f>
        <v>3</v>
      </c>
      <c r="L153" s="26">
        <f>Nkando!N153+Nkando!O153+Nkando!P153</f>
        <v>31</v>
      </c>
      <c r="M153" s="18">
        <f t="shared" ref="M153:M165" si="55">SUM(D153:L153)</f>
        <v>2095</v>
      </c>
    </row>
    <row r="154" spans="1:13" ht="15.6" x14ac:dyDescent="0.3">
      <c r="A154" s="671"/>
      <c r="B154" s="19" t="s">
        <v>72</v>
      </c>
      <c r="C154" s="11" t="s">
        <v>57</v>
      </c>
      <c r="D154" s="26">
        <f>Mulanje!P154</f>
        <v>107</v>
      </c>
      <c r="E154" s="26">
        <f>Luchenza!P154</f>
        <v>511</v>
      </c>
      <c r="F154" s="26">
        <f>Thyolo!P154</f>
        <v>309</v>
      </c>
      <c r="G154" s="26">
        <f>Muloza!P154</f>
        <v>70</v>
      </c>
      <c r="H154" s="26">
        <f>MUST!P154</f>
        <v>13</v>
      </c>
      <c r="I154" s="26">
        <f>Phalombe!P154</f>
        <v>62</v>
      </c>
      <c r="J154" s="26">
        <f>Mikolongwe!P154</f>
        <v>0</v>
      </c>
      <c r="K154" s="26">
        <f>Migowi!P154</f>
        <v>0</v>
      </c>
      <c r="L154" s="26">
        <f>Nkando!N154+Nkando!O154+Nkando!P154</f>
        <v>5</v>
      </c>
      <c r="M154" s="18">
        <f t="shared" si="55"/>
        <v>1077</v>
      </c>
    </row>
    <row r="155" spans="1:13" ht="15.6" x14ac:dyDescent="0.3">
      <c r="A155" s="671"/>
      <c r="B155" s="19" t="s">
        <v>53</v>
      </c>
      <c r="C155" s="11" t="s">
        <v>57</v>
      </c>
      <c r="D155" s="26">
        <f>Mulanje!P155</f>
        <v>38</v>
      </c>
      <c r="E155" s="26">
        <f>Luchenza!P155</f>
        <v>146</v>
      </c>
      <c r="F155" s="26">
        <f>Thyolo!P155</f>
        <v>223</v>
      </c>
      <c r="G155" s="26">
        <f>Muloza!P155</f>
        <v>32</v>
      </c>
      <c r="H155" s="26">
        <f>MUST!P155</f>
        <v>2</v>
      </c>
      <c r="I155" s="26">
        <f>Phalombe!P155</f>
        <v>61</v>
      </c>
      <c r="J155" s="26">
        <f>Mikolongwe!P155</f>
        <v>0</v>
      </c>
      <c r="K155" s="26">
        <f>Migowi!P155</f>
        <v>0</v>
      </c>
      <c r="L155" s="26">
        <f>Nkando!N155+Nkando!O155+Nkando!P155</f>
        <v>1</v>
      </c>
      <c r="M155" s="18">
        <f t="shared" si="55"/>
        <v>503</v>
      </c>
    </row>
    <row r="156" spans="1:13" ht="15.6" x14ac:dyDescent="0.3">
      <c r="A156" s="671"/>
      <c r="B156" s="19" t="s">
        <v>71</v>
      </c>
      <c r="C156" s="11" t="s">
        <v>57</v>
      </c>
      <c r="D156" s="26">
        <f>Mulanje!P156</f>
        <v>10</v>
      </c>
      <c r="E156" s="26">
        <f>Luchenza!P156</f>
        <v>16</v>
      </c>
      <c r="F156" s="26">
        <f>Thyolo!P156</f>
        <v>19</v>
      </c>
      <c r="G156" s="26">
        <f>Muloza!P156</f>
        <v>7</v>
      </c>
      <c r="H156" s="26">
        <f>MUST!P156</f>
        <v>4</v>
      </c>
      <c r="I156" s="26">
        <f>Phalombe!P156</f>
        <v>15</v>
      </c>
      <c r="J156" s="26">
        <f>Mikolongwe!P156</f>
        <v>0</v>
      </c>
      <c r="K156" s="26">
        <f>Migowi!P156</f>
        <v>0</v>
      </c>
      <c r="L156" s="26">
        <f>Nkando!N156+Nkando!O156+Nkando!P156</f>
        <v>2</v>
      </c>
      <c r="M156" s="18">
        <f t="shared" si="55"/>
        <v>73</v>
      </c>
    </row>
    <row r="157" spans="1:13" ht="15.6" x14ac:dyDescent="0.3">
      <c r="A157" s="671"/>
      <c r="B157" s="19" t="s">
        <v>52</v>
      </c>
      <c r="C157" s="11" t="s">
        <v>57</v>
      </c>
      <c r="D157" s="26">
        <f>Mulanje!P157</f>
        <v>16</v>
      </c>
      <c r="E157" s="26">
        <f>Luchenza!P157</f>
        <v>28</v>
      </c>
      <c r="F157" s="26">
        <f>Thyolo!P157</f>
        <v>48</v>
      </c>
      <c r="G157" s="26">
        <f>Muloza!P157</f>
        <v>4</v>
      </c>
      <c r="H157" s="26">
        <f>MUST!P157</f>
        <v>5</v>
      </c>
      <c r="I157" s="26">
        <f>Phalombe!P157</f>
        <v>31</v>
      </c>
      <c r="J157" s="26">
        <f>Mikolongwe!P157</f>
        <v>3</v>
      </c>
      <c r="K157" s="26">
        <f>Migowi!P157</f>
        <v>0</v>
      </c>
      <c r="L157" s="26">
        <f>Nkando!N157+Nkando!O157+Nkando!P157</f>
        <v>0</v>
      </c>
      <c r="M157" s="18">
        <f t="shared" si="55"/>
        <v>135</v>
      </c>
    </row>
    <row r="158" spans="1:13" ht="15.6" x14ac:dyDescent="0.3">
      <c r="A158" s="671"/>
      <c r="B158" s="19" t="s">
        <v>51</v>
      </c>
      <c r="C158" s="11" t="s">
        <v>57</v>
      </c>
      <c r="D158" s="26">
        <f>Mulanje!P158</f>
        <v>14</v>
      </c>
      <c r="E158" s="26">
        <f>Luchenza!P158</f>
        <v>27</v>
      </c>
      <c r="F158" s="26">
        <f>Thyolo!P158</f>
        <v>26</v>
      </c>
      <c r="G158" s="26">
        <f>Muloza!P158</f>
        <v>6</v>
      </c>
      <c r="H158" s="26">
        <f>MUST!P158</f>
        <v>2</v>
      </c>
      <c r="I158" s="26">
        <f>Phalombe!P158</f>
        <v>25</v>
      </c>
      <c r="J158" s="26">
        <f>Mikolongwe!P158</f>
        <v>8</v>
      </c>
      <c r="K158" s="26">
        <f>Migowi!P158</f>
        <v>0</v>
      </c>
      <c r="L158" s="26">
        <f>Nkando!N158+Nkando!O158+Nkando!P158</f>
        <v>0</v>
      </c>
      <c r="M158" s="18">
        <f t="shared" si="55"/>
        <v>108</v>
      </c>
    </row>
    <row r="159" spans="1:13" ht="15.6" x14ac:dyDescent="0.3">
      <c r="A159" s="671"/>
      <c r="B159" s="19" t="s">
        <v>62</v>
      </c>
      <c r="C159" s="11" t="s">
        <v>57</v>
      </c>
      <c r="D159" s="26">
        <f>Mulanje!P159</f>
        <v>1</v>
      </c>
      <c r="E159" s="26">
        <f>Luchenza!P159</f>
        <v>0</v>
      </c>
      <c r="F159" s="26">
        <f>Thyolo!P159</f>
        <v>3</v>
      </c>
      <c r="G159" s="26">
        <f>Muloza!P159</f>
        <v>0</v>
      </c>
      <c r="H159" s="26">
        <f>MUST!P159</f>
        <v>1</v>
      </c>
      <c r="I159" s="26">
        <f>Phalombe!P159</f>
        <v>3</v>
      </c>
      <c r="J159" s="26">
        <f>Mikolongwe!P159</f>
        <v>0</v>
      </c>
      <c r="K159" s="26">
        <f>Migowi!P159</f>
        <v>0</v>
      </c>
      <c r="L159" s="26">
        <f>Nkando!N159+Nkando!O159+Nkando!P159</f>
        <v>0</v>
      </c>
      <c r="M159" s="18">
        <f t="shared" si="55"/>
        <v>8</v>
      </c>
    </row>
    <row r="160" spans="1:13" ht="15.6" x14ac:dyDescent="0.3">
      <c r="A160" s="671"/>
      <c r="B160" s="19" t="s">
        <v>50</v>
      </c>
      <c r="C160" s="11" t="s">
        <v>57</v>
      </c>
      <c r="D160" s="26">
        <f>Mulanje!P160</f>
        <v>2</v>
      </c>
      <c r="E160" s="26">
        <f>Luchenza!P160</f>
        <v>7</v>
      </c>
      <c r="F160" s="26">
        <f>Thyolo!P160</f>
        <v>22</v>
      </c>
      <c r="G160" s="26">
        <f>Muloza!P160</f>
        <v>0</v>
      </c>
      <c r="H160" s="26">
        <f>MUST!P160</f>
        <v>2</v>
      </c>
      <c r="I160" s="26">
        <f>Phalombe!P160</f>
        <v>11</v>
      </c>
      <c r="J160" s="26">
        <f>Mikolongwe!P160</f>
        <v>0</v>
      </c>
      <c r="K160" s="26">
        <f>Migowi!P160</f>
        <v>0</v>
      </c>
      <c r="L160" s="26">
        <f>Nkando!N160+Nkando!O160+Nkando!P160</f>
        <v>0</v>
      </c>
      <c r="M160" s="18">
        <f t="shared" si="55"/>
        <v>44</v>
      </c>
    </row>
    <row r="161" spans="1:13" ht="15.6" x14ac:dyDescent="0.3">
      <c r="A161" s="671"/>
      <c r="B161" s="19" t="s">
        <v>49</v>
      </c>
      <c r="C161" s="11" t="s">
        <v>57</v>
      </c>
      <c r="D161" s="26">
        <f>Mulanje!P161</f>
        <v>4</v>
      </c>
      <c r="E161" s="26">
        <f>Luchenza!P161</f>
        <v>21</v>
      </c>
      <c r="F161" s="26">
        <f>Thyolo!P161</f>
        <v>33</v>
      </c>
      <c r="G161" s="26">
        <f>Muloza!P161</f>
        <v>3</v>
      </c>
      <c r="H161" s="26">
        <f>MUST!P161</f>
        <v>3</v>
      </c>
      <c r="I161" s="26">
        <f>Phalombe!P161</f>
        <v>11</v>
      </c>
      <c r="J161" s="26">
        <f>Mikolongwe!P161</f>
        <v>0</v>
      </c>
      <c r="K161" s="26">
        <f>Migowi!P161</f>
        <v>0</v>
      </c>
      <c r="L161" s="26">
        <f>Nkando!N161+Nkando!O161+Nkando!P161</f>
        <v>0</v>
      </c>
      <c r="M161" s="18">
        <f t="shared" si="55"/>
        <v>75</v>
      </c>
    </row>
    <row r="162" spans="1:13" ht="15.6" x14ac:dyDescent="0.3">
      <c r="A162" s="671"/>
      <c r="B162" s="19" t="s">
        <v>77</v>
      </c>
      <c r="C162" s="11" t="s">
        <v>57</v>
      </c>
      <c r="D162" s="26">
        <f>Mulanje!P162</f>
        <v>19</v>
      </c>
      <c r="E162" s="26">
        <f>Luchenza!P162</f>
        <v>8</v>
      </c>
      <c r="F162" s="26">
        <f>Thyolo!P162</f>
        <v>30</v>
      </c>
      <c r="G162" s="26">
        <f>Muloza!P162</f>
        <v>2</v>
      </c>
      <c r="H162" s="26">
        <f>MUST!P162</f>
        <v>4</v>
      </c>
      <c r="I162" s="26">
        <f>Phalombe!P162</f>
        <v>0</v>
      </c>
      <c r="J162" s="26">
        <f>Mikolongwe!P162</f>
        <v>0</v>
      </c>
      <c r="K162" s="26">
        <f>Migowi!P162</f>
        <v>0</v>
      </c>
      <c r="L162" s="26">
        <f>Nkando!N162+Nkando!O162+Nkando!P162</f>
        <v>0</v>
      </c>
      <c r="M162" s="18">
        <f t="shared" si="55"/>
        <v>63</v>
      </c>
    </row>
    <row r="163" spans="1:13" ht="15.6" x14ac:dyDescent="0.3">
      <c r="A163" s="671"/>
      <c r="B163" s="19" t="s">
        <v>69</v>
      </c>
      <c r="C163" s="11" t="s">
        <v>57</v>
      </c>
      <c r="D163" s="26">
        <f>Mulanje!P163</f>
        <v>2</v>
      </c>
      <c r="E163" s="26">
        <f>Luchenza!P163</f>
        <v>4</v>
      </c>
      <c r="F163" s="26">
        <f>Thyolo!P163</f>
        <v>2</v>
      </c>
      <c r="G163" s="26">
        <f>Muloza!P163</f>
        <v>0</v>
      </c>
      <c r="H163" s="26">
        <f>MUST!P163</f>
        <v>0</v>
      </c>
      <c r="I163" s="26">
        <f>Phalombe!P163</f>
        <v>0</v>
      </c>
      <c r="J163" s="26">
        <f>Mikolongwe!P163</f>
        <v>0</v>
      </c>
      <c r="K163" s="26">
        <f>Migowi!P163</f>
        <v>0</v>
      </c>
      <c r="L163" s="26">
        <f>Nkando!N163+Nkando!O163+Nkando!P163</f>
        <v>0</v>
      </c>
      <c r="M163" s="18">
        <f t="shared" si="55"/>
        <v>8</v>
      </c>
    </row>
    <row r="164" spans="1:13" ht="15.6" x14ac:dyDescent="0.3">
      <c r="A164" s="671"/>
      <c r="B164" s="19" t="s">
        <v>68</v>
      </c>
      <c r="C164" s="11" t="s">
        <v>57</v>
      </c>
      <c r="D164" s="26">
        <f>Mulanje!P164</f>
        <v>0</v>
      </c>
      <c r="E164" s="26">
        <f>Luchenza!P164</f>
        <v>0</v>
      </c>
      <c r="F164" s="26">
        <f>Thyolo!P164</f>
        <v>0</v>
      </c>
      <c r="G164" s="26">
        <f>Muloza!P164</f>
        <v>0</v>
      </c>
      <c r="H164" s="26">
        <f>MUST!P164</f>
        <v>0</v>
      </c>
      <c r="I164" s="26">
        <f>Phalombe!P164</f>
        <v>0</v>
      </c>
      <c r="J164" s="26">
        <f>Mikolongwe!P164</f>
        <v>0</v>
      </c>
      <c r="K164" s="26">
        <f>Migowi!P164</f>
        <v>0</v>
      </c>
      <c r="L164" s="26">
        <f>Nkando!N164+Nkando!O164+Nkando!P164</f>
        <v>0</v>
      </c>
      <c r="M164" s="18">
        <f t="shared" si="55"/>
        <v>0</v>
      </c>
    </row>
    <row r="165" spans="1:13" ht="15.6" x14ac:dyDescent="0.3">
      <c r="A165" s="672"/>
      <c r="B165" s="19" t="s">
        <v>76</v>
      </c>
      <c r="C165" s="11" t="s">
        <v>57</v>
      </c>
      <c r="D165" s="26">
        <f>Mulanje!P165</f>
        <v>0</v>
      </c>
      <c r="E165" s="26">
        <f>Luchenza!P165</f>
        <v>0</v>
      </c>
      <c r="F165" s="26">
        <f>Thyolo!P165</f>
        <v>0</v>
      </c>
      <c r="G165" s="26">
        <f>Muloza!P165</f>
        <v>0</v>
      </c>
      <c r="H165" s="26">
        <f>MUST!P165</f>
        <v>0</v>
      </c>
      <c r="I165" s="26">
        <f>Phalombe!P165</f>
        <v>0</v>
      </c>
      <c r="J165" s="26">
        <f>Mikolongwe!P165</f>
        <v>0</v>
      </c>
      <c r="K165" s="26">
        <f>Migowi!P165</f>
        <v>0</v>
      </c>
      <c r="L165" s="26">
        <f>Nkando!N165+Nkando!O165+Nkando!P165</f>
        <v>0</v>
      </c>
      <c r="M165" s="18">
        <f t="shared" si="55"/>
        <v>0</v>
      </c>
    </row>
    <row r="166" spans="1:13" ht="15.6" x14ac:dyDescent="0.3">
      <c r="A166" s="67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18"/>
    </row>
    <row r="167" spans="1:13" ht="15.6" x14ac:dyDescent="0.3">
      <c r="A167" s="671"/>
      <c r="B167" s="19" t="s">
        <v>74</v>
      </c>
      <c r="C167" s="11" t="s">
        <v>57</v>
      </c>
      <c r="D167" s="26">
        <f>Mulanje!P167</f>
        <v>0</v>
      </c>
      <c r="E167" s="26">
        <f>Luchenza!P167</f>
        <v>0</v>
      </c>
      <c r="F167" s="26">
        <f>Thyolo!P167</f>
        <v>37</v>
      </c>
      <c r="G167" s="26">
        <f>Muloza!P167</f>
        <v>0</v>
      </c>
      <c r="H167" s="26">
        <f>MUST!P167</f>
        <v>0</v>
      </c>
      <c r="I167" s="26">
        <f>Phalombe!P167</f>
        <v>5</v>
      </c>
      <c r="J167" s="26">
        <f>Mikolongwe!P167</f>
        <v>5</v>
      </c>
      <c r="K167" s="26">
        <f>Migowi!P167</f>
        <v>1</v>
      </c>
      <c r="L167" s="26">
        <f>Nkando!N167+Nkando!O167+Nkando!P167</f>
        <v>6</v>
      </c>
      <c r="M167" s="18">
        <f t="shared" ref="M167:M175" si="56">SUM(D167:L167)</f>
        <v>54</v>
      </c>
    </row>
    <row r="168" spans="1:13" ht="15.6" x14ac:dyDescent="0.3">
      <c r="A168" s="671"/>
      <c r="B168" s="19" t="s">
        <v>73</v>
      </c>
      <c r="C168" s="11" t="s">
        <v>57</v>
      </c>
      <c r="D168" s="26">
        <f>Mulanje!P168</f>
        <v>3</v>
      </c>
      <c r="E168" s="26">
        <f>Luchenza!P168</f>
        <v>0</v>
      </c>
      <c r="F168" s="26">
        <f>Thyolo!P168</f>
        <v>11</v>
      </c>
      <c r="G168" s="26">
        <f>Muloza!P168</f>
        <v>0</v>
      </c>
      <c r="H168" s="26">
        <f>MUST!P168</f>
        <v>0</v>
      </c>
      <c r="I168" s="26">
        <f>Phalombe!P168</f>
        <v>1</v>
      </c>
      <c r="J168" s="26">
        <f>Mikolongwe!P168</f>
        <v>2</v>
      </c>
      <c r="K168" s="26">
        <f>Migowi!P168</f>
        <v>0</v>
      </c>
      <c r="L168" s="26">
        <f>Nkando!N168+Nkando!O168+Nkando!P168</f>
        <v>4</v>
      </c>
      <c r="M168" s="18">
        <f t="shared" si="56"/>
        <v>21</v>
      </c>
    </row>
    <row r="169" spans="1:13" ht="15.6" x14ac:dyDescent="0.3">
      <c r="A169" s="671"/>
      <c r="B169" s="19" t="s">
        <v>72</v>
      </c>
      <c r="C169" s="11" t="s">
        <v>57</v>
      </c>
      <c r="D169" s="26">
        <f>Mulanje!P169</f>
        <v>0</v>
      </c>
      <c r="E169" s="26">
        <f>Luchenza!P169</f>
        <v>0</v>
      </c>
      <c r="F169" s="26">
        <f>Thyolo!P169</f>
        <v>0</v>
      </c>
      <c r="G169" s="26">
        <f>Muloza!P169</f>
        <v>0</v>
      </c>
      <c r="H169" s="26">
        <f>MUST!P169</f>
        <v>0</v>
      </c>
      <c r="I169" s="26">
        <f>Phalombe!P169</f>
        <v>1</v>
      </c>
      <c r="J169" s="26">
        <f>Mikolongwe!P169</f>
        <v>1</v>
      </c>
      <c r="K169" s="26">
        <f>Migowi!P169</f>
        <v>0</v>
      </c>
      <c r="L169" s="26">
        <f>Nkando!N169+Nkando!O169+Nkando!P169</f>
        <v>0</v>
      </c>
      <c r="M169" s="18">
        <f t="shared" si="56"/>
        <v>2</v>
      </c>
    </row>
    <row r="170" spans="1:13" ht="15.6" x14ac:dyDescent="0.3">
      <c r="A170" s="671"/>
      <c r="B170" s="19" t="s">
        <v>71</v>
      </c>
      <c r="C170" s="11" t="s">
        <v>57</v>
      </c>
      <c r="D170" s="26">
        <f>Mulanje!P170</f>
        <v>0</v>
      </c>
      <c r="E170" s="26">
        <f>Luchenza!P170</f>
        <v>0</v>
      </c>
      <c r="F170" s="26">
        <f>Thyolo!P170</f>
        <v>2</v>
      </c>
      <c r="G170" s="26">
        <f>Muloza!P170</f>
        <v>0</v>
      </c>
      <c r="H170" s="26">
        <f>MUST!P170</f>
        <v>0</v>
      </c>
      <c r="I170" s="26">
        <f>Phalombe!P170</f>
        <v>0</v>
      </c>
      <c r="J170" s="26">
        <f>Mikolongwe!P170</f>
        <v>0</v>
      </c>
      <c r="K170" s="26">
        <f>Migowi!P170</f>
        <v>0</v>
      </c>
      <c r="L170" s="26">
        <f>Nkando!N170+Nkando!O170+Nkando!P170</f>
        <v>0</v>
      </c>
      <c r="M170" s="18">
        <f t="shared" si="56"/>
        <v>2</v>
      </c>
    </row>
    <row r="171" spans="1:13" ht="15.6" x14ac:dyDescent="0.3">
      <c r="A171" s="671"/>
      <c r="B171" s="19" t="s">
        <v>52</v>
      </c>
      <c r="C171" s="11" t="s">
        <v>57</v>
      </c>
      <c r="D171" s="26">
        <f>Mulanje!P171</f>
        <v>0</v>
      </c>
      <c r="E171" s="26">
        <f>Luchenza!P171</f>
        <v>0</v>
      </c>
      <c r="F171" s="26">
        <f>Thyolo!P171</f>
        <v>2</v>
      </c>
      <c r="G171" s="26">
        <f>Muloza!P171</f>
        <v>0</v>
      </c>
      <c r="H171" s="26">
        <f>MUST!P171</f>
        <v>0</v>
      </c>
      <c r="I171" s="26">
        <f>Phalombe!P171</f>
        <v>0</v>
      </c>
      <c r="J171" s="26">
        <f>Mikolongwe!P171</f>
        <v>0</v>
      </c>
      <c r="K171" s="26">
        <f>Migowi!P171</f>
        <v>0</v>
      </c>
      <c r="L171" s="26">
        <f>Nkando!N171+Nkando!O171+Nkando!P171</f>
        <v>0</v>
      </c>
      <c r="M171" s="18">
        <f t="shared" si="56"/>
        <v>2</v>
      </c>
    </row>
    <row r="172" spans="1:13" ht="15.6" x14ac:dyDescent="0.3">
      <c r="A172" s="671"/>
      <c r="B172" s="19" t="s">
        <v>62</v>
      </c>
      <c r="C172" s="11" t="s">
        <v>57</v>
      </c>
      <c r="D172" s="26">
        <f>Mulanje!P172</f>
        <v>0</v>
      </c>
      <c r="E172" s="26">
        <f>Luchenza!P172</f>
        <v>0</v>
      </c>
      <c r="F172" s="26">
        <f>Thyolo!P172</f>
        <v>0</v>
      </c>
      <c r="G172" s="26">
        <f>Muloza!P172</f>
        <v>0</v>
      </c>
      <c r="H172" s="26">
        <f>MUST!P172</f>
        <v>0</v>
      </c>
      <c r="I172" s="26">
        <f>Phalombe!P172</f>
        <v>0</v>
      </c>
      <c r="J172" s="26">
        <f>Mikolongwe!P172</f>
        <v>0</v>
      </c>
      <c r="K172" s="26">
        <f>Migowi!P172</f>
        <v>0</v>
      </c>
      <c r="L172" s="26">
        <f>Nkando!N172+Nkando!O172+Nkando!P172</f>
        <v>0</v>
      </c>
      <c r="M172" s="18">
        <f t="shared" si="56"/>
        <v>0</v>
      </c>
    </row>
    <row r="173" spans="1:13" ht="15.6" x14ac:dyDescent="0.3">
      <c r="A173" s="671"/>
      <c r="B173" s="19" t="s">
        <v>61</v>
      </c>
      <c r="C173" s="11" t="s">
        <v>57</v>
      </c>
      <c r="D173" s="26">
        <f>Mulanje!P173</f>
        <v>0</v>
      </c>
      <c r="E173" s="26">
        <f>Luchenza!P173</f>
        <v>0</v>
      </c>
      <c r="F173" s="26">
        <f>Thyolo!P173</f>
        <v>0</v>
      </c>
      <c r="G173" s="26">
        <f>Muloza!P173</f>
        <v>0</v>
      </c>
      <c r="H173" s="26">
        <f>MUST!P173</f>
        <v>0</v>
      </c>
      <c r="I173" s="26">
        <f>Phalombe!P173</f>
        <v>0</v>
      </c>
      <c r="J173" s="26">
        <f>Mikolongwe!P173</f>
        <v>0</v>
      </c>
      <c r="K173" s="26">
        <f>Migowi!P173</f>
        <v>0</v>
      </c>
      <c r="L173" s="26">
        <f>Nkando!N173+Nkando!O173+Nkando!P173</f>
        <v>0</v>
      </c>
      <c r="M173" s="18">
        <f t="shared" si="56"/>
        <v>0</v>
      </c>
    </row>
    <row r="174" spans="1:13" ht="15.6" x14ac:dyDescent="0.3">
      <c r="A174" s="671"/>
      <c r="B174" s="19" t="s">
        <v>60</v>
      </c>
      <c r="C174" s="11" t="s">
        <v>57</v>
      </c>
      <c r="D174" s="26">
        <f>Mulanje!P174</f>
        <v>0</v>
      </c>
      <c r="E174" s="26">
        <f>Luchenza!P174</f>
        <v>0</v>
      </c>
      <c r="F174" s="26">
        <f>Thyolo!P174</f>
        <v>0</v>
      </c>
      <c r="G174" s="26">
        <f>Muloza!P174</f>
        <v>0</v>
      </c>
      <c r="H174" s="26">
        <f>MUST!P174</f>
        <v>0</v>
      </c>
      <c r="I174" s="26">
        <f>Phalombe!P174</f>
        <v>0</v>
      </c>
      <c r="J174" s="26">
        <f>Mikolongwe!P174</f>
        <v>0</v>
      </c>
      <c r="K174" s="26">
        <f>Migowi!P174</f>
        <v>0</v>
      </c>
      <c r="L174" s="26">
        <f>Nkando!N174+Nkando!O174+Nkando!P174</f>
        <v>0</v>
      </c>
      <c r="M174" s="18">
        <f t="shared" si="56"/>
        <v>0</v>
      </c>
    </row>
    <row r="175" spans="1:13" ht="15.6" x14ac:dyDescent="0.3">
      <c r="A175" s="672"/>
      <c r="B175" s="19" t="s">
        <v>69</v>
      </c>
      <c r="C175" s="11" t="s">
        <v>57</v>
      </c>
      <c r="D175" s="26">
        <f>Mulanje!P175</f>
        <v>0</v>
      </c>
      <c r="E175" s="26">
        <f>Luchenza!P175</f>
        <v>0</v>
      </c>
      <c r="F175" s="26">
        <f>Thyolo!P175</f>
        <v>0</v>
      </c>
      <c r="G175" s="26">
        <f>Muloza!P175</f>
        <v>0</v>
      </c>
      <c r="H175" s="26">
        <f>MUST!P175</f>
        <v>0</v>
      </c>
      <c r="I175" s="26">
        <f>Phalombe!P175</f>
        <v>0</v>
      </c>
      <c r="J175" s="26">
        <f>Mikolongwe!P175</f>
        <v>0</v>
      </c>
      <c r="K175" s="26">
        <f>Migowi!P175</f>
        <v>0</v>
      </c>
      <c r="L175" s="26">
        <f>Nkando!N175+Nkando!O175+Nkando!P175</f>
        <v>0</v>
      </c>
      <c r="M175" s="18">
        <f t="shared" si="56"/>
        <v>0</v>
      </c>
    </row>
    <row r="176" spans="1:13" ht="15.6" x14ac:dyDescent="0.3">
      <c r="A176" s="67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18"/>
    </row>
    <row r="177" spans="1:13" ht="15.6" x14ac:dyDescent="0.3">
      <c r="A177" s="671"/>
      <c r="B177" s="19" t="s">
        <v>60</v>
      </c>
      <c r="C177" s="11" t="s">
        <v>57</v>
      </c>
      <c r="D177" s="26">
        <f>Mulanje!P177</f>
        <v>0</v>
      </c>
      <c r="E177" s="26">
        <f>Luchenza!P177</f>
        <v>0</v>
      </c>
      <c r="F177" s="26">
        <f>Thyolo!P177</f>
        <v>0</v>
      </c>
      <c r="G177" s="26">
        <f>Muloza!P177</f>
        <v>0</v>
      </c>
      <c r="H177" s="26">
        <f>MUST!P177</f>
        <v>0</v>
      </c>
      <c r="I177" s="26">
        <f>Phalombe!P177</f>
        <v>0</v>
      </c>
      <c r="J177" s="26">
        <f>Mikolongwe!P177</f>
        <v>0</v>
      </c>
      <c r="K177" s="26">
        <f>Migowi!P177</f>
        <v>0</v>
      </c>
      <c r="L177" s="26">
        <f>Nkando!N177+Nkando!O177+Nkando!P177</f>
        <v>0</v>
      </c>
      <c r="M177" s="18">
        <f t="shared" ref="M177:M182" si="57">SUM(D177:L177)</f>
        <v>0</v>
      </c>
    </row>
    <row r="178" spans="1:13" ht="15.6" x14ac:dyDescent="0.3">
      <c r="A178" s="671"/>
      <c r="B178" s="19" t="s">
        <v>69</v>
      </c>
      <c r="C178" s="11" t="s">
        <v>57</v>
      </c>
      <c r="D178" s="26">
        <f>Mulanje!P178</f>
        <v>0</v>
      </c>
      <c r="E178" s="26">
        <f>Luchenza!P178</f>
        <v>0</v>
      </c>
      <c r="F178" s="26">
        <f>Thyolo!P178</f>
        <v>0</v>
      </c>
      <c r="G178" s="26">
        <f>Muloza!P178</f>
        <v>0</v>
      </c>
      <c r="H178" s="26">
        <f>MUST!P178</f>
        <v>0</v>
      </c>
      <c r="I178" s="26">
        <f>Phalombe!P178</f>
        <v>0</v>
      </c>
      <c r="J178" s="26">
        <f>Mikolongwe!P178</f>
        <v>0</v>
      </c>
      <c r="K178" s="26">
        <f>Migowi!P178</f>
        <v>0</v>
      </c>
      <c r="L178" s="26">
        <f>Nkando!N178+Nkando!O178+Nkando!P178</f>
        <v>0</v>
      </c>
      <c r="M178" s="18">
        <f t="shared" si="57"/>
        <v>0</v>
      </c>
    </row>
    <row r="179" spans="1:13" ht="15.6" x14ac:dyDescent="0.3">
      <c r="A179" s="671"/>
      <c r="B179" s="19" t="s">
        <v>68</v>
      </c>
      <c r="C179" s="11" t="s">
        <v>57</v>
      </c>
      <c r="D179" s="26">
        <f>Mulanje!P179</f>
        <v>0</v>
      </c>
      <c r="E179" s="26">
        <f>Luchenza!P179</f>
        <v>0</v>
      </c>
      <c r="F179" s="26">
        <f>Thyolo!P179</f>
        <v>0</v>
      </c>
      <c r="G179" s="26">
        <f>Muloza!P179</f>
        <v>0</v>
      </c>
      <c r="H179" s="26">
        <f>MUST!P179</f>
        <v>0</v>
      </c>
      <c r="I179" s="26">
        <f>Phalombe!P179</f>
        <v>0</v>
      </c>
      <c r="J179" s="26">
        <f>Mikolongwe!P179</f>
        <v>0</v>
      </c>
      <c r="K179" s="26">
        <f>Migowi!P179</f>
        <v>0</v>
      </c>
      <c r="L179" s="26">
        <f>Nkando!N179+Nkando!O179+Nkando!P179</f>
        <v>0</v>
      </c>
      <c r="M179" s="18">
        <f t="shared" si="57"/>
        <v>0</v>
      </c>
    </row>
    <row r="180" spans="1:13" ht="15.6" x14ac:dyDescent="0.3">
      <c r="A180" s="671"/>
      <c r="B180" s="19" t="s">
        <v>67</v>
      </c>
      <c r="C180" s="11" t="s">
        <v>57</v>
      </c>
      <c r="D180" s="26">
        <f>Mulanje!P180</f>
        <v>0</v>
      </c>
      <c r="E180" s="26">
        <f>Luchenza!P180</f>
        <v>0</v>
      </c>
      <c r="F180" s="26">
        <f>Thyolo!P180</f>
        <v>0</v>
      </c>
      <c r="G180" s="26">
        <f>Muloza!P180</f>
        <v>0</v>
      </c>
      <c r="H180" s="26">
        <f>MUST!P180</f>
        <v>0</v>
      </c>
      <c r="I180" s="26">
        <f>Phalombe!P180</f>
        <v>0</v>
      </c>
      <c r="J180" s="26">
        <f>Mikolongwe!P180</f>
        <v>0</v>
      </c>
      <c r="K180" s="26">
        <f>Migowi!P180</f>
        <v>0</v>
      </c>
      <c r="L180" s="26">
        <f>Nkando!N180+Nkando!O180+Nkando!P180</f>
        <v>0</v>
      </c>
      <c r="M180" s="18">
        <f t="shared" si="57"/>
        <v>0</v>
      </c>
    </row>
    <row r="181" spans="1:13" ht="15.6" x14ac:dyDescent="0.3">
      <c r="A181" s="671"/>
      <c r="B181" s="19" t="s">
        <v>66</v>
      </c>
      <c r="C181" s="11" t="s">
        <v>57</v>
      </c>
      <c r="D181" s="26">
        <f>Mulanje!P181</f>
        <v>0</v>
      </c>
      <c r="E181" s="26">
        <f>Luchenza!P181</f>
        <v>0</v>
      </c>
      <c r="F181" s="26">
        <f>Thyolo!P181</f>
        <v>0</v>
      </c>
      <c r="G181" s="26">
        <f>Muloza!P181</f>
        <v>0</v>
      </c>
      <c r="H181" s="26">
        <f>MUST!P181</f>
        <v>0</v>
      </c>
      <c r="I181" s="26">
        <f>Phalombe!P181</f>
        <v>0</v>
      </c>
      <c r="J181" s="26">
        <f>Mikolongwe!P181</f>
        <v>0</v>
      </c>
      <c r="K181" s="26">
        <f>Migowi!P181</f>
        <v>0</v>
      </c>
      <c r="L181" s="26">
        <f>Nkando!N181+Nkando!O181+Nkando!P181</f>
        <v>0</v>
      </c>
      <c r="M181" s="18">
        <f t="shared" si="57"/>
        <v>0</v>
      </c>
    </row>
    <row r="182" spans="1:13" ht="15.6" x14ac:dyDescent="0.3">
      <c r="A182" s="672"/>
      <c r="B182" s="19" t="s">
        <v>65</v>
      </c>
      <c r="C182" s="11" t="s">
        <v>57</v>
      </c>
      <c r="D182" s="26">
        <f>Mulanje!P182</f>
        <v>0</v>
      </c>
      <c r="E182" s="26">
        <f>Luchenza!P182</f>
        <v>0</v>
      </c>
      <c r="F182" s="26">
        <f>Thyolo!P182</f>
        <v>0</v>
      </c>
      <c r="G182" s="26">
        <f>Muloza!P182</f>
        <v>0</v>
      </c>
      <c r="H182" s="26">
        <f>MUST!P182</f>
        <v>0</v>
      </c>
      <c r="I182" s="26">
        <f>Phalombe!P182</f>
        <v>0</v>
      </c>
      <c r="J182" s="26">
        <f>Mikolongwe!P182</f>
        <v>0</v>
      </c>
      <c r="K182" s="26">
        <f>Migowi!P182</f>
        <v>0</v>
      </c>
      <c r="L182" s="26">
        <f>Nkando!N182+Nkando!O182+Nkando!P182</f>
        <v>0</v>
      </c>
      <c r="M182" s="18">
        <f t="shared" si="57"/>
        <v>0</v>
      </c>
    </row>
    <row r="183" spans="1:13" ht="15.6" x14ac:dyDescent="0.3">
      <c r="A183" s="67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18"/>
    </row>
    <row r="184" spans="1:13" ht="15.6" x14ac:dyDescent="0.3">
      <c r="A184" s="671"/>
      <c r="B184" s="19" t="s">
        <v>73</v>
      </c>
      <c r="C184" s="11" t="s">
        <v>57</v>
      </c>
      <c r="D184" s="26">
        <f>Mulanje!P184</f>
        <v>0</v>
      </c>
      <c r="E184" s="26">
        <f>Luchenza!P184</f>
        <v>0</v>
      </c>
      <c r="F184" s="26">
        <f>Thyolo!P184</f>
        <v>0</v>
      </c>
      <c r="G184" s="26">
        <f>Muloza!P184</f>
        <v>0</v>
      </c>
      <c r="H184" s="26">
        <f>MUST!P184</f>
        <v>0</v>
      </c>
      <c r="I184" s="26">
        <f>Phalombe!P184</f>
        <v>0</v>
      </c>
      <c r="J184" s="26">
        <f>Mikolongwe!P184</f>
        <v>0</v>
      </c>
      <c r="K184" s="26">
        <f>Migowi!P184</f>
        <v>0</v>
      </c>
      <c r="L184" s="26">
        <f>Nkando!N184+Nkando!O184+Nkando!P184</f>
        <v>0</v>
      </c>
      <c r="M184" s="18">
        <f>SUM(D184:L184)</f>
        <v>0</v>
      </c>
    </row>
    <row r="185" spans="1:13" ht="15.6" x14ac:dyDescent="0.3">
      <c r="A185" s="671"/>
      <c r="B185" s="19" t="s">
        <v>72</v>
      </c>
      <c r="C185" s="11" t="s">
        <v>57</v>
      </c>
      <c r="D185" s="26">
        <f>Mulanje!P185</f>
        <v>0</v>
      </c>
      <c r="E185" s="26">
        <f>Luchenza!P185</f>
        <v>0</v>
      </c>
      <c r="F185" s="26">
        <f>Thyolo!P185</f>
        <v>0</v>
      </c>
      <c r="G185" s="26">
        <f>Muloza!P185</f>
        <v>0</v>
      </c>
      <c r="H185" s="26">
        <f>MUST!P185</f>
        <v>0</v>
      </c>
      <c r="I185" s="26">
        <f>Phalombe!P185</f>
        <v>0</v>
      </c>
      <c r="J185" s="26">
        <f>Mikolongwe!P185</f>
        <v>0</v>
      </c>
      <c r="K185" s="26">
        <f>Migowi!P185</f>
        <v>0</v>
      </c>
      <c r="L185" s="26">
        <f>Nkando!N185+Nkando!O185+Nkando!P185</f>
        <v>0</v>
      </c>
      <c r="M185" s="18">
        <f>SUM(D185:L185)</f>
        <v>0</v>
      </c>
    </row>
    <row r="186" spans="1:13" ht="15.6" x14ac:dyDescent="0.3">
      <c r="A186" s="671"/>
      <c r="B186" s="19" t="s">
        <v>53</v>
      </c>
      <c r="C186" s="11" t="s">
        <v>57</v>
      </c>
      <c r="D186" s="26">
        <f>Mulanje!P186</f>
        <v>0</v>
      </c>
      <c r="E186" s="26">
        <f>Luchenza!P186</f>
        <v>0</v>
      </c>
      <c r="F186" s="26">
        <f>Thyolo!P186</f>
        <v>0</v>
      </c>
      <c r="G186" s="26">
        <f>Muloza!P186</f>
        <v>0</v>
      </c>
      <c r="H186" s="26">
        <f>MUST!P186</f>
        <v>0</v>
      </c>
      <c r="I186" s="26">
        <f>Phalombe!P186</f>
        <v>0</v>
      </c>
      <c r="J186" s="26">
        <f>Mikolongwe!P186</f>
        <v>0</v>
      </c>
      <c r="K186" s="26">
        <f>Migowi!P186</f>
        <v>0</v>
      </c>
      <c r="L186" s="26">
        <f>Nkando!N186+Nkando!O186+Nkando!P186</f>
        <v>0</v>
      </c>
      <c r="M186" s="18">
        <f>SUM(D186:L186)</f>
        <v>0</v>
      </c>
    </row>
    <row r="187" spans="1:13" ht="15.6" x14ac:dyDescent="0.3">
      <c r="A187" s="672"/>
      <c r="B187" s="19" t="s">
        <v>52</v>
      </c>
      <c r="C187" s="11" t="s">
        <v>57</v>
      </c>
      <c r="D187" s="26">
        <f>Mulanje!P187</f>
        <v>0</v>
      </c>
      <c r="E187" s="26">
        <f>Luchenza!P187</f>
        <v>0</v>
      </c>
      <c r="F187" s="26">
        <f>Thyolo!P187</f>
        <v>0</v>
      </c>
      <c r="G187" s="26">
        <f>Muloza!P187</f>
        <v>0</v>
      </c>
      <c r="H187" s="26">
        <f>MUST!P187</f>
        <v>0</v>
      </c>
      <c r="I187" s="26">
        <f>Phalombe!P187</f>
        <v>0</v>
      </c>
      <c r="J187" s="26">
        <f>Mikolongwe!P187</f>
        <v>0</v>
      </c>
      <c r="K187" s="26">
        <f>Migowi!P187</f>
        <v>0</v>
      </c>
      <c r="L187" s="26">
        <f>Nkando!N187+Nkando!O187+Nkando!P187</f>
        <v>0</v>
      </c>
      <c r="M187" s="18">
        <f>SUM(D187:L187)</f>
        <v>0</v>
      </c>
    </row>
    <row r="188" spans="1:13" ht="15.6" x14ac:dyDescent="0.3">
      <c r="A188" s="67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18"/>
    </row>
    <row r="189" spans="1:13" ht="15.6" x14ac:dyDescent="0.3">
      <c r="A189" s="671"/>
      <c r="B189" s="20" t="s">
        <v>52</v>
      </c>
      <c r="C189" s="11" t="s">
        <v>57</v>
      </c>
      <c r="D189" s="26">
        <f>Mulanje!P189</f>
        <v>0</v>
      </c>
      <c r="E189" s="26">
        <f>Luchenza!P189</f>
        <v>0</v>
      </c>
      <c r="F189" s="26">
        <f>Thyolo!P189</f>
        <v>0</v>
      </c>
      <c r="G189" s="26">
        <f>Muloza!P189</f>
        <v>0</v>
      </c>
      <c r="H189" s="26">
        <f>MUST!P189</f>
        <v>0</v>
      </c>
      <c r="I189" s="26">
        <f>Phalombe!P189</f>
        <v>0</v>
      </c>
      <c r="J189" s="26">
        <f>Mikolongwe!P189</f>
        <v>0</v>
      </c>
      <c r="K189" s="26">
        <f>Migowi!P189</f>
        <v>0</v>
      </c>
      <c r="L189" s="4"/>
      <c r="M189" s="18">
        <f>SUM(D189:L189)</f>
        <v>0</v>
      </c>
    </row>
    <row r="190" spans="1:13" ht="15.6" x14ac:dyDescent="0.3">
      <c r="A190" s="671"/>
      <c r="B190" s="19" t="s">
        <v>62</v>
      </c>
      <c r="C190" s="11" t="s">
        <v>57</v>
      </c>
      <c r="D190" s="26">
        <f>Mulanje!P190</f>
        <v>0</v>
      </c>
      <c r="E190" s="26">
        <f>Luchenza!P190</f>
        <v>0</v>
      </c>
      <c r="F190" s="26">
        <f>Thyolo!P190</f>
        <v>7</v>
      </c>
      <c r="G190" s="26">
        <f>Muloza!P190</f>
        <v>0</v>
      </c>
      <c r="H190" s="26">
        <f>MUST!P190</f>
        <v>0</v>
      </c>
      <c r="I190" s="26">
        <f>Phalombe!P190</f>
        <v>0</v>
      </c>
      <c r="J190" s="26">
        <f>Mikolongwe!P190</f>
        <v>0</v>
      </c>
      <c r="K190" s="26">
        <f>Migowi!P190</f>
        <v>0</v>
      </c>
      <c r="L190" s="4"/>
      <c r="M190" s="18">
        <f>SUM(D190:L190)</f>
        <v>7</v>
      </c>
    </row>
    <row r="191" spans="1:13" ht="15.6" x14ac:dyDescent="0.3">
      <c r="A191" s="671"/>
      <c r="B191" s="19" t="s">
        <v>61</v>
      </c>
      <c r="C191" s="11" t="s">
        <v>57</v>
      </c>
      <c r="D191" s="26">
        <f>Mulanje!P191</f>
        <v>0</v>
      </c>
      <c r="E191" s="26">
        <f>Luchenza!P191</f>
        <v>0</v>
      </c>
      <c r="F191" s="26">
        <f>Thyolo!P191</f>
        <v>5</v>
      </c>
      <c r="G191" s="26">
        <f>Muloza!P191</f>
        <v>0</v>
      </c>
      <c r="H191" s="26">
        <f>MUST!P191</f>
        <v>0</v>
      </c>
      <c r="I191" s="26">
        <f>Phalombe!P191</f>
        <v>0</v>
      </c>
      <c r="J191" s="26">
        <f>Mikolongwe!P191</f>
        <v>0</v>
      </c>
      <c r="K191" s="26">
        <f>Migowi!P191</f>
        <v>0</v>
      </c>
      <c r="L191" s="4"/>
      <c r="M191" s="18">
        <f>SUM(D191:L191)</f>
        <v>5</v>
      </c>
    </row>
    <row r="192" spans="1:13" ht="15.6" x14ac:dyDescent="0.3">
      <c r="A192" s="672"/>
      <c r="B192" s="19" t="s">
        <v>60</v>
      </c>
      <c r="C192" s="11" t="s">
        <v>57</v>
      </c>
      <c r="D192" s="26">
        <f>Mulanje!P192</f>
        <v>0</v>
      </c>
      <c r="E192" s="26">
        <f>Luchenza!P192</f>
        <v>0</v>
      </c>
      <c r="F192" s="26">
        <f>Thyolo!P192</f>
        <v>4</v>
      </c>
      <c r="G192" s="26">
        <f>Muloza!P192</f>
        <v>0</v>
      </c>
      <c r="H192" s="26">
        <f>MUST!P192</f>
        <v>0</v>
      </c>
      <c r="I192" s="26">
        <f>Phalombe!P192</f>
        <v>0</v>
      </c>
      <c r="J192" s="26">
        <f>Mikolongwe!P192</f>
        <v>0</v>
      </c>
      <c r="K192" s="26">
        <f>Migowi!P192</f>
        <v>0</v>
      </c>
      <c r="L192" s="4"/>
      <c r="M192" s="18">
        <f>SUM(D192:L192)</f>
        <v>4</v>
      </c>
    </row>
    <row r="193" spans="1:13" ht="15.6" x14ac:dyDescent="0.3">
      <c r="A193" s="727" t="s">
        <v>59</v>
      </c>
      <c r="B193" s="728"/>
      <c r="C193" s="11"/>
      <c r="D193" s="10">
        <f>SUM(D153:D192)</f>
        <v>451</v>
      </c>
      <c r="E193" s="10">
        <f t="shared" ref="E193:K193" si="58">SUM(E153:E192)</f>
        <v>1803</v>
      </c>
      <c r="F193" s="10">
        <f t="shared" si="58"/>
        <v>1315</v>
      </c>
      <c r="G193" s="10">
        <f t="shared" si="58"/>
        <v>257</v>
      </c>
      <c r="H193" s="10">
        <f t="shared" si="58"/>
        <v>65</v>
      </c>
      <c r="I193" s="10">
        <f t="shared" si="58"/>
        <v>315</v>
      </c>
      <c r="J193" s="10">
        <f t="shared" si="58"/>
        <v>27</v>
      </c>
      <c r="K193" s="10">
        <f t="shared" si="58"/>
        <v>4</v>
      </c>
      <c r="L193" s="10">
        <f t="shared" ref="L193" si="59">SUM(L153:L192)</f>
        <v>49</v>
      </c>
      <c r="M193" s="102">
        <f>SUM(M153:M192)</f>
        <v>4286</v>
      </c>
    </row>
    <row r="194" spans="1:13" ht="15.6" x14ac:dyDescent="0.3">
      <c r="A194" s="665" t="s">
        <v>58</v>
      </c>
      <c r="B194" s="666"/>
      <c r="C194" s="11" t="s">
        <v>57</v>
      </c>
      <c r="D194" s="26">
        <f>Mulanje!P194</f>
        <v>0</v>
      </c>
      <c r="E194" s="26">
        <f>Luchenza!P194</f>
        <v>1</v>
      </c>
      <c r="F194" s="26">
        <f>Thyolo!P194</f>
        <v>6</v>
      </c>
      <c r="G194" s="26">
        <f>Muloza!P194</f>
        <v>1</v>
      </c>
      <c r="H194" s="26">
        <f>MUST!P194</f>
        <v>51</v>
      </c>
      <c r="I194" s="26">
        <f>Phalombe!P194</f>
        <v>0</v>
      </c>
      <c r="J194" s="26">
        <f>Mikolongwe!P194</f>
        <v>20</v>
      </c>
      <c r="K194" s="26">
        <f>Migowi!P194</f>
        <v>6</v>
      </c>
      <c r="L194" s="26">
        <f>Nkando!N194+Nkando!O194+Nkando!P194</f>
        <v>4</v>
      </c>
      <c r="M194" s="9">
        <f>SUM(D194:L194)</f>
        <v>89</v>
      </c>
    </row>
    <row r="195" spans="1:13" ht="15.6" x14ac:dyDescent="0.3">
      <c r="A195" s="667"/>
      <c r="B195" s="668"/>
      <c r="C195" s="16" t="s">
        <v>55</v>
      </c>
      <c r="D195" s="26">
        <f>Mulanje!P195</f>
        <v>0</v>
      </c>
      <c r="E195" s="26">
        <f>Luchenza!P195</f>
        <v>698</v>
      </c>
      <c r="F195" s="26">
        <f>Thyolo!P195</f>
        <v>941</v>
      </c>
      <c r="G195" s="26">
        <f>Muloza!P195</f>
        <v>216</v>
      </c>
      <c r="H195" s="26">
        <f>MUST!P195</f>
        <v>646</v>
      </c>
      <c r="I195" s="26">
        <f>Phalombe!P195</f>
        <v>0</v>
      </c>
      <c r="J195" s="26">
        <f>Mikolongwe!P195</f>
        <v>314</v>
      </c>
      <c r="K195" s="26">
        <f>Migowi!P195</f>
        <v>4080</v>
      </c>
      <c r="L195" s="26">
        <f>Nkando!N195+Nkando!O195+Nkando!P195</f>
        <v>16</v>
      </c>
      <c r="M195" s="9">
        <f>SUM(D195:L195)</f>
        <v>6911</v>
      </c>
    </row>
    <row r="196" spans="1:13" ht="15.6" x14ac:dyDescent="0.3">
      <c r="A196" s="197" t="s">
        <v>202</v>
      </c>
      <c r="B196" s="198"/>
      <c r="C196" s="16" t="s">
        <v>55</v>
      </c>
      <c r="D196" s="26">
        <f>Mulanje!P196</f>
        <v>24</v>
      </c>
      <c r="E196" s="26">
        <f>Luchenza!P196</f>
        <v>7.333333333333333</v>
      </c>
      <c r="F196" s="26">
        <f>Thyolo!P196</f>
        <v>8.4973118279569917</v>
      </c>
      <c r="G196" s="26">
        <f>Muloza!P196</f>
        <v>20.528639846743296</v>
      </c>
      <c r="H196" s="26">
        <f>MUST!P196</f>
        <v>24</v>
      </c>
      <c r="I196" s="26">
        <f>Phalombe!P196</f>
        <v>24</v>
      </c>
      <c r="J196" s="26">
        <f>Mikolongwe!P196</f>
        <v>22.833333333333332</v>
      </c>
      <c r="K196" s="26">
        <f>Migowi!P196</f>
        <v>24</v>
      </c>
      <c r="L196" s="26">
        <f>Nkando!N196+Nkando!O196+Nkando!P196</f>
        <v>9</v>
      </c>
      <c r="M196" s="9">
        <f>SUM(D196:L196)/10</f>
        <v>16.419261834136698</v>
      </c>
    </row>
    <row r="197" spans="1:13" ht="15.6" x14ac:dyDescent="0.3">
      <c r="A197" s="661" t="s">
        <v>56</v>
      </c>
      <c r="B197" s="662"/>
      <c r="C197" s="16" t="s">
        <v>55</v>
      </c>
      <c r="D197" s="26">
        <f>Mulanje!P197</f>
        <v>0</v>
      </c>
      <c r="E197" s="26">
        <f>Luchenza!P197</f>
        <v>235</v>
      </c>
      <c r="F197" s="26">
        <f>Thyolo!P197</f>
        <v>802</v>
      </c>
      <c r="G197" s="26">
        <f>Muloza!P197</f>
        <v>474</v>
      </c>
      <c r="H197" s="26">
        <f>MUST!P197</f>
        <v>1006</v>
      </c>
      <c r="I197" s="26">
        <f>Phalombe!P197</f>
        <v>0</v>
      </c>
      <c r="J197" s="26">
        <f>Mikolongwe!P197</f>
        <v>713</v>
      </c>
      <c r="K197" s="26">
        <f>Migowi!P197</f>
        <v>493</v>
      </c>
      <c r="L197" s="26">
        <f>Nkando!N197+Nkando!O197+Nkando!P197</f>
        <v>215</v>
      </c>
      <c r="M197" s="9">
        <f>SUM(D197:L197)</f>
        <v>3938</v>
      </c>
    </row>
    <row r="198" spans="1:13" x14ac:dyDescent="0.3">
      <c r="A198" s="649" t="s">
        <v>203</v>
      </c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1"/>
    </row>
    <row r="199" spans="1:13" ht="15.6" x14ac:dyDescent="0.3">
      <c r="A199" s="665" t="s">
        <v>54</v>
      </c>
      <c r="B199" s="194" t="s">
        <v>53</v>
      </c>
      <c r="C199" s="11" t="s">
        <v>47</v>
      </c>
      <c r="D199" s="26">
        <f>Mulanje!P199</f>
        <v>35</v>
      </c>
      <c r="E199" s="26">
        <f>Luchenza!P199</f>
        <v>0</v>
      </c>
      <c r="F199" s="26">
        <f>Thyolo!P199</f>
        <v>744</v>
      </c>
      <c r="G199" s="26">
        <f>Muloza!P199</f>
        <v>130</v>
      </c>
      <c r="H199" s="26">
        <f>MUST!P199</f>
        <v>1700</v>
      </c>
      <c r="I199" s="26">
        <f>Phalombe!P199</f>
        <v>258</v>
      </c>
      <c r="J199" s="26">
        <f>Mikolongwe!P199</f>
        <v>0</v>
      </c>
      <c r="K199" s="26">
        <f>Migowi!P199</f>
        <v>0</v>
      </c>
      <c r="L199" s="26">
        <f>Nkando!N199+Nkando!O199+Nkando!P199</f>
        <v>0</v>
      </c>
      <c r="M199" s="9">
        <f t="shared" ref="M199:M204" si="60">SUM(D199:L199)</f>
        <v>2867</v>
      </c>
    </row>
    <row r="200" spans="1:13" ht="15.6" x14ac:dyDescent="0.3">
      <c r="A200" s="669"/>
      <c r="B200" s="194" t="s">
        <v>52</v>
      </c>
      <c r="C200" s="11" t="s">
        <v>47</v>
      </c>
      <c r="D200" s="26">
        <f>Mulanje!P200</f>
        <v>401</v>
      </c>
      <c r="E200" s="26">
        <f>Luchenza!P200</f>
        <v>0</v>
      </c>
      <c r="F200" s="26">
        <f>Thyolo!P200</f>
        <v>450</v>
      </c>
      <c r="G200" s="26">
        <f>Muloza!P200</f>
        <v>45</v>
      </c>
      <c r="H200" s="26">
        <f>MUST!P200</f>
        <v>240</v>
      </c>
      <c r="I200" s="26">
        <f>Phalombe!P200</f>
        <v>156</v>
      </c>
      <c r="J200" s="26">
        <f>Mikolongwe!P200</f>
        <v>45</v>
      </c>
      <c r="K200" s="26">
        <f>Migowi!P200</f>
        <v>0</v>
      </c>
      <c r="L200" s="26">
        <f>Nkando!N200+Nkando!O200+Nkando!P200</f>
        <v>0</v>
      </c>
      <c r="M200" s="9">
        <f t="shared" si="60"/>
        <v>1337</v>
      </c>
    </row>
    <row r="201" spans="1:13" ht="15.6" x14ac:dyDescent="0.3">
      <c r="A201" s="669"/>
      <c r="B201" s="194" t="s">
        <v>51</v>
      </c>
      <c r="C201" s="11" t="s">
        <v>47</v>
      </c>
      <c r="D201" s="26">
        <f>Mulanje!P201</f>
        <v>1326</v>
      </c>
      <c r="E201" s="26">
        <f>Luchenza!P201</f>
        <v>0</v>
      </c>
      <c r="F201" s="26">
        <f>Thyolo!P201</f>
        <v>510</v>
      </c>
      <c r="G201" s="26">
        <f>Muloza!P201</f>
        <v>62</v>
      </c>
      <c r="H201" s="26">
        <f>MUST!P201</f>
        <v>84</v>
      </c>
      <c r="I201" s="26">
        <f>Phalombe!P201</f>
        <v>0</v>
      </c>
      <c r="J201" s="26">
        <f>Mikolongwe!P201</f>
        <v>0</v>
      </c>
      <c r="K201" s="26">
        <f>Migowi!P201</f>
        <v>0</v>
      </c>
      <c r="L201" s="26">
        <f>Nkando!N201+Nkando!O201+Nkando!P201</f>
        <v>0</v>
      </c>
      <c r="M201" s="9">
        <f t="shared" si="60"/>
        <v>1982</v>
      </c>
    </row>
    <row r="202" spans="1:13" ht="15.6" x14ac:dyDescent="0.3">
      <c r="A202" s="669"/>
      <c r="B202" s="194" t="s">
        <v>50</v>
      </c>
      <c r="C202" s="11" t="s">
        <v>47</v>
      </c>
      <c r="D202" s="26">
        <f>Mulanje!P202</f>
        <v>1386</v>
      </c>
      <c r="E202" s="26">
        <f>Luchenza!P202</f>
        <v>0</v>
      </c>
      <c r="F202" s="26">
        <f>Thyolo!P202</f>
        <v>826</v>
      </c>
      <c r="G202" s="26">
        <f>Muloza!P202</f>
        <v>0</v>
      </c>
      <c r="H202" s="26">
        <f>MUST!P202</f>
        <v>0</v>
      </c>
      <c r="I202" s="26">
        <f>Phalombe!P202</f>
        <v>0</v>
      </c>
      <c r="J202" s="26">
        <f>Mikolongwe!P202</f>
        <v>0</v>
      </c>
      <c r="K202" s="26">
        <f>Migowi!P202</f>
        <v>0</v>
      </c>
      <c r="L202" s="26">
        <f>Nkando!N202+Nkando!O202+Nkando!P202</f>
        <v>0</v>
      </c>
      <c r="M202" s="9">
        <f t="shared" si="60"/>
        <v>2212</v>
      </c>
    </row>
    <row r="203" spans="1:13" ht="15.6" x14ac:dyDescent="0.3">
      <c r="A203" s="667"/>
      <c r="B203" s="194" t="s">
        <v>49</v>
      </c>
      <c r="C203" s="11" t="s">
        <v>47</v>
      </c>
      <c r="D203" s="26">
        <f>Mulanje!P203</f>
        <v>242</v>
      </c>
      <c r="E203" s="26">
        <f>Luchenza!P203</f>
        <v>0</v>
      </c>
      <c r="F203" s="26">
        <f>Thyolo!P203</f>
        <v>1950</v>
      </c>
      <c r="G203" s="26">
        <f>Muloza!P203</f>
        <v>18</v>
      </c>
      <c r="H203" s="26">
        <f>MUST!P203</f>
        <v>0</v>
      </c>
      <c r="I203" s="26">
        <f>Phalombe!P203</f>
        <v>0</v>
      </c>
      <c r="J203" s="26">
        <f>Mikolongwe!P203</f>
        <v>0</v>
      </c>
      <c r="K203" s="26">
        <f>Migowi!P203</f>
        <v>0</v>
      </c>
      <c r="L203" s="26">
        <f>Nkando!N203+Nkando!O203+Nkando!P203</f>
        <v>0</v>
      </c>
      <c r="M203" s="9">
        <f t="shared" si="60"/>
        <v>2210</v>
      </c>
    </row>
    <row r="204" spans="1:13" ht="15.6" x14ac:dyDescent="0.3">
      <c r="A204" s="83" t="s">
        <v>48</v>
      </c>
      <c r="B204" s="194"/>
      <c r="C204" s="11" t="s">
        <v>47</v>
      </c>
      <c r="D204" s="15">
        <f t="shared" ref="D204:K204" si="61">SUM(D199:D203)</f>
        <v>3390</v>
      </c>
      <c r="E204" s="15">
        <f t="shared" si="61"/>
        <v>0</v>
      </c>
      <c r="F204" s="15">
        <f t="shared" si="61"/>
        <v>4480</v>
      </c>
      <c r="G204" s="15">
        <f t="shared" si="61"/>
        <v>255</v>
      </c>
      <c r="H204" s="15">
        <f t="shared" si="61"/>
        <v>2024</v>
      </c>
      <c r="I204" s="15">
        <f t="shared" si="61"/>
        <v>414</v>
      </c>
      <c r="J204" s="15">
        <f t="shared" si="61"/>
        <v>45</v>
      </c>
      <c r="K204" s="15">
        <f t="shared" si="61"/>
        <v>0</v>
      </c>
      <c r="L204" s="15">
        <f t="shared" ref="L204" si="62">SUM(L199:L203)</f>
        <v>0</v>
      </c>
      <c r="M204" s="110">
        <f t="shared" si="60"/>
        <v>10608</v>
      </c>
    </row>
    <row r="205" spans="1:13" s="2" customFormat="1" x14ac:dyDescent="0.3">
      <c r="A205" s="649" t="s">
        <v>46</v>
      </c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1"/>
    </row>
    <row r="206" spans="1:13" ht="15.6" x14ac:dyDescent="0.3">
      <c r="A206" s="661" t="s">
        <v>43</v>
      </c>
      <c r="B206" s="662"/>
      <c r="C206" s="11" t="s">
        <v>31</v>
      </c>
      <c r="D206" s="15">
        <f>Mulanje!P206</f>
        <v>217110630.97999999</v>
      </c>
      <c r="E206" s="15">
        <f>Luchenza!P206</f>
        <v>69206830.879999995</v>
      </c>
      <c r="F206" s="15">
        <f>Thyolo!P206</f>
        <v>71257665.580000013</v>
      </c>
      <c r="G206" s="15">
        <f>Muloza!P206</f>
        <v>49090017.439999998</v>
      </c>
      <c r="H206" s="15">
        <f>MUST!P206</f>
        <v>3959125.45</v>
      </c>
      <c r="I206" s="15">
        <f>Phalombe!P206</f>
        <v>41881069.469999999</v>
      </c>
      <c r="J206" s="15">
        <f>Mikolongwe!P206</f>
        <v>3424331.1100000003</v>
      </c>
      <c r="K206" s="15">
        <f>Migowi!P206</f>
        <v>0</v>
      </c>
      <c r="L206" s="15">
        <f>Nkando!N206+Nkando!O206+Nkando!P206</f>
        <v>499290</v>
      </c>
      <c r="M206" s="9">
        <f>SUM(D206:L206)</f>
        <v>456428960.91000009</v>
      </c>
    </row>
    <row r="207" spans="1:13" ht="15.6" x14ac:dyDescent="0.3">
      <c r="A207" s="661" t="s">
        <v>42</v>
      </c>
      <c r="B207" s="662"/>
      <c r="C207" s="11" t="s">
        <v>31</v>
      </c>
      <c r="D207" s="15">
        <f>Mulanje!P207</f>
        <v>2549450</v>
      </c>
      <c r="E207" s="15">
        <f>Luchenza!P207</f>
        <v>28000</v>
      </c>
      <c r="F207" s="15">
        <f>Thyolo!P207</f>
        <v>97000</v>
      </c>
      <c r="G207" s="15">
        <f>Muloza!P207</f>
        <v>46600</v>
      </c>
      <c r="H207" s="15">
        <f>MUST!P207</f>
        <v>0</v>
      </c>
      <c r="I207" s="15">
        <f>Phalombe!P207</f>
        <v>0</v>
      </c>
      <c r="J207" s="15">
        <f>Mikolongwe!P207</f>
        <v>0</v>
      </c>
      <c r="K207" s="15">
        <f>Migowi!P207</f>
        <v>0</v>
      </c>
      <c r="L207" s="15">
        <f>Nkando!N207+Nkando!O207+Nkando!P207</f>
        <v>14940</v>
      </c>
      <c r="M207" s="9">
        <f>SUM(D207:L207)</f>
        <v>2735990</v>
      </c>
    </row>
    <row r="208" spans="1:13" ht="15.6" x14ac:dyDescent="0.3">
      <c r="A208" s="663" t="s">
        <v>41</v>
      </c>
      <c r="B208" s="664"/>
      <c r="C208" s="11" t="s">
        <v>31</v>
      </c>
      <c r="D208" s="15">
        <f>Mulanje!P208</f>
        <v>2033817.93</v>
      </c>
      <c r="E208" s="15">
        <f>Luchenza!P208</f>
        <v>3835483.2</v>
      </c>
      <c r="F208" s="15">
        <f>Thyolo!P208</f>
        <v>31304311.93</v>
      </c>
      <c r="G208" s="15">
        <f>Muloza!P208</f>
        <v>2467076</v>
      </c>
      <c r="H208" s="15">
        <f>MUST!P208</f>
        <v>1520000</v>
      </c>
      <c r="I208" s="15">
        <f>Phalombe!P208</f>
        <v>1469449.99</v>
      </c>
      <c r="J208" s="15">
        <f>Mikolongwe!P208</f>
        <v>0</v>
      </c>
      <c r="K208" s="15">
        <f>Migowi!P208</f>
        <v>0</v>
      </c>
      <c r="L208" s="15">
        <f>Nkando!N208+Nkando!O208+Nkando!P208</f>
        <v>173890</v>
      </c>
      <c r="M208" s="9">
        <f>SUM(D208:L208)</f>
        <v>42804029.050000004</v>
      </c>
    </row>
    <row r="209" spans="1:13" ht="15.6" x14ac:dyDescent="0.3">
      <c r="A209" s="661" t="s">
        <v>40</v>
      </c>
      <c r="B209" s="662"/>
      <c r="C209" s="11" t="s">
        <v>31</v>
      </c>
      <c r="D209" s="15">
        <f>Mulanje!P209</f>
        <v>175189454.37</v>
      </c>
      <c r="E209" s="15">
        <f>Luchenza!P209</f>
        <v>66657124.07</v>
      </c>
      <c r="F209" s="15">
        <f>Thyolo!P209</f>
        <v>32405599.66</v>
      </c>
      <c r="G209" s="15">
        <f>Muloza!P209</f>
        <v>24008091.93</v>
      </c>
      <c r="H209" s="15">
        <f>MUST!P209</f>
        <v>412709507.44</v>
      </c>
      <c r="I209" s="15">
        <f>Phalombe!P209</f>
        <v>36759857.710000001</v>
      </c>
      <c r="J209" s="15">
        <f>Mikolongwe!P209</f>
        <v>0</v>
      </c>
      <c r="K209" s="15">
        <f>Migowi!P209</f>
        <v>0</v>
      </c>
      <c r="L209" s="15">
        <f>Nkando!N209+Nkando!O209+Nkando!P209</f>
        <v>80240</v>
      </c>
      <c r="M209" s="9">
        <f>SUM(D209:L209)</f>
        <v>747809875.18000007</v>
      </c>
    </row>
    <row r="210" spans="1:13" ht="15.6" x14ac:dyDescent="0.3">
      <c r="A210" s="647" t="s">
        <v>45</v>
      </c>
      <c r="B210" s="648"/>
      <c r="C210" s="11" t="s">
        <v>31</v>
      </c>
      <c r="D210" s="10">
        <f t="shared" ref="D210:K210" si="63">SUM(D206:D209)</f>
        <v>396883353.27999997</v>
      </c>
      <c r="E210" s="10">
        <f t="shared" si="63"/>
        <v>139727438.15000001</v>
      </c>
      <c r="F210" s="10">
        <f t="shared" si="63"/>
        <v>135064577.17000002</v>
      </c>
      <c r="G210" s="10">
        <f t="shared" si="63"/>
        <v>75611785.370000005</v>
      </c>
      <c r="H210" s="10">
        <f t="shared" si="63"/>
        <v>418188632.88999999</v>
      </c>
      <c r="I210" s="10">
        <f t="shared" si="63"/>
        <v>80110377.170000002</v>
      </c>
      <c r="J210" s="10">
        <f t="shared" si="63"/>
        <v>3424331.1100000003</v>
      </c>
      <c r="K210" s="10">
        <f t="shared" si="63"/>
        <v>0</v>
      </c>
      <c r="L210" s="10">
        <f t="shared" ref="L210" si="64">SUM(L206:L209)</f>
        <v>768360</v>
      </c>
      <c r="M210" s="9">
        <f>SUM(D210:L210)</f>
        <v>1249778855.1399999</v>
      </c>
    </row>
    <row r="211" spans="1:13" s="2" customFormat="1" x14ac:dyDescent="0.3">
      <c r="A211" s="649" t="s">
        <v>44</v>
      </c>
      <c r="B211" s="650"/>
      <c r="C211" s="650"/>
      <c r="D211" s="650"/>
      <c r="E211" s="650"/>
      <c r="F211" s="650"/>
      <c r="G211" s="650"/>
      <c r="H211" s="650"/>
      <c r="I211" s="650"/>
      <c r="J211" s="650"/>
      <c r="K211" s="650"/>
      <c r="L211" s="650"/>
      <c r="M211" s="651"/>
    </row>
    <row r="212" spans="1:13" ht="15.6" x14ac:dyDescent="0.3">
      <c r="A212" s="661" t="s">
        <v>43</v>
      </c>
      <c r="B212" s="662"/>
      <c r="C212" s="11" t="s">
        <v>31</v>
      </c>
      <c r="D212" s="15">
        <f>Mulanje!P212</f>
        <v>84218931.150000006</v>
      </c>
      <c r="E212" s="15">
        <f>Luchenza!P212</f>
        <v>19724586.540000003</v>
      </c>
      <c r="F212" s="15">
        <f>Thyolo!P212</f>
        <v>27311104.900000002</v>
      </c>
      <c r="G212" s="15">
        <f>Muloza!P212</f>
        <v>15139127.620000001</v>
      </c>
      <c r="H212" s="15">
        <f>MUST!P212</f>
        <v>3328978.27</v>
      </c>
      <c r="I212" s="15">
        <f>Phalombe!P212</f>
        <v>15272407.789999999</v>
      </c>
      <c r="J212" s="15">
        <f>Mikolongwe!P212</f>
        <v>1809750</v>
      </c>
      <c r="K212" s="15">
        <f>Migowi!P212</f>
        <v>10642988.040000001</v>
      </c>
      <c r="L212" s="15">
        <f>Nkando!N212+Nkando!O212+Nkando!P212</f>
        <v>0</v>
      </c>
      <c r="M212" s="9">
        <f>SUM(D212:L212)</f>
        <v>177447874.31</v>
      </c>
    </row>
    <row r="213" spans="1:13" ht="15.6" x14ac:dyDescent="0.3">
      <c r="A213" s="661" t="s">
        <v>42</v>
      </c>
      <c r="B213" s="662"/>
      <c r="C213" s="11" t="s">
        <v>31</v>
      </c>
      <c r="D213" s="15">
        <f>Mulanje!P213</f>
        <v>2948318.48</v>
      </c>
      <c r="E213" s="15">
        <f>Luchenza!P213</f>
        <v>0</v>
      </c>
      <c r="F213" s="15">
        <f>Thyolo!P213</f>
        <v>10000</v>
      </c>
      <c r="G213" s="15">
        <f>Muloza!P213</f>
        <v>0</v>
      </c>
      <c r="H213" s="15">
        <f>MUST!P213</f>
        <v>0</v>
      </c>
      <c r="I213" s="15">
        <f>Phalombe!P213</f>
        <v>0</v>
      </c>
      <c r="J213" s="15">
        <f>Mikolongwe!P213</f>
        <v>0</v>
      </c>
      <c r="K213" s="15">
        <f>Migowi!P213</f>
        <v>0</v>
      </c>
      <c r="L213" s="15">
        <f>Nkando!N213+Nkando!O213+Nkando!P213</f>
        <v>0</v>
      </c>
      <c r="M213" s="9">
        <f>SUM(D213:L213)</f>
        <v>2958318.48</v>
      </c>
    </row>
    <row r="214" spans="1:13" ht="15.6" x14ac:dyDescent="0.3">
      <c r="A214" s="663" t="s">
        <v>41</v>
      </c>
      <c r="B214" s="664"/>
      <c r="C214" s="11" t="s">
        <v>31</v>
      </c>
      <c r="D214" s="15">
        <f>Mulanje!P214</f>
        <v>22301575.789999999</v>
      </c>
      <c r="E214" s="15">
        <f>Luchenza!P214</f>
        <v>5764155.2100000009</v>
      </c>
      <c r="F214" s="15">
        <f>Thyolo!P214</f>
        <v>7514417.8700000001</v>
      </c>
      <c r="G214" s="15">
        <f>Muloza!P214</f>
        <v>5625788.2300000004</v>
      </c>
      <c r="H214" s="15">
        <f>MUST!P214</f>
        <v>38385700</v>
      </c>
      <c r="I214" s="15">
        <f>Phalombe!P214</f>
        <v>3525847.32</v>
      </c>
      <c r="J214" s="15">
        <f>Mikolongwe!P214</f>
        <v>0</v>
      </c>
      <c r="K214" s="15">
        <f>Migowi!P214</f>
        <v>0</v>
      </c>
      <c r="L214" s="15">
        <f>Nkando!N214+Nkando!O214+Nkando!P214</f>
        <v>0</v>
      </c>
      <c r="M214" s="9">
        <f>SUM(D214:L214)</f>
        <v>83117484.419999987</v>
      </c>
    </row>
    <row r="215" spans="1:13" ht="15.6" x14ac:dyDescent="0.3">
      <c r="A215" s="661" t="s">
        <v>40</v>
      </c>
      <c r="B215" s="662"/>
      <c r="C215" s="11" t="s">
        <v>31</v>
      </c>
      <c r="D215" s="15">
        <f>Mulanje!P215</f>
        <v>117928243.85999998</v>
      </c>
      <c r="E215" s="15">
        <f>Luchenza!P215</f>
        <v>14084767.02</v>
      </c>
      <c r="F215" s="15">
        <f>Thyolo!P215</f>
        <v>46831275.420000002</v>
      </c>
      <c r="G215" s="15">
        <f>Muloza!P215</f>
        <v>3673263.45</v>
      </c>
      <c r="H215" s="15">
        <f>MUST!P215</f>
        <v>217328039.75999999</v>
      </c>
      <c r="I215" s="15">
        <f>Phalombe!P215</f>
        <v>15565402.829999998</v>
      </c>
      <c r="J215" s="15">
        <f>Mikolongwe!P215</f>
        <v>6992300</v>
      </c>
      <c r="K215" s="15">
        <f>Migowi!P215</f>
        <v>68541842.060000002</v>
      </c>
      <c r="L215" s="15">
        <f>Nkando!N215+Nkando!O215+Nkando!P215</f>
        <v>0</v>
      </c>
      <c r="M215" s="9">
        <f>SUM(D215:L215)</f>
        <v>490945134.39999998</v>
      </c>
    </row>
    <row r="216" spans="1:13" ht="15.6" x14ac:dyDescent="0.3">
      <c r="A216" s="647" t="s">
        <v>39</v>
      </c>
      <c r="B216" s="648"/>
      <c r="C216" s="11" t="s">
        <v>31</v>
      </c>
      <c r="D216" s="10">
        <f t="shared" ref="D216:K216" si="65">SUM(D212:D215)</f>
        <v>227397069.28</v>
      </c>
      <c r="E216" s="10">
        <f t="shared" si="65"/>
        <v>39573508.770000003</v>
      </c>
      <c r="F216" s="10">
        <f t="shared" si="65"/>
        <v>81666798.189999998</v>
      </c>
      <c r="G216" s="10">
        <f t="shared" si="65"/>
        <v>24438179.300000001</v>
      </c>
      <c r="H216" s="10">
        <f t="shared" si="65"/>
        <v>259042718.03</v>
      </c>
      <c r="I216" s="10">
        <f t="shared" si="65"/>
        <v>34363657.939999998</v>
      </c>
      <c r="J216" s="10">
        <f t="shared" si="65"/>
        <v>8802050</v>
      </c>
      <c r="K216" s="10">
        <f t="shared" si="65"/>
        <v>79184830.100000009</v>
      </c>
      <c r="L216" s="10">
        <f t="shared" ref="L216" si="66">SUM(L212:L215)</f>
        <v>0</v>
      </c>
      <c r="M216" s="9">
        <f>SUM(D216:L216)</f>
        <v>754468811.61000001</v>
      </c>
    </row>
    <row r="217" spans="1:13" s="2" customFormat="1" ht="15.6" x14ac:dyDescent="0.3">
      <c r="A217" s="199" t="s">
        <v>38</v>
      </c>
      <c r="B217" s="200"/>
      <c r="C217" s="11" t="s">
        <v>31</v>
      </c>
      <c r="D217" s="10">
        <f>D210+D216</f>
        <v>624280422.55999994</v>
      </c>
      <c r="E217" s="10">
        <f t="shared" ref="E217:M217" si="67">E210+E216</f>
        <v>179300946.92000002</v>
      </c>
      <c r="F217" s="10">
        <f t="shared" si="67"/>
        <v>216731375.36000001</v>
      </c>
      <c r="G217" s="10">
        <f t="shared" si="67"/>
        <v>100049964.67</v>
      </c>
      <c r="H217" s="10">
        <f t="shared" si="67"/>
        <v>677231350.91999996</v>
      </c>
      <c r="I217" s="10">
        <f t="shared" si="67"/>
        <v>114474035.11</v>
      </c>
      <c r="J217" s="10">
        <f t="shared" si="67"/>
        <v>12226381.109999999</v>
      </c>
      <c r="K217" s="10">
        <f t="shared" si="67"/>
        <v>79184830.100000009</v>
      </c>
      <c r="L217" s="10">
        <f t="shared" si="67"/>
        <v>768360</v>
      </c>
      <c r="M217" s="40">
        <f t="shared" si="67"/>
        <v>2004247666.75</v>
      </c>
    </row>
    <row r="218" spans="1:13" s="2" customFormat="1" x14ac:dyDescent="0.3">
      <c r="A218" s="649" t="s">
        <v>37</v>
      </c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1"/>
    </row>
    <row r="219" spans="1:13" ht="15.6" x14ac:dyDescent="0.3">
      <c r="A219" s="661" t="s">
        <v>35</v>
      </c>
      <c r="B219" s="662"/>
      <c r="C219" s="11" t="s">
        <v>31</v>
      </c>
      <c r="D219" s="15">
        <f>Mulanje!P219</f>
        <v>298863153.39999998</v>
      </c>
      <c r="E219" s="15">
        <f>Luchenza!P219</f>
        <v>68226559.370000005</v>
      </c>
      <c r="F219" s="15">
        <f>Thyolo!P219</f>
        <v>70549813.409999996</v>
      </c>
      <c r="G219" s="15">
        <f>Muloza!P219</f>
        <v>42335510.989999995</v>
      </c>
      <c r="H219" s="15">
        <f>MUST!P219</f>
        <v>9369188.7199999988</v>
      </c>
      <c r="I219" s="15">
        <f>Phalombe!P219</f>
        <v>54834614.81000001</v>
      </c>
      <c r="J219" s="15">
        <f>Mikolongwe!P219</f>
        <v>1132893.9400000002</v>
      </c>
      <c r="K219" s="15">
        <f>Migowi!P219</f>
        <v>0</v>
      </c>
      <c r="L219" s="15">
        <f>Nkando!N219+Nkando!O219+Nkando!P219</f>
        <v>5385391.6299999999</v>
      </c>
      <c r="M219" s="9">
        <f>SUM(D219:L219)</f>
        <v>550697126.2700001</v>
      </c>
    </row>
    <row r="220" spans="1:13" ht="15.6" x14ac:dyDescent="0.3">
      <c r="A220" s="661" t="s">
        <v>34</v>
      </c>
      <c r="B220" s="662"/>
      <c r="C220" s="11" t="s">
        <v>31</v>
      </c>
      <c r="D220" s="15">
        <f>Mulanje!P220</f>
        <v>2211184.65</v>
      </c>
      <c r="E220" s="15">
        <f>Luchenza!P220</f>
        <v>31125.940000000002</v>
      </c>
      <c r="F220" s="15">
        <f>Thyolo!P220</f>
        <v>40341.519999999997</v>
      </c>
      <c r="G220" s="15">
        <f>Muloza!P220</f>
        <v>30257.219999999998</v>
      </c>
      <c r="H220" s="15">
        <f>MUST!P220</f>
        <v>0</v>
      </c>
      <c r="I220" s="15">
        <f>Phalombe!P220</f>
        <v>0</v>
      </c>
      <c r="J220" s="15">
        <f>Mikolongwe!P220</f>
        <v>0</v>
      </c>
      <c r="K220" s="15">
        <f>Migowi!P220</f>
        <v>0</v>
      </c>
      <c r="L220" s="15">
        <f>Nkando!N220+Nkando!O220+Nkando!P220</f>
        <v>6608.7</v>
      </c>
      <c r="M220" s="9">
        <f>SUM(D220:L220)</f>
        <v>2319518.0300000003</v>
      </c>
    </row>
    <row r="221" spans="1:13" ht="15.6" x14ac:dyDescent="0.3">
      <c r="A221" s="661" t="s">
        <v>33</v>
      </c>
      <c r="B221" s="662"/>
      <c r="C221" s="11" t="s">
        <v>31</v>
      </c>
      <c r="D221" s="15">
        <f>Mulanje!P221</f>
        <v>13893909.880000003</v>
      </c>
      <c r="E221" s="15">
        <f>Luchenza!P221</f>
        <v>104661242.3</v>
      </c>
      <c r="F221" s="15">
        <f>Thyolo!P221</f>
        <v>18579149.899999995</v>
      </c>
      <c r="G221" s="15">
        <f>Muloza!P221</f>
        <v>12954765.050000001</v>
      </c>
      <c r="H221" s="15">
        <f>MUST!P221</f>
        <v>139805358.01000002</v>
      </c>
      <c r="I221" s="15">
        <f>Phalombe!P221</f>
        <v>3846545.76</v>
      </c>
      <c r="J221" s="15">
        <f>Mikolongwe!P221</f>
        <v>0</v>
      </c>
      <c r="K221" s="15">
        <f>Migowi!P221</f>
        <v>0</v>
      </c>
      <c r="L221" s="15">
        <f>Nkando!N221+Nkando!O221+Nkando!P221</f>
        <v>9734299.0099999998</v>
      </c>
      <c r="M221" s="9">
        <f>SUM(D221:L221)</f>
        <v>303475269.91000003</v>
      </c>
    </row>
    <row r="222" spans="1:13" ht="15.6" x14ac:dyDescent="0.3">
      <c r="A222" s="661" t="s">
        <v>32</v>
      </c>
      <c r="B222" s="662"/>
      <c r="C222" s="11" t="s">
        <v>31</v>
      </c>
      <c r="D222" s="15">
        <f>Mulanje!P222</f>
        <v>1841601.7200000002</v>
      </c>
      <c r="E222" s="15">
        <f>Luchenza!P222</f>
        <v>5262738.0699999994</v>
      </c>
      <c r="F222" s="15">
        <f>Thyolo!P222</f>
        <v>9948803.1400000006</v>
      </c>
      <c r="G222" s="15">
        <f>Muloza!P222</f>
        <v>3672380.81</v>
      </c>
      <c r="H222" s="15">
        <f>MUST!P222</f>
        <v>1941237.58</v>
      </c>
      <c r="I222" s="15">
        <f>Phalombe!P222</f>
        <v>1021271.59</v>
      </c>
      <c r="J222" s="15">
        <f>Mikolongwe!P222</f>
        <v>1007700</v>
      </c>
      <c r="K222" s="15">
        <f>Migowi!P222</f>
        <v>0</v>
      </c>
      <c r="L222" s="15">
        <f>Nkando!N222+Nkando!O222+Nkando!P222</f>
        <v>4138751.8400000003</v>
      </c>
      <c r="M222" s="9">
        <f>SUM(D222:L222)</f>
        <v>28834484.75</v>
      </c>
    </row>
    <row r="223" spans="1:13" ht="15.6" x14ac:dyDescent="0.3">
      <c r="A223" s="647" t="s">
        <v>36</v>
      </c>
      <c r="B223" s="648"/>
      <c r="C223" s="11" t="s">
        <v>31</v>
      </c>
      <c r="D223" s="10">
        <f t="shared" ref="D223:K223" si="68">SUM(D219:D222)</f>
        <v>316809849.64999998</v>
      </c>
      <c r="E223" s="10">
        <f t="shared" si="68"/>
        <v>178181665.68000001</v>
      </c>
      <c r="F223" s="10">
        <f t="shared" si="68"/>
        <v>99118107.969999984</v>
      </c>
      <c r="G223" s="10">
        <f t="shared" si="68"/>
        <v>58992914.069999993</v>
      </c>
      <c r="H223" s="10">
        <f t="shared" si="68"/>
        <v>151115784.31000003</v>
      </c>
      <c r="I223" s="10">
        <f t="shared" si="68"/>
        <v>59702432.160000011</v>
      </c>
      <c r="J223" s="10">
        <f t="shared" si="68"/>
        <v>2140593.9400000004</v>
      </c>
      <c r="K223" s="10">
        <f t="shared" si="68"/>
        <v>0</v>
      </c>
      <c r="L223" s="14">
        <f t="shared" ref="L223" si="69">SUM(L219:L222)</f>
        <v>19265051.18</v>
      </c>
      <c r="M223" s="9">
        <f>SUM(D223:L223)</f>
        <v>885326398.95999992</v>
      </c>
    </row>
    <row r="224" spans="1:13" x14ac:dyDescent="0.3">
      <c r="A224" s="649" t="s">
        <v>211</v>
      </c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1"/>
    </row>
    <row r="225" spans="1:13" ht="15.6" x14ac:dyDescent="0.3">
      <c r="A225" s="661" t="s">
        <v>35</v>
      </c>
      <c r="B225" s="662"/>
      <c r="C225" s="11" t="s">
        <v>31</v>
      </c>
      <c r="D225" s="15">
        <f>Mulanje!P225</f>
        <v>0</v>
      </c>
      <c r="E225" s="15">
        <f>Luchenza!P225</f>
        <v>0</v>
      </c>
      <c r="F225" s="15">
        <f>Thyolo!P225</f>
        <v>0</v>
      </c>
      <c r="G225" s="15">
        <f>Muloza!P225</f>
        <v>0</v>
      </c>
      <c r="H225" s="15">
        <f>MUST!P225</f>
        <v>0</v>
      </c>
      <c r="I225" s="15">
        <f>Phalombe!P225</f>
        <v>0</v>
      </c>
      <c r="J225" s="15">
        <f>Mikolongwe!P225</f>
        <v>82484.61</v>
      </c>
      <c r="K225" s="15">
        <f>Migowi!P225</f>
        <v>0</v>
      </c>
      <c r="L225" s="15">
        <f>Nkando!N225+Nkando!O225+Nkando!P225</f>
        <v>0</v>
      </c>
      <c r="M225" s="9">
        <f t="shared" ref="M225:M230" si="70">SUM(D225:L225)</f>
        <v>82484.61</v>
      </c>
    </row>
    <row r="226" spans="1:13" ht="15.6" x14ac:dyDescent="0.3">
      <c r="A226" s="661" t="s">
        <v>34</v>
      </c>
      <c r="B226" s="662"/>
      <c r="C226" s="11" t="s">
        <v>31</v>
      </c>
      <c r="D226" s="15">
        <f>Mulanje!P226</f>
        <v>0</v>
      </c>
      <c r="E226" s="15">
        <f>Luchenza!P226</f>
        <v>0</v>
      </c>
      <c r="F226" s="15">
        <f>Thyolo!P226</f>
        <v>0</v>
      </c>
      <c r="G226" s="15">
        <f>Muloza!P226</f>
        <v>0</v>
      </c>
      <c r="H226" s="15">
        <f>MUST!P226</f>
        <v>0</v>
      </c>
      <c r="I226" s="15">
        <f>Phalombe!P226</f>
        <v>0</v>
      </c>
      <c r="J226" s="15">
        <f>Mikolongwe!P226</f>
        <v>0</v>
      </c>
      <c r="K226" s="15">
        <f>Migowi!P226</f>
        <v>0</v>
      </c>
      <c r="L226" s="15">
        <f>Nkando!N226+Nkando!O226+Nkando!P226</f>
        <v>0</v>
      </c>
      <c r="M226" s="9">
        <f t="shared" si="70"/>
        <v>0</v>
      </c>
    </row>
    <row r="227" spans="1:13" ht="15.6" x14ac:dyDescent="0.3">
      <c r="A227" s="661" t="s">
        <v>33</v>
      </c>
      <c r="B227" s="662"/>
      <c r="C227" s="11" t="s">
        <v>31</v>
      </c>
      <c r="D227" s="15">
        <f>Mulanje!P227</f>
        <v>0</v>
      </c>
      <c r="E227" s="15">
        <f>Luchenza!P227</f>
        <v>0</v>
      </c>
      <c r="F227" s="15">
        <f>Thyolo!P227</f>
        <v>0</v>
      </c>
      <c r="G227" s="15">
        <f>Muloza!P227</f>
        <v>0</v>
      </c>
      <c r="H227" s="15">
        <f>MUST!P227</f>
        <v>0</v>
      </c>
      <c r="I227" s="15">
        <f>Phalombe!P227</f>
        <v>0</v>
      </c>
      <c r="J227" s="15">
        <f>Mikolongwe!P227</f>
        <v>0</v>
      </c>
      <c r="K227" s="15">
        <f>Migowi!P227</f>
        <v>0</v>
      </c>
      <c r="L227" s="15">
        <f>Nkando!N227+Nkando!O227+Nkando!P227</f>
        <v>0</v>
      </c>
      <c r="M227" s="9">
        <f t="shared" si="70"/>
        <v>0</v>
      </c>
    </row>
    <row r="228" spans="1:13" ht="15.6" x14ac:dyDescent="0.3">
      <c r="A228" s="661" t="s">
        <v>32</v>
      </c>
      <c r="B228" s="662"/>
      <c r="C228" s="11" t="s">
        <v>31</v>
      </c>
      <c r="D228" s="15">
        <f>Mulanje!P228</f>
        <v>0</v>
      </c>
      <c r="E228" s="15">
        <f>Luchenza!P228</f>
        <v>0</v>
      </c>
      <c r="F228" s="15">
        <f>Thyolo!P228</f>
        <v>0</v>
      </c>
      <c r="G228" s="15">
        <f>Muloza!P228</f>
        <v>0</v>
      </c>
      <c r="H228" s="15">
        <f>MUST!P228</f>
        <v>0</v>
      </c>
      <c r="I228" s="15">
        <f>Phalombe!P228</f>
        <v>0</v>
      </c>
      <c r="J228" s="15">
        <f>Mikolongwe!P228</f>
        <v>0</v>
      </c>
      <c r="K228" s="15">
        <f>Migowi!P228</f>
        <v>0</v>
      </c>
      <c r="L228" s="15">
        <f>Nkando!N228+Nkando!O228+Nkando!P228</f>
        <v>0</v>
      </c>
      <c r="M228" s="9">
        <f t="shared" si="70"/>
        <v>0</v>
      </c>
    </row>
    <row r="229" spans="1:13" ht="15.6" x14ac:dyDescent="0.3">
      <c r="A229" s="647" t="s">
        <v>212</v>
      </c>
      <c r="B229" s="648"/>
      <c r="C229" s="11" t="s">
        <v>31</v>
      </c>
      <c r="D229" s="10">
        <f t="shared" ref="D229:K229" si="71">SUM(D225:D228)</f>
        <v>0</v>
      </c>
      <c r="E229" s="10">
        <f t="shared" si="71"/>
        <v>0</v>
      </c>
      <c r="F229" s="10">
        <f t="shared" si="71"/>
        <v>0</v>
      </c>
      <c r="G229" s="10">
        <f t="shared" si="71"/>
        <v>0</v>
      </c>
      <c r="H229" s="10">
        <f t="shared" si="71"/>
        <v>0</v>
      </c>
      <c r="I229" s="10">
        <f t="shared" si="71"/>
        <v>0</v>
      </c>
      <c r="J229" s="10">
        <f t="shared" si="71"/>
        <v>82484.61</v>
      </c>
      <c r="K229" s="10">
        <f t="shared" si="71"/>
        <v>0</v>
      </c>
      <c r="L229" s="14">
        <f t="shared" ref="L229" si="72">SUM(L225:L228)</f>
        <v>0</v>
      </c>
      <c r="M229" s="9">
        <f t="shared" si="70"/>
        <v>82484.61</v>
      </c>
    </row>
    <row r="230" spans="1:13" ht="15.6" x14ac:dyDescent="0.3">
      <c r="A230" s="199" t="s">
        <v>213</v>
      </c>
      <c r="B230" s="119"/>
      <c r="C230" s="11" t="s">
        <v>31</v>
      </c>
      <c r="D230" s="12">
        <f>D223+D229</f>
        <v>316809849.64999998</v>
      </c>
      <c r="E230" s="12">
        <f t="shared" ref="E230:L230" si="73">E223+E229</f>
        <v>178181665.68000001</v>
      </c>
      <c r="F230" s="12">
        <f t="shared" si="73"/>
        <v>99118107.969999984</v>
      </c>
      <c r="G230" s="12">
        <f t="shared" si="73"/>
        <v>58992914.069999993</v>
      </c>
      <c r="H230" s="12">
        <f t="shared" si="73"/>
        <v>151115784.31000003</v>
      </c>
      <c r="I230" s="12">
        <f t="shared" si="73"/>
        <v>59702432.160000011</v>
      </c>
      <c r="J230" s="12">
        <f t="shared" si="73"/>
        <v>2223078.5500000003</v>
      </c>
      <c r="K230" s="12">
        <f t="shared" si="73"/>
        <v>0</v>
      </c>
      <c r="L230" s="12">
        <f t="shared" si="73"/>
        <v>19265051.18</v>
      </c>
      <c r="M230" s="9">
        <f t="shared" si="70"/>
        <v>885408883.56999981</v>
      </c>
    </row>
    <row r="231" spans="1:13" x14ac:dyDescent="0.3">
      <c r="A231" s="649" t="s">
        <v>30</v>
      </c>
      <c r="B231" s="650"/>
      <c r="C231" s="650"/>
      <c r="D231" s="650"/>
      <c r="E231" s="650"/>
      <c r="F231" s="650"/>
      <c r="G231" s="650"/>
      <c r="H231" s="650"/>
      <c r="I231" s="650"/>
      <c r="J231" s="650"/>
      <c r="K231" s="650"/>
      <c r="L231" s="650"/>
      <c r="M231" s="651"/>
    </row>
    <row r="232" spans="1:13" ht="15.6" x14ac:dyDescent="0.3">
      <c r="A232" s="661" t="s">
        <v>29</v>
      </c>
      <c r="B232" s="662"/>
      <c r="C232" s="11" t="s">
        <v>18</v>
      </c>
      <c r="D232" s="15">
        <f>Mulanje!P232</f>
        <v>12342912.370000001</v>
      </c>
      <c r="E232" s="15">
        <f>Luchenza!P232</f>
        <v>5714791.6700000009</v>
      </c>
      <c r="F232" s="15">
        <f>Thyolo!P232</f>
        <v>5122296.4099999992</v>
      </c>
      <c r="G232" s="15">
        <f>Muloza!P232</f>
        <v>2991314.1</v>
      </c>
      <c r="H232" s="15">
        <f>MUST!P232</f>
        <v>487074</v>
      </c>
      <c r="I232" s="15">
        <f>Phalombe!P232</f>
        <v>3102423.65</v>
      </c>
      <c r="J232" s="15">
        <f>Mikolongwe!P232</f>
        <v>133952.54</v>
      </c>
      <c r="K232" s="15">
        <f>Migowi!P232</f>
        <v>0</v>
      </c>
      <c r="L232" s="15">
        <f>Nkando!N232+Nkando!O232+Nkando!P232</f>
        <v>358599.5</v>
      </c>
      <c r="M232" s="9">
        <f>SUM(D232:L232)</f>
        <v>30253364.240000002</v>
      </c>
    </row>
    <row r="233" spans="1:13" ht="15.6" x14ac:dyDescent="0.3">
      <c r="A233" s="661" t="s">
        <v>28</v>
      </c>
      <c r="B233" s="662"/>
      <c r="C233" s="11" t="s">
        <v>18</v>
      </c>
      <c r="D233" s="15">
        <f>Mulanje!P233</f>
        <v>29560.35</v>
      </c>
      <c r="E233" s="15">
        <f>Luchenza!P233</f>
        <v>5565.36</v>
      </c>
      <c r="F233" s="15">
        <f>Thyolo!P233</f>
        <v>4174.0199999999986</v>
      </c>
      <c r="G233" s="15">
        <f>Muloza!P233</f>
        <v>2087.1199999999994</v>
      </c>
      <c r="H233" s="15">
        <f>MUST!P233</f>
        <v>0</v>
      </c>
      <c r="I233" s="15">
        <f>Phalombe!P233</f>
        <v>0</v>
      </c>
      <c r="J233" s="15">
        <f>Mikolongwe!P233</f>
        <v>0</v>
      </c>
      <c r="K233" s="15">
        <f>Migowi!P233</f>
        <v>0</v>
      </c>
      <c r="L233" s="15">
        <f>Nkando!N233+Nkando!O233+Nkando!P233</f>
        <v>869.67</v>
      </c>
      <c r="M233" s="9">
        <f>SUM(D233:L233)</f>
        <v>42256.52</v>
      </c>
    </row>
    <row r="234" spans="1:13" ht="15.6" x14ac:dyDescent="0.3">
      <c r="A234" s="661" t="s">
        <v>27</v>
      </c>
      <c r="B234" s="662"/>
      <c r="C234" s="11" t="s">
        <v>18</v>
      </c>
      <c r="D234" s="15">
        <f>Mulanje!P234</f>
        <v>953303.68</v>
      </c>
      <c r="E234" s="15">
        <f>Luchenza!P234</f>
        <v>324966.48999999993</v>
      </c>
      <c r="F234" s="15">
        <f>Thyolo!P234</f>
        <v>426776.72</v>
      </c>
      <c r="G234" s="15">
        <f>Muloza!P234</f>
        <v>153229.77000000002</v>
      </c>
      <c r="H234" s="15">
        <f>MUST!P234</f>
        <v>143972.71000000002</v>
      </c>
      <c r="I234" s="15">
        <f>Phalombe!P234</f>
        <v>164539.67000000004</v>
      </c>
      <c r="J234" s="15">
        <f>Mikolongwe!P234</f>
        <v>0</v>
      </c>
      <c r="K234" s="15">
        <f>Migowi!P234</f>
        <v>0</v>
      </c>
      <c r="L234" s="15">
        <f>Nkando!N234+Nkando!O234+Nkando!P234</f>
        <v>141915.38</v>
      </c>
      <c r="M234" s="9">
        <f>SUM(D234:L234)</f>
        <v>2308704.42</v>
      </c>
    </row>
    <row r="235" spans="1:13" ht="15.6" x14ac:dyDescent="0.3">
      <c r="A235" s="661" t="s">
        <v>26</v>
      </c>
      <c r="B235" s="662"/>
      <c r="C235" s="11" t="s">
        <v>18</v>
      </c>
      <c r="D235" s="15">
        <f>Mulanje!P235</f>
        <v>675902.15</v>
      </c>
      <c r="E235" s="15">
        <f>Luchenza!P235</f>
        <v>940117.00000000012</v>
      </c>
      <c r="F235" s="15">
        <f>Thyolo!P235</f>
        <v>765939.55</v>
      </c>
      <c r="G235" s="15">
        <f>Muloza!P235</f>
        <v>625339.37</v>
      </c>
      <c r="H235" s="15">
        <f>MUST!P235</f>
        <v>49183.98000000001</v>
      </c>
      <c r="I235" s="15">
        <f>Phalombe!P235</f>
        <v>212193.42000000004</v>
      </c>
      <c r="J235" s="15">
        <f>Mikolongwe!P235</f>
        <v>0</v>
      </c>
      <c r="K235" s="15">
        <f>Migowi!P235</f>
        <v>0</v>
      </c>
      <c r="L235" s="15">
        <f>Nkando!N235+Nkando!O235+Nkando!P235</f>
        <v>311967.88</v>
      </c>
      <c r="M235" s="9">
        <f>SUM(D235:L235)</f>
        <v>3580643.35</v>
      </c>
    </row>
    <row r="236" spans="1:13" ht="15.6" x14ac:dyDescent="0.3">
      <c r="A236" s="647" t="s">
        <v>25</v>
      </c>
      <c r="B236" s="648"/>
      <c r="C236" s="11" t="s">
        <v>18</v>
      </c>
      <c r="D236" s="10">
        <f t="shared" ref="D236:K236" si="74">SUM(D232:D235)</f>
        <v>14001678.550000001</v>
      </c>
      <c r="E236" s="10">
        <f t="shared" si="74"/>
        <v>6985440.5200000014</v>
      </c>
      <c r="F236" s="10">
        <f t="shared" si="74"/>
        <v>6319186.6999999983</v>
      </c>
      <c r="G236" s="10">
        <f t="shared" si="74"/>
        <v>3771970.3600000003</v>
      </c>
      <c r="H236" s="10">
        <f t="shared" si="74"/>
        <v>680230.69</v>
      </c>
      <c r="I236" s="10">
        <f t="shared" si="74"/>
        <v>3479156.7399999998</v>
      </c>
      <c r="J236" s="10">
        <f t="shared" si="74"/>
        <v>133952.54</v>
      </c>
      <c r="K236" s="10">
        <f t="shared" si="74"/>
        <v>0</v>
      </c>
      <c r="L236" s="12">
        <f t="shared" ref="L236" si="75">SUM(L232:L235)</f>
        <v>813352.42999999993</v>
      </c>
      <c r="M236" s="40">
        <f t="shared" ref="M236" si="76">SUM(M232:M235)</f>
        <v>36184968.530000001</v>
      </c>
    </row>
    <row r="237" spans="1:13" x14ac:dyDescent="0.3">
      <c r="A237" s="649" t="s">
        <v>24</v>
      </c>
      <c r="B237" s="650"/>
      <c r="C237" s="650"/>
      <c r="D237" s="650"/>
      <c r="E237" s="650"/>
      <c r="F237" s="650"/>
      <c r="G237" s="650"/>
      <c r="H237" s="650"/>
      <c r="I237" s="650"/>
      <c r="J237" s="650"/>
      <c r="K237" s="650"/>
      <c r="L237" s="650"/>
      <c r="M237" s="651"/>
    </row>
    <row r="238" spans="1:13" ht="15.6" x14ac:dyDescent="0.3">
      <c r="A238" s="661" t="s">
        <v>23</v>
      </c>
      <c r="B238" s="662"/>
      <c r="C238" s="11" t="s">
        <v>18</v>
      </c>
      <c r="D238" s="15">
        <f>Mulanje!P238</f>
        <v>22061565</v>
      </c>
      <c r="E238" s="15">
        <f>Luchenza!P238</f>
        <v>10209669</v>
      </c>
      <c r="F238" s="15">
        <f>Thyolo!P238</f>
        <v>9652437</v>
      </c>
      <c r="G238" s="15">
        <f>Muloza!P238</f>
        <v>5759850</v>
      </c>
      <c r="H238" s="15">
        <f>MUST!P238</f>
        <v>847457</v>
      </c>
      <c r="I238" s="15">
        <f>Phalombe!P238</f>
        <v>5510703</v>
      </c>
      <c r="J238" s="15">
        <f>Mikolongwe!P238</f>
        <v>211464</v>
      </c>
      <c r="K238" s="15">
        <f>Migowi!P238</f>
        <v>0</v>
      </c>
      <c r="L238" s="15">
        <f>Nkando!N238+Nkando!O238+Nkando!P238</f>
        <v>626886</v>
      </c>
      <c r="M238" s="9">
        <f>SUM(D238:L238)</f>
        <v>54880031</v>
      </c>
    </row>
    <row r="239" spans="1:13" ht="15.6" x14ac:dyDescent="0.3">
      <c r="A239" s="661" t="s">
        <v>22</v>
      </c>
      <c r="B239" s="662"/>
      <c r="C239" s="11" t="s">
        <v>18</v>
      </c>
      <c r="D239" s="15">
        <f>Mulanje!P239</f>
        <v>151810</v>
      </c>
      <c r="E239" s="15">
        <f>Luchenza!P239</f>
        <v>28576</v>
      </c>
      <c r="F239" s="15">
        <f>Thyolo!P239</f>
        <v>21432</v>
      </c>
      <c r="G239" s="15">
        <f>Muloza!P239</f>
        <v>10716</v>
      </c>
      <c r="H239" s="15">
        <f>MUST!P239</f>
        <v>0</v>
      </c>
      <c r="I239" s="15">
        <f>Phalombe!P239</f>
        <v>0</v>
      </c>
      <c r="J239" s="15">
        <f>Mikolongwe!P239</f>
        <v>0</v>
      </c>
      <c r="K239" s="15">
        <f>Migowi!P239</f>
        <v>0</v>
      </c>
      <c r="L239" s="15">
        <f>Nkando!N239+Nkando!O239+Nkando!P239</f>
        <v>4465</v>
      </c>
      <c r="M239" s="9">
        <f>SUM(D239:L239)</f>
        <v>216999</v>
      </c>
    </row>
    <row r="240" spans="1:13" ht="15.6" x14ac:dyDescent="0.3">
      <c r="A240" s="661" t="s">
        <v>21</v>
      </c>
      <c r="B240" s="662"/>
      <c r="C240" s="11" t="s">
        <v>18</v>
      </c>
      <c r="D240" s="15">
        <f>Mulanje!P240</f>
        <v>284867</v>
      </c>
      <c r="E240" s="15">
        <f>Luchenza!P240</f>
        <v>96444</v>
      </c>
      <c r="F240" s="15">
        <f>Thyolo!P240</f>
        <v>127699</v>
      </c>
      <c r="G240" s="15">
        <f>Muloza!P240</f>
        <v>45543</v>
      </c>
      <c r="H240" s="15">
        <f>MUST!P240</f>
        <v>43756</v>
      </c>
      <c r="I240" s="15">
        <f>Phalombe!P240</f>
        <v>50901</v>
      </c>
      <c r="J240" s="15">
        <f>Mikolongwe!P240</f>
        <v>0</v>
      </c>
      <c r="K240" s="15">
        <f>Migowi!P240</f>
        <v>0</v>
      </c>
      <c r="L240" s="15">
        <f>Nkando!N240+Nkando!O240+Nkando!P240</f>
        <v>41078</v>
      </c>
      <c r="M240" s="9">
        <f>SUM(D240:L240)</f>
        <v>690288</v>
      </c>
    </row>
    <row r="241" spans="1:13" ht="15.6" x14ac:dyDescent="0.3">
      <c r="A241" s="661" t="s">
        <v>20</v>
      </c>
      <c r="B241" s="662"/>
      <c r="C241" s="11" t="s">
        <v>18</v>
      </c>
      <c r="D241" s="15">
        <f>Mulanje!P241</f>
        <v>145559</v>
      </c>
      <c r="E241" s="15">
        <f>Luchenza!P241</f>
        <v>552544.62</v>
      </c>
      <c r="F241" s="15">
        <f>Thyolo!P241</f>
        <v>183958</v>
      </c>
      <c r="G241" s="15">
        <f>Muloza!P241</f>
        <v>135736</v>
      </c>
      <c r="H241" s="15">
        <f>MUST!P241</f>
        <v>18754</v>
      </c>
      <c r="I241" s="15">
        <f>Phalombe!P241</f>
        <v>46436</v>
      </c>
      <c r="J241" s="15">
        <f>Mikolongwe!P241</f>
        <v>0</v>
      </c>
      <c r="K241" s="15">
        <f>Migowi!P241</f>
        <v>0</v>
      </c>
      <c r="L241" s="15">
        <f>Nkando!N241+Nkando!O241+Nkando!P241</f>
        <v>66082</v>
      </c>
      <c r="M241" s="9">
        <f>SUM(D241:L241)</f>
        <v>1149069.6200000001</v>
      </c>
    </row>
    <row r="242" spans="1:13" ht="15.6" x14ac:dyDescent="0.3">
      <c r="A242" s="647" t="s">
        <v>19</v>
      </c>
      <c r="B242" s="648"/>
      <c r="C242" s="11" t="s">
        <v>18</v>
      </c>
      <c r="D242" s="10">
        <f t="shared" ref="D242:K242" si="77">SUM(D238:D241)</f>
        <v>22643801</v>
      </c>
      <c r="E242" s="10">
        <f t="shared" si="77"/>
        <v>10887233.619999999</v>
      </c>
      <c r="F242" s="10">
        <f t="shared" si="77"/>
        <v>9985526</v>
      </c>
      <c r="G242" s="10">
        <f t="shared" si="77"/>
        <v>5951845</v>
      </c>
      <c r="H242" s="10">
        <f t="shared" si="77"/>
        <v>909967</v>
      </c>
      <c r="I242" s="10">
        <f t="shared" si="77"/>
        <v>5608040</v>
      </c>
      <c r="J242" s="10">
        <f t="shared" si="77"/>
        <v>211464</v>
      </c>
      <c r="K242" s="10">
        <f t="shared" si="77"/>
        <v>0</v>
      </c>
      <c r="L242" s="12">
        <f t="shared" ref="L242" si="78">SUM(L238:L241)</f>
        <v>738511</v>
      </c>
      <c r="M242" s="40">
        <f t="shared" ref="M242" si="79">SUM(M238:M241)</f>
        <v>56936387.619999997</v>
      </c>
    </row>
    <row r="243" spans="1:13" ht="15.6" x14ac:dyDescent="0.3">
      <c r="A243" s="647" t="s">
        <v>214</v>
      </c>
      <c r="B243" s="648"/>
      <c r="C243" s="11" t="s">
        <v>18</v>
      </c>
      <c r="D243" s="10">
        <f>D230+D236+D242</f>
        <v>353455329.19999999</v>
      </c>
      <c r="E243" s="10">
        <f t="shared" ref="E243:L243" si="80">E230+E236+E242</f>
        <v>196054339.82000002</v>
      </c>
      <c r="F243" s="10">
        <f t="shared" si="80"/>
        <v>115422820.66999999</v>
      </c>
      <c r="G243" s="10">
        <f t="shared" si="80"/>
        <v>68716729.429999992</v>
      </c>
      <c r="H243" s="10">
        <f t="shared" si="80"/>
        <v>152705982.00000003</v>
      </c>
      <c r="I243" s="10">
        <f t="shared" si="80"/>
        <v>68789628.900000006</v>
      </c>
      <c r="J243" s="10">
        <f t="shared" si="80"/>
        <v>2568495.0900000003</v>
      </c>
      <c r="K243" s="10">
        <f t="shared" si="80"/>
        <v>0</v>
      </c>
      <c r="L243" s="10">
        <f t="shared" si="80"/>
        <v>20816914.609999999</v>
      </c>
      <c r="M243" s="40">
        <f t="shared" ref="M243" si="81">M216+M223+M236+M242</f>
        <v>1732916566.7199998</v>
      </c>
    </row>
    <row r="244" spans="1:13" x14ac:dyDescent="0.3">
      <c r="A244" s="649" t="s">
        <v>204</v>
      </c>
      <c r="B244" s="650"/>
      <c r="C244" s="650"/>
      <c r="D244" s="650"/>
      <c r="E244" s="650"/>
      <c r="F244" s="650"/>
      <c r="G244" s="650"/>
      <c r="H244" s="650"/>
      <c r="I244" s="650"/>
      <c r="J244" s="650"/>
      <c r="K244" s="650"/>
      <c r="L244" s="650"/>
      <c r="M244" s="651"/>
    </row>
    <row r="245" spans="1:13" ht="15.6" x14ac:dyDescent="0.3">
      <c r="A245" s="657" t="s">
        <v>205</v>
      </c>
      <c r="B245" s="658"/>
      <c r="C245" s="11" t="s">
        <v>18</v>
      </c>
      <c r="D245" s="15">
        <f>Mulanje!P245</f>
        <v>142624648.46000001</v>
      </c>
      <c r="E245" s="15">
        <f>Luchenza!P245</f>
        <v>109066257.01000001</v>
      </c>
      <c r="F245" s="15">
        <f>Thyolo!P245</f>
        <v>55888168.770000003</v>
      </c>
      <c r="G245" s="15">
        <f>Muloza!P245</f>
        <v>50220039.380000003</v>
      </c>
      <c r="H245" s="15">
        <f>MUST!P245</f>
        <v>-292637168.90999997</v>
      </c>
      <c r="I245" s="15">
        <f>Phalombe!P245</f>
        <v>37564750.920000002</v>
      </c>
      <c r="J245" s="15">
        <f>Mikolongwe!P245</f>
        <v>2036022.81</v>
      </c>
      <c r="K245" s="15">
        <f>Migowi!P245</f>
        <v>0</v>
      </c>
      <c r="L245" s="15">
        <f>Nkando!P245</f>
        <v>0</v>
      </c>
      <c r="M245" s="40">
        <f>SUM(D245:L245)</f>
        <v>104762718.44000004</v>
      </c>
    </row>
    <row r="246" spans="1:13" ht="15.6" x14ac:dyDescent="0.3">
      <c r="A246" s="657" t="s">
        <v>206</v>
      </c>
      <c r="B246" s="658"/>
      <c r="C246" s="11" t="s">
        <v>18</v>
      </c>
      <c r="D246" s="15">
        <f>Mulanje!P246</f>
        <v>156190681.59999999</v>
      </c>
      <c r="E246" s="15">
        <f>Luchenza!P246</f>
        <v>78065373.120000005</v>
      </c>
      <c r="F246" s="15">
        <f>Thyolo!P246</f>
        <v>27965301.140000001</v>
      </c>
      <c r="G246" s="15">
        <f>Muloza!P246</f>
        <v>24917789.399999999</v>
      </c>
      <c r="H246" s="15">
        <f>MUST!P246</f>
        <v>1125285.1100000001</v>
      </c>
      <c r="I246" s="15">
        <f>Phalombe!P246</f>
        <v>641785.68000000005</v>
      </c>
      <c r="J246" s="15">
        <f>Mikolongwe!P246</f>
        <v>0</v>
      </c>
      <c r="K246" s="15">
        <f>Migowi!P246</f>
        <v>0</v>
      </c>
      <c r="L246" s="15">
        <f>Nkando!P246</f>
        <v>0</v>
      </c>
      <c r="M246" s="40">
        <f>SUM(D246:L246)</f>
        <v>288906216.05000001</v>
      </c>
    </row>
    <row r="247" spans="1:13" ht="15.6" x14ac:dyDescent="0.3">
      <c r="A247" s="659" t="s">
        <v>207</v>
      </c>
      <c r="B247" s="660"/>
      <c r="C247" s="11" t="s">
        <v>18</v>
      </c>
      <c r="D247" s="142">
        <f>D245+D246</f>
        <v>298815330.06</v>
      </c>
      <c r="E247" s="142">
        <f t="shared" ref="E247:M247" si="82">E245+E246</f>
        <v>187131630.13</v>
      </c>
      <c r="F247" s="142">
        <f t="shared" si="82"/>
        <v>83853469.909999996</v>
      </c>
      <c r="G247" s="142">
        <f t="shared" si="82"/>
        <v>75137828.780000001</v>
      </c>
      <c r="H247" s="142">
        <f t="shared" si="82"/>
        <v>-291511883.79999995</v>
      </c>
      <c r="I247" s="142">
        <f t="shared" si="82"/>
        <v>38206536.600000001</v>
      </c>
      <c r="J247" s="142">
        <f t="shared" si="82"/>
        <v>2036022.81</v>
      </c>
      <c r="K247" s="142">
        <f t="shared" si="82"/>
        <v>0</v>
      </c>
      <c r="L247" s="142">
        <f t="shared" si="82"/>
        <v>0</v>
      </c>
      <c r="M247" s="165">
        <f t="shared" si="82"/>
        <v>393668934.49000007</v>
      </c>
    </row>
    <row r="248" spans="1:13" x14ac:dyDescent="0.3">
      <c r="A248" s="649" t="s">
        <v>17</v>
      </c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1"/>
    </row>
    <row r="249" spans="1:13" ht="15.6" x14ac:dyDescent="0.3">
      <c r="A249" s="643" t="s">
        <v>16</v>
      </c>
      <c r="B249" s="644"/>
      <c r="C249" s="5" t="s">
        <v>6</v>
      </c>
      <c r="D249" s="8">
        <f>D58/D243%</f>
        <v>26.357928955510001</v>
      </c>
      <c r="E249" s="8">
        <f t="shared" ref="E249:M249" si="83">E58/E243%</f>
        <v>40.562874160048267</v>
      </c>
      <c r="F249" s="8">
        <f t="shared" si="83"/>
        <v>86.82408927980363</v>
      </c>
      <c r="G249" s="8">
        <f t="shared" si="83"/>
        <v>95.145125293189537</v>
      </c>
      <c r="H249" s="8">
        <f t="shared" si="83"/>
        <v>25.888905093776874</v>
      </c>
      <c r="I249" s="8">
        <f t="shared" si="83"/>
        <v>52.057787289921436</v>
      </c>
      <c r="J249" s="8">
        <f t="shared" si="83"/>
        <v>107.50073924286404</v>
      </c>
      <c r="K249" s="8" t="e">
        <f t="shared" si="83"/>
        <v>#DIV/0!</v>
      </c>
      <c r="L249" s="571">
        <f t="shared" si="83"/>
        <v>18.308548449197872</v>
      </c>
      <c r="M249" s="111">
        <f t="shared" si="83"/>
        <v>24.539369482495644</v>
      </c>
    </row>
    <row r="250" spans="1:13" ht="15.6" x14ac:dyDescent="0.3">
      <c r="A250" s="643" t="s">
        <v>208</v>
      </c>
      <c r="B250" s="644"/>
      <c r="C250" s="5" t="s">
        <v>6</v>
      </c>
      <c r="D250" s="29">
        <f>D210/(D223+D245)%</f>
        <v>86.385187641041313</v>
      </c>
      <c r="E250" s="29">
        <f t="shared" ref="E250:M250" si="84">E210/(E223+E245)%</f>
        <v>48.643498216275994</v>
      </c>
      <c r="F250" s="29">
        <f t="shared" si="84"/>
        <v>87.134908347325052</v>
      </c>
      <c r="G250" s="29">
        <f t="shared" si="84"/>
        <v>69.233349141699293</v>
      </c>
      <c r="H250" s="29">
        <f t="shared" si="84"/>
        <v>-295.49501234176034</v>
      </c>
      <c r="I250" s="29">
        <f t="shared" si="84"/>
        <v>82.361156798497049</v>
      </c>
      <c r="J250" s="29">
        <f t="shared" si="84"/>
        <v>81.988157280650668</v>
      </c>
      <c r="K250" s="29" t="e">
        <f t="shared" si="84"/>
        <v>#DIV/0!</v>
      </c>
      <c r="L250" s="573">
        <f t="shared" si="84"/>
        <v>3.9883621009928714</v>
      </c>
      <c r="M250" s="108">
        <f t="shared" si="84"/>
        <v>126.22892557610894</v>
      </c>
    </row>
    <row r="251" spans="1:13" ht="16.2" thickBot="1" x14ac:dyDescent="0.35">
      <c r="A251" s="652" t="s">
        <v>15</v>
      </c>
      <c r="B251" s="653"/>
      <c r="C251" s="5" t="s">
        <v>6</v>
      </c>
      <c r="D251" s="7">
        <f>D210/D223%</f>
        <v>125.27494133104204</v>
      </c>
      <c r="E251" s="7">
        <f t="shared" ref="E251:M251" si="85">E210/E223%</f>
        <v>78.4185273028816</v>
      </c>
      <c r="F251" s="7">
        <f t="shared" si="85"/>
        <v>136.26629879868159</v>
      </c>
      <c r="G251" s="7">
        <f t="shared" si="85"/>
        <v>128.17096182141529</v>
      </c>
      <c r="H251" s="7">
        <f t="shared" si="85"/>
        <v>276.73391949058396</v>
      </c>
      <c r="I251" s="7">
        <f t="shared" si="85"/>
        <v>134.182769900073</v>
      </c>
      <c r="J251" s="7">
        <f t="shared" si="85"/>
        <v>159.97107372919126</v>
      </c>
      <c r="K251" s="7" t="e">
        <f t="shared" si="85"/>
        <v>#DIV/0!</v>
      </c>
      <c r="L251" s="7">
        <f t="shared" si="85"/>
        <v>3.9883621009928714</v>
      </c>
      <c r="M251" s="112">
        <f t="shared" si="85"/>
        <v>141.16588600635035</v>
      </c>
    </row>
    <row r="252" spans="1:13" x14ac:dyDescent="0.3">
      <c r="A252" s="654" t="s">
        <v>14</v>
      </c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6"/>
    </row>
    <row r="253" spans="1:13" s="2" customFormat="1" ht="15" customHeight="1" x14ac:dyDescent="0.3">
      <c r="A253" s="643" t="s">
        <v>13</v>
      </c>
      <c r="B253" s="644"/>
      <c r="C253" s="5" t="s">
        <v>3</v>
      </c>
      <c r="D253" s="26">
        <f>Mulanje!P253</f>
        <v>366</v>
      </c>
      <c r="E253" s="26">
        <f>Luchenza!P253</f>
        <v>295</v>
      </c>
      <c r="F253" s="26">
        <f>Thyolo!P253</f>
        <v>325</v>
      </c>
      <c r="G253" s="26">
        <f>Muloza!P253</f>
        <v>169</v>
      </c>
      <c r="H253" s="26">
        <f>MUST!P253</f>
        <v>44</v>
      </c>
      <c r="I253" s="26">
        <f>Phalombe!P253</f>
        <v>432</v>
      </c>
      <c r="J253" s="26">
        <f>Mikolongwe!P253</f>
        <v>0</v>
      </c>
      <c r="K253" s="26">
        <f>Migowi!P253</f>
        <v>0</v>
      </c>
      <c r="L253" s="26">
        <f>Nkando!N253+Nkando!O253+Nkando!P253</f>
        <v>0</v>
      </c>
      <c r="M253" s="113">
        <f>SUM(D253:L253)</f>
        <v>1631</v>
      </c>
    </row>
    <row r="254" spans="1:13" s="2" customFormat="1" ht="15.6" x14ac:dyDescent="0.3">
      <c r="A254" s="643" t="s">
        <v>12</v>
      </c>
      <c r="B254" s="644"/>
      <c r="C254" s="5" t="s">
        <v>3</v>
      </c>
      <c r="D254" s="26">
        <f>Mulanje!P254</f>
        <v>86</v>
      </c>
      <c r="E254" s="26">
        <f>Luchenza!P254</f>
        <v>83</v>
      </c>
      <c r="F254" s="26">
        <f>Thyolo!P254</f>
        <v>62</v>
      </c>
      <c r="G254" s="26">
        <f>Muloza!P254</f>
        <v>73</v>
      </c>
      <c r="H254" s="26">
        <f>MUST!P254</f>
        <v>28</v>
      </c>
      <c r="I254" s="26">
        <f>Phalombe!P254</f>
        <v>82</v>
      </c>
      <c r="J254" s="26">
        <f>Mikolongwe!P254</f>
        <v>0</v>
      </c>
      <c r="K254" s="26">
        <f>Migowi!P254</f>
        <v>0</v>
      </c>
      <c r="L254" s="26">
        <f>Nkando!N254+Nkando!O254+Nkando!P254</f>
        <v>0</v>
      </c>
      <c r="M254" s="113">
        <f>SUM(D254:L254)</f>
        <v>414</v>
      </c>
    </row>
    <row r="255" spans="1:13" ht="15.75" customHeight="1" x14ac:dyDescent="0.3">
      <c r="A255" s="643" t="s">
        <v>11</v>
      </c>
      <c r="B255" s="644"/>
      <c r="C255" s="5" t="s">
        <v>3</v>
      </c>
      <c r="D255" s="4">
        <f>D95</f>
        <v>459</v>
      </c>
      <c r="E255" s="4">
        <f t="shared" ref="E255:K255" si="86">E95</f>
        <v>45</v>
      </c>
      <c r="F255" s="4">
        <f t="shared" si="86"/>
        <v>2</v>
      </c>
      <c r="G255" s="4">
        <f t="shared" si="86"/>
        <v>129</v>
      </c>
      <c r="H255" s="4">
        <f t="shared" si="86"/>
        <v>7</v>
      </c>
      <c r="I255" s="4">
        <f t="shared" si="86"/>
        <v>49</v>
      </c>
      <c r="J255" s="4">
        <f t="shared" si="86"/>
        <v>0</v>
      </c>
      <c r="K255" s="4">
        <f t="shared" si="86"/>
        <v>0</v>
      </c>
      <c r="L255" s="26">
        <f>Nkando!N255+Nkando!O255+Nkando!P255</f>
        <v>2</v>
      </c>
      <c r="M255" s="113">
        <f>SUM(D255:L255)</f>
        <v>693</v>
      </c>
    </row>
    <row r="256" spans="1:13" ht="15.6" x14ac:dyDescent="0.3">
      <c r="A256" s="643" t="s">
        <v>10</v>
      </c>
      <c r="B256" s="644"/>
      <c r="C256" s="5" t="s">
        <v>3</v>
      </c>
      <c r="D256" s="4">
        <f>D91</f>
        <v>154</v>
      </c>
      <c r="E256" s="4">
        <f t="shared" ref="E256:K256" si="87">E91</f>
        <v>194</v>
      </c>
      <c r="F256" s="4">
        <f t="shared" si="87"/>
        <v>110</v>
      </c>
      <c r="G256" s="4">
        <f t="shared" si="87"/>
        <v>174</v>
      </c>
      <c r="H256" s="4">
        <f t="shared" si="87"/>
        <v>47</v>
      </c>
      <c r="I256" s="4">
        <f t="shared" si="87"/>
        <v>37</v>
      </c>
      <c r="J256" s="4">
        <f t="shared" si="87"/>
        <v>0</v>
      </c>
      <c r="K256" s="4">
        <f t="shared" si="87"/>
        <v>0</v>
      </c>
      <c r="L256" s="26">
        <f>Nkando!N256+Nkando!O256+Nkando!P256</f>
        <v>0</v>
      </c>
      <c r="M256" s="113">
        <f>SUM(D256:L256)</f>
        <v>716</v>
      </c>
    </row>
    <row r="257" spans="1:13" ht="15.6" customHeight="1" x14ac:dyDescent="0.3">
      <c r="A257" s="643" t="s">
        <v>9</v>
      </c>
      <c r="B257" s="644"/>
      <c r="C257" s="5" t="s">
        <v>3</v>
      </c>
      <c r="D257" s="26">
        <f>Mulanje!P257</f>
        <v>361</v>
      </c>
      <c r="E257" s="26">
        <f>Luchenza!P257</f>
        <v>273</v>
      </c>
      <c r="F257" s="26">
        <f>Thyolo!P257</f>
        <v>270</v>
      </c>
      <c r="G257" s="26">
        <f>Muloza!P257</f>
        <v>88</v>
      </c>
      <c r="H257" s="26">
        <f>MUST!P257</f>
        <v>73</v>
      </c>
      <c r="I257" s="26">
        <f>Phalombe!P257</f>
        <v>72</v>
      </c>
      <c r="J257" s="26">
        <f>Mikolongwe!P257</f>
        <v>0</v>
      </c>
      <c r="K257" s="26">
        <f>Migowi!P257</f>
        <v>0</v>
      </c>
      <c r="L257" s="26">
        <f>Nkando!N257+Nkando!O257+Nkando!P257</f>
        <v>0</v>
      </c>
      <c r="M257" s="113">
        <f>SUM(D257:L257)</f>
        <v>1137</v>
      </c>
    </row>
    <row r="258" spans="1:13" ht="15.6" x14ac:dyDescent="0.3">
      <c r="A258" s="647" t="s">
        <v>8</v>
      </c>
      <c r="B258" s="648"/>
      <c r="C258" s="5" t="s">
        <v>3</v>
      </c>
      <c r="D258" s="1">
        <f t="shared" ref="D258:M258" si="88">D257/D256</f>
        <v>2.3441558441558441</v>
      </c>
      <c r="E258" s="1">
        <f t="shared" si="88"/>
        <v>1.4072164948453609</v>
      </c>
      <c r="F258" s="1">
        <f t="shared" si="88"/>
        <v>2.4545454545454546</v>
      </c>
      <c r="G258" s="3">
        <f t="shared" si="88"/>
        <v>0.50574712643678166</v>
      </c>
      <c r="H258" s="3">
        <f t="shared" si="88"/>
        <v>1.553191489361702</v>
      </c>
      <c r="I258" s="3">
        <f t="shared" si="88"/>
        <v>1.9459459459459461</v>
      </c>
      <c r="J258" s="3" t="e">
        <f t="shared" si="88"/>
        <v>#DIV/0!</v>
      </c>
      <c r="K258" s="3" t="e">
        <f t="shared" si="88"/>
        <v>#DIV/0!</v>
      </c>
      <c r="L258" s="3" t="e">
        <f t="shared" si="88"/>
        <v>#DIV/0!</v>
      </c>
      <c r="M258" s="113">
        <f t="shared" si="88"/>
        <v>1.5879888268156424</v>
      </c>
    </row>
    <row r="259" spans="1:13" ht="15.6" x14ac:dyDescent="0.3">
      <c r="A259" s="647" t="s">
        <v>7</v>
      </c>
      <c r="B259" s="648"/>
      <c r="C259" s="5" t="s">
        <v>6</v>
      </c>
      <c r="D259" s="1">
        <f t="shared" ref="D259:M259" si="89">D92/D255*100</f>
        <v>60.784313725490193</v>
      </c>
      <c r="E259" s="1">
        <f t="shared" si="89"/>
        <v>351.11111111111109</v>
      </c>
      <c r="F259" s="1">
        <f t="shared" si="89"/>
        <v>5800</v>
      </c>
      <c r="G259" s="6">
        <f t="shared" si="89"/>
        <v>110.85271317829456</v>
      </c>
      <c r="H259" s="6">
        <f t="shared" si="89"/>
        <v>528.57142857142856</v>
      </c>
      <c r="I259" s="6">
        <f t="shared" si="89"/>
        <v>75.510204081632651</v>
      </c>
      <c r="J259" s="6" t="e">
        <f t="shared" si="89"/>
        <v>#DIV/0!</v>
      </c>
      <c r="K259" s="6" t="e">
        <f t="shared" si="89"/>
        <v>#DIV/0!</v>
      </c>
      <c r="L259" s="6">
        <f t="shared" si="89"/>
        <v>0</v>
      </c>
      <c r="M259" s="114">
        <f t="shared" si="89"/>
        <v>111.11111111111111</v>
      </c>
    </row>
    <row r="260" spans="1:13" x14ac:dyDescent="0.3">
      <c r="A260" s="649" t="s">
        <v>5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1"/>
    </row>
    <row r="261" spans="1:13" s="2" customFormat="1" ht="15" customHeight="1" x14ac:dyDescent="0.3">
      <c r="A261" s="643" t="s">
        <v>4</v>
      </c>
      <c r="B261" s="644"/>
      <c r="C261" s="5" t="s">
        <v>3</v>
      </c>
      <c r="D261" s="26">
        <f>Mulanje!P261</f>
        <v>255</v>
      </c>
      <c r="E261" s="26">
        <f>Luchenza!P261</f>
        <v>219</v>
      </c>
      <c r="F261" s="26">
        <f>Thyolo!P261</f>
        <v>93</v>
      </c>
      <c r="G261" s="26">
        <f>Muloza!P261</f>
        <v>39</v>
      </c>
      <c r="H261" s="26">
        <f>MUST!P261</f>
        <v>5</v>
      </c>
      <c r="I261" s="26">
        <f>Phalombe!P261</f>
        <v>225</v>
      </c>
      <c r="J261" s="26">
        <f>Mikolongwe!P261</f>
        <v>0</v>
      </c>
      <c r="K261" s="26">
        <f>Migowi!P261</f>
        <v>28</v>
      </c>
      <c r="L261" s="26">
        <f>Nkando!N261+Nkando!O261+Nkando!P261</f>
        <v>46</v>
      </c>
      <c r="M261" s="40">
        <f>SUM(B261:L261)</f>
        <v>910</v>
      </c>
    </row>
    <row r="262" spans="1:13" s="2" customFormat="1" ht="15.75" customHeight="1" x14ac:dyDescent="0.3">
      <c r="A262" s="643" t="s">
        <v>2</v>
      </c>
      <c r="B262" s="644"/>
      <c r="C262" s="5" t="s">
        <v>0</v>
      </c>
      <c r="D262" s="26">
        <f>Mulanje!P262</f>
        <v>37</v>
      </c>
      <c r="E262" s="26">
        <f>Luchenza!P262</f>
        <v>362</v>
      </c>
      <c r="F262" s="26">
        <f>Thyolo!P262</f>
        <v>57</v>
      </c>
      <c r="G262" s="26">
        <f>Muloza!P262</f>
        <v>24</v>
      </c>
      <c r="H262" s="26">
        <f>MUST!P262</f>
        <v>9</v>
      </c>
      <c r="I262" s="26">
        <f>Phalombe!P262</f>
        <v>132</v>
      </c>
      <c r="J262" s="26">
        <f>Mikolongwe!P262</f>
        <v>0</v>
      </c>
      <c r="K262" s="26">
        <f>Migowi!P262</f>
        <v>18</v>
      </c>
      <c r="L262" s="26">
        <f>Nkando!N262+Nkando!O262+Nkando!P262</f>
        <v>14</v>
      </c>
      <c r="M262" s="40">
        <f>SUM(B262:L262)</f>
        <v>653</v>
      </c>
    </row>
    <row r="263" spans="1:13" ht="16.2" thickBot="1" x14ac:dyDescent="0.35">
      <c r="A263" s="645" t="s">
        <v>1</v>
      </c>
      <c r="B263" s="646"/>
      <c r="C263" s="115" t="s">
        <v>0</v>
      </c>
      <c r="D263" s="116">
        <f>D261/D262</f>
        <v>6.8918918918918921</v>
      </c>
      <c r="E263" s="116">
        <f t="shared" ref="E263:M263" si="90">E261/E262</f>
        <v>0.60497237569060769</v>
      </c>
      <c r="F263" s="116">
        <f t="shared" si="90"/>
        <v>1.631578947368421</v>
      </c>
      <c r="G263" s="116">
        <f t="shared" si="90"/>
        <v>1.625</v>
      </c>
      <c r="H263" s="116">
        <f t="shared" si="90"/>
        <v>0.55555555555555558</v>
      </c>
      <c r="I263" s="116">
        <f t="shared" si="90"/>
        <v>1.7045454545454546</v>
      </c>
      <c r="J263" s="116" t="e">
        <f t="shared" si="90"/>
        <v>#DIV/0!</v>
      </c>
      <c r="K263" s="116">
        <f t="shared" si="90"/>
        <v>1.5555555555555556</v>
      </c>
      <c r="L263" s="116">
        <f t="shared" si="90"/>
        <v>3.2857142857142856</v>
      </c>
      <c r="M263" s="202">
        <f t="shared" si="90"/>
        <v>1.3935681470137826</v>
      </c>
    </row>
    <row r="265" spans="1:13" x14ac:dyDescent="0.3">
      <c r="D265" s="186">
        <f>D210/9</f>
        <v>44098150.364444442</v>
      </c>
      <c r="E265" s="186">
        <f t="shared" ref="E265:H265" si="91">E210/9</f>
        <v>15525270.905555556</v>
      </c>
      <c r="F265" s="186">
        <f t="shared" si="91"/>
        <v>15007175.241111113</v>
      </c>
      <c r="G265" s="186">
        <f t="shared" si="91"/>
        <v>8401309.4855555557</v>
      </c>
      <c r="H265" s="186">
        <f t="shared" si="91"/>
        <v>46465403.654444441</v>
      </c>
      <c r="I265" s="186"/>
      <c r="J265" s="186"/>
      <c r="K265" s="186"/>
      <c r="M265" s="186"/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Mulanje</vt:lpstr>
      <vt:lpstr>Luchenza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2026-06-12T10:58:29Z</dcterms:modified>
</cp:coreProperties>
</file>