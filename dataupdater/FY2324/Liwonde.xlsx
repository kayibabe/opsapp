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324\"/>
    </mc:Choice>
  </mc:AlternateContent>
  <xr:revisionPtr revIDLastSave="0" documentId="13_ncr:1_{572B694B-2D40-440E-A701-65DBEA4197B6}" xr6:coauthVersionLast="47" xr6:coauthVersionMax="47" xr10:uidLastSave="{00000000-0000-0000-0000-000000000000}"/>
  <bookViews>
    <workbookView xWindow="-108" yWindow="-108" windowWidth="23256" windowHeight="12456" tabRatio="889" activeTab="8" xr2:uid="{7E52ECBB-1F29-469D-989C-EDBB1F7D7E94}"/>
  </bookViews>
  <sheets>
    <sheet name="Balaka" sheetId="1" r:id="rId1"/>
    <sheet name="Liwonde" sheetId="2" r:id="rId2"/>
    <sheet name="Machinga" sheetId="3" r:id="rId3"/>
    <sheet name="Ntaja" sheetId="4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2" i="17" l="1"/>
  <c r="H261" i="17"/>
  <c r="H263" i="17" s="1"/>
  <c r="H257" i="17"/>
  <c r="H258" i="17" s="1"/>
  <c r="H256" i="17"/>
  <c r="H255" i="17"/>
  <c r="H254" i="17"/>
  <c r="H253" i="17"/>
  <c r="H241" i="17"/>
  <c r="H240" i="17"/>
  <c r="H239" i="17"/>
  <c r="H238" i="17"/>
  <c r="H242" i="17" s="1"/>
  <c r="H235" i="17"/>
  <c r="H236" i="17" s="1"/>
  <c r="H234" i="17"/>
  <c r="H233" i="17"/>
  <c r="H232" i="17"/>
  <c r="H230" i="17"/>
  <c r="H229" i="17"/>
  <c r="H228" i="17"/>
  <c r="H227" i="17"/>
  <c r="H226" i="17"/>
  <c r="H225" i="17"/>
  <c r="H223" i="17"/>
  <c r="H222" i="17"/>
  <c r="H221" i="17"/>
  <c r="H220" i="17"/>
  <c r="H219" i="17"/>
  <c r="H216" i="17"/>
  <c r="H215" i="17"/>
  <c r="H214" i="17"/>
  <c r="H213" i="17"/>
  <c r="H212" i="17"/>
  <c r="H210" i="17"/>
  <c r="H251" i="17" s="1"/>
  <c r="H209" i="17"/>
  <c r="H208" i="17"/>
  <c r="H207" i="17"/>
  <c r="H206" i="17"/>
  <c r="H204" i="17"/>
  <c r="H203" i="17"/>
  <c r="H202" i="17"/>
  <c r="H201" i="17"/>
  <c r="H200" i="17"/>
  <c r="H199" i="17"/>
  <c r="H197" i="17"/>
  <c r="H196" i="17"/>
  <c r="H195" i="17"/>
  <c r="H194" i="17"/>
  <c r="H192" i="17"/>
  <c r="H191" i="17"/>
  <c r="H190" i="17"/>
  <c r="H189" i="17"/>
  <c r="H187" i="17"/>
  <c r="H186" i="17"/>
  <c r="H185" i="17"/>
  <c r="H184" i="17"/>
  <c r="H182" i="17"/>
  <c r="H181" i="17"/>
  <c r="H180" i="17"/>
  <c r="H179" i="17"/>
  <c r="H178" i="17"/>
  <c r="H177" i="17"/>
  <c r="H175" i="17"/>
  <c r="H174" i="17"/>
  <c r="H173" i="17"/>
  <c r="H172" i="17"/>
  <c r="H171" i="17"/>
  <c r="H170" i="17"/>
  <c r="H169" i="17"/>
  <c r="H168" i="17"/>
  <c r="H167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93" i="17" s="1"/>
  <c r="H143" i="17"/>
  <c r="H142" i="17"/>
  <c r="H144" i="17" s="1"/>
  <c r="H141" i="17"/>
  <c r="H140" i="17"/>
  <c r="H138" i="17"/>
  <c r="H137" i="17"/>
  <c r="H136" i="17"/>
  <c r="H135" i="17"/>
  <c r="H139" i="17" s="1"/>
  <c r="H134" i="17"/>
  <c r="H133" i="17"/>
  <c r="H132" i="17"/>
  <c r="H131" i="17"/>
  <c r="H130" i="17"/>
  <c r="H128" i="17"/>
  <c r="H148" i="17" s="1"/>
  <c r="H127" i="17"/>
  <c r="H147" i="17" s="1"/>
  <c r="H126" i="17"/>
  <c r="H146" i="17" s="1"/>
  <c r="H125" i="17"/>
  <c r="H123" i="17"/>
  <c r="H122" i="17"/>
  <c r="H121" i="17"/>
  <c r="H119" i="17"/>
  <c r="H118" i="17"/>
  <c r="H117" i="17"/>
  <c r="H116" i="17"/>
  <c r="H115" i="17"/>
  <c r="H114" i="17"/>
  <c r="H113" i="17"/>
  <c r="H111" i="17"/>
  <c r="H110" i="17"/>
  <c r="H109" i="17"/>
  <c r="H108" i="17"/>
  <c r="H107" i="17"/>
  <c r="H105" i="17"/>
  <c r="H104" i="17"/>
  <c r="H103" i="17"/>
  <c r="H102" i="17"/>
  <c r="H101" i="17"/>
  <c r="H98" i="17"/>
  <c r="H94" i="17"/>
  <c r="H95" i="17" s="1"/>
  <c r="H93" i="17"/>
  <c r="H92" i="17"/>
  <c r="H259" i="17" s="1"/>
  <c r="H91" i="17"/>
  <c r="H90" i="17"/>
  <c r="H87" i="17"/>
  <c r="H86" i="17"/>
  <c r="H85" i="17"/>
  <c r="H89" i="17" s="1"/>
  <c r="H84" i="17"/>
  <c r="H81" i="17"/>
  <c r="H80" i="17"/>
  <c r="H82" i="17" s="1"/>
  <c r="H79" i="17"/>
  <c r="H78" i="17"/>
  <c r="H83" i="17" s="1"/>
  <c r="H75" i="17"/>
  <c r="H74" i="17"/>
  <c r="H76" i="17" s="1"/>
  <c r="H77" i="17" s="1"/>
  <c r="H73" i="17"/>
  <c r="H72" i="17"/>
  <c r="H69" i="17"/>
  <c r="H70" i="17" s="1"/>
  <c r="H71" i="17" s="1"/>
  <c r="H68" i="17"/>
  <c r="H67" i="17"/>
  <c r="H66" i="17"/>
  <c r="H63" i="17"/>
  <c r="H61" i="17"/>
  <c r="H62" i="17" s="1"/>
  <c r="H59" i="17"/>
  <c r="H58" i="17"/>
  <c r="H56" i="17"/>
  <c r="H55" i="17"/>
  <c r="H54" i="17"/>
  <c r="H52" i="17"/>
  <c r="H51" i="17"/>
  <c r="H50" i="17"/>
  <c r="H49" i="17"/>
  <c r="H46" i="17"/>
  <c r="H47" i="17" s="1"/>
  <c r="H44" i="17"/>
  <c r="H41" i="17"/>
  <c r="H42" i="17" s="1"/>
  <c r="H39" i="17"/>
  <c r="H40" i="17" s="1"/>
  <c r="H37" i="17"/>
  <c r="H38" i="17" s="1"/>
  <c r="H33" i="17"/>
  <c r="H31" i="17"/>
  <c r="H32" i="17" s="1"/>
  <c r="H29" i="17"/>
  <c r="H30" i="17" s="1"/>
  <c r="H20" i="17"/>
  <c r="H19" i="17"/>
  <c r="H18" i="17"/>
  <c r="H17" i="17"/>
  <c r="H21" i="17" s="1"/>
  <c r="H14" i="17"/>
  <c r="H13" i="17"/>
  <c r="H12" i="17"/>
  <c r="H11" i="17"/>
  <c r="H15" i="17" s="1"/>
  <c r="H9" i="17"/>
  <c r="H262" i="16"/>
  <c r="H261" i="16"/>
  <c r="H263" i="16" s="1"/>
  <c r="H257" i="16"/>
  <c r="H258" i="16" s="1"/>
  <c r="H256" i="16"/>
  <c r="H255" i="16"/>
  <c r="H254" i="16"/>
  <c r="H253" i="16"/>
  <c r="H241" i="16"/>
  <c r="H240" i="16"/>
  <c r="H239" i="16"/>
  <c r="H238" i="16"/>
  <c r="H242" i="16" s="1"/>
  <c r="H235" i="16"/>
  <c r="H236" i="16" s="1"/>
  <c r="H234" i="16"/>
  <c r="H233" i="16"/>
  <c r="H232" i="16"/>
  <c r="H230" i="16"/>
  <c r="H229" i="16"/>
  <c r="H228" i="16"/>
  <c r="H227" i="16"/>
  <c r="H226" i="16"/>
  <c r="H225" i="16"/>
  <c r="H223" i="16"/>
  <c r="H222" i="16"/>
  <c r="H221" i="16"/>
  <c r="H220" i="16"/>
  <c r="H219" i="16"/>
  <c r="H216" i="16"/>
  <c r="H243" i="16" s="1"/>
  <c r="H215" i="16"/>
  <c r="H214" i="16"/>
  <c r="H213" i="16"/>
  <c r="H212" i="16"/>
  <c r="H210" i="16"/>
  <c r="H251" i="16" s="1"/>
  <c r="H209" i="16"/>
  <c r="H208" i="16"/>
  <c r="H207" i="16"/>
  <c r="H206" i="16"/>
  <c r="H204" i="16"/>
  <c r="H203" i="16"/>
  <c r="H202" i="16"/>
  <c r="H201" i="16"/>
  <c r="H200" i="16"/>
  <c r="H199" i="16"/>
  <c r="H197" i="16"/>
  <c r="H196" i="16"/>
  <c r="H195" i="16"/>
  <c r="H194" i="16"/>
  <c r="H192" i="16"/>
  <c r="H191" i="16"/>
  <c r="H190" i="16"/>
  <c r="H189" i="16"/>
  <c r="H187" i="16"/>
  <c r="H186" i="16"/>
  <c r="H185" i="16"/>
  <c r="H184" i="16"/>
  <c r="H182" i="16"/>
  <c r="H181" i="16"/>
  <c r="H180" i="16"/>
  <c r="H179" i="16"/>
  <c r="H178" i="16"/>
  <c r="H177" i="16"/>
  <c r="H175" i="16"/>
  <c r="H174" i="16"/>
  <c r="H173" i="16"/>
  <c r="H172" i="16"/>
  <c r="H171" i="16"/>
  <c r="H170" i="16"/>
  <c r="H169" i="16"/>
  <c r="H168" i="16"/>
  <c r="H167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93" i="16" s="1"/>
  <c r="H145" i="16"/>
  <c r="H143" i="16"/>
  <c r="H142" i="16"/>
  <c r="H144" i="16" s="1"/>
  <c r="H141" i="16"/>
  <c r="H140" i="16"/>
  <c r="H138" i="16"/>
  <c r="H137" i="16"/>
  <c r="H136" i="16"/>
  <c r="H135" i="16"/>
  <c r="H139" i="16" s="1"/>
  <c r="H134" i="16"/>
  <c r="H133" i="16"/>
  <c r="H132" i="16"/>
  <c r="H131" i="16"/>
  <c r="H130" i="16"/>
  <c r="H128" i="16"/>
  <c r="H148" i="16" s="1"/>
  <c r="H127" i="16"/>
  <c r="H147" i="16" s="1"/>
  <c r="H126" i="16"/>
  <c r="H146" i="16" s="1"/>
  <c r="H125" i="16"/>
  <c r="H122" i="16"/>
  <c r="H123" i="16" s="1"/>
  <c r="H121" i="16"/>
  <c r="H119" i="16"/>
  <c r="H118" i="16"/>
  <c r="H117" i="16"/>
  <c r="H116" i="16"/>
  <c r="H115" i="16"/>
  <c r="H114" i="16"/>
  <c r="H113" i="16"/>
  <c r="H111" i="16"/>
  <c r="H110" i="16"/>
  <c r="H109" i="16"/>
  <c r="H108" i="16"/>
  <c r="H107" i="16"/>
  <c r="H105" i="16"/>
  <c r="H104" i="16"/>
  <c r="H103" i="16"/>
  <c r="H102" i="16"/>
  <c r="H101" i="16"/>
  <c r="H98" i="16"/>
  <c r="H94" i="16"/>
  <c r="H95" i="16" s="1"/>
  <c r="H93" i="16"/>
  <c r="H92" i="16"/>
  <c r="H259" i="16" s="1"/>
  <c r="H91" i="16"/>
  <c r="H90" i="16"/>
  <c r="H87" i="16"/>
  <c r="H86" i="16"/>
  <c r="H85" i="16"/>
  <c r="H89" i="16" s="1"/>
  <c r="H84" i="16"/>
  <c r="H81" i="16"/>
  <c r="H82" i="16" s="1"/>
  <c r="H80" i="16"/>
  <c r="H79" i="16"/>
  <c r="H78" i="16"/>
  <c r="H83" i="16" s="1"/>
  <c r="H75" i="16"/>
  <c r="H74" i="16"/>
  <c r="H76" i="16" s="1"/>
  <c r="H77" i="16" s="1"/>
  <c r="H73" i="16"/>
  <c r="H72" i="16"/>
  <c r="H69" i="16"/>
  <c r="H70" i="16" s="1"/>
  <c r="H71" i="16" s="1"/>
  <c r="H68" i="16"/>
  <c r="H67" i="16"/>
  <c r="H66" i="16"/>
  <c r="H63" i="16"/>
  <c r="H61" i="16"/>
  <c r="H59" i="16"/>
  <c r="H58" i="16"/>
  <c r="H249" i="16" s="1"/>
  <c r="H56" i="16"/>
  <c r="H55" i="16"/>
  <c r="H54" i="16"/>
  <c r="H52" i="16"/>
  <c r="H51" i="16"/>
  <c r="H50" i="16"/>
  <c r="H49" i="16"/>
  <c r="H46" i="16"/>
  <c r="H47" i="16" s="1"/>
  <c r="H44" i="16"/>
  <c r="H45" i="16" s="1"/>
  <c r="H42" i="16"/>
  <c r="H41" i="16"/>
  <c r="H39" i="16"/>
  <c r="H40" i="16" s="1"/>
  <c r="H37" i="16"/>
  <c r="H38" i="16" s="1"/>
  <c r="H33" i="16"/>
  <c r="H34" i="16" s="1"/>
  <c r="H32" i="16"/>
  <c r="H31" i="16"/>
  <c r="H29" i="16"/>
  <c r="H30" i="16" s="1"/>
  <c r="H20" i="16"/>
  <c r="H19" i="16"/>
  <c r="H18" i="16"/>
  <c r="H17" i="16"/>
  <c r="H21" i="16" s="1"/>
  <c r="H22" i="16" s="1"/>
  <c r="H60" i="16" s="1"/>
  <c r="H14" i="16"/>
  <c r="H13" i="16"/>
  <c r="H12" i="16"/>
  <c r="H11" i="16"/>
  <c r="H15" i="16" s="1"/>
  <c r="H9" i="16"/>
  <c r="H262" i="15"/>
  <c r="H261" i="15"/>
  <c r="H263" i="15" s="1"/>
  <c r="H257" i="15"/>
  <c r="H258" i="15" s="1"/>
  <c r="H256" i="15"/>
  <c r="H255" i="15"/>
  <c r="H254" i="15"/>
  <c r="H253" i="15"/>
  <c r="H242" i="15"/>
  <c r="H241" i="15"/>
  <c r="H240" i="15"/>
  <c r="H239" i="15"/>
  <c r="H238" i="15"/>
  <c r="H235" i="15"/>
  <c r="H234" i="15"/>
  <c r="H233" i="15"/>
  <c r="H236" i="15" s="1"/>
  <c r="H232" i="15"/>
  <c r="H230" i="15"/>
  <c r="H229" i="15"/>
  <c r="H228" i="15"/>
  <c r="H227" i="15"/>
  <c r="H226" i="15"/>
  <c r="H225" i="15"/>
  <c r="H223" i="15"/>
  <c r="H222" i="15"/>
  <c r="H221" i="15"/>
  <c r="H220" i="15"/>
  <c r="H219" i="15"/>
  <c r="H216" i="15"/>
  <c r="H215" i="15"/>
  <c r="H214" i="15"/>
  <c r="H213" i="15"/>
  <c r="H212" i="15"/>
  <c r="H210" i="15"/>
  <c r="H251" i="15" s="1"/>
  <c r="H209" i="15"/>
  <c r="H208" i="15"/>
  <c r="H207" i="15"/>
  <c r="H206" i="15"/>
  <c r="H204" i="15"/>
  <c r="H203" i="15"/>
  <c r="H202" i="15"/>
  <c r="H201" i="15"/>
  <c r="H200" i="15"/>
  <c r="H199" i="15"/>
  <c r="H197" i="15"/>
  <c r="H196" i="15"/>
  <c r="H195" i="15"/>
  <c r="H194" i="15"/>
  <c r="H192" i="15"/>
  <c r="H191" i="15"/>
  <c r="H190" i="15"/>
  <c r="H189" i="15"/>
  <c r="H187" i="15"/>
  <c r="H186" i="15"/>
  <c r="H185" i="15"/>
  <c r="H184" i="15"/>
  <c r="H182" i="15"/>
  <c r="H181" i="15"/>
  <c r="H180" i="15"/>
  <c r="H179" i="15"/>
  <c r="H178" i="15"/>
  <c r="H177" i="15"/>
  <c r="H175" i="15"/>
  <c r="H174" i="15"/>
  <c r="H173" i="15"/>
  <c r="H172" i="15"/>
  <c r="H171" i="15"/>
  <c r="H170" i="15"/>
  <c r="H169" i="15"/>
  <c r="H168" i="15"/>
  <c r="H167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93" i="15" s="1"/>
  <c r="H148" i="15"/>
  <c r="H143" i="15"/>
  <c r="H142" i="15"/>
  <c r="H141" i="15"/>
  <c r="H140" i="15"/>
  <c r="H144" i="15" s="1"/>
  <c r="H138" i="15"/>
  <c r="H137" i="15"/>
  <c r="H136" i="15"/>
  <c r="H135" i="15"/>
  <c r="H139" i="15" s="1"/>
  <c r="H134" i="15"/>
  <c r="H133" i="15"/>
  <c r="H132" i="15"/>
  <c r="H131" i="15"/>
  <c r="H130" i="15"/>
  <c r="H128" i="15"/>
  <c r="H127" i="15"/>
  <c r="H147" i="15" s="1"/>
  <c r="H126" i="15"/>
  <c r="H146" i="15" s="1"/>
  <c r="H125" i="15"/>
  <c r="H145" i="15" s="1"/>
  <c r="H123" i="15"/>
  <c r="H122" i="15"/>
  <c r="H121" i="15"/>
  <c r="H119" i="15"/>
  <c r="H118" i="15"/>
  <c r="H117" i="15"/>
  <c r="H116" i="15"/>
  <c r="H115" i="15"/>
  <c r="H114" i="15"/>
  <c r="H113" i="15"/>
  <c r="H111" i="15"/>
  <c r="H110" i="15"/>
  <c r="H109" i="15"/>
  <c r="H108" i="15"/>
  <c r="H107" i="15"/>
  <c r="H105" i="15"/>
  <c r="H104" i="15"/>
  <c r="H103" i="15"/>
  <c r="H102" i="15"/>
  <c r="H101" i="15"/>
  <c r="H98" i="15"/>
  <c r="H93" i="15"/>
  <c r="H92" i="15"/>
  <c r="H259" i="15" s="1"/>
  <c r="H91" i="15"/>
  <c r="H90" i="15"/>
  <c r="H87" i="15"/>
  <c r="H86" i="15"/>
  <c r="H85" i="15"/>
  <c r="H84" i="15"/>
  <c r="H89" i="15" s="1"/>
  <c r="H81" i="15"/>
  <c r="H80" i="15"/>
  <c r="H82" i="15" s="1"/>
  <c r="H83" i="15" s="1"/>
  <c r="H79" i="15"/>
  <c r="H78" i="15"/>
  <c r="H75" i="15"/>
  <c r="H74" i="15"/>
  <c r="H76" i="15" s="1"/>
  <c r="H77" i="15" s="1"/>
  <c r="H73" i="15"/>
  <c r="H72" i="15"/>
  <c r="H69" i="15"/>
  <c r="H70" i="15" s="1"/>
  <c r="H68" i="15"/>
  <c r="H67" i="15"/>
  <c r="H71" i="15" s="1"/>
  <c r="H66" i="15"/>
  <c r="H63" i="15"/>
  <c r="H61" i="15"/>
  <c r="H62" i="15" s="1"/>
  <c r="H59" i="15"/>
  <c r="H58" i="15"/>
  <c r="H56" i="15"/>
  <c r="H55" i="15"/>
  <c r="H54" i="15"/>
  <c r="H52" i="15"/>
  <c r="H51" i="15"/>
  <c r="H50" i="15"/>
  <c r="H49" i="15"/>
  <c r="H46" i="15"/>
  <c r="H47" i="15" s="1"/>
  <c r="H44" i="15"/>
  <c r="H41" i="15"/>
  <c r="H42" i="15" s="1"/>
  <c r="H39" i="15"/>
  <c r="H40" i="15" s="1"/>
  <c r="H37" i="15"/>
  <c r="H38" i="15" s="1"/>
  <c r="H33" i="15"/>
  <c r="H34" i="15" s="1"/>
  <c r="H31" i="15"/>
  <c r="H32" i="15" s="1"/>
  <c r="H29" i="15"/>
  <c r="H30" i="15" s="1"/>
  <c r="H20" i="15"/>
  <c r="H19" i="15"/>
  <c r="H18" i="15"/>
  <c r="H17" i="15"/>
  <c r="H21" i="15" s="1"/>
  <c r="H22" i="15" s="1"/>
  <c r="H14" i="15"/>
  <c r="H13" i="15"/>
  <c r="H12" i="15"/>
  <c r="H11" i="15"/>
  <c r="H15" i="15" s="1"/>
  <c r="H9" i="15"/>
  <c r="H45" i="15" s="1"/>
  <c r="O46" i="3"/>
  <c r="O46" i="2"/>
  <c r="O204" i="1"/>
  <c r="H22" i="17" l="1"/>
  <c r="H60" i="17" s="1"/>
  <c r="H243" i="17"/>
  <c r="H245" i="17"/>
  <c r="H250" i="17" s="1"/>
  <c r="H24" i="17"/>
  <c r="H25" i="17" s="1"/>
  <c r="H217" i="17"/>
  <c r="H129" i="17"/>
  <c r="H149" i="17" s="1"/>
  <c r="H145" i="17"/>
  <c r="H34" i="17"/>
  <c r="H45" i="17"/>
  <c r="H24" i="16"/>
  <c r="H25" i="16" s="1"/>
  <c r="H245" i="16"/>
  <c r="H247" i="16" s="1"/>
  <c r="H246" i="16"/>
  <c r="H217" i="16"/>
  <c r="H62" i="16"/>
  <c r="H129" i="16"/>
  <c r="H149" i="16" s="1"/>
  <c r="H250" i="16"/>
  <c r="H24" i="15"/>
  <c r="H25" i="15" s="1"/>
  <c r="H60" i="15"/>
  <c r="H243" i="15"/>
  <c r="H249" i="15"/>
  <c r="H94" i="15"/>
  <c r="H95" i="15" s="1"/>
  <c r="H217" i="15"/>
  <c r="H129" i="15"/>
  <c r="H149" i="15" s="1"/>
  <c r="N46" i="3"/>
  <c r="N46" i="2"/>
  <c r="H246" i="17" l="1"/>
  <c r="H249" i="17"/>
  <c r="H247" i="17"/>
  <c r="H247" i="15"/>
  <c r="H245" i="15"/>
  <c r="H250" i="15" s="1"/>
  <c r="H246" i="15"/>
  <c r="F233" i="15"/>
  <c r="E200" i="15"/>
  <c r="E201" i="15"/>
  <c r="E202" i="15"/>
  <c r="E203" i="15"/>
  <c r="M46" i="3" l="1"/>
  <c r="M46" i="2"/>
  <c r="L233" i="11" l="1"/>
  <c r="L200" i="11"/>
  <c r="L210" i="4"/>
  <c r="L46" i="3"/>
  <c r="L46" i="2"/>
  <c r="L46" i="1"/>
  <c r="K46" i="4" l="1"/>
  <c r="K45" i="4"/>
  <c r="K46" i="3"/>
  <c r="K46" i="2"/>
  <c r="K46" i="1"/>
  <c r="J46" i="4" l="1"/>
  <c r="J46" i="3"/>
  <c r="J46" i="2"/>
  <c r="J46" i="1"/>
  <c r="I46" i="4" l="1"/>
  <c r="I46" i="3"/>
  <c r="I46" i="2"/>
  <c r="H210" i="1"/>
  <c r="I46" i="1"/>
  <c r="H46" i="4" l="1"/>
  <c r="H46" i="3"/>
  <c r="H46" i="2"/>
  <c r="H46" i="1"/>
  <c r="G52" i="14" l="1"/>
  <c r="F52" i="14"/>
  <c r="E52" i="14"/>
  <c r="D52" i="14"/>
  <c r="B37" i="13"/>
  <c r="B35" i="13"/>
  <c r="B33" i="13"/>
  <c r="B31" i="13"/>
  <c r="B29" i="13"/>
  <c r="B37" i="12"/>
  <c r="B35" i="12"/>
  <c r="B33" i="12"/>
  <c r="B31" i="12"/>
  <c r="B29" i="12"/>
  <c r="B37" i="11"/>
  <c r="B35" i="11"/>
  <c r="B33" i="11"/>
  <c r="B31" i="11"/>
  <c r="B29" i="11"/>
  <c r="B37" i="17"/>
  <c r="B35" i="17"/>
  <c r="B33" i="17"/>
  <c r="B31" i="17"/>
  <c r="B29" i="17"/>
  <c r="B37" i="16"/>
  <c r="B35" i="16"/>
  <c r="B33" i="16"/>
  <c r="B31" i="16"/>
  <c r="B29" i="16"/>
  <c r="B37" i="15"/>
  <c r="B35" i="15"/>
  <c r="B33" i="15"/>
  <c r="B31" i="15"/>
  <c r="B29" i="15"/>
  <c r="B37" i="14"/>
  <c r="B35" i="14"/>
  <c r="B33" i="14"/>
  <c r="B31" i="14"/>
  <c r="B29" i="14"/>
  <c r="G193" i="2"/>
  <c r="H193" i="2"/>
  <c r="I193" i="2"/>
  <c r="J193" i="2"/>
  <c r="K193" i="2"/>
  <c r="L193" i="2"/>
  <c r="M193" i="2"/>
  <c r="N193" i="2"/>
  <c r="O193" i="2"/>
  <c r="D36" i="2"/>
  <c r="O36" i="2"/>
  <c r="N36" i="2"/>
  <c r="M36" i="2"/>
  <c r="L36" i="2"/>
  <c r="K36" i="2"/>
  <c r="J36" i="2"/>
  <c r="I36" i="2"/>
  <c r="H36" i="2"/>
  <c r="G36" i="2"/>
  <c r="B37" i="4" l="1"/>
  <c r="B35" i="4"/>
  <c r="B33" i="4"/>
  <c r="B31" i="4"/>
  <c r="B29" i="4"/>
  <c r="E193" i="2" l="1"/>
  <c r="F193" i="2"/>
  <c r="D193" i="2"/>
  <c r="F36" i="2"/>
  <c r="E36" i="2"/>
  <c r="B37" i="3"/>
  <c r="B35" i="3"/>
  <c r="B33" i="3"/>
  <c r="B31" i="3"/>
  <c r="B29" i="3"/>
  <c r="B37" i="2"/>
  <c r="B35" i="2"/>
  <c r="B33" i="2"/>
  <c r="B31" i="2"/>
  <c r="B29" i="2"/>
  <c r="B37" i="1" l="1"/>
  <c r="B35" i="1"/>
  <c r="B33" i="1"/>
  <c r="B31" i="1"/>
  <c r="B29" i="1"/>
  <c r="D34" i="1" l="1"/>
  <c r="D32" i="1"/>
  <c r="D30" i="1"/>
  <c r="D15" i="1"/>
  <c r="O262" i="11" l="1"/>
  <c r="N262" i="11"/>
  <c r="M262" i="11"/>
  <c r="L262" i="11"/>
  <c r="K262" i="11"/>
  <c r="J262" i="11"/>
  <c r="I262" i="11"/>
  <c r="H262" i="11"/>
  <c r="G262" i="11"/>
  <c r="F262" i="11"/>
  <c r="E262" i="11"/>
  <c r="D262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O233" i="11"/>
  <c r="N233" i="11"/>
  <c r="M233" i="11"/>
  <c r="K233" i="11"/>
  <c r="J233" i="11"/>
  <c r="I233" i="11"/>
  <c r="H233" i="11"/>
  <c r="G233" i="11"/>
  <c r="F233" i="11"/>
  <c r="E233" i="11"/>
  <c r="D233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O200" i="11"/>
  <c r="N200" i="11"/>
  <c r="M200" i="11"/>
  <c r="K200" i="11"/>
  <c r="J200" i="11"/>
  <c r="I200" i="11"/>
  <c r="H200" i="11"/>
  <c r="G200" i="11"/>
  <c r="F200" i="11"/>
  <c r="E200" i="11"/>
  <c r="D200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F66" i="11"/>
  <c r="E66" i="11"/>
  <c r="D66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4" i="11"/>
  <c r="N44" i="11"/>
  <c r="M44" i="11"/>
  <c r="L44" i="11"/>
  <c r="K44" i="11"/>
  <c r="J44" i="11"/>
  <c r="I44" i="11"/>
  <c r="H44" i="11"/>
  <c r="G44" i="11"/>
  <c r="F44" i="11"/>
  <c r="E44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O33" i="11"/>
  <c r="N33" i="11"/>
  <c r="M33" i="11"/>
  <c r="L33" i="11"/>
  <c r="K33" i="11"/>
  <c r="J33" i="11"/>
  <c r="I33" i="11"/>
  <c r="H33" i="11"/>
  <c r="G33" i="11"/>
  <c r="F33" i="11"/>
  <c r="E33" i="11"/>
  <c r="O31" i="11"/>
  <c r="N31" i="11"/>
  <c r="M31" i="11"/>
  <c r="L31" i="11"/>
  <c r="K31" i="11"/>
  <c r="J31" i="11"/>
  <c r="I31" i="11"/>
  <c r="H31" i="11"/>
  <c r="G31" i="11"/>
  <c r="F31" i="11"/>
  <c r="E31" i="11"/>
  <c r="O29" i="11"/>
  <c r="N29" i="11"/>
  <c r="M29" i="11"/>
  <c r="L29" i="11"/>
  <c r="K29" i="11"/>
  <c r="J29" i="11"/>
  <c r="I29" i="11"/>
  <c r="H29" i="11"/>
  <c r="G29" i="11"/>
  <c r="F29" i="11"/>
  <c r="E2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9" i="11"/>
  <c r="N9" i="11"/>
  <c r="M9" i="11"/>
  <c r="L9" i="11"/>
  <c r="K9" i="11"/>
  <c r="J9" i="11"/>
  <c r="I9" i="11"/>
  <c r="H9" i="11"/>
  <c r="G9" i="11"/>
  <c r="F9" i="11"/>
  <c r="E9" i="11"/>
  <c r="E144" i="11" l="1"/>
  <c r="F144" i="11"/>
  <c r="G144" i="11"/>
  <c r="N144" i="11"/>
  <c r="M144" i="11"/>
  <c r="L144" i="11"/>
  <c r="O144" i="11"/>
  <c r="J144" i="11"/>
  <c r="K144" i="11"/>
  <c r="H144" i="11"/>
  <c r="I144" i="11"/>
  <c r="F129" i="4"/>
  <c r="F134" i="4"/>
  <c r="F139" i="4"/>
  <c r="D9" i="11" l="1"/>
  <c r="D44" i="11"/>
  <c r="D33" i="11"/>
  <c r="D31" i="11"/>
  <c r="D29" i="11"/>
  <c r="D70" i="1" l="1"/>
  <c r="D71" i="1" s="1"/>
  <c r="D76" i="1"/>
  <c r="D77" i="1" s="1"/>
  <c r="D82" i="1"/>
  <c r="D83" i="1" s="1"/>
  <c r="D88" i="1"/>
  <c r="D89" i="1" s="1"/>
  <c r="D90" i="1"/>
  <c r="D246" i="16" l="1"/>
  <c r="E246" i="16"/>
  <c r="F246" i="16"/>
  <c r="G246" i="16"/>
  <c r="G245" i="16"/>
  <c r="F245" i="16"/>
  <c r="E245" i="16"/>
  <c r="D245" i="16"/>
  <c r="P196" i="4" l="1"/>
  <c r="P246" i="4" l="1"/>
  <c r="P245" i="4"/>
  <c r="P246" i="3"/>
  <c r="P245" i="3"/>
  <c r="P246" i="2"/>
  <c r="P245" i="2"/>
  <c r="P246" i="1"/>
  <c r="P245" i="1"/>
  <c r="G143" i="16" l="1"/>
  <c r="F143" i="16"/>
  <c r="E143" i="16"/>
  <c r="D143" i="16"/>
  <c r="G142" i="16"/>
  <c r="F142" i="16"/>
  <c r="E142" i="16"/>
  <c r="D142" i="16"/>
  <c r="G141" i="16"/>
  <c r="F141" i="16"/>
  <c r="E141" i="16"/>
  <c r="D141" i="16"/>
  <c r="G140" i="16"/>
  <c r="F140" i="16"/>
  <c r="E140" i="16"/>
  <c r="D140" i="16"/>
  <c r="G138" i="16"/>
  <c r="F138" i="16"/>
  <c r="E138" i="16"/>
  <c r="D138" i="16"/>
  <c r="G137" i="16"/>
  <c r="F137" i="16"/>
  <c r="E137" i="16"/>
  <c r="D137" i="16"/>
  <c r="G136" i="16"/>
  <c r="F136" i="16"/>
  <c r="E136" i="16"/>
  <c r="D136" i="16"/>
  <c r="G135" i="16"/>
  <c r="F135" i="16"/>
  <c r="E135" i="16"/>
  <c r="D135" i="16"/>
  <c r="G133" i="16"/>
  <c r="F133" i="16"/>
  <c r="E133" i="16"/>
  <c r="D133" i="16"/>
  <c r="G132" i="16"/>
  <c r="F132" i="16"/>
  <c r="E132" i="16"/>
  <c r="D132" i="16"/>
  <c r="G131" i="16"/>
  <c r="F131" i="16"/>
  <c r="E131" i="16"/>
  <c r="D131" i="16"/>
  <c r="G130" i="16"/>
  <c r="F130" i="16"/>
  <c r="E130" i="16"/>
  <c r="D130" i="16"/>
  <c r="G128" i="16"/>
  <c r="F128" i="16"/>
  <c r="E128" i="16"/>
  <c r="D128" i="16"/>
  <c r="G127" i="16"/>
  <c r="F127" i="16"/>
  <c r="E127" i="16"/>
  <c r="D127" i="16"/>
  <c r="G126" i="16"/>
  <c r="F126" i="16"/>
  <c r="E126" i="16"/>
  <c r="D126" i="16"/>
  <c r="G125" i="16"/>
  <c r="F125" i="16"/>
  <c r="E125" i="16"/>
  <c r="D125" i="16"/>
  <c r="D50" i="12"/>
  <c r="E50" i="12"/>
  <c r="F50" i="12"/>
  <c r="G50" i="12"/>
  <c r="D51" i="12"/>
  <c r="E51" i="12"/>
  <c r="F51" i="12"/>
  <c r="G51" i="12"/>
  <c r="P86" i="4"/>
  <c r="E76" i="1"/>
  <c r="E77" i="1" s="1"/>
  <c r="F76" i="1"/>
  <c r="F77" i="1" s="1"/>
  <c r="G76" i="1"/>
  <c r="G77" i="1" s="1"/>
  <c r="H76" i="1"/>
  <c r="H77" i="1" s="1"/>
  <c r="I76" i="1"/>
  <c r="I77" i="1" s="1"/>
  <c r="J76" i="1"/>
  <c r="J77" i="1" s="1"/>
  <c r="K76" i="1"/>
  <c r="K77" i="1" s="1"/>
  <c r="L76" i="1"/>
  <c r="L77" i="1" s="1"/>
  <c r="M76" i="1"/>
  <c r="M77" i="1" s="1"/>
  <c r="N76" i="1"/>
  <c r="N77" i="1" s="1"/>
  <c r="O76" i="1"/>
  <c r="O77" i="1" s="1"/>
  <c r="P75" i="1"/>
  <c r="P74" i="1"/>
  <c r="P73" i="1"/>
  <c r="P72" i="1"/>
  <c r="G87" i="16"/>
  <c r="F87" i="16"/>
  <c r="E87" i="16"/>
  <c r="D87" i="16"/>
  <c r="G86" i="16"/>
  <c r="F86" i="16"/>
  <c r="E86" i="16"/>
  <c r="E88" i="16" s="1"/>
  <c r="D86" i="16"/>
  <c r="G85" i="16"/>
  <c r="F85" i="16"/>
  <c r="E85" i="16"/>
  <c r="D85" i="16"/>
  <c r="G84" i="16"/>
  <c r="F84" i="16"/>
  <c r="E84" i="16"/>
  <c r="D84" i="16"/>
  <c r="G81" i="16"/>
  <c r="F81" i="16"/>
  <c r="E81" i="16"/>
  <c r="D81" i="16"/>
  <c r="G80" i="16"/>
  <c r="F80" i="16"/>
  <c r="E80" i="16"/>
  <c r="D80" i="16"/>
  <c r="G79" i="16"/>
  <c r="F79" i="16"/>
  <c r="E79" i="16"/>
  <c r="D79" i="16"/>
  <c r="G78" i="16"/>
  <c r="F78" i="16"/>
  <c r="E78" i="16"/>
  <c r="D78" i="16"/>
  <c r="G75" i="16"/>
  <c r="F75" i="16"/>
  <c r="E75" i="16"/>
  <c r="D75" i="16"/>
  <c r="G74" i="16"/>
  <c r="F74" i="16"/>
  <c r="F76" i="16" s="1"/>
  <c r="E74" i="16"/>
  <c r="D74" i="16"/>
  <c r="G73" i="16"/>
  <c r="F73" i="16"/>
  <c r="E73" i="16"/>
  <c r="D73" i="16"/>
  <c r="G72" i="16"/>
  <c r="F72" i="16"/>
  <c r="E72" i="16"/>
  <c r="D72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O117" i="1"/>
  <c r="N92" i="1"/>
  <c r="O92" i="1"/>
  <c r="O93" i="1"/>
  <c r="P80" i="1"/>
  <c r="O46" i="11"/>
  <c r="P196" i="1"/>
  <c r="G76" i="16" l="1"/>
  <c r="G82" i="16"/>
  <c r="G88" i="16"/>
  <c r="G89" i="16" s="1"/>
  <c r="F88" i="16"/>
  <c r="G144" i="16"/>
  <c r="E90" i="16"/>
  <c r="F144" i="16"/>
  <c r="D76" i="16"/>
  <c r="D77" i="16" s="1"/>
  <c r="D82" i="16"/>
  <c r="D83" i="16" s="1"/>
  <c r="E144" i="16"/>
  <c r="E76" i="16"/>
  <c r="E77" i="16" s="1"/>
  <c r="E82" i="16"/>
  <c r="E83" i="16" s="1"/>
  <c r="D88" i="16"/>
  <c r="D89" i="16" s="1"/>
  <c r="P76" i="1"/>
  <c r="P77" i="1" s="1"/>
  <c r="G83" i="16"/>
  <c r="G77" i="16"/>
  <c r="G90" i="16"/>
  <c r="F89" i="16"/>
  <c r="F82" i="16"/>
  <c r="F83" i="16" s="1"/>
  <c r="F77" i="16"/>
  <c r="F90" i="16"/>
  <c r="P263" i="1"/>
  <c r="D90" i="16"/>
  <c r="E89" i="16"/>
  <c r="G122" i="16" l="1"/>
  <c r="F122" i="16"/>
  <c r="E122" i="16"/>
  <c r="D122" i="16"/>
  <c r="G121" i="16"/>
  <c r="F121" i="16"/>
  <c r="E121" i="16"/>
  <c r="D121" i="16"/>
  <c r="G116" i="16"/>
  <c r="F116" i="16"/>
  <c r="E116" i="16"/>
  <c r="D116" i="16"/>
  <c r="G115" i="16"/>
  <c r="F115" i="16"/>
  <c r="E115" i="16"/>
  <c r="D115" i="16"/>
  <c r="G114" i="16"/>
  <c r="F114" i="16"/>
  <c r="E114" i="16"/>
  <c r="D114" i="16"/>
  <c r="G113" i="16"/>
  <c r="F113" i="16"/>
  <c r="E113" i="16"/>
  <c r="D113" i="16"/>
  <c r="G110" i="16"/>
  <c r="F110" i="16"/>
  <c r="E110" i="16"/>
  <c r="D110" i="16"/>
  <c r="G109" i="16"/>
  <c r="F109" i="16"/>
  <c r="E109" i="16"/>
  <c r="D109" i="16"/>
  <c r="G108" i="16"/>
  <c r="F108" i="16"/>
  <c r="E108" i="16"/>
  <c r="D108" i="16"/>
  <c r="G107" i="16"/>
  <c r="F107" i="16"/>
  <c r="E107" i="16"/>
  <c r="D107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G101" i="16"/>
  <c r="F101" i="16"/>
  <c r="E101" i="16"/>
  <c r="D101" i="16"/>
  <c r="G98" i="16"/>
  <c r="F98" i="16"/>
  <c r="E98" i="16"/>
  <c r="D98" i="16"/>
  <c r="D144" i="16"/>
  <c r="G139" i="16"/>
  <c r="F139" i="16"/>
  <c r="E139" i="16"/>
  <c r="D139" i="16"/>
  <c r="G134" i="16"/>
  <c r="F134" i="16"/>
  <c r="E134" i="16"/>
  <c r="D134" i="16"/>
  <c r="G148" i="16"/>
  <c r="F148" i="16"/>
  <c r="E148" i="16"/>
  <c r="D148" i="16"/>
  <c r="G147" i="16"/>
  <c r="F147" i="16"/>
  <c r="E147" i="16"/>
  <c r="D147" i="16"/>
  <c r="G146" i="16"/>
  <c r="F146" i="16"/>
  <c r="E146" i="16"/>
  <c r="D146" i="16"/>
  <c r="G145" i="16"/>
  <c r="F145" i="16"/>
  <c r="E145" i="16"/>
  <c r="D145" i="16"/>
  <c r="G257" i="16"/>
  <c r="F257" i="16"/>
  <c r="E257" i="16"/>
  <c r="D257" i="16"/>
  <c r="G254" i="16"/>
  <c r="F254" i="16"/>
  <c r="E254" i="16"/>
  <c r="D254" i="16"/>
  <c r="G253" i="16"/>
  <c r="F253" i="16"/>
  <c r="E253" i="16"/>
  <c r="D253" i="16"/>
  <c r="G262" i="16"/>
  <c r="F262" i="16"/>
  <c r="E262" i="16"/>
  <c r="D262" i="16"/>
  <c r="G261" i="16"/>
  <c r="F261" i="16"/>
  <c r="E261" i="16"/>
  <c r="D261" i="16"/>
  <c r="G241" i="16"/>
  <c r="F241" i="16"/>
  <c r="E241" i="16"/>
  <c r="D241" i="16"/>
  <c r="G240" i="16"/>
  <c r="F240" i="16"/>
  <c r="E240" i="16"/>
  <c r="D240" i="16"/>
  <c r="G239" i="16"/>
  <c r="F239" i="16"/>
  <c r="E239" i="16"/>
  <c r="D239" i="16"/>
  <c r="G238" i="16"/>
  <c r="F238" i="16"/>
  <c r="E238" i="16"/>
  <c r="D238" i="16"/>
  <c r="G235" i="16"/>
  <c r="F235" i="16"/>
  <c r="E235" i="16"/>
  <c r="D235" i="16"/>
  <c r="G234" i="16"/>
  <c r="F234" i="16"/>
  <c r="E234" i="16"/>
  <c r="D234" i="16"/>
  <c r="G233" i="16"/>
  <c r="F233" i="16"/>
  <c r="E233" i="16"/>
  <c r="D233" i="16"/>
  <c r="G232" i="16"/>
  <c r="F232" i="16"/>
  <c r="E232" i="16"/>
  <c r="D232" i="16"/>
  <c r="G228" i="16"/>
  <c r="F228" i="16"/>
  <c r="E228" i="16"/>
  <c r="D228" i="16"/>
  <c r="G227" i="16"/>
  <c r="F227" i="16"/>
  <c r="E227" i="16"/>
  <c r="D227" i="16"/>
  <c r="G226" i="16"/>
  <c r="F226" i="16"/>
  <c r="E226" i="16"/>
  <c r="D226" i="16"/>
  <c r="G225" i="16"/>
  <c r="F225" i="16"/>
  <c r="E225" i="16"/>
  <c r="D225" i="16"/>
  <c r="G222" i="16"/>
  <c r="F222" i="16"/>
  <c r="E222" i="16"/>
  <c r="D222" i="16"/>
  <c r="G221" i="16"/>
  <c r="F221" i="16"/>
  <c r="E221" i="16"/>
  <c r="D221" i="16"/>
  <c r="G220" i="16"/>
  <c r="F220" i="16"/>
  <c r="E220" i="16"/>
  <c r="D220" i="16"/>
  <c r="G219" i="16"/>
  <c r="F219" i="16"/>
  <c r="E219" i="16"/>
  <c r="D219" i="16"/>
  <c r="G215" i="16"/>
  <c r="F215" i="16"/>
  <c r="E215" i="16"/>
  <c r="D215" i="16"/>
  <c r="G214" i="16"/>
  <c r="F214" i="16"/>
  <c r="E214" i="16"/>
  <c r="D214" i="16"/>
  <c r="G213" i="16"/>
  <c r="F213" i="16"/>
  <c r="E213" i="16"/>
  <c r="D213" i="16"/>
  <c r="G212" i="16"/>
  <c r="F212" i="16"/>
  <c r="E212" i="16"/>
  <c r="D212" i="16"/>
  <c r="G209" i="16"/>
  <c r="F209" i="16"/>
  <c r="E209" i="16"/>
  <c r="D209" i="16"/>
  <c r="G208" i="16"/>
  <c r="F208" i="16"/>
  <c r="E208" i="16"/>
  <c r="D208" i="16"/>
  <c r="G207" i="16"/>
  <c r="F207" i="16"/>
  <c r="E207" i="16"/>
  <c r="D207" i="16"/>
  <c r="G206" i="16"/>
  <c r="F206" i="16"/>
  <c r="E206" i="16"/>
  <c r="D206" i="16"/>
  <c r="G203" i="16"/>
  <c r="F203" i="16"/>
  <c r="E203" i="16"/>
  <c r="D203" i="16"/>
  <c r="G202" i="16"/>
  <c r="F202" i="16"/>
  <c r="E202" i="16"/>
  <c r="D202" i="16"/>
  <c r="G201" i="16"/>
  <c r="F201" i="16"/>
  <c r="E201" i="16"/>
  <c r="D201" i="16"/>
  <c r="G200" i="16"/>
  <c r="F200" i="16"/>
  <c r="E200" i="16"/>
  <c r="D200" i="16"/>
  <c r="G199" i="16"/>
  <c r="F199" i="16"/>
  <c r="E199" i="16"/>
  <c r="D199" i="16"/>
  <c r="G197" i="16"/>
  <c r="F197" i="16"/>
  <c r="E197" i="16"/>
  <c r="D197" i="16"/>
  <c r="G196" i="16"/>
  <c r="F196" i="16"/>
  <c r="E196" i="16"/>
  <c r="D196" i="16"/>
  <c r="G195" i="16"/>
  <c r="F195" i="16"/>
  <c r="E195" i="16"/>
  <c r="D195" i="16"/>
  <c r="G194" i="16"/>
  <c r="F194" i="16"/>
  <c r="E194" i="16"/>
  <c r="D194" i="16"/>
  <c r="G187" i="16"/>
  <c r="F187" i="16"/>
  <c r="E187" i="16"/>
  <c r="D187" i="16"/>
  <c r="G186" i="16"/>
  <c r="F186" i="16"/>
  <c r="E186" i="16"/>
  <c r="D186" i="16"/>
  <c r="G185" i="16"/>
  <c r="F185" i="16"/>
  <c r="E185" i="16"/>
  <c r="D185" i="16"/>
  <c r="G184" i="16"/>
  <c r="F184" i="16"/>
  <c r="E184" i="16"/>
  <c r="D184" i="16"/>
  <c r="G182" i="16"/>
  <c r="F182" i="16"/>
  <c r="E182" i="16"/>
  <c r="D182" i="16"/>
  <c r="G181" i="16"/>
  <c r="F181" i="16"/>
  <c r="E181" i="16"/>
  <c r="D181" i="16"/>
  <c r="G180" i="16"/>
  <c r="F180" i="16"/>
  <c r="E180" i="16"/>
  <c r="D180" i="16"/>
  <c r="G179" i="16"/>
  <c r="F179" i="16"/>
  <c r="E179" i="16"/>
  <c r="D179" i="16"/>
  <c r="G178" i="16"/>
  <c r="F178" i="16"/>
  <c r="E178" i="16"/>
  <c r="D178" i="16"/>
  <c r="G177" i="16"/>
  <c r="F177" i="16"/>
  <c r="E177" i="16"/>
  <c r="D177" i="16"/>
  <c r="G175" i="16"/>
  <c r="F175" i="16"/>
  <c r="E175" i="16"/>
  <c r="D175" i="16"/>
  <c r="G174" i="16"/>
  <c r="F174" i="16"/>
  <c r="E174" i="16"/>
  <c r="D174" i="16"/>
  <c r="G173" i="16"/>
  <c r="F173" i="16"/>
  <c r="E173" i="16"/>
  <c r="D173" i="16"/>
  <c r="G172" i="16"/>
  <c r="F172" i="16"/>
  <c r="E172" i="16"/>
  <c r="D172" i="16"/>
  <c r="G171" i="16"/>
  <c r="F171" i="16"/>
  <c r="E171" i="16"/>
  <c r="D171" i="16"/>
  <c r="G170" i="16"/>
  <c r="F170" i="16"/>
  <c r="E170" i="16"/>
  <c r="D170" i="16"/>
  <c r="G169" i="16"/>
  <c r="F169" i="16"/>
  <c r="E169" i="16"/>
  <c r="D169" i="16"/>
  <c r="G168" i="16"/>
  <c r="F168" i="16"/>
  <c r="E168" i="16"/>
  <c r="D168" i="16"/>
  <c r="G167" i="16"/>
  <c r="F167" i="16"/>
  <c r="E167" i="16"/>
  <c r="D167" i="16"/>
  <c r="G165" i="16"/>
  <c r="F165" i="16"/>
  <c r="E165" i="16"/>
  <c r="D165" i="16"/>
  <c r="G164" i="16"/>
  <c r="F164" i="16"/>
  <c r="E164" i="16"/>
  <c r="D164" i="16"/>
  <c r="G163" i="16"/>
  <c r="F163" i="16"/>
  <c r="E163" i="16"/>
  <c r="D163" i="16"/>
  <c r="G162" i="16"/>
  <c r="F162" i="16"/>
  <c r="E162" i="16"/>
  <c r="D162" i="16"/>
  <c r="G161" i="16"/>
  <c r="F161" i="16"/>
  <c r="E161" i="16"/>
  <c r="D161" i="16"/>
  <c r="G160" i="16"/>
  <c r="F160" i="16"/>
  <c r="E160" i="16"/>
  <c r="D160" i="16"/>
  <c r="G159" i="16"/>
  <c r="F159" i="16"/>
  <c r="E159" i="16"/>
  <c r="D159" i="16"/>
  <c r="G158" i="16"/>
  <c r="F158" i="16"/>
  <c r="E158" i="16"/>
  <c r="D158" i="16"/>
  <c r="G157" i="16"/>
  <c r="F157" i="16"/>
  <c r="E157" i="16"/>
  <c r="D157" i="16"/>
  <c r="G156" i="16"/>
  <c r="F156" i="16"/>
  <c r="E156" i="16"/>
  <c r="D156" i="16"/>
  <c r="G155" i="16"/>
  <c r="F155" i="16"/>
  <c r="E155" i="16"/>
  <c r="D155" i="16"/>
  <c r="G154" i="16"/>
  <c r="F154" i="16"/>
  <c r="E154" i="16"/>
  <c r="D154" i="16"/>
  <c r="G153" i="16"/>
  <c r="F153" i="16"/>
  <c r="E153" i="16"/>
  <c r="D153" i="16"/>
  <c r="G69" i="16"/>
  <c r="G93" i="16" s="1"/>
  <c r="F69" i="16"/>
  <c r="F93" i="16" s="1"/>
  <c r="E69" i="16"/>
  <c r="E93" i="16" s="1"/>
  <c r="D69" i="16"/>
  <c r="D93" i="16" s="1"/>
  <c r="G68" i="16"/>
  <c r="G92" i="16" s="1"/>
  <c r="G94" i="16" s="1"/>
  <c r="F68" i="16"/>
  <c r="F92" i="16" s="1"/>
  <c r="E68" i="16"/>
  <c r="E92" i="16" s="1"/>
  <c r="D68" i="16"/>
  <c r="D92" i="16" s="1"/>
  <c r="G67" i="16"/>
  <c r="G91" i="16" s="1"/>
  <c r="F67" i="16"/>
  <c r="F91" i="16" s="1"/>
  <c r="E67" i="16"/>
  <c r="E91" i="16" s="1"/>
  <c r="D67" i="16"/>
  <c r="D91" i="16" s="1"/>
  <c r="G56" i="16"/>
  <c r="F56" i="16"/>
  <c r="E56" i="16"/>
  <c r="D56" i="16"/>
  <c r="G55" i="16"/>
  <c r="F55" i="16"/>
  <c r="E55" i="16"/>
  <c r="D55" i="16"/>
  <c r="G54" i="16"/>
  <c r="F54" i="16"/>
  <c r="E54" i="16"/>
  <c r="D54" i="16"/>
  <c r="G51" i="16"/>
  <c r="F51" i="16"/>
  <c r="E51" i="16"/>
  <c r="D51" i="16"/>
  <c r="G50" i="16"/>
  <c r="F50" i="16"/>
  <c r="E50" i="16"/>
  <c r="D50" i="16"/>
  <c r="G49" i="16"/>
  <c r="F49" i="16"/>
  <c r="E49" i="16"/>
  <c r="D49" i="16"/>
  <c r="G44" i="16"/>
  <c r="F44" i="16"/>
  <c r="E44" i="16"/>
  <c r="D44" i="16"/>
  <c r="G35" i="16"/>
  <c r="F35" i="16"/>
  <c r="E35" i="16"/>
  <c r="D35" i="16"/>
  <c r="G33" i="16"/>
  <c r="F33" i="16"/>
  <c r="E33" i="16"/>
  <c r="D33" i="16"/>
  <c r="G31" i="16"/>
  <c r="F31" i="16"/>
  <c r="E31" i="16"/>
  <c r="D31" i="16"/>
  <c r="G29" i="16"/>
  <c r="F29" i="16"/>
  <c r="E29" i="16"/>
  <c r="D29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G14" i="16"/>
  <c r="F14" i="16"/>
  <c r="E14" i="16"/>
  <c r="G13" i="16"/>
  <c r="F13" i="16"/>
  <c r="E13" i="16"/>
  <c r="G12" i="16"/>
  <c r="F12" i="16"/>
  <c r="E12" i="16"/>
  <c r="G11" i="16"/>
  <c r="F11" i="16"/>
  <c r="E11" i="16"/>
  <c r="G9" i="16"/>
  <c r="F9" i="16"/>
  <c r="E9" i="16"/>
  <c r="O263" i="2"/>
  <c r="P196" i="2"/>
  <c r="O129" i="2"/>
  <c r="O134" i="2"/>
  <c r="O139" i="2"/>
  <c r="O144" i="2"/>
  <c r="O145" i="2"/>
  <c r="O146" i="2"/>
  <c r="O147" i="2"/>
  <c r="O148" i="2"/>
  <c r="P116" i="2"/>
  <c r="P115" i="2"/>
  <c r="P114" i="2"/>
  <c r="P113" i="2"/>
  <c r="P86" i="2"/>
  <c r="P75" i="2"/>
  <c r="P80" i="2"/>
  <c r="N88" i="2"/>
  <c r="O88" i="2"/>
  <c r="O89" i="2" s="1"/>
  <c r="O70" i="2"/>
  <c r="O71" i="2" s="1"/>
  <c r="O91" i="2"/>
  <c r="O256" i="2" s="1"/>
  <c r="O76" i="2"/>
  <c r="O77" i="2" s="1"/>
  <c r="O90" i="2"/>
  <c r="O82" i="2"/>
  <c r="O92" i="2"/>
  <c r="O93" i="2"/>
  <c r="E263" i="16" l="1"/>
  <c r="G263" i="16"/>
  <c r="D236" i="16"/>
  <c r="F263" i="16"/>
  <c r="G236" i="16"/>
  <c r="G95" i="16"/>
  <c r="F236" i="16"/>
  <c r="F94" i="16"/>
  <c r="F95" i="16" s="1"/>
  <c r="E236" i="16"/>
  <c r="E94" i="16"/>
  <c r="E95" i="16" s="1"/>
  <c r="D263" i="16"/>
  <c r="D94" i="16"/>
  <c r="D95" i="16" s="1"/>
  <c r="D149" i="16"/>
  <c r="E149" i="16"/>
  <c r="F149" i="16"/>
  <c r="G149" i="16"/>
  <c r="F129" i="16"/>
  <c r="G129" i="16"/>
  <c r="D129" i="16"/>
  <c r="E129" i="16"/>
  <c r="O149" i="2"/>
  <c r="O94" i="2"/>
  <c r="O95" i="2" s="1"/>
  <c r="O255" i="2" s="1"/>
  <c r="O83" i="2"/>
  <c r="P262" i="3" l="1"/>
  <c r="P261" i="3"/>
  <c r="O263" i="3"/>
  <c r="P196" i="3"/>
  <c r="O129" i="3"/>
  <c r="O134" i="3"/>
  <c r="O139" i="3"/>
  <c r="O144" i="3"/>
  <c r="O145" i="3"/>
  <c r="O146" i="3"/>
  <c r="O147" i="3"/>
  <c r="O148" i="3"/>
  <c r="P116" i="3"/>
  <c r="P115" i="3"/>
  <c r="P114" i="3"/>
  <c r="P113" i="3"/>
  <c r="P80" i="3"/>
  <c r="P75" i="3"/>
  <c r="P86" i="3"/>
  <c r="O70" i="3"/>
  <c r="O71" i="3" s="1"/>
  <c r="O76" i="3"/>
  <c r="O77" i="3" s="1"/>
  <c r="O82" i="3"/>
  <c r="O83" i="3" s="1"/>
  <c r="O88" i="3"/>
  <c r="O89" i="3" s="1"/>
  <c r="O90" i="3"/>
  <c r="O91" i="3"/>
  <c r="O256" i="3" s="1"/>
  <c r="O92" i="3"/>
  <c r="O93" i="3"/>
  <c r="P262" i="4"/>
  <c r="P261" i="4"/>
  <c r="O263" i="4"/>
  <c r="O129" i="4"/>
  <c r="O134" i="4"/>
  <c r="O139" i="4"/>
  <c r="O144" i="4"/>
  <c r="O145" i="4"/>
  <c r="O146" i="4"/>
  <c r="O147" i="4"/>
  <c r="O148" i="4"/>
  <c r="P116" i="4"/>
  <c r="P115" i="4"/>
  <c r="P114" i="4"/>
  <c r="P113" i="4"/>
  <c r="O117" i="4"/>
  <c r="P75" i="4"/>
  <c r="P80" i="4"/>
  <c r="O90" i="4"/>
  <c r="O91" i="4"/>
  <c r="O256" i="4" s="1"/>
  <c r="O92" i="4"/>
  <c r="O93" i="4"/>
  <c r="N90" i="4"/>
  <c r="N89" i="4"/>
  <c r="O89" i="4"/>
  <c r="N82" i="4"/>
  <c r="N83" i="4" s="1"/>
  <c r="O82" i="4"/>
  <c r="O83" i="4" s="1"/>
  <c r="O70" i="4"/>
  <c r="O71" i="4" s="1"/>
  <c r="O76" i="4"/>
  <c r="P263" i="3" l="1"/>
  <c r="P263" i="4"/>
  <c r="O94" i="3"/>
  <c r="O95" i="3" s="1"/>
  <c r="O255" i="3" s="1"/>
  <c r="O149" i="3"/>
  <c r="O149" i="4"/>
  <c r="O94" i="4"/>
  <c r="O95" i="4" s="1"/>
  <c r="O255" i="4" s="1"/>
  <c r="O77" i="4"/>
  <c r="P262" i="2" l="1"/>
  <c r="P261" i="2"/>
  <c r="P263" i="2" l="1"/>
  <c r="O117" i="3" l="1"/>
  <c r="M92" i="4" l="1"/>
  <c r="N92" i="4"/>
  <c r="L92" i="4"/>
  <c r="N93" i="4"/>
  <c r="N93" i="1"/>
  <c r="N263" i="3" l="1"/>
  <c r="N129" i="3"/>
  <c r="N134" i="3"/>
  <c r="N139" i="3"/>
  <c r="N144" i="3"/>
  <c r="N145" i="3"/>
  <c r="N146" i="3"/>
  <c r="N147" i="3"/>
  <c r="N148" i="3"/>
  <c r="N117" i="3"/>
  <c r="N70" i="3"/>
  <c r="N71" i="3" s="1"/>
  <c r="N77" i="3"/>
  <c r="N82" i="3"/>
  <c r="N83" i="3" s="1"/>
  <c r="N88" i="3"/>
  <c r="N89" i="3" s="1"/>
  <c r="N90" i="3"/>
  <c r="N91" i="3"/>
  <c r="N256" i="3" s="1"/>
  <c r="N92" i="3"/>
  <c r="N93" i="3"/>
  <c r="N94" i="3" l="1"/>
  <c r="N95" i="3" s="1"/>
  <c r="N255" i="3" s="1"/>
  <c r="N149" i="3"/>
  <c r="N263" i="4" l="1"/>
  <c r="N144" i="4" l="1"/>
  <c r="N145" i="4"/>
  <c r="N146" i="4"/>
  <c r="N147" i="4"/>
  <c r="N148" i="4"/>
  <c r="N129" i="4"/>
  <c r="N134" i="4"/>
  <c r="N139" i="4"/>
  <c r="N149" i="4" l="1"/>
  <c r="N263" i="2" l="1"/>
  <c r="N129" i="2"/>
  <c r="N134" i="2"/>
  <c r="N139" i="2"/>
  <c r="N144" i="2"/>
  <c r="N145" i="2"/>
  <c r="N146" i="2"/>
  <c r="N147" i="2"/>
  <c r="N148" i="2"/>
  <c r="N149" i="2" l="1"/>
  <c r="N117" i="1" l="1"/>
  <c r="N46" i="11"/>
  <c r="M263" i="4" l="1"/>
  <c r="M129" i="4"/>
  <c r="M134" i="4"/>
  <c r="M139" i="4"/>
  <c r="M144" i="4"/>
  <c r="M145" i="4"/>
  <c r="M146" i="4"/>
  <c r="M147" i="4"/>
  <c r="M148" i="4"/>
  <c r="M117" i="4"/>
  <c r="M70" i="4"/>
  <c r="M71" i="4" s="1"/>
  <c r="M76" i="4"/>
  <c r="M77" i="4" s="1"/>
  <c r="M82" i="4"/>
  <c r="M83" i="4" s="1"/>
  <c r="M89" i="4"/>
  <c r="M90" i="4"/>
  <c r="M91" i="4"/>
  <c r="M256" i="4" s="1"/>
  <c r="M93" i="4"/>
  <c r="M94" i="4" s="1"/>
  <c r="G46" i="16"/>
  <c r="M149" i="4" l="1"/>
  <c r="M95" i="4"/>
  <c r="M255" i="4" s="1"/>
  <c r="M263" i="3" l="1"/>
  <c r="M129" i="3"/>
  <c r="M134" i="3"/>
  <c r="M139" i="3"/>
  <c r="M144" i="3"/>
  <c r="M145" i="3"/>
  <c r="M146" i="3"/>
  <c r="M147" i="3"/>
  <c r="M148" i="3"/>
  <c r="M117" i="3"/>
  <c r="M70" i="3"/>
  <c r="M71" i="3" s="1"/>
  <c r="M76" i="3"/>
  <c r="M77" i="3" s="1"/>
  <c r="M82" i="3"/>
  <c r="M83" i="3" s="1"/>
  <c r="M88" i="3"/>
  <c r="M89" i="3" s="1"/>
  <c r="M90" i="3"/>
  <c r="M91" i="3"/>
  <c r="M256" i="3" s="1"/>
  <c r="F256" i="16" s="1"/>
  <c r="M92" i="3"/>
  <c r="M93" i="3"/>
  <c r="F46" i="16"/>
  <c r="M263" i="2"/>
  <c r="M129" i="2"/>
  <c r="M134" i="2"/>
  <c r="M139" i="2"/>
  <c r="M144" i="2"/>
  <c r="M145" i="2"/>
  <c r="M146" i="2"/>
  <c r="M147" i="2"/>
  <c r="M148" i="2"/>
  <c r="M117" i="2"/>
  <c r="M88" i="2"/>
  <c r="M94" i="3" l="1"/>
  <c r="M95" i="3" s="1"/>
  <c r="M255" i="3" s="1"/>
  <c r="F255" i="16" s="1"/>
  <c r="M149" i="3"/>
  <c r="M149" i="2"/>
  <c r="L90" i="2"/>
  <c r="M90" i="2"/>
  <c r="N90" i="2"/>
  <c r="L91" i="2"/>
  <c r="M91" i="2"/>
  <c r="M256" i="2" s="1"/>
  <c r="N91" i="2"/>
  <c r="N256" i="2" s="1"/>
  <c r="L92" i="2"/>
  <c r="M92" i="2"/>
  <c r="N92" i="2"/>
  <c r="L93" i="2"/>
  <c r="M93" i="2"/>
  <c r="N93" i="2"/>
  <c r="M89" i="2"/>
  <c r="N89" i="2"/>
  <c r="E46" i="16"/>
  <c r="E256" i="16" l="1"/>
  <c r="L94" i="2"/>
  <c r="L95" i="2" s="1"/>
  <c r="N94" i="2"/>
  <c r="N95" i="2" s="1"/>
  <c r="N255" i="2" s="1"/>
  <c r="M94" i="2"/>
  <c r="M95" i="2" s="1"/>
  <c r="M255" i="2" s="1"/>
  <c r="E255" i="16" l="1"/>
  <c r="M144" i="1"/>
  <c r="N144" i="1"/>
  <c r="O144" i="1" s="1"/>
  <c r="M145" i="1"/>
  <c r="N145" i="1"/>
  <c r="O145" i="1"/>
  <c r="M146" i="1"/>
  <c r="N146" i="1"/>
  <c r="O146" i="1"/>
  <c r="M147" i="1"/>
  <c r="N147" i="1"/>
  <c r="M148" i="1"/>
  <c r="N148" i="1"/>
  <c r="O148" i="1"/>
  <c r="M139" i="1"/>
  <c r="N139" i="1"/>
  <c r="O139" i="1"/>
  <c r="M134" i="1"/>
  <c r="N134" i="1"/>
  <c r="O134" i="1"/>
  <c r="M129" i="1"/>
  <c r="N129" i="1"/>
  <c r="O129" i="1"/>
  <c r="M117" i="1"/>
  <c r="M90" i="1"/>
  <c r="M91" i="1"/>
  <c r="M256" i="1" s="1"/>
  <c r="M92" i="1"/>
  <c r="M93" i="1"/>
  <c r="M88" i="1"/>
  <c r="M89" i="1" s="1"/>
  <c r="M94" i="1" l="1"/>
  <c r="M95" i="1" s="1"/>
  <c r="M255" i="1" s="1"/>
  <c r="O147" i="1"/>
  <c r="O149" i="1" s="1"/>
  <c r="N149" i="1"/>
  <c r="M149" i="1"/>
  <c r="D46" i="16" l="1"/>
  <c r="M46" i="11"/>
  <c r="L263" i="4"/>
  <c r="L129" i="4"/>
  <c r="L134" i="4"/>
  <c r="L139" i="4"/>
  <c r="L144" i="4"/>
  <c r="L148" i="4"/>
  <c r="L149" i="4" l="1"/>
  <c r="L70" i="4" l="1"/>
  <c r="L71" i="4"/>
  <c r="L76" i="4"/>
  <c r="L77" i="4" s="1"/>
  <c r="L82" i="4"/>
  <c r="L83" i="4" s="1"/>
  <c r="L89" i="4"/>
  <c r="L90" i="4"/>
  <c r="L91" i="4"/>
  <c r="L256" i="4" s="1"/>
  <c r="L93" i="4"/>
  <c r="L94" i="4" s="1"/>
  <c r="E46" i="4"/>
  <c r="F46" i="4"/>
  <c r="G46" i="4"/>
  <c r="D46" i="4"/>
  <c r="L95" i="4" l="1"/>
  <c r="L255" i="4" s="1"/>
  <c r="L263" i="3" l="1"/>
  <c r="L129" i="3"/>
  <c r="L134" i="3"/>
  <c r="L139" i="3"/>
  <c r="L144" i="3"/>
  <c r="L145" i="3"/>
  <c r="L146" i="3"/>
  <c r="L147" i="3"/>
  <c r="L148" i="3"/>
  <c r="L117" i="3"/>
  <c r="L70" i="3"/>
  <c r="L71" i="3" s="1"/>
  <c r="L76" i="3"/>
  <c r="L77" i="3" s="1"/>
  <c r="L82" i="3"/>
  <c r="L83" i="3"/>
  <c r="L88" i="3"/>
  <c r="L89" i="3" s="1"/>
  <c r="L90" i="3"/>
  <c r="L91" i="3"/>
  <c r="L256" i="3" s="1"/>
  <c r="L92" i="3"/>
  <c r="L93" i="3"/>
  <c r="E46" i="3"/>
  <c r="F46" i="3"/>
  <c r="G46" i="3"/>
  <c r="D46" i="3"/>
  <c r="L94" i="3" l="1"/>
  <c r="L95" i="3" s="1"/>
  <c r="L255" i="3" s="1"/>
  <c r="L149" i="3"/>
  <c r="L263" i="2" l="1"/>
  <c r="L255" i="2"/>
  <c r="L256" i="2"/>
  <c r="L129" i="2"/>
  <c r="L134" i="2"/>
  <c r="L139" i="2"/>
  <c r="L144" i="2"/>
  <c r="L145" i="2"/>
  <c r="L146" i="2"/>
  <c r="L147" i="2"/>
  <c r="L148" i="2"/>
  <c r="L149" i="2" l="1"/>
  <c r="E46" i="1" l="1"/>
  <c r="F46" i="1"/>
  <c r="G46" i="1"/>
  <c r="I46" i="11"/>
  <c r="J46" i="11"/>
  <c r="K46" i="11"/>
  <c r="L46" i="11"/>
  <c r="D46" i="1"/>
  <c r="E46" i="2"/>
  <c r="F46" i="2"/>
  <c r="G46" i="2"/>
  <c r="D46" i="2"/>
  <c r="L70" i="2"/>
  <c r="L71" i="2" s="1"/>
  <c r="L76" i="2"/>
  <c r="L77" i="2" s="1"/>
  <c r="L82" i="2"/>
  <c r="L83" i="2" s="1"/>
  <c r="L88" i="2"/>
  <c r="L89" i="2" s="1"/>
  <c r="H46" i="11" l="1"/>
  <c r="G46" i="11"/>
  <c r="F46" i="11"/>
  <c r="D46" i="11"/>
  <c r="E46" i="11"/>
  <c r="L129" i="1"/>
  <c r="L134" i="1"/>
  <c r="L139" i="1"/>
  <c r="L144" i="1"/>
  <c r="L145" i="1"/>
  <c r="L146" i="1"/>
  <c r="L147" i="1"/>
  <c r="L148" i="1"/>
  <c r="L149" i="1" l="1"/>
  <c r="L70" i="1" l="1"/>
  <c r="L71" i="1" s="1"/>
  <c r="L82" i="1"/>
  <c r="L83" i="1" s="1"/>
  <c r="L88" i="1"/>
  <c r="L89" i="1" s="1"/>
  <c r="L90" i="1"/>
  <c r="L91" i="1"/>
  <c r="L256" i="1" s="1"/>
  <c r="L92" i="1"/>
  <c r="L93" i="1"/>
  <c r="L94" i="1" l="1"/>
  <c r="L95" i="1" s="1"/>
  <c r="L255" i="1" s="1"/>
  <c r="K263" i="2" l="1"/>
  <c r="K263" i="3" l="1"/>
  <c r="K129" i="3"/>
  <c r="K134" i="3"/>
  <c r="K139" i="3"/>
  <c r="K144" i="3"/>
  <c r="K145" i="3"/>
  <c r="K146" i="3"/>
  <c r="K147" i="3"/>
  <c r="K148" i="3"/>
  <c r="K117" i="3"/>
  <c r="K70" i="3"/>
  <c r="K71" i="3" s="1"/>
  <c r="K76" i="3"/>
  <c r="K77" i="3" s="1"/>
  <c r="K82" i="3"/>
  <c r="K83" i="3"/>
  <c r="K88" i="3"/>
  <c r="K89" i="3" s="1"/>
  <c r="K90" i="3"/>
  <c r="K91" i="3"/>
  <c r="K256" i="3" s="1"/>
  <c r="K92" i="3"/>
  <c r="K93" i="3"/>
  <c r="K149" i="3" l="1"/>
  <c r="K94" i="3"/>
  <c r="K95" i="3" s="1"/>
  <c r="K255" i="3" s="1"/>
  <c r="K263" i="4" l="1"/>
  <c r="K129" i="4"/>
  <c r="K134" i="4"/>
  <c r="K139" i="4"/>
  <c r="K144" i="4"/>
  <c r="K146" i="4"/>
  <c r="K147" i="4"/>
  <c r="K148" i="4"/>
  <c r="K117" i="4"/>
  <c r="K70" i="4"/>
  <c r="K71" i="4" s="1"/>
  <c r="K76" i="4"/>
  <c r="K77" i="4"/>
  <c r="K82" i="4"/>
  <c r="K83" i="4" s="1"/>
  <c r="K89" i="4"/>
  <c r="K90" i="4"/>
  <c r="K91" i="4"/>
  <c r="K256" i="4" s="1"/>
  <c r="K92" i="4"/>
  <c r="K93" i="4"/>
  <c r="K94" i="4" l="1"/>
  <c r="K95" i="4" s="1"/>
  <c r="K255" i="4" s="1"/>
  <c r="K149" i="4"/>
  <c r="K129" i="2" l="1"/>
  <c r="K134" i="2"/>
  <c r="K139" i="2"/>
  <c r="K144" i="2"/>
  <c r="K145" i="2"/>
  <c r="K146" i="2"/>
  <c r="K147" i="2"/>
  <c r="K148" i="2"/>
  <c r="K117" i="2"/>
  <c r="K149" i="2" l="1"/>
  <c r="K70" i="2"/>
  <c r="K71" i="2" s="1"/>
  <c r="K76" i="2"/>
  <c r="K77" i="2" s="1"/>
  <c r="K82" i="2"/>
  <c r="K83" i="2" s="1"/>
  <c r="K88" i="2"/>
  <c r="K89" i="2" s="1"/>
  <c r="K90" i="2"/>
  <c r="K91" i="2"/>
  <c r="K256" i="2" s="1"/>
  <c r="K92" i="2"/>
  <c r="K93" i="2"/>
  <c r="K94" i="2" l="1"/>
  <c r="K95" i="2" s="1"/>
  <c r="K255" i="2" s="1"/>
  <c r="K229" i="1" l="1"/>
  <c r="K129" i="1"/>
  <c r="K134" i="1"/>
  <c r="K139" i="1"/>
  <c r="K144" i="1"/>
  <c r="K145" i="1"/>
  <c r="K146" i="1"/>
  <c r="K147" i="1"/>
  <c r="K148" i="1"/>
  <c r="K149" i="1" l="1"/>
  <c r="K117" i="1" l="1"/>
  <c r="K90" i="1"/>
  <c r="K91" i="1"/>
  <c r="K256" i="1" s="1"/>
  <c r="K92" i="1"/>
  <c r="K93" i="1"/>
  <c r="K88" i="1"/>
  <c r="K89" i="1" s="1"/>
  <c r="K82" i="1"/>
  <c r="K83" i="1" s="1"/>
  <c r="K94" i="1" l="1"/>
  <c r="K95" i="1" s="1"/>
  <c r="K255" i="1" s="1"/>
  <c r="G122" i="15" l="1"/>
  <c r="F122" i="15"/>
  <c r="E122" i="15"/>
  <c r="D122" i="15"/>
  <c r="G121" i="15"/>
  <c r="F121" i="15"/>
  <c r="E121" i="15"/>
  <c r="D121" i="15"/>
  <c r="G116" i="15"/>
  <c r="F116" i="15"/>
  <c r="E116" i="15"/>
  <c r="D116" i="15"/>
  <c r="G115" i="15"/>
  <c r="F115" i="15"/>
  <c r="E115" i="15"/>
  <c r="D115" i="15"/>
  <c r="G114" i="15"/>
  <c r="F114" i="15"/>
  <c r="E114" i="15"/>
  <c r="D114" i="15"/>
  <c r="G113" i="15"/>
  <c r="F113" i="15"/>
  <c r="E113" i="15"/>
  <c r="D113" i="15"/>
  <c r="G110" i="15"/>
  <c r="F110" i="15"/>
  <c r="E110" i="15"/>
  <c r="D110" i="15"/>
  <c r="G109" i="15"/>
  <c r="F109" i="15"/>
  <c r="E109" i="15"/>
  <c r="D109" i="15"/>
  <c r="G108" i="15"/>
  <c r="F108" i="15"/>
  <c r="E108" i="15"/>
  <c r="D108" i="15"/>
  <c r="G107" i="15"/>
  <c r="F107" i="15"/>
  <c r="E107" i="15"/>
  <c r="D107" i="15"/>
  <c r="G104" i="15"/>
  <c r="F104" i="15"/>
  <c r="E104" i="15"/>
  <c r="D104" i="15"/>
  <c r="G103" i="15"/>
  <c r="F103" i="15"/>
  <c r="E103" i="15"/>
  <c r="D103" i="15"/>
  <c r="G102" i="15"/>
  <c r="F102" i="15"/>
  <c r="E102" i="15"/>
  <c r="D102" i="15"/>
  <c r="G101" i="15"/>
  <c r="F101" i="15"/>
  <c r="E101" i="15"/>
  <c r="D101" i="15"/>
  <c r="G140" i="15"/>
  <c r="F140" i="15"/>
  <c r="E140" i="15"/>
  <c r="D140" i="15"/>
  <c r="G135" i="15"/>
  <c r="F135" i="15"/>
  <c r="E135" i="15"/>
  <c r="D135" i="15"/>
  <c r="G130" i="15"/>
  <c r="F130" i="15"/>
  <c r="E130" i="15"/>
  <c r="D130" i="15"/>
  <c r="G125" i="15"/>
  <c r="F125" i="15"/>
  <c r="E125" i="15"/>
  <c r="D125" i="15"/>
  <c r="G84" i="15"/>
  <c r="F84" i="15"/>
  <c r="E84" i="15"/>
  <c r="D84" i="15"/>
  <c r="G78" i="15"/>
  <c r="F78" i="15"/>
  <c r="E78" i="15"/>
  <c r="D78" i="15"/>
  <c r="G72" i="15"/>
  <c r="F72" i="15"/>
  <c r="E72" i="15"/>
  <c r="D72" i="15"/>
  <c r="G66" i="15"/>
  <c r="F66" i="15"/>
  <c r="E66" i="15"/>
  <c r="D66" i="15"/>
  <c r="G262" i="15"/>
  <c r="F262" i="15"/>
  <c r="E262" i="15"/>
  <c r="D262" i="15"/>
  <c r="G261" i="15"/>
  <c r="F261" i="15"/>
  <c r="E261" i="15"/>
  <c r="D261" i="15"/>
  <c r="G257" i="15"/>
  <c r="F257" i="15"/>
  <c r="E257" i="15"/>
  <c r="D257" i="15"/>
  <c r="G254" i="15"/>
  <c r="F254" i="15"/>
  <c r="E254" i="15"/>
  <c r="D254" i="15"/>
  <c r="G253" i="15"/>
  <c r="F253" i="15"/>
  <c r="E253" i="15"/>
  <c r="D253" i="15"/>
  <c r="G246" i="15"/>
  <c r="F246" i="15"/>
  <c r="E246" i="15"/>
  <c r="D246" i="15"/>
  <c r="G245" i="15"/>
  <c r="F245" i="15"/>
  <c r="E245" i="15"/>
  <c r="D245" i="15"/>
  <c r="G241" i="15"/>
  <c r="F241" i="15"/>
  <c r="E241" i="15"/>
  <c r="D241" i="15"/>
  <c r="G240" i="15"/>
  <c r="F240" i="15"/>
  <c r="E240" i="15"/>
  <c r="D240" i="15"/>
  <c r="G239" i="15"/>
  <c r="F239" i="15"/>
  <c r="E239" i="15"/>
  <c r="D239" i="15"/>
  <c r="G238" i="15"/>
  <c r="F238" i="15"/>
  <c r="E238" i="15"/>
  <c r="D238" i="15"/>
  <c r="G235" i="15"/>
  <c r="F235" i="15"/>
  <c r="E235" i="15"/>
  <c r="D235" i="15"/>
  <c r="G234" i="15"/>
  <c r="F234" i="15"/>
  <c r="E234" i="15"/>
  <c r="D234" i="15"/>
  <c r="G233" i="15"/>
  <c r="E233" i="15"/>
  <c r="D233" i="15"/>
  <c r="G232" i="15"/>
  <c r="F232" i="15"/>
  <c r="E232" i="15"/>
  <c r="D232" i="15"/>
  <c r="G228" i="15"/>
  <c r="F228" i="15"/>
  <c r="E228" i="15"/>
  <c r="D228" i="15"/>
  <c r="G227" i="15"/>
  <c r="F227" i="15"/>
  <c r="E227" i="15"/>
  <c r="D227" i="15"/>
  <c r="G226" i="15"/>
  <c r="F226" i="15"/>
  <c r="E226" i="15"/>
  <c r="D226" i="15"/>
  <c r="G225" i="15"/>
  <c r="F225" i="15"/>
  <c r="E225" i="15"/>
  <c r="D225" i="15"/>
  <c r="G222" i="15"/>
  <c r="F222" i="15"/>
  <c r="E222" i="15"/>
  <c r="D222" i="15"/>
  <c r="G221" i="15"/>
  <c r="F221" i="15"/>
  <c r="E221" i="15"/>
  <c r="D221" i="15"/>
  <c r="G220" i="15"/>
  <c r="F220" i="15"/>
  <c r="E220" i="15"/>
  <c r="D220" i="15"/>
  <c r="G219" i="15"/>
  <c r="F219" i="15"/>
  <c r="E219" i="15"/>
  <c r="D219" i="15"/>
  <c r="G215" i="15"/>
  <c r="F215" i="15"/>
  <c r="E215" i="15"/>
  <c r="D215" i="15"/>
  <c r="G214" i="15"/>
  <c r="F214" i="15"/>
  <c r="E214" i="15"/>
  <c r="D214" i="15"/>
  <c r="G213" i="15"/>
  <c r="F213" i="15"/>
  <c r="E213" i="15"/>
  <c r="D213" i="15"/>
  <c r="G212" i="15"/>
  <c r="F212" i="15"/>
  <c r="E212" i="15"/>
  <c r="D212" i="15"/>
  <c r="G209" i="15"/>
  <c r="F209" i="15"/>
  <c r="E209" i="15"/>
  <c r="D209" i="15"/>
  <c r="G208" i="15"/>
  <c r="F208" i="15"/>
  <c r="E208" i="15"/>
  <c r="D208" i="15"/>
  <c r="G207" i="15"/>
  <c r="F207" i="15"/>
  <c r="E207" i="15"/>
  <c r="D207" i="15"/>
  <c r="G206" i="15"/>
  <c r="F206" i="15"/>
  <c r="E206" i="15"/>
  <c r="D206" i="15"/>
  <c r="G203" i="15"/>
  <c r="F203" i="15"/>
  <c r="D203" i="15"/>
  <c r="G202" i="15"/>
  <c r="F202" i="15"/>
  <c r="D202" i="15"/>
  <c r="G201" i="15"/>
  <c r="F201" i="15"/>
  <c r="D201" i="15"/>
  <c r="G200" i="15"/>
  <c r="F200" i="15"/>
  <c r="D200" i="15"/>
  <c r="G199" i="15"/>
  <c r="F199" i="15"/>
  <c r="E199" i="15"/>
  <c r="D199" i="15"/>
  <c r="G197" i="15"/>
  <c r="F197" i="15"/>
  <c r="E197" i="15"/>
  <c r="D197" i="15"/>
  <c r="G196" i="15"/>
  <c r="F196" i="15"/>
  <c r="E196" i="15"/>
  <c r="D196" i="15"/>
  <c r="G195" i="15"/>
  <c r="F195" i="15"/>
  <c r="E195" i="15"/>
  <c r="D195" i="15"/>
  <c r="G194" i="15"/>
  <c r="F194" i="15"/>
  <c r="E194" i="15"/>
  <c r="D194" i="15"/>
  <c r="G192" i="15"/>
  <c r="F192" i="15"/>
  <c r="E192" i="15"/>
  <c r="D192" i="15"/>
  <c r="G191" i="15"/>
  <c r="F191" i="15"/>
  <c r="E191" i="15"/>
  <c r="D191" i="15"/>
  <c r="G190" i="15"/>
  <c r="F190" i="15"/>
  <c r="E190" i="15"/>
  <c r="D190" i="15"/>
  <c r="G189" i="15"/>
  <c r="F189" i="15"/>
  <c r="E189" i="15"/>
  <c r="D189" i="15"/>
  <c r="G187" i="15"/>
  <c r="F187" i="15"/>
  <c r="E187" i="15"/>
  <c r="D187" i="15"/>
  <c r="G186" i="15"/>
  <c r="F186" i="15"/>
  <c r="E186" i="15"/>
  <c r="D186" i="15"/>
  <c r="G185" i="15"/>
  <c r="F185" i="15"/>
  <c r="E185" i="15"/>
  <c r="D185" i="15"/>
  <c r="G184" i="15"/>
  <c r="F184" i="15"/>
  <c r="E184" i="15"/>
  <c r="D184" i="15"/>
  <c r="G182" i="15"/>
  <c r="F182" i="15"/>
  <c r="E182" i="15"/>
  <c r="D182" i="15"/>
  <c r="G181" i="15"/>
  <c r="F181" i="15"/>
  <c r="E181" i="15"/>
  <c r="D181" i="15"/>
  <c r="G180" i="15"/>
  <c r="F180" i="15"/>
  <c r="E180" i="15"/>
  <c r="D180" i="15"/>
  <c r="G179" i="15"/>
  <c r="F179" i="15"/>
  <c r="E179" i="15"/>
  <c r="D179" i="15"/>
  <c r="G178" i="15"/>
  <c r="F178" i="15"/>
  <c r="E178" i="15"/>
  <c r="D178" i="15"/>
  <c r="G177" i="15"/>
  <c r="F177" i="15"/>
  <c r="E177" i="15"/>
  <c r="D177" i="15"/>
  <c r="G175" i="15"/>
  <c r="F175" i="15"/>
  <c r="E175" i="15"/>
  <c r="D175" i="15"/>
  <c r="G174" i="15"/>
  <c r="F174" i="15"/>
  <c r="E174" i="15"/>
  <c r="D174" i="15"/>
  <c r="G173" i="15"/>
  <c r="F173" i="15"/>
  <c r="E173" i="15"/>
  <c r="D173" i="15"/>
  <c r="G172" i="15"/>
  <c r="F172" i="15"/>
  <c r="E172" i="15"/>
  <c r="D172" i="15"/>
  <c r="G171" i="15"/>
  <c r="F171" i="15"/>
  <c r="E171" i="15"/>
  <c r="D171" i="15"/>
  <c r="G170" i="15"/>
  <c r="F170" i="15"/>
  <c r="E170" i="15"/>
  <c r="D170" i="15"/>
  <c r="G169" i="15"/>
  <c r="F169" i="15"/>
  <c r="E169" i="15"/>
  <c r="D169" i="15"/>
  <c r="G168" i="15"/>
  <c r="F168" i="15"/>
  <c r="E168" i="15"/>
  <c r="D168" i="15"/>
  <c r="G167" i="15"/>
  <c r="F167" i="15"/>
  <c r="E167" i="15"/>
  <c r="D167" i="15"/>
  <c r="G165" i="15"/>
  <c r="F165" i="15"/>
  <c r="E165" i="15"/>
  <c r="D165" i="15"/>
  <c r="G164" i="15"/>
  <c r="F164" i="15"/>
  <c r="E164" i="15"/>
  <c r="D164" i="15"/>
  <c r="G163" i="15"/>
  <c r="F163" i="15"/>
  <c r="E163" i="15"/>
  <c r="D163" i="15"/>
  <c r="G162" i="15"/>
  <c r="F162" i="15"/>
  <c r="E162" i="15"/>
  <c r="D162" i="15"/>
  <c r="G161" i="15"/>
  <c r="F161" i="15"/>
  <c r="E161" i="15"/>
  <c r="D161" i="15"/>
  <c r="G160" i="15"/>
  <c r="F160" i="15"/>
  <c r="E160" i="15"/>
  <c r="D160" i="15"/>
  <c r="G159" i="15"/>
  <c r="F159" i="15"/>
  <c r="E159" i="15"/>
  <c r="D159" i="15"/>
  <c r="G158" i="15"/>
  <c r="F158" i="15"/>
  <c r="E158" i="15"/>
  <c r="D158" i="15"/>
  <c r="G157" i="15"/>
  <c r="F157" i="15"/>
  <c r="E157" i="15"/>
  <c r="D157" i="15"/>
  <c r="G156" i="15"/>
  <c r="F156" i="15"/>
  <c r="E156" i="15"/>
  <c r="D156" i="15"/>
  <c r="G155" i="15"/>
  <c r="F155" i="15"/>
  <c r="E155" i="15"/>
  <c r="D155" i="15"/>
  <c r="G154" i="15"/>
  <c r="F154" i="15"/>
  <c r="E154" i="15"/>
  <c r="D154" i="15"/>
  <c r="G153" i="15"/>
  <c r="F153" i="15"/>
  <c r="E153" i="15"/>
  <c r="D153" i="15"/>
  <c r="G143" i="15"/>
  <c r="F143" i="15"/>
  <c r="E143" i="15"/>
  <c r="D143" i="15"/>
  <c r="G142" i="15"/>
  <c r="F142" i="15"/>
  <c r="E142" i="15"/>
  <c r="D142" i="15"/>
  <c r="G141" i="15"/>
  <c r="F141" i="15"/>
  <c r="E141" i="15"/>
  <c r="D141" i="15"/>
  <c r="G138" i="15"/>
  <c r="F138" i="15"/>
  <c r="E138" i="15"/>
  <c r="D138" i="15"/>
  <c r="G137" i="15"/>
  <c r="F137" i="15"/>
  <c r="E137" i="15"/>
  <c r="D137" i="15"/>
  <c r="G136" i="15"/>
  <c r="F136" i="15"/>
  <c r="E136" i="15"/>
  <c r="D136" i="15"/>
  <c r="G133" i="15"/>
  <c r="F133" i="15"/>
  <c r="E133" i="15"/>
  <c r="D133" i="15"/>
  <c r="G132" i="15"/>
  <c r="F132" i="15"/>
  <c r="E132" i="15"/>
  <c r="D132" i="15"/>
  <c r="G131" i="15"/>
  <c r="F131" i="15"/>
  <c r="E131" i="15"/>
  <c r="D131" i="15"/>
  <c r="G128" i="15"/>
  <c r="F128" i="15"/>
  <c r="E128" i="15"/>
  <c r="D128" i="15"/>
  <c r="G127" i="15"/>
  <c r="F127" i="15"/>
  <c r="E127" i="15"/>
  <c r="D127" i="15"/>
  <c r="G126" i="15"/>
  <c r="F126" i="15"/>
  <c r="E126" i="15"/>
  <c r="D126" i="15"/>
  <c r="G98" i="15"/>
  <c r="F98" i="15"/>
  <c r="E98" i="15"/>
  <c r="D98" i="15"/>
  <c r="G87" i="15"/>
  <c r="F87" i="15"/>
  <c r="E87" i="15"/>
  <c r="D87" i="15"/>
  <c r="G86" i="15"/>
  <c r="F86" i="15"/>
  <c r="E86" i="15"/>
  <c r="D86" i="15"/>
  <c r="G85" i="15"/>
  <c r="F85" i="15"/>
  <c r="E85" i="15"/>
  <c r="D85" i="15"/>
  <c r="G81" i="15"/>
  <c r="F81" i="15"/>
  <c r="E81" i="15"/>
  <c r="D81" i="15"/>
  <c r="G80" i="15"/>
  <c r="F80" i="15"/>
  <c r="E80" i="15"/>
  <c r="D80" i="15"/>
  <c r="G79" i="15"/>
  <c r="F79" i="15"/>
  <c r="E79" i="15"/>
  <c r="D79" i="15"/>
  <c r="G75" i="15"/>
  <c r="F75" i="15"/>
  <c r="E75" i="15"/>
  <c r="D75" i="15"/>
  <c r="G74" i="15"/>
  <c r="F74" i="15"/>
  <c r="E74" i="15"/>
  <c r="D74" i="15"/>
  <c r="G73" i="15"/>
  <c r="F73" i="15"/>
  <c r="E73" i="15"/>
  <c r="D73" i="15"/>
  <c r="G69" i="15"/>
  <c r="F69" i="15"/>
  <c r="E69" i="15"/>
  <c r="D69" i="15"/>
  <c r="G68" i="15"/>
  <c r="F68" i="15"/>
  <c r="E68" i="15"/>
  <c r="D68" i="15"/>
  <c r="G67" i="15"/>
  <c r="F67" i="15"/>
  <c r="E67" i="15"/>
  <c r="D67" i="15"/>
  <c r="G56" i="15"/>
  <c r="F56" i="15"/>
  <c r="E56" i="15"/>
  <c r="D56" i="15"/>
  <c r="G55" i="15"/>
  <c r="F55" i="15"/>
  <c r="E55" i="15"/>
  <c r="D55" i="15"/>
  <c r="G54" i="15"/>
  <c r="F54" i="15"/>
  <c r="E54" i="15"/>
  <c r="D54" i="15"/>
  <c r="G51" i="15"/>
  <c r="F51" i="15"/>
  <c r="E51" i="15"/>
  <c r="D51" i="15"/>
  <c r="G50" i="15"/>
  <c r="F50" i="15"/>
  <c r="E50" i="15"/>
  <c r="D50" i="15"/>
  <c r="G49" i="15"/>
  <c r="F49" i="15"/>
  <c r="E49" i="15"/>
  <c r="D49" i="15"/>
  <c r="F263" i="15" l="1"/>
  <c r="G139" i="15"/>
  <c r="G90" i="15"/>
  <c r="G145" i="15"/>
  <c r="E145" i="15"/>
  <c r="G148" i="15"/>
  <c r="E247" i="15"/>
  <c r="G111" i="15"/>
  <c r="E134" i="15"/>
  <c r="F247" i="15"/>
  <c r="D247" i="15"/>
  <c r="D90" i="15"/>
  <c r="D145" i="15"/>
  <c r="E90" i="15"/>
  <c r="G247" i="15"/>
  <c r="F145" i="15"/>
  <c r="F92" i="15"/>
  <c r="D111" i="15"/>
  <c r="G92" i="15"/>
  <c r="D117" i="15"/>
  <c r="F90" i="15"/>
  <c r="G93" i="15"/>
  <c r="E148" i="15"/>
  <c r="E139" i="15"/>
  <c r="G91" i="15"/>
  <c r="E263" i="15"/>
  <c r="G117" i="15"/>
  <c r="G263" i="15"/>
  <c r="G129" i="15"/>
  <c r="F139" i="15"/>
  <c r="F147" i="15"/>
  <c r="F134" i="15"/>
  <c r="F129" i="15"/>
  <c r="F93" i="15"/>
  <c r="F91" i="15"/>
  <c r="E147" i="15"/>
  <c r="E91" i="15"/>
  <c r="F111" i="15"/>
  <c r="E111" i="15"/>
  <c r="F148" i="15"/>
  <c r="F144" i="15"/>
  <c r="F146" i="15"/>
  <c r="F117" i="15"/>
  <c r="G144" i="15"/>
  <c r="G147" i="15"/>
  <c r="G134" i="15"/>
  <c r="G146" i="15"/>
  <c r="E144" i="15"/>
  <c r="E129" i="15"/>
  <c r="E146" i="15"/>
  <c r="E117" i="15"/>
  <c r="E93" i="15"/>
  <c r="E92" i="15"/>
  <c r="D263" i="15"/>
  <c r="D129" i="15"/>
  <c r="D144" i="15"/>
  <c r="D139" i="15"/>
  <c r="D148" i="15"/>
  <c r="D147" i="15"/>
  <c r="D134" i="15"/>
  <c r="D146" i="15"/>
  <c r="D93" i="15"/>
  <c r="D91" i="15"/>
  <c r="D92" i="15"/>
  <c r="G46" i="15"/>
  <c r="G44" i="15"/>
  <c r="G39" i="15"/>
  <c r="G37" i="15"/>
  <c r="G35" i="15"/>
  <c r="G33" i="15"/>
  <c r="G31" i="15"/>
  <c r="F33" i="15"/>
  <c r="F31" i="15"/>
  <c r="E31" i="15"/>
  <c r="G29" i="15"/>
  <c r="G20" i="15"/>
  <c r="G19" i="15"/>
  <c r="G18" i="15"/>
  <c r="G17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F118" i="15"/>
  <c r="F94" i="15"/>
  <c r="G118" i="15"/>
  <c r="D118" i="15"/>
  <c r="G94" i="15"/>
  <c r="G95" i="15" s="1"/>
  <c r="E21" i="15"/>
  <c r="G149" i="15"/>
  <c r="F149" i="15"/>
  <c r="F95" i="15"/>
  <c r="E149" i="15"/>
  <c r="E94" i="15"/>
  <c r="E95" i="15" s="1"/>
  <c r="D149" i="15"/>
  <c r="D89" i="15"/>
  <c r="D94" i="15"/>
  <c r="D95" i="15" l="1"/>
  <c r="J263" i="4" l="1"/>
  <c r="J129" i="4"/>
  <c r="J134" i="4"/>
  <c r="J139" i="4"/>
  <c r="J146" i="4"/>
  <c r="J147" i="4"/>
  <c r="J148" i="4"/>
  <c r="J117" i="4"/>
  <c r="J70" i="4"/>
  <c r="J71" i="4"/>
  <c r="J76" i="4"/>
  <c r="J77" i="4" s="1"/>
  <c r="J82" i="4"/>
  <c r="J83" i="4" s="1"/>
  <c r="J89" i="4"/>
  <c r="J90" i="4"/>
  <c r="J91" i="4"/>
  <c r="J256" i="4" s="1"/>
  <c r="G256" i="15" s="1"/>
  <c r="J92" i="4"/>
  <c r="J93" i="4"/>
  <c r="J94" i="4" l="1"/>
  <c r="J95" i="4" s="1"/>
  <c r="J255" i="4" s="1"/>
  <c r="G255" i="15" s="1"/>
  <c r="J149" i="4"/>
  <c r="J263" i="3" l="1"/>
  <c r="J129" i="3"/>
  <c r="J134" i="3"/>
  <c r="J139" i="3"/>
  <c r="J144" i="3"/>
  <c r="J145" i="3"/>
  <c r="J146" i="3"/>
  <c r="J147" i="3"/>
  <c r="J148" i="3"/>
  <c r="J117" i="3"/>
  <c r="J71" i="3"/>
  <c r="J76" i="3"/>
  <c r="J77" i="3" s="1"/>
  <c r="J82" i="3"/>
  <c r="J83" i="3" s="1"/>
  <c r="J88" i="3"/>
  <c r="J89" i="3"/>
  <c r="J90" i="3"/>
  <c r="J91" i="3"/>
  <c r="J256" i="3" s="1"/>
  <c r="F256" i="15" s="1"/>
  <c r="J92" i="3"/>
  <c r="J93" i="3"/>
  <c r="J94" i="3" l="1"/>
  <c r="J149" i="3"/>
  <c r="J95" i="3"/>
  <c r="J255" i="3" s="1"/>
  <c r="F255" i="15" s="1"/>
  <c r="J263" i="2"/>
  <c r="J129" i="2"/>
  <c r="J134" i="2"/>
  <c r="J139" i="2"/>
  <c r="J144" i="2"/>
  <c r="J145" i="2"/>
  <c r="J146" i="2"/>
  <c r="J147" i="2"/>
  <c r="J148" i="2"/>
  <c r="J117" i="2"/>
  <c r="J70" i="2"/>
  <c r="J71" i="2" s="1"/>
  <c r="J76" i="2"/>
  <c r="J77" i="2" s="1"/>
  <c r="J82" i="2"/>
  <c r="J83" i="2" s="1"/>
  <c r="E83" i="15" s="1"/>
  <c r="J88" i="2"/>
  <c r="J89" i="2" s="1"/>
  <c r="J90" i="2"/>
  <c r="J91" i="2"/>
  <c r="J256" i="2" s="1"/>
  <c r="E256" i="15" s="1"/>
  <c r="J92" i="2"/>
  <c r="J93" i="2"/>
  <c r="J149" i="2" l="1"/>
  <c r="J94" i="2"/>
  <c r="J95" i="2" s="1"/>
  <c r="J255" i="2" s="1"/>
  <c r="E255" i="15" s="1"/>
  <c r="J129" i="1" l="1"/>
  <c r="J134" i="1"/>
  <c r="J139" i="1"/>
  <c r="J145" i="1"/>
  <c r="J146" i="1"/>
  <c r="J147" i="1"/>
  <c r="J148" i="1"/>
  <c r="J90" i="1"/>
  <c r="J91" i="1"/>
  <c r="J256" i="1" s="1"/>
  <c r="D256" i="15" s="1"/>
  <c r="J92" i="1"/>
  <c r="J93" i="1"/>
  <c r="J88" i="1"/>
  <c r="J89" i="1" s="1"/>
  <c r="I88" i="1"/>
  <c r="H88" i="1"/>
  <c r="G88" i="1"/>
  <c r="F88" i="1"/>
  <c r="E88" i="1"/>
  <c r="J82" i="1"/>
  <c r="I82" i="1"/>
  <c r="H82" i="1"/>
  <c r="G82" i="1"/>
  <c r="F82" i="1"/>
  <c r="E82" i="1"/>
  <c r="J70" i="1"/>
  <c r="I70" i="1"/>
  <c r="H70" i="1"/>
  <c r="G70" i="1"/>
  <c r="F70" i="1"/>
  <c r="E70" i="1"/>
  <c r="J45" i="1"/>
  <c r="P88" i="1" l="1"/>
  <c r="J94" i="1"/>
  <c r="J95" i="1" s="1"/>
  <c r="J255" i="1" s="1"/>
  <c r="D255" i="15" s="1"/>
  <c r="J149" i="1"/>
  <c r="J236" i="4" l="1"/>
  <c r="K236" i="4"/>
  <c r="L236" i="4"/>
  <c r="M236" i="4"/>
  <c r="N236" i="4"/>
  <c r="O236" i="4"/>
  <c r="J236" i="3"/>
  <c r="K236" i="3"/>
  <c r="L236" i="3"/>
  <c r="M236" i="3"/>
  <c r="N236" i="3"/>
  <c r="O236" i="3"/>
  <c r="J236" i="2"/>
  <c r="K236" i="2"/>
  <c r="L236" i="2"/>
  <c r="M236" i="2"/>
  <c r="N236" i="2"/>
  <c r="O236" i="2"/>
  <c r="J236" i="1"/>
  <c r="K236" i="1"/>
  <c r="L236" i="1"/>
  <c r="M236" i="1"/>
  <c r="N236" i="1"/>
  <c r="O236" i="1"/>
  <c r="G61" i="13" l="1"/>
  <c r="F61" i="13"/>
  <c r="E61" i="13"/>
  <c r="D61" i="13"/>
  <c r="G122" i="14"/>
  <c r="F122" i="14"/>
  <c r="E122" i="14"/>
  <c r="D122" i="14"/>
  <c r="G121" i="14"/>
  <c r="F121" i="14"/>
  <c r="E121" i="14"/>
  <c r="D121" i="14"/>
  <c r="I129" i="1"/>
  <c r="I134" i="1"/>
  <c r="I139" i="1"/>
  <c r="I145" i="1"/>
  <c r="I146" i="1"/>
  <c r="I147" i="1"/>
  <c r="I148" i="1"/>
  <c r="H61" i="13" l="1"/>
  <c r="I149" i="1"/>
  <c r="I71" i="1"/>
  <c r="I83" i="1"/>
  <c r="I89" i="1"/>
  <c r="I90" i="1"/>
  <c r="I91" i="1"/>
  <c r="I256" i="1" s="1"/>
  <c r="I92" i="1"/>
  <c r="I93" i="1"/>
  <c r="I94" i="1" l="1"/>
  <c r="I95" i="1" s="1"/>
  <c r="I255" i="1" s="1"/>
  <c r="H122" i="14" l="1"/>
  <c r="H121" i="14"/>
  <c r="I263" i="4" l="1"/>
  <c r="I129" i="4"/>
  <c r="I134" i="4"/>
  <c r="I139" i="4"/>
  <c r="I144" i="4"/>
  <c r="I145" i="4"/>
  <c r="I146" i="4"/>
  <c r="I147" i="4"/>
  <c r="I148" i="4"/>
  <c r="I117" i="4"/>
  <c r="I149" i="4" l="1"/>
  <c r="I70" i="4" l="1"/>
  <c r="I71" i="4" s="1"/>
  <c r="I76" i="4"/>
  <c r="I77" i="4"/>
  <c r="I82" i="4"/>
  <c r="I83" i="4"/>
  <c r="I89" i="4"/>
  <c r="I90" i="4"/>
  <c r="I91" i="4"/>
  <c r="I256" i="4" s="1"/>
  <c r="I92" i="4"/>
  <c r="I93" i="4"/>
  <c r="I94" i="4" l="1"/>
  <c r="I95" i="4" s="1"/>
  <c r="I255" i="4" s="1"/>
  <c r="I259" i="4" s="1"/>
  <c r="I263" i="2"/>
  <c r="I129" i="2"/>
  <c r="I134" i="2"/>
  <c r="I139" i="2"/>
  <c r="I144" i="2"/>
  <c r="I145" i="2"/>
  <c r="I146" i="2"/>
  <c r="I147" i="2"/>
  <c r="I148" i="2"/>
  <c r="I117" i="2"/>
  <c r="I149" i="2" l="1"/>
  <c r="I70" i="2" l="1"/>
  <c r="I71" i="2" s="1"/>
  <c r="I76" i="2"/>
  <c r="I77" i="2" s="1"/>
  <c r="I82" i="2"/>
  <c r="I83" i="2" s="1"/>
  <c r="I88" i="2"/>
  <c r="I89" i="2" s="1"/>
  <c r="I90" i="2"/>
  <c r="I91" i="2"/>
  <c r="I256" i="2" s="1"/>
  <c r="I92" i="2"/>
  <c r="I93" i="2"/>
  <c r="I94" i="2" l="1"/>
  <c r="I95" i="2" s="1"/>
  <c r="I255" i="2" s="1"/>
  <c r="I129" i="3" l="1"/>
  <c r="I134" i="3"/>
  <c r="I139" i="3"/>
  <c r="I144" i="3"/>
  <c r="I145" i="3"/>
  <c r="I146" i="3"/>
  <c r="I147" i="3"/>
  <c r="I148" i="3"/>
  <c r="I149" i="3" l="1"/>
  <c r="I263" i="3" l="1"/>
  <c r="I117" i="3"/>
  <c r="I88" i="3"/>
  <c r="H88" i="3"/>
  <c r="G88" i="3"/>
  <c r="F88" i="3"/>
  <c r="E88" i="3"/>
  <c r="D88" i="3"/>
  <c r="P88" i="3" l="1"/>
  <c r="I82" i="3"/>
  <c r="I83" i="3" s="1"/>
  <c r="I76" i="3"/>
  <c r="I77" i="3" s="1"/>
  <c r="I91" i="3"/>
  <c r="I256" i="3" s="1"/>
  <c r="I92" i="3"/>
  <c r="I93" i="3"/>
  <c r="I89" i="3"/>
  <c r="I90" i="3"/>
  <c r="I70" i="3"/>
  <c r="I71" i="3" s="1"/>
  <c r="I94" i="3" l="1"/>
  <c r="I95" i="3" s="1"/>
  <c r="I255" i="3" s="1"/>
  <c r="P245" i="11" l="1"/>
  <c r="P246" i="11"/>
  <c r="P113" i="11"/>
  <c r="P114" i="11"/>
  <c r="P115" i="11"/>
  <c r="P116" i="11"/>
  <c r="I111" i="2"/>
  <c r="I118" i="2" s="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56" i="11" s="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76" i="11"/>
  <c r="L77" i="11" s="1"/>
  <c r="L70" i="11"/>
  <c r="L71" i="11" s="1"/>
  <c r="L92" i="11"/>
  <c r="L93" i="11"/>
  <c r="K76" i="11"/>
  <c r="K77" i="11" s="1"/>
  <c r="K82" i="11"/>
  <c r="K83" i="11" s="1"/>
  <c r="K263" i="11"/>
  <c r="K193" i="11"/>
  <c r="L139" i="11"/>
  <c r="K134" i="11"/>
  <c r="K129" i="11"/>
  <c r="K139" i="11"/>
  <c r="K117" i="11"/>
  <c r="K91" i="11"/>
  <c r="K256" i="11" s="1"/>
  <c r="K70" i="11"/>
  <c r="K71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83" i="11" s="1"/>
  <c r="J90" i="11"/>
  <c r="J91" i="11"/>
  <c r="J256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O83" i="11" s="1"/>
  <c r="I76" i="11"/>
  <c r="I77" i="11" s="1"/>
  <c r="O91" i="11"/>
  <c r="O256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L90" i="11"/>
  <c r="M88" i="11"/>
  <c r="M89" i="11" s="1"/>
  <c r="K90" i="11"/>
  <c r="G262" i="13"/>
  <c r="F262" i="13"/>
  <c r="E262" i="13"/>
  <c r="D262" i="13"/>
  <c r="G261" i="13"/>
  <c r="F261" i="13"/>
  <c r="E261" i="13"/>
  <c r="D261" i="13"/>
  <c r="G257" i="13"/>
  <c r="F257" i="13"/>
  <c r="E257" i="13"/>
  <c r="D257" i="13"/>
  <c r="G254" i="13"/>
  <c r="F254" i="13"/>
  <c r="E254" i="13"/>
  <c r="D254" i="13"/>
  <c r="G253" i="13"/>
  <c r="F253" i="13"/>
  <c r="E253" i="13"/>
  <c r="D253" i="13"/>
  <c r="G246" i="13"/>
  <c r="F246" i="13"/>
  <c r="E246" i="13"/>
  <c r="D246" i="13"/>
  <c r="G245" i="13"/>
  <c r="F245" i="13"/>
  <c r="E245" i="13"/>
  <c r="D245" i="13"/>
  <c r="G241" i="13"/>
  <c r="F241" i="13"/>
  <c r="E241" i="13"/>
  <c r="D241" i="13"/>
  <c r="G240" i="13"/>
  <c r="F240" i="13"/>
  <c r="E240" i="13"/>
  <c r="D240" i="13"/>
  <c r="G239" i="13"/>
  <c r="F239" i="13"/>
  <c r="E239" i="13"/>
  <c r="D239" i="13"/>
  <c r="G238" i="13"/>
  <c r="F238" i="13"/>
  <c r="E238" i="13"/>
  <c r="D238" i="13"/>
  <c r="G235" i="13"/>
  <c r="F235" i="13"/>
  <c r="E235" i="13"/>
  <c r="D235" i="13"/>
  <c r="G234" i="13"/>
  <c r="F234" i="13"/>
  <c r="E234" i="13"/>
  <c r="D234" i="13"/>
  <c r="G233" i="13"/>
  <c r="F233" i="13"/>
  <c r="E233" i="13"/>
  <c r="D233" i="13"/>
  <c r="G232" i="13"/>
  <c r="F232" i="13"/>
  <c r="E232" i="13"/>
  <c r="D232" i="13"/>
  <c r="D236" i="13" s="1"/>
  <c r="G228" i="13"/>
  <c r="F228" i="13"/>
  <c r="E228" i="13"/>
  <c r="D228" i="13"/>
  <c r="G227" i="13"/>
  <c r="F227" i="13"/>
  <c r="E227" i="13"/>
  <c r="D227" i="13"/>
  <c r="G226" i="13"/>
  <c r="F226" i="13"/>
  <c r="E226" i="13"/>
  <c r="D226" i="13"/>
  <c r="G225" i="13"/>
  <c r="F225" i="13"/>
  <c r="E225" i="13"/>
  <c r="D225" i="13"/>
  <c r="G222" i="13"/>
  <c r="F222" i="13"/>
  <c r="E222" i="13"/>
  <c r="D222" i="13"/>
  <c r="G221" i="13"/>
  <c r="F221" i="13"/>
  <c r="E221" i="13"/>
  <c r="D221" i="13"/>
  <c r="G220" i="13"/>
  <c r="F220" i="13"/>
  <c r="E220" i="13"/>
  <c r="D220" i="13"/>
  <c r="G219" i="13"/>
  <c r="F219" i="13"/>
  <c r="E219" i="13"/>
  <c r="D219" i="13"/>
  <c r="G215" i="13"/>
  <c r="F215" i="13"/>
  <c r="E215" i="13"/>
  <c r="D215" i="13"/>
  <c r="G214" i="13"/>
  <c r="F214" i="13"/>
  <c r="E214" i="13"/>
  <c r="D214" i="13"/>
  <c r="G213" i="13"/>
  <c r="F213" i="13"/>
  <c r="E213" i="13"/>
  <c r="D213" i="13"/>
  <c r="G212" i="13"/>
  <c r="F212" i="13"/>
  <c r="E212" i="13"/>
  <c r="D212" i="13"/>
  <c r="G209" i="13"/>
  <c r="F209" i="13"/>
  <c r="E209" i="13"/>
  <c r="D209" i="13"/>
  <c r="G208" i="13"/>
  <c r="F208" i="13"/>
  <c r="E208" i="13"/>
  <c r="D208" i="13"/>
  <c r="G207" i="13"/>
  <c r="F207" i="13"/>
  <c r="E207" i="13"/>
  <c r="D207" i="13"/>
  <c r="G206" i="13"/>
  <c r="F206" i="13"/>
  <c r="E206" i="13"/>
  <c r="D206" i="13"/>
  <c r="G203" i="13"/>
  <c r="F203" i="13"/>
  <c r="E203" i="13"/>
  <c r="D203" i="13"/>
  <c r="G202" i="13"/>
  <c r="F202" i="13"/>
  <c r="E202" i="13"/>
  <c r="D202" i="13"/>
  <c r="G201" i="13"/>
  <c r="F201" i="13"/>
  <c r="E201" i="13"/>
  <c r="D201" i="13"/>
  <c r="G200" i="13"/>
  <c r="F200" i="13"/>
  <c r="E200" i="13"/>
  <c r="D200" i="13"/>
  <c r="G199" i="13"/>
  <c r="F199" i="13"/>
  <c r="E199" i="13"/>
  <c r="D199" i="13"/>
  <c r="G197" i="13"/>
  <c r="F197" i="13"/>
  <c r="E197" i="13"/>
  <c r="D197" i="13"/>
  <c r="G196" i="13"/>
  <c r="F196" i="13"/>
  <c r="E196" i="13"/>
  <c r="D196" i="13"/>
  <c r="G195" i="13"/>
  <c r="F195" i="13"/>
  <c r="E195" i="13"/>
  <c r="D195" i="13"/>
  <c r="G194" i="13"/>
  <c r="F194" i="13"/>
  <c r="E194" i="13"/>
  <c r="D194" i="13"/>
  <c r="G192" i="13"/>
  <c r="F192" i="13"/>
  <c r="E192" i="13"/>
  <c r="D192" i="13"/>
  <c r="G191" i="13"/>
  <c r="F191" i="13"/>
  <c r="E191" i="13"/>
  <c r="D191" i="13"/>
  <c r="G190" i="13"/>
  <c r="F190" i="13"/>
  <c r="E190" i="13"/>
  <c r="D190" i="13"/>
  <c r="G189" i="13"/>
  <c r="F189" i="13"/>
  <c r="E189" i="13"/>
  <c r="D189" i="13"/>
  <c r="G187" i="13"/>
  <c r="F187" i="13"/>
  <c r="E187" i="13"/>
  <c r="D187" i="13"/>
  <c r="G186" i="13"/>
  <c r="F186" i="13"/>
  <c r="E186" i="13"/>
  <c r="D186" i="13"/>
  <c r="G185" i="13"/>
  <c r="F185" i="13"/>
  <c r="E185" i="13"/>
  <c r="D185" i="13"/>
  <c r="G184" i="13"/>
  <c r="F184" i="13"/>
  <c r="E184" i="13"/>
  <c r="D184" i="13"/>
  <c r="G182" i="13"/>
  <c r="F182" i="13"/>
  <c r="E182" i="13"/>
  <c r="D182" i="13"/>
  <c r="G181" i="13"/>
  <c r="F181" i="13"/>
  <c r="E181" i="13"/>
  <c r="D181" i="13"/>
  <c r="G180" i="13"/>
  <c r="F180" i="13"/>
  <c r="E180" i="13"/>
  <c r="D180" i="13"/>
  <c r="G179" i="13"/>
  <c r="F179" i="13"/>
  <c r="E179" i="13"/>
  <c r="D179" i="13"/>
  <c r="G178" i="13"/>
  <c r="F178" i="13"/>
  <c r="E178" i="13"/>
  <c r="D178" i="13"/>
  <c r="G177" i="13"/>
  <c r="F177" i="13"/>
  <c r="E177" i="13"/>
  <c r="D177" i="13"/>
  <c r="G175" i="13"/>
  <c r="F175" i="13"/>
  <c r="E175" i="13"/>
  <c r="D175" i="13"/>
  <c r="G174" i="13"/>
  <c r="F174" i="13"/>
  <c r="E174" i="13"/>
  <c r="D174" i="13"/>
  <c r="G173" i="13"/>
  <c r="F173" i="13"/>
  <c r="E173" i="13"/>
  <c r="D173" i="13"/>
  <c r="G172" i="13"/>
  <c r="F172" i="13"/>
  <c r="E172" i="13"/>
  <c r="D172" i="13"/>
  <c r="G171" i="13"/>
  <c r="F171" i="13"/>
  <c r="E171" i="13"/>
  <c r="D171" i="13"/>
  <c r="G170" i="13"/>
  <c r="F170" i="13"/>
  <c r="E170" i="13"/>
  <c r="D170" i="13"/>
  <c r="G169" i="13"/>
  <c r="F169" i="13"/>
  <c r="E169" i="13"/>
  <c r="D169" i="13"/>
  <c r="G168" i="13"/>
  <c r="F168" i="13"/>
  <c r="E168" i="13"/>
  <c r="D168" i="13"/>
  <c r="G167" i="13"/>
  <c r="F167" i="13"/>
  <c r="E167" i="13"/>
  <c r="D167" i="13"/>
  <c r="G165" i="13"/>
  <c r="F165" i="13"/>
  <c r="E165" i="13"/>
  <c r="D165" i="13"/>
  <c r="G164" i="13"/>
  <c r="F164" i="13"/>
  <c r="E164" i="13"/>
  <c r="D164" i="13"/>
  <c r="G163" i="13"/>
  <c r="F163" i="13"/>
  <c r="E163" i="13"/>
  <c r="D163" i="13"/>
  <c r="G162" i="13"/>
  <c r="F162" i="13"/>
  <c r="E162" i="13"/>
  <c r="D162" i="13"/>
  <c r="G161" i="13"/>
  <c r="F161" i="13"/>
  <c r="E161" i="13"/>
  <c r="D161" i="13"/>
  <c r="G160" i="13"/>
  <c r="F160" i="13"/>
  <c r="E160" i="13"/>
  <c r="D160" i="13"/>
  <c r="G159" i="13"/>
  <c r="F159" i="13"/>
  <c r="E159" i="13"/>
  <c r="D159" i="13"/>
  <c r="G158" i="13"/>
  <c r="F158" i="13"/>
  <c r="E158" i="13"/>
  <c r="D158" i="13"/>
  <c r="G157" i="13"/>
  <c r="F157" i="13"/>
  <c r="E157" i="13"/>
  <c r="D157" i="13"/>
  <c r="G156" i="13"/>
  <c r="F156" i="13"/>
  <c r="E156" i="13"/>
  <c r="D156" i="13"/>
  <c r="G155" i="13"/>
  <c r="F155" i="13"/>
  <c r="E155" i="13"/>
  <c r="D155" i="13"/>
  <c r="G154" i="13"/>
  <c r="F154" i="13"/>
  <c r="E154" i="13"/>
  <c r="D154" i="13"/>
  <c r="G153" i="13"/>
  <c r="F153" i="13"/>
  <c r="E153" i="13"/>
  <c r="D153" i="13"/>
  <c r="G143" i="13"/>
  <c r="F143" i="13"/>
  <c r="E143" i="13"/>
  <c r="D143" i="13"/>
  <c r="G142" i="13"/>
  <c r="F142" i="13"/>
  <c r="E142" i="13"/>
  <c r="G141" i="13"/>
  <c r="F141" i="13"/>
  <c r="E141" i="13"/>
  <c r="D141" i="13"/>
  <c r="G138" i="13"/>
  <c r="F138" i="13"/>
  <c r="E138" i="13"/>
  <c r="D138" i="13"/>
  <c r="G137" i="13"/>
  <c r="F137" i="13"/>
  <c r="E137" i="13"/>
  <c r="D137" i="13"/>
  <c r="G136" i="13"/>
  <c r="F136" i="13"/>
  <c r="E136" i="13"/>
  <c r="D136" i="13"/>
  <c r="G133" i="13"/>
  <c r="F133" i="13"/>
  <c r="E133" i="13"/>
  <c r="D133" i="13"/>
  <c r="G132" i="13"/>
  <c r="F132" i="13"/>
  <c r="E132" i="13"/>
  <c r="D132" i="13"/>
  <c r="G131" i="13"/>
  <c r="F131" i="13"/>
  <c r="E131" i="13"/>
  <c r="D131" i="13"/>
  <c r="G128" i="13"/>
  <c r="F128" i="13"/>
  <c r="E128" i="13"/>
  <c r="D128" i="13"/>
  <c r="G127" i="13"/>
  <c r="F127" i="13"/>
  <c r="E127" i="13"/>
  <c r="D127" i="13"/>
  <c r="G126" i="13"/>
  <c r="F126" i="13"/>
  <c r="E126" i="13"/>
  <c r="D126" i="13"/>
  <c r="G140" i="13"/>
  <c r="F140" i="13"/>
  <c r="E140" i="13"/>
  <c r="D140" i="13"/>
  <c r="G135" i="13"/>
  <c r="F135" i="13"/>
  <c r="E135" i="13"/>
  <c r="D135" i="13"/>
  <c r="G130" i="13"/>
  <c r="F130" i="13"/>
  <c r="E130" i="13"/>
  <c r="D130" i="13"/>
  <c r="G125" i="13"/>
  <c r="F125" i="13"/>
  <c r="E125" i="13"/>
  <c r="D125" i="13"/>
  <c r="G122" i="13"/>
  <c r="F122" i="13"/>
  <c r="E122" i="13"/>
  <c r="D122" i="13"/>
  <c r="G121" i="13"/>
  <c r="F121" i="13"/>
  <c r="E121" i="13"/>
  <c r="D121" i="13"/>
  <c r="G116" i="13"/>
  <c r="F116" i="13"/>
  <c r="E116" i="13"/>
  <c r="D116" i="13"/>
  <c r="G115" i="13"/>
  <c r="F115" i="13"/>
  <c r="E115" i="13"/>
  <c r="D115" i="13"/>
  <c r="G114" i="13"/>
  <c r="F114" i="13"/>
  <c r="E114" i="13"/>
  <c r="D114" i="13"/>
  <c r="G113" i="13"/>
  <c r="F113" i="13"/>
  <c r="E113" i="13"/>
  <c r="D113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4" i="13"/>
  <c r="F104" i="13"/>
  <c r="E104" i="13"/>
  <c r="D104" i="13"/>
  <c r="G103" i="13"/>
  <c r="F103" i="13"/>
  <c r="E103" i="13"/>
  <c r="D103" i="13"/>
  <c r="G102" i="13"/>
  <c r="F102" i="13"/>
  <c r="E102" i="13"/>
  <c r="D102" i="13"/>
  <c r="G101" i="13"/>
  <c r="F101" i="13"/>
  <c r="E101" i="13"/>
  <c r="D101" i="13"/>
  <c r="G98" i="13"/>
  <c r="F98" i="13"/>
  <c r="E98" i="13"/>
  <c r="D98" i="13"/>
  <c r="G87" i="13"/>
  <c r="F87" i="13"/>
  <c r="E87" i="13"/>
  <c r="D87" i="13"/>
  <c r="G86" i="13"/>
  <c r="F86" i="13"/>
  <c r="E86" i="13"/>
  <c r="D86" i="13"/>
  <c r="G85" i="13"/>
  <c r="F85" i="13"/>
  <c r="E85" i="13"/>
  <c r="D85" i="13"/>
  <c r="G84" i="13"/>
  <c r="F84" i="13"/>
  <c r="E84" i="13"/>
  <c r="D84" i="13"/>
  <c r="G81" i="13"/>
  <c r="F81" i="13"/>
  <c r="E81" i="13"/>
  <c r="D81" i="13"/>
  <c r="G80" i="13"/>
  <c r="F80" i="13"/>
  <c r="E80" i="13"/>
  <c r="D80" i="13"/>
  <c r="G79" i="13"/>
  <c r="F79" i="13"/>
  <c r="E79" i="13"/>
  <c r="D79" i="13"/>
  <c r="G78" i="13"/>
  <c r="F78" i="13"/>
  <c r="E78" i="13"/>
  <c r="D78" i="13"/>
  <c r="G75" i="13"/>
  <c r="F75" i="13"/>
  <c r="E75" i="13"/>
  <c r="D75" i="13"/>
  <c r="G74" i="13"/>
  <c r="F74" i="13"/>
  <c r="E74" i="13"/>
  <c r="D74" i="13"/>
  <c r="G73" i="13"/>
  <c r="F73" i="13"/>
  <c r="E73" i="13"/>
  <c r="D73" i="13"/>
  <c r="G72" i="13"/>
  <c r="F72" i="13"/>
  <c r="E72" i="13"/>
  <c r="D72" i="13"/>
  <c r="G263" i="13" l="1"/>
  <c r="E144" i="13"/>
  <c r="E88" i="13"/>
  <c r="E89" i="13" s="1"/>
  <c r="E263" i="13"/>
  <c r="D88" i="13"/>
  <c r="D89" i="13" s="1"/>
  <c r="F111" i="13"/>
  <c r="H84" i="13"/>
  <c r="H195" i="13"/>
  <c r="H109" i="13"/>
  <c r="H125" i="13"/>
  <c r="G88" i="13"/>
  <c r="F263" i="13"/>
  <c r="F88" i="13"/>
  <c r="F89" i="13" s="1"/>
  <c r="H86" i="13"/>
  <c r="E236" i="13"/>
  <c r="J149" i="11"/>
  <c r="H72" i="13"/>
  <c r="H78" i="13"/>
  <c r="O149" i="11"/>
  <c r="I149" i="11"/>
  <c r="L149" i="11"/>
  <c r="K149" i="11"/>
  <c r="O94" i="11"/>
  <c r="O95" i="11" s="1"/>
  <c r="O255" i="11" s="1"/>
  <c r="N94" i="11"/>
  <c r="N95" i="11" s="1"/>
  <c r="N255" i="11" s="1"/>
  <c r="N149" i="11"/>
  <c r="M149" i="11"/>
  <c r="M94" i="11"/>
  <c r="M95" i="11" s="1"/>
  <c r="M255" i="11" s="1"/>
  <c r="L94" i="11"/>
  <c r="L95" i="11" s="1"/>
  <c r="L255" i="11" s="1"/>
  <c r="K94" i="11"/>
  <c r="K95" i="11" s="1"/>
  <c r="K255" i="11" s="1"/>
  <c r="J94" i="11"/>
  <c r="J95" i="11" s="1"/>
  <c r="J255" i="11" s="1"/>
  <c r="D263" i="13"/>
  <c r="D117" i="13"/>
  <c r="H262" i="13"/>
  <c r="H126" i="13"/>
  <c r="G147" i="13"/>
  <c r="G144" i="13"/>
  <c r="G89" i="13"/>
  <c r="F146" i="13"/>
  <c r="F134" i="13"/>
  <c r="H261" i="13"/>
  <c r="H196" i="13"/>
  <c r="H101" i="13"/>
  <c r="I94" i="11"/>
  <c r="I95" i="11" s="1"/>
  <c r="I255" i="11" s="1"/>
  <c r="H80" i="13"/>
  <c r="H79" i="13"/>
  <c r="H75" i="13"/>
  <c r="H113" i="13"/>
  <c r="G236" i="13"/>
  <c r="H110" i="13"/>
  <c r="G111" i="13"/>
  <c r="F236" i="13"/>
  <c r="E117" i="13"/>
  <c r="E129" i="13"/>
  <c r="H103" i="13"/>
  <c r="H104" i="13"/>
  <c r="G117" i="13"/>
  <c r="H130" i="13"/>
  <c r="H115" i="13"/>
  <c r="H133" i="13"/>
  <c r="H116" i="13"/>
  <c r="D148" i="13"/>
  <c r="H127" i="13"/>
  <c r="H138" i="13"/>
  <c r="H121" i="13"/>
  <c r="H128" i="13"/>
  <c r="G134" i="13"/>
  <c r="H132" i="13"/>
  <c r="H102" i="13"/>
  <c r="H107" i="13"/>
  <c r="H108" i="13"/>
  <c r="H140" i="13"/>
  <c r="H137" i="13"/>
  <c r="E111" i="13"/>
  <c r="H122" i="13"/>
  <c r="H131" i="13"/>
  <c r="G139" i="13"/>
  <c r="H143" i="13"/>
  <c r="D146" i="13"/>
  <c r="H141" i="13"/>
  <c r="E147" i="13"/>
  <c r="F139" i="13"/>
  <c r="F148" i="13"/>
  <c r="H136" i="13"/>
  <c r="D139" i="13"/>
  <c r="G146" i="13"/>
  <c r="F129" i="13"/>
  <c r="G148" i="13"/>
  <c r="E146" i="13"/>
  <c r="D145" i="13"/>
  <c r="H135" i="13"/>
  <c r="E139" i="13"/>
  <c r="E134" i="13"/>
  <c r="E145" i="13"/>
  <c r="G145" i="13"/>
  <c r="D134" i="13"/>
  <c r="F144" i="13"/>
  <c r="D129" i="13"/>
  <c r="F147" i="13"/>
  <c r="F145" i="13"/>
  <c r="E148" i="13"/>
  <c r="G129" i="13"/>
  <c r="H114" i="13"/>
  <c r="F117" i="13"/>
  <c r="F118" i="13" s="1"/>
  <c r="D111" i="13"/>
  <c r="E118" i="13" l="1"/>
  <c r="D118" i="13"/>
  <c r="G118" i="13"/>
  <c r="H145" i="13"/>
  <c r="H263" i="13"/>
  <c r="H117" i="13"/>
  <c r="H146" i="13"/>
  <c r="H111" i="13"/>
  <c r="H134" i="13"/>
  <c r="H148" i="13"/>
  <c r="G149" i="13"/>
  <c r="H139" i="13"/>
  <c r="E149" i="13"/>
  <c r="F149" i="13"/>
  <c r="H129" i="13"/>
  <c r="G66" i="13" l="1"/>
  <c r="G90" i="13" s="1"/>
  <c r="F66" i="13"/>
  <c r="F90" i="13" s="1"/>
  <c r="D66" i="13"/>
  <c r="G69" i="13"/>
  <c r="G93" i="13" s="1"/>
  <c r="F69" i="13"/>
  <c r="F93" i="13" s="1"/>
  <c r="E69" i="13"/>
  <c r="E93" i="13" s="1"/>
  <c r="D69" i="13"/>
  <c r="D93" i="13" s="1"/>
  <c r="G68" i="13"/>
  <c r="G92" i="13" s="1"/>
  <c r="F68" i="13"/>
  <c r="F92" i="13" s="1"/>
  <c r="E68" i="13"/>
  <c r="E92" i="13" s="1"/>
  <c r="D68" i="13"/>
  <c r="D92" i="13" s="1"/>
  <c r="G67" i="13"/>
  <c r="G91" i="13" s="1"/>
  <c r="F67" i="13"/>
  <c r="F91" i="13" s="1"/>
  <c r="E67" i="13"/>
  <c r="E91" i="13" s="1"/>
  <c r="D67" i="13"/>
  <c r="D91" i="13" s="1"/>
  <c r="G63" i="13"/>
  <c r="F63" i="13"/>
  <c r="E63" i="13"/>
  <c r="D63" i="13"/>
  <c r="G56" i="13"/>
  <c r="F56" i="13"/>
  <c r="E56" i="13"/>
  <c r="D56" i="13"/>
  <c r="G55" i="13"/>
  <c r="F55" i="13"/>
  <c r="E55" i="13"/>
  <c r="D55" i="13"/>
  <c r="G54" i="13"/>
  <c r="F54" i="13"/>
  <c r="E54" i="13"/>
  <c r="D54" i="13"/>
  <c r="G51" i="13"/>
  <c r="F51" i="13"/>
  <c r="E51" i="13"/>
  <c r="D51" i="13"/>
  <c r="G50" i="13"/>
  <c r="F50" i="13"/>
  <c r="E50" i="13"/>
  <c r="D50" i="13"/>
  <c r="G49" i="13"/>
  <c r="F49" i="13"/>
  <c r="E49" i="13"/>
  <c r="D49" i="13"/>
  <c r="G46" i="13"/>
  <c r="F46" i="13"/>
  <c r="E46" i="13"/>
  <c r="D46" i="13"/>
  <c r="G44" i="13"/>
  <c r="F44" i="13"/>
  <c r="E44" i="13"/>
  <c r="D44" i="13"/>
  <c r="G39" i="13"/>
  <c r="F39" i="13"/>
  <c r="E39" i="13"/>
  <c r="D39" i="13"/>
  <c r="G37" i="13"/>
  <c r="F37" i="13"/>
  <c r="E37" i="13"/>
  <c r="D37" i="13"/>
  <c r="G35" i="13"/>
  <c r="F35" i="13"/>
  <c r="E35" i="13"/>
  <c r="D35" i="13"/>
  <c r="G33" i="13"/>
  <c r="F33" i="13"/>
  <c r="E33" i="13"/>
  <c r="D33" i="13"/>
  <c r="G31" i="13"/>
  <c r="F31" i="13"/>
  <c r="E31" i="13"/>
  <c r="D31" i="13"/>
  <c r="G29" i="13"/>
  <c r="F29" i="13"/>
  <c r="E29" i="13"/>
  <c r="D29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88" i="11"/>
  <c r="H70" i="11" l="1"/>
  <c r="H71" i="11" s="1"/>
  <c r="H134" i="11"/>
  <c r="H82" i="11"/>
  <c r="H83" i="11" s="1"/>
  <c r="H236" i="11"/>
  <c r="H148" i="11"/>
  <c r="H117" i="11"/>
  <c r="H76" i="11"/>
  <c r="H77" i="11" s="1"/>
  <c r="H147" i="11"/>
  <c r="H229" i="11"/>
  <c r="H242" i="11"/>
  <c r="H92" i="11"/>
  <c r="H139" i="11"/>
  <c r="H146" i="11"/>
  <c r="H91" i="11"/>
  <c r="H256" i="11" s="1"/>
  <c r="H129" i="11"/>
  <c r="H145" i="11"/>
  <c r="H263" i="11"/>
  <c r="H193" i="11"/>
  <c r="H93" i="11"/>
  <c r="D94" i="13"/>
  <c r="H93" i="13"/>
  <c r="E94" i="13"/>
  <c r="F94" i="13"/>
  <c r="F95" i="13" s="1"/>
  <c r="D90" i="13"/>
  <c r="G94" i="13"/>
  <c r="G95" i="13" s="1"/>
  <c r="H89" i="11"/>
  <c r="H90" i="11"/>
  <c r="H94" i="11" l="1"/>
  <c r="H95" i="11" s="1"/>
  <c r="H255" i="11" s="1"/>
  <c r="H149" i="11"/>
  <c r="D95" i="13"/>
  <c r="H263" i="4" l="1"/>
  <c r="H129" i="4"/>
  <c r="H134" i="4"/>
  <c r="H139" i="4"/>
  <c r="H144" i="4"/>
  <c r="H145" i="4"/>
  <c r="H146" i="4"/>
  <c r="H147" i="4"/>
  <c r="H148" i="4"/>
  <c r="H117" i="4"/>
  <c r="H149" i="4" l="1"/>
  <c r="H71" i="4"/>
  <c r="H77" i="4"/>
  <c r="H82" i="4"/>
  <c r="H83" i="4" s="1"/>
  <c r="H89" i="4"/>
  <c r="H90" i="4"/>
  <c r="H91" i="4"/>
  <c r="H256" i="4" s="1"/>
  <c r="H92" i="4"/>
  <c r="H93" i="4"/>
  <c r="H94" i="4" l="1"/>
  <c r="H95" i="4" s="1"/>
  <c r="H255" i="4" s="1"/>
  <c r="H259" i="4" s="1"/>
  <c r="H263" i="3" l="1"/>
  <c r="H129" i="3"/>
  <c r="H134" i="3"/>
  <c r="H139" i="3"/>
  <c r="H145" i="3"/>
  <c r="H146" i="3"/>
  <c r="H147" i="3"/>
  <c r="H148" i="3"/>
  <c r="H117" i="3"/>
  <c r="H149" i="3" l="1"/>
  <c r="H70" i="3" l="1"/>
  <c r="H71" i="3" s="1"/>
  <c r="H76" i="3"/>
  <c r="H77" i="3" s="1"/>
  <c r="H82" i="3"/>
  <c r="H83" i="3"/>
  <c r="H89" i="3"/>
  <c r="H90" i="3"/>
  <c r="H91" i="3"/>
  <c r="H256" i="3" s="1"/>
  <c r="H92" i="3"/>
  <c r="H93" i="3"/>
  <c r="H263" i="2"/>
  <c r="H129" i="2"/>
  <c r="H134" i="2"/>
  <c r="H139" i="2"/>
  <c r="H145" i="2"/>
  <c r="H146" i="2"/>
  <c r="H147" i="2"/>
  <c r="H148" i="2"/>
  <c r="H94" i="3" l="1"/>
  <c r="H95" i="3" s="1"/>
  <c r="H255" i="3" s="1"/>
  <c r="H149" i="2"/>
  <c r="H117" i="2" l="1"/>
  <c r="H70" i="2" l="1"/>
  <c r="H71" i="2" s="1"/>
  <c r="H76" i="2"/>
  <c r="H77" i="2"/>
  <c r="H82" i="2"/>
  <c r="H83" i="2" s="1"/>
  <c r="H88" i="2"/>
  <c r="H89" i="2" s="1"/>
  <c r="H90" i="2"/>
  <c r="H91" i="2"/>
  <c r="H256" i="2" s="1"/>
  <c r="H92" i="2"/>
  <c r="H93" i="2"/>
  <c r="H94" i="2" l="1"/>
  <c r="H95" i="2" s="1"/>
  <c r="H255" i="2" s="1"/>
  <c r="H242" i="1" l="1"/>
  <c r="H236" i="1"/>
  <c r="H145" i="1"/>
  <c r="H146" i="1"/>
  <c r="H147" i="1"/>
  <c r="H148" i="1"/>
  <c r="H144" i="1"/>
  <c r="H139" i="1"/>
  <c r="H134" i="1"/>
  <c r="H129" i="1"/>
  <c r="H149" i="1" l="1"/>
  <c r="H117" i="1" l="1"/>
  <c r="H90" i="1" l="1"/>
  <c r="H91" i="1"/>
  <c r="H256" i="1" s="1"/>
  <c r="H92" i="1"/>
  <c r="H93" i="1"/>
  <c r="H89" i="1"/>
  <c r="G89" i="1"/>
  <c r="F89" i="1"/>
  <c r="E89" i="1"/>
  <c r="H83" i="1"/>
  <c r="G83" i="1"/>
  <c r="F83" i="1"/>
  <c r="E83" i="1"/>
  <c r="G88" i="11" l="1"/>
  <c r="G89" i="11" s="1"/>
  <c r="G111" i="11"/>
  <c r="G247" i="11"/>
  <c r="G139" i="11"/>
  <c r="G105" i="11"/>
  <c r="G82" i="11"/>
  <c r="G83" i="11" s="1"/>
  <c r="G70" i="1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3" i="11"/>
  <c r="G92" i="11"/>
  <c r="G118" i="11" l="1"/>
  <c r="G119" i="11" s="1"/>
  <c r="G94" i="11"/>
  <c r="G263" i="3" l="1"/>
  <c r="G129" i="3"/>
  <c r="G134" i="3"/>
  <c r="G139" i="3"/>
  <c r="G144" i="3"/>
  <c r="G145" i="3"/>
  <c r="G146" i="3"/>
  <c r="G147" i="3"/>
  <c r="G148" i="3"/>
  <c r="G117" i="3"/>
  <c r="G149" i="3" l="1"/>
  <c r="G90" i="3" l="1"/>
  <c r="G91" i="3"/>
  <c r="G256" i="3" s="1"/>
  <c r="F256" i="13" s="1"/>
  <c r="G92" i="3"/>
  <c r="G93" i="3"/>
  <c r="G89" i="3"/>
  <c r="G82" i="3"/>
  <c r="G83" i="3" s="1"/>
  <c r="G76" i="3"/>
  <c r="G77" i="3" s="1"/>
  <c r="G94" i="3" l="1"/>
  <c r="G95" i="3" s="1"/>
  <c r="G255" i="3" s="1"/>
  <c r="F255" i="13" s="1"/>
  <c r="G263" i="4" l="1"/>
  <c r="G145" i="4"/>
  <c r="G146" i="4"/>
  <c r="G147" i="4"/>
  <c r="G148" i="4"/>
  <c r="G134" i="4"/>
  <c r="G139" i="4"/>
  <c r="G129" i="4"/>
  <c r="G149" i="4" l="1"/>
  <c r="G117" i="4"/>
  <c r="G90" i="4"/>
  <c r="G91" i="4"/>
  <c r="G256" i="4" s="1"/>
  <c r="G256" i="13" s="1"/>
  <c r="G92" i="4"/>
  <c r="G93" i="4"/>
  <c r="G89" i="4"/>
  <c r="G263" i="2" l="1"/>
  <c r="G144" i="2"/>
  <c r="G139" i="2"/>
  <c r="G134" i="2"/>
  <c r="G129" i="2"/>
  <c r="G145" i="2"/>
  <c r="G146" i="2"/>
  <c r="G147" i="2"/>
  <c r="G148" i="2"/>
  <c r="G149" i="2" l="1"/>
  <c r="G91" i="2"/>
  <c r="G256" i="2" s="1"/>
  <c r="E256" i="13" s="1"/>
  <c r="G92" i="2"/>
  <c r="G93" i="2"/>
  <c r="E88" i="2"/>
  <c r="F88" i="2"/>
  <c r="G88" i="2"/>
  <c r="G89" i="2" s="1"/>
  <c r="D88" i="2"/>
  <c r="P88" i="2" l="1"/>
  <c r="G94" i="2"/>
  <c r="G145" i="1"/>
  <c r="G146" i="1"/>
  <c r="G148" i="1"/>
  <c r="G139" i="1"/>
  <c r="G129" i="1"/>
  <c r="G134" i="1"/>
  <c r="G90" i="1" l="1"/>
  <c r="G91" i="1"/>
  <c r="G256" i="1" s="1"/>
  <c r="D256" i="13" s="1"/>
  <c r="G92" i="1"/>
  <c r="G93" i="1"/>
  <c r="E71" i="1"/>
  <c r="F71" i="1"/>
  <c r="G71" i="1"/>
  <c r="G236" i="1" l="1"/>
  <c r="D246" i="12" l="1"/>
  <c r="E246" i="12"/>
  <c r="F246" i="12"/>
  <c r="G246" i="12"/>
  <c r="G245" i="12"/>
  <c r="F245" i="12"/>
  <c r="E245" i="12"/>
  <c r="D245" i="12"/>
  <c r="H245" i="12" l="1"/>
  <c r="H246" i="12"/>
  <c r="F70" i="11" l="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F149" i="11" l="1"/>
  <c r="F263" i="4" l="1"/>
  <c r="F144" i="4"/>
  <c r="F145" i="4"/>
  <c r="F146" i="4"/>
  <c r="F147" i="4"/>
  <c r="F148" i="4"/>
  <c r="F90" i="4"/>
  <c r="F91" i="4"/>
  <c r="F256" i="4" s="1"/>
  <c r="F92" i="4"/>
  <c r="F93" i="4"/>
  <c r="F89" i="4"/>
  <c r="F149" i="4" l="1"/>
  <c r="F263" i="3" l="1"/>
  <c r="F144" i="3"/>
  <c r="F145" i="3"/>
  <c r="F146" i="3"/>
  <c r="F147" i="3"/>
  <c r="F148" i="3"/>
  <c r="F139" i="3"/>
  <c r="F134" i="3"/>
  <c r="F129" i="3"/>
  <c r="F149" i="3" l="1"/>
  <c r="F90" i="3" l="1"/>
  <c r="F91" i="3"/>
  <c r="F256" i="3" s="1"/>
  <c r="F92" i="3"/>
  <c r="F93" i="3"/>
  <c r="E89" i="3"/>
  <c r="F89" i="3"/>
  <c r="F263" i="2" l="1"/>
  <c r="F129" i="2"/>
  <c r="F134" i="2"/>
  <c r="F139" i="2"/>
  <c r="F144" i="2"/>
  <c r="F145" i="2"/>
  <c r="F146" i="2"/>
  <c r="F147" i="2"/>
  <c r="F148" i="2"/>
  <c r="F149" i="2" l="1"/>
  <c r="F89" i="2"/>
  <c r="F90" i="2"/>
  <c r="F91" i="2"/>
  <c r="F256" i="2" s="1"/>
  <c r="F92" i="2"/>
  <c r="F93" i="2"/>
  <c r="F144" i="1" l="1"/>
  <c r="F145" i="1"/>
  <c r="F146" i="1"/>
  <c r="F147" i="1"/>
  <c r="F148" i="1"/>
  <c r="F139" i="1"/>
  <c r="F134" i="1"/>
  <c r="F129" i="1"/>
  <c r="F149" i="1" l="1"/>
  <c r="D142" i="13" l="1"/>
  <c r="G147" i="11"/>
  <c r="G149" i="11" s="1"/>
  <c r="G144" i="1"/>
  <c r="G147" i="1"/>
  <c r="G149" i="1" s="1"/>
  <c r="F90" i="1"/>
  <c r="F91" i="1"/>
  <c r="F256" i="1" s="1"/>
  <c r="F92" i="1"/>
  <c r="F93" i="1"/>
  <c r="D147" i="13" l="1"/>
  <c r="D149" i="13" s="1"/>
  <c r="D144" i="13"/>
  <c r="H142" i="13"/>
  <c r="F236" i="1"/>
  <c r="H147" i="13" l="1"/>
  <c r="H144" i="13"/>
  <c r="H149" i="13" s="1"/>
  <c r="E88" i="11" l="1"/>
  <c r="E89" i="11" s="1"/>
  <c r="E263" i="4" l="1"/>
  <c r="E145" i="4"/>
  <c r="E146" i="4"/>
  <c r="E147" i="4"/>
  <c r="E148" i="4"/>
  <c r="E144" i="4"/>
  <c r="E139" i="4"/>
  <c r="E134" i="4"/>
  <c r="E129" i="4"/>
  <c r="E90" i="4"/>
  <c r="E91" i="4"/>
  <c r="E256" i="4" s="1"/>
  <c r="E92" i="4"/>
  <c r="E93" i="4"/>
  <c r="E89" i="4"/>
  <c r="E149" i="4" l="1"/>
  <c r="E263" i="3"/>
  <c r="E145" i="3" l="1"/>
  <c r="E146" i="3"/>
  <c r="E147" i="3"/>
  <c r="E148" i="3"/>
  <c r="E144" i="3"/>
  <c r="E139" i="3"/>
  <c r="E134" i="3"/>
  <c r="E129" i="3"/>
  <c r="E149" i="3" l="1"/>
  <c r="E90" i="3"/>
  <c r="E91" i="3"/>
  <c r="E256" i="3" s="1"/>
  <c r="E92" i="3"/>
  <c r="E93" i="3"/>
  <c r="E263" i="2" l="1"/>
  <c r="E247" i="4" l="1"/>
  <c r="F247" i="4"/>
  <c r="G247" i="4"/>
  <c r="E247" i="3"/>
  <c r="E247" i="2"/>
  <c r="F247" i="2"/>
  <c r="G247" i="2"/>
  <c r="E247" i="11" l="1"/>
  <c r="E145" i="2" l="1"/>
  <c r="E146" i="2"/>
  <c r="E147" i="2"/>
  <c r="E148" i="2"/>
  <c r="E144" i="2"/>
  <c r="E139" i="2"/>
  <c r="E134" i="2"/>
  <c r="E129" i="2"/>
  <c r="E149" i="2" l="1"/>
  <c r="E90" i="2" l="1"/>
  <c r="E91" i="2"/>
  <c r="E256" i="2" s="1"/>
  <c r="E92" i="2"/>
  <c r="E93" i="2"/>
  <c r="E89" i="2"/>
  <c r="D89" i="2"/>
  <c r="E145" i="1" l="1"/>
  <c r="E146" i="1"/>
  <c r="E148" i="1"/>
  <c r="E139" i="1"/>
  <c r="E134" i="1"/>
  <c r="E129" i="1"/>
  <c r="E90" i="1"/>
  <c r="E91" i="1"/>
  <c r="E256" i="1" s="1"/>
  <c r="E258" i="1" s="1"/>
  <c r="E92" i="1"/>
  <c r="E93" i="1"/>
  <c r="E236" i="4" l="1"/>
  <c r="F236" i="4"/>
  <c r="G236" i="4"/>
  <c r="H236" i="4"/>
  <c r="I236" i="4"/>
  <c r="E236" i="3"/>
  <c r="F236" i="3"/>
  <c r="G236" i="3"/>
  <c r="H236" i="3"/>
  <c r="I236" i="3"/>
  <c r="E76" i="11" l="1"/>
  <c r="E77" i="11" s="1"/>
  <c r="E145" i="11"/>
  <c r="E146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E236" i="2" l="1"/>
  <c r="F236" i="2"/>
  <c r="G236" i="2"/>
  <c r="H236" i="2"/>
  <c r="I236" i="2"/>
  <c r="E236" i="1"/>
  <c r="G262" i="17" l="1"/>
  <c r="F262" i="17"/>
  <c r="E262" i="17"/>
  <c r="D262" i="17"/>
  <c r="G261" i="17"/>
  <c r="F261" i="17"/>
  <c r="E261" i="17"/>
  <c r="E263" i="17" s="1"/>
  <c r="D261" i="17"/>
  <c r="G246" i="17"/>
  <c r="F246" i="17"/>
  <c r="E246" i="17"/>
  <c r="D246" i="17"/>
  <c r="G245" i="17"/>
  <c r="F245" i="17"/>
  <c r="E245" i="17"/>
  <c r="D245" i="17"/>
  <c r="G196" i="17"/>
  <c r="F196" i="17"/>
  <c r="E196" i="17"/>
  <c r="D196" i="17"/>
  <c r="G116" i="17"/>
  <c r="F116" i="17"/>
  <c r="E116" i="17"/>
  <c r="D116" i="17"/>
  <c r="G115" i="17"/>
  <c r="F115" i="17"/>
  <c r="E115" i="17"/>
  <c r="D115" i="17"/>
  <c r="G114" i="17"/>
  <c r="F114" i="17"/>
  <c r="E114" i="17"/>
  <c r="D114" i="17"/>
  <c r="G113" i="17"/>
  <c r="F113" i="17"/>
  <c r="E113" i="17"/>
  <c r="D113" i="17"/>
  <c r="D90" i="17"/>
  <c r="G86" i="17"/>
  <c r="F86" i="17"/>
  <c r="E86" i="17"/>
  <c r="D86" i="17"/>
  <c r="G80" i="17"/>
  <c r="F80" i="17"/>
  <c r="E80" i="17"/>
  <c r="D80" i="17"/>
  <c r="G75" i="17"/>
  <c r="F75" i="17"/>
  <c r="E75" i="17"/>
  <c r="D75" i="17"/>
  <c r="G35" i="17"/>
  <c r="F35" i="17"/>
  <c r="E35" i="17"/>
  <c r="D35" i="17"/>
  <c r="G262" i="14"/>
  <c r="F262" i="14"/>
  <c r="E262" i="14"/>
  <c r="D262" i="14"/>
  <c r="G261" i="14"/>
  <c r="F261" i="14"/>
  <c r="E261" i="14"/>
  <c r="D261" i="14"/>
  <c r="G257" i="14"/>
  <c r="F257" i="14"/>
  <c r="E257" i="14"/>
  <c r="D257" i="14"/>
  <c r="G254" i="14"/>
  <c r="F254" i="14"/>
  <c r="E254" i="14"/>
  <c r="D254" i="14"/>
  <c r="G253" i="14"/>
  <c r="F253" i="14"/>
  <c r="E253" i="14"/>
  <c r="D253" i="14"/>
  <c r="G196" i="14"/>
  <c r="F196" i="14"/>
  <c r="E196" i="14"/>
  <c r="D196" i="14"/>
  <c r="G246" i="14"/>
  <c r="F246" i="14"/>
  <c r="E246" i="14"/>
  <c r="D246" i="14"/>
  <c r="G245" i="14"/>
  <c r="F245" i="14"/>
  <c r="E245" i="14"/>
  <c r="D245" i="14"/>
  <c r="G241" i="14"/>
  <c r="F241" i="14"/>
  <c r="E241" i="14"/>
  <c r="D241" i="14"/>
  <c r="G240" i="14"/>
  <c r="F240" i="14"/>
  <c r="E240" i="14"/>
  <c r="D240" i="14"/>
  <c r="G239" i="14"/>
  <c r="F239" i="14"/>
  <c r="E239" i="14"/>
  <c r="D239" i="14"/>
  <c r="G238" i="14"/>
  <c r="F238" i="14"/>
  <c r="E238" i="14"/>
  <c r="D238" i="14"/>
  <c r="G235" i="14"/>
  <c r="F235" i="14"/>
  <c r="E235" i="14"/>
  <c r="D235" i="14"/>
  <c r="G234" i="14"/>
  <c r="F234" i="14"/>
  <c r="E234" i="14"/>
  <c r="D234" i="14"/>
  <c r="G233" i="14"/>
  <c r="F233" i="14"/>
  <c r="E233" i="14"/>
  <c r="D233" i="14"/>
  <c r="G232" i="14"/>
  <c r="F232" i="14"/>
  <c r="E232" i="14"/>
  <c r="D232" i="14"/>
  <c r="G228" i="14"/>
  <c r="F228" i="14"/>
  <c r="E228" i="14"/>
  <c r="D228" i="14"/>
  <c r="G227" i="14"/>
  <c r="F227" i="14"/>
  <c r="E227" i="14"/>
  <c r="D227" i="14"/>
  <c r="G226" i="14"/>
  <c r="F226" i="14"/>
  <c r="E226" i="14"/>
  <c r="D226" i="14"/>
  <c r="G225" i="14"/>
  <c r="F225" i="14"/>
  <c r="E225" i="14"/>
  <c r="D225" i="14"/>
  <c r="G222" i="14"/>
  <c r="F222" i="14"/>
  <c r="E222" i="14"/>
  <c r="D222" i="14"/>
  <c r="G221" i="14"/>
  <c r="F221" i="14"/>
  <c r="E221" i="14"/>
  <c r="D221" i="14"/>
  <c r="G220" i="14"/>
  <c r="F220" i="14"/>
  <c r="E220" i="14"/>
  <c r="D220" i="14"/>
  <c r="G219" i="14"/>
  <c r="F219" i="14"/>
  <c r="E219" i="14"/>
  <c r="D219" i="14"/>
  <c r="G215" i="14"/>
  <c r="F215" i="14"/>
  <c r="E215" i="14"/>
  <c r="D215" i="14"/>
  <c r="G214" i="14"/>
  <c r="F214" i="14"/>
  <c r="E214" i="14"/>
  <c r="D214" i="14"/>
  <c r="G213" i="14"/>
  <c r="F213" i="14"/>
  <c r="E213" i="14"/>
  <c r="D213" i="14"/>
  <c r="G212" i="14"/>
  <c r="F212" i="14"/>
  <c r="E212" i="14"/>
  <c r="D212" i="14"/>
  <c r="G209" i="14"/>
  <c r="F209" i="14"/>
  <c r="E209" i="14"/>
  <c r="D209" i="14"/>
  <c r="G208" i="14"/>
  <c r="F208" i="14"/>
  <c r="E208" i="14"/>
  <c r="D208" i="14"/>
  <c r="G207" i="14"/>
  <c r="F207" i="14"/>
  <c r="E207" i="14"/>
  <c r="D207" i="14"/>
  <c r="G206" i="14"/>
  <c r="F206" i="14"/>
  <c r="E206" i="14"/>
  <c r="D206" i="14"/>
  <c r="G203" i="14"/>
  <c r="F203" i="14"/>
  <c r="E203" i="14"/>
  <c r="D203" i="14"/>
  <c r="G202" i="14"/>
  <c r="F202" i="14"/>
  <c r="E202" i="14"/>
  <c r="D202" i="14"/>
  <c r="G201" i="14"/>
  <c r="F201" i="14"/>
  <c r="E201" i="14"/>
  <c r="D201" i="14"/>
  <c r="G200" i="14"/>
  <c r="F200" i="14"/>
  <c r="E200" i="14"/>
  <c r="D200" i="14"/>
  <c r="G199" i="14"/>
  <c r="F199" i="14"/>
  <c r="E199" i="14"/>
  <c r="D199" i="14"/>
  <c r="G197" i="14"/>
  <c r="F197" i="14"/>
  <c r="E197" i="14"/>
  <c r="D197" i="14"/>
  <c r="G195" i="14"/>
  <c r="F195" i="14"/>
  <c r="E195" i="14"/>
  <c r="D195" i="14"/>
  <c r="G194" i="14"/>
  <c r="F194" i="14"/>
  <c r="E194" i="14"/>
  <c r="D194" i="14"/>
  <c r="G192" i="14"/>
  <c r="F192" i="14"/>
  <c r="E192" i="14"/>
  <c r="D192" i="14"/>
  <c r="G191" i="14"/>
  <c r="F191" i="14"/>
  <c r="E191" i="14"/>
  <c r="D191" i="14"/>
  <c r="G190" i="14"/>
  <c r="F190" i="14"/>
  <c r="E190" i="14"/>
  <c r="D190" i="14"/>
  <c r="G189" i="14"/>
  <c r="F189" i="14"/>
  <c r="E189" i="14"/>
  <c r="D189" i="14"/>
  <c r="G187" i="14"/>
  <c r="F187" i="14"/>
  <c r="E187" i="14"/>
  <c r="D187" i="14"/>
  <c r="G186" i="14"/>
  <c r="F186" i="14"/>
  <c r="E186" i="14"/>
  <c r="D186" i="14"/>
  <c r="G185" i="14"/>
  <c r="F185" i="14"/>
  <c r="E185" i="14"/>
  <c r="D185" i="14"/>
  <c r="G184" i="14"/>
  <c r="F184" i="14"/>
  <c r="E184" i="14"/>
  <c r="D184" i="14"/>
  <c r="G182" i="14"/>
  <c r="F182" i="14"/>
  <c r="E182" i="14"/>
  <c r="D182" i="14"/>
  <c r="G181" i="14"/>
  <c r="F181" i="14"/>
  <c r="E181" i="14"/>
  <c r="D181" i="14"/>
  <c r="G180" i="14"/>
  <c r="F180" i="14"/>
  <c r="E180" i="14"/>
  <c r="D180" i="14"/>
  <c r="G179" i="14"/>
  <c r="F179" i="14"/>
  <c r="E179" i="14"/>
  <c r="D179" i="14"/>
  <c r="G178" i="14"/>
  <c r="F178" i="14"/>
  <c r="E178" i="14"/>
  <c r="D178" i="14"/>
  <c r="G177" i="14"/>
  <c r="F177" i="14"/>
  <c r="E177" i="14"/>
  <c r="D177" i="14"/>
  <c r="G175" i="14"/>
  <c r="F175" i="14"/>
  <c r="E175" i="14"/>
  <c r="D175" i="14"/>
  <c r="G174" i="14"/>
  <c r="F174" i="14"/>
  <c r="E174" i="14"/>
  <c r="D174" i="14"/>
  <c r="G173" i="14"/>
  <c r="F173" i="14"/>
  <c r="E173" i="14"/>
  <c r="D173" i="14"/>
  <c r="G172" i="14"/>
  <c r="F172" i="14"/>
  <c r="E172" i="14"/>
  <c r="D172" i="14"/>
  <c r="G171" i="14"/>
  <c r="F171" i="14"/>
  <c r="E171" i="14"/>
  <c r="D171" i="14"/>
  <c r="G170" i="14"/>
  <c r="F170" i="14"/>
  <c r="E170" i="14"/>
  <c r="D170" i="14"/>
  <c r="G169" i="14"/>
  <c r="F169" i="14"/>
  <c r="E169" i="14"/>
  <c r="D169" i="14"/>
  <c r="G168" i="14"/>
  <c r="F168" i="14"/>
  <c r="E168" i="14"/>
  <c r="D168" i="14"/>
  <c r="G167" i="14"/>
  <c r="F167" i="14"/>
  <c r="E167" i="14"/>
  <c r="D167" i="14"/>
  <c r="G165" i="14"/>
  <c r="F165" i="14"/>
  <c r="E165" i="14"/>
  <c r="D165" i="14"/>
  <c r="G164" i="14"/>
  <c r="F164" i="14"/>
  <c r="E164" i="14"/>
  <c r="D164" i="14"/>
  <c r="G163" i="14"/>
  <c r="F163" i="14"/>
  <c r="E163" i="14"/>
  <c r="D163" i="14"/>
  <c r="G162" i="14"/>
  <c r="F162" i="14"/>
  <c r="E162" i="14"/>
  <c r="D162" i="14"/>
  <c r="G161" i="14"/>
  <c r="F161" i="14"/>
  <c r="E161" i="14"/>
  <c r="D161" i="14"/>
  <c r="G160" i="14"/>
  <c r="F160" i="14"/>
  <c r="E160" i="14"/>
  <c r="D160" i="14"/>
  <c r="G159" i="14"/>
  <c r="F159" i="14"/>
  <c r="E159" i="14"/>
  <c r="D159" i="14"/>
  <c r="G158" i="14"/>
  <c r="F158" i="14"/>
  <c r="E158" i="14"/>
  <c r="D158" i="14"/>
  <c r="G157" i="14"/>
  <c r="F157" i="14"/>
  <c r="E157" i="14"/>
  <c r="D157" i="14"/>
  <c r="G156" i="14"/>
  <c r="F156" i="14"/>
  <c r="E156" i="14"/>
  <c r="D156" i="14"/>
  <c r="G155" i="14"/>
  <c r="F155" i="14"/>
  <c r="E155" i="14"/>
  <c r="D155" i="14"/>
  <c r="G154" i="14"/>
  <c r="F154" i="14"/>
  <c r="E154" i="14"/>
  <c r="D154" i="14"/>
  <c r="G153" i="14"/>
  <c r="F153" i="14"/>
  <c r="E153" i="14"/>
  <c r="D153" i="14"/>
  <c r="G143" i="14"/>
  <c r="F143" i="14"/>
  <c r="E143" i="14"/>
  <c r="D143" i="14"/>
  <c r="G142" i="14"/>
  <c r="F142" i="14"/>
  <c r="E142" i="14"/>
  <c r="G141" i="14"/>
  <c r="F141" i="14"/>
  <c r="E141" i="14"/>
  <c r="D141" i="14"/>
  <c r="G138" i="14"/>
  <c r="F138" i="14"/>
  <c r="E138" i="14"/>
  <c r="D138" i="14"/>
  <c r="G137" i="14"/>
  <c r="F137" i="14"/>
  <c r="E137" i="14"/>
  <c r="D137" i="14"/>
  <c r="G136" i="14"/>
  <c r="F136" i="14"/>
  <c r="E136" i="14"/>
  <c r="D136" i="14"/>
  <c r="G133" i="14"/>
  <c r="F133" i="14"/>
  <c r="E133" i="14"/>
  <c r="D133" i="14"/>
  <c r="G132" i="14"/>
  <c r="F132" i="14"/>
  <c r="E132" i="14"/>
  <c r="D132" i="14"/>
  <c r="G131" i="14"/>
  <c r="F131" i="14"/>
  <c r="E131" i="14"/>
  <c r="D131" i="14"/>
  <c r="G128" i="14"/>
  <c r="F128" i="14"/>
  <c r="E128" i="14"/>
  <c r="D128" i="14"/>
  <c r="G127" i="14"/>
  <c r="F127" i="14"/>
  <c r="E127" i="14"/>
  <c r="D127" i="14"/>
  <c r="G126" i="14"/>
  <c r="F126" i="14"/>
  <c r="E126" i="14"/>
  <c r="D126" i="14"/>
  <c r="G135" i="14"/>
  <c r="F135" i="14"/>
  <c r="E135" i="14"/>
  <c r="D135" i="14"/>
  <c r="G140" i="14"/>
  <c r="F140" i="14"/>
  <c r="E140" i="14"/>
  <c r="D140" i="14"/>
  <c r="G130" i="14"/>
  <c r="F130" i="14"/>
  <c r="E130" i="14"/>
  <c r="D130" i="14"/>
  <c r="G125" i="14"/>
  <c r="F125" i="14"/>
  <c r="E125" i="14"/>
  <c r="D125" i="14"/>
  <c r="H36" i="14"/>
  <c r="G116" i="14"/>
  <c r="F116" i="14"/>
  <c r="E116" i="14"/>
  <c r="D116" i="14"/>
  <c r="G115" i="14"/>
  <c r="F115" i="14"/>
  <c r="E115" i="14"/>
  <c r="D115" i="14"/>
  <c r="G114" i="14"/>
  <c r="F114" i="14"/>
  <c r="E114" i="14"/>
  <c r="D114" i="14"/>
  <c r="G113" i="14"/>
  <c r="F113" i="14"/>
  <c r="E113" i="14"/>
  <c r="D113" i="14"/>
  <c r="G110" i="14"/>
  <c r="F110" i="14"/>
  <c r="E110" i="14"/>
  <c r="D110" i="14"/>
  <c r="G109" i="14"/>
  <c r="F109" i="14"/>
  <c r="E109" i="14"/>
  <c r="D109" i="14"/>
  <c r="G108" i="14"/>
  <c r="F108" i="14"/>
  <c r="E108" i="14"/>
  <c r="D108" i="14"/>
  <c r="G107" i="14"/>
  <c r="F107" i="14"/>
  <c r="E107" i="14"/>
  <c r="D107" i="14"/>
  <c r="G104" i="14"/>
  <c r="F104" i="14"/>
  <c r="E104" i="14"/>
  <c r="D104" i="14"/>
  <c r="G103" i="14"/>
  <c r="F103" i="14"/>
  <c r="E103" i="14"/>
  <c r="D103" i="14"/>
  <c r="G102" i="14"/>
  <c r="F102" i="14"/>
  <c r="E102" i="14"/>
  <c r="D102" i="14"/>
  <c r="G101" i="14"/>
  <c r="F101" i="14"/>
  <c r="E101" i="14"/>
  <c r="D101" i="14"/>
  <c r="G98" i="14"/>
  <c r="F98" i="14"/>
  <c r="E98" i="14"/>
  <c r="D98" i="14"/>
  <c r="G84" i="14"/>
  <c r="F84" i="14"/>
  <c r="E84" i="14"/>
  <c r="D84" i="14"/>
  <c r="G78" i="14"/>
  <c r="F78" i="14"/>
  <c r="E78" i="14"/>
  <c r="D78" i="14"/>
  <c r="G72" i="14"/>
  <c r="F72" i="14"/>
  <c r="E72" i="14"/>
  <c r="D72" i="14"/>
  <c r="G87" i="14"/>
  <c r="F87" i="14"/>
  <c r="E87" i="14"/>
  <c r="D87" i="14"/>
  <c r="G86" i="14"/>
  <c r="F86" i="14"/>
  <c r="E86" i="14"/>
  <c r="D86" i="14"/>
  <c r="G85" i="14"/>
  <c r="F85" i="14"/>
  <c r="E85" i="14"/>
  <c r="D85" i="14"/>
  <c r="G81" i="14"/>
  <c r="F81" i="14"/>
  <c r="E81" i="14"/>
  <c r="D81" i="14"/>
  <c r="G80" i="14"/>
  <c r="F80" i="14"/>
  <c r="E80" i="14"/>
  <c r="D80" i="14"/>
  <c r="G79" i="14"/>
  <c r="F79" i="14"/>
  <c r="E79" i="14"/>
  <c r="D79" i="14"/>
  <c r="G75" i="14"/>
  <c r="F75" i="14"/>
  <c r="E75" i="14"/>
  <c r="D75" i="14"/>
  <c r="G74" i="14"/>
  <c r="F74" i="14"/>
  <c r="E74" i="14"/>
  <c r="D74" i="14"/>
  <c r="G73" i="14"/>
  <c r="F73" i="14"/>
  <c r="E73" i="14"/>
  <c r="D73" i="14"/>
  <c r="G69" i="14"/>
  <c r="F69" i="14"/>
  <c r="E69" i="14"/>
  <c r="D69" i="14"/>
  <c r="G68" i="14"/>
  <c r="F68" i="14"/>
  <c r="E68" i="14"/>
  <c r="D68" i="14"/>
  <c r="G67" i="14"/>
  <c r="F67" i="14"/>
  <c r="E67" i="14"/>
  <c r="D67" i="14"/>
  <c r="G66" i="14"/>
  <c r="F66" i="14"/>
  <c r="E66" i="14"/>
  <c r="D66" i="14"/>
  <c r="G63" i="14"/>
  <c r="F63" i="14"/>
  <c r="E63" i="14"/>
  <c r="D63" i="14"/>
  <c r="G61" i="14"/>
  <c r="F61" i="14"/>
  <c r="E61" i="14"/>
  <c r="D61" i="14"/>
  <c r="G56" i="14"/>
  <c r="F56" i="14"/>
  <c r="E56" i="14"/>
  <c r="D56" i="14"/>
  <c r="G55" i="14"/>
  <c r="F55" i="14"/>
  <c r="E55" i="14"/>
  <c r="D55" i="14"/>
  <c r="G54" i="14"/>
  <c r="F54" i="14"/>
  <c r="E54" i="14"/>
  <c r="D54" i="14"/>
  <c r="G51" i="14"/>
  <c r="F51" i="14"/>
  <c r="E51" i="14"/>
  <c r="D51" i="14"/>
  <c r="G50" i="14"/>
  <c r="F50" i="14"/>
  <c r="E50" i="14"/>
  <c r="D50" i="14"/>
  <c r="G49" i="14"/>
  <c r="F49" i="14"/>
  <c r="E49" i="14"/>
  <c r="D49" i="14"/>
  <c r="G46" i="14"/>
  <c r="F46" i="14"/>
  <c r="E46" i="14"/>
  <c r="D46" i="14"/>
  <c r="G44" i="14"/>
  <c r="F44" i="14"/>
  <c r="E44" i="14"/>
  <c r="D44" i="14"/>
  <c r="G39" i="14"/>
  <c r="F39" i="14"/>
  <c r="E39" i="14"/>
  <c r="D39" i="14"/>
  <c r="G37" i="14"/>
  <c r="F37" i="14"/>
  <c r="E37" i="14"/>
  <c r="D37" i="14"/>
  <c r="G35" i="14"/>
  <c r="F35" i="14"/>
  <c r="E35" i="14"/>
  <c r="D35" i="14"/>
  <c r="G33" i="14"/>
  <c r="F33" i="14"/>
  <c r="E33" i="14"/>
  <c r="D33" i="14"/>
  <c r="G31" i="14"/>
  <c r="F31" i="14"/>
  <c r="E31" i="14"/>
  <c r="D31" i="14"/>
  <c r="G29" i="14"/>
  <c r="F29" i="14"/>
  <c r="E29" i="14"/>
  <c r="D2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G262" i="12"/>
  <c r="F262" i="12"/>
  <c r="E262" i="12"/>
  <c r="D262" i="12"/>
  <c r="G261" i="12"/>
  <c r="F261" i="12"/>
  <c r="E261" i="12"/>
  <c r="D261" i="12"/>
  <c r="G257" i="12"/>
  <c r="F257" i="12"/>
  <c r="E257" i="12"/>
  <c r="D257" i="12"/>
  <c r="G254" i="12"/>
  <c r="F254" i="12"/>
  <c r="E254" i="12"/>
  <c r="D254" i="12"/>
  <c r="G253" i="12"/>
  <c r="F253" i="12"/>
  <c r="E253" i="12"/>
  <c r="D253" i="12"/>
  <c r="G241" i="12"/>
  <c r="F241" i="12"/>
  <c r="E241" i="12"/>
  <c r="D241" i="12"/>
  <c r="G240" i="12"/>
  <c r="F240" i="12"/>
  <c r="E240" i="12"/>
  <c r="D240" i="12"/>
  <c r="G239" i="12"/>
  <c r="F239" i="12"/>
  <c r="E239" i="12"/>
  <c r="D239" i="12"/>
  <c r="G238" i="12"/>
  <c r="F238" i="12"/>
  <c r="E238" i="12"/>
  <c r="D238" i="12"/>
  <c r="G235" i="12"/>
  <c r="F235" i="12"/>
  <c r="E235" i="12"/>
  <c r="D235" i="12"/>
  <c r="G234" i="12"/>
  <c r="F234" i="12"/>
  <c r="E234" i="12"/>
  <c r="D234" i="12"/>
  <c r="G233" i="12"/>
  <c r="F233" i="12"/>
  <c r="E233" i="12"/>
  <c r="D233" i="12"/>
  <c r="G232" i="12"/>
  <c r="F232" i="12"/>
  <c r="E232" i="12"/>
  <c r="D232" i="12"/>
  <c r="G228" i="12"/>
  <c r="F228" i="12"/>
  <c r="E228" i="12"/>
  <c r="D228" i="12"/>
  <c r="G227" i="12"/>
  <c r="F227" i="12"/>
  <c r="E227" i="12"/>
  <c r="D227" i="12"/>
  <c r="G226" i="12"/>
  <c r="F226" i="12"/>
  <c r="E226" i="12"/>
  <c r="D226" i="12"/>
  <c r="G225" i="12"/>
  <c r="F225" i="12"/>
  <c r="E225" i="12"/>
  <c r="D225" i="12"/>
  <c r="G222" i="12"/>
  <c r="F222" i="12"/>
  <c r="E222" i="12"/>
  <c r="D222" i="12"/>
  <c r="G221" i="12"/>
  <c r="F221" i="12"/>
  <c r="E221" i="12"/>
  <c r="D221" i="12"/>
  <c r="G220" i="12"/>
  <c r="F220" i="12"/>
  <c r="E220" i="12"/>
  <c r="D220" i="12"/>
  <c r="G219" i="12"/>
  <c r="F219" i="12"/>
  <c r="E219" i="12"/>
  <c r="D219" i="12"/>
  <c r="G215" i="12"/>
  <c r="F215" i="12"/>
  <c r="E215" i="12"/>
  <c r="D215" i="12"/>
  <c r="G214" i="12"/>
  <c r="F214" i="12"/>
  <c r="E214" i="12"/>
  <c r="D214" i="12"/>
  <c r="G213" i="12"/>
  <c r="F213" i="12"/>
  <c r="E213" i="12"/>
  <c r="D213" i="12"/>
  <c r="G212" i="12"/>
  <c r="F212" i="12"/>
  <c r="E212" i="12"/>
  <c r="D212" i="12"/>
  <c r="G209" i="12"/>
  <c r="F209" i="12"/>
  <c r="E209" i="12"/>
  <c r="D209" i="12"/>
  <c r="G208" i="12"/>
  <c r="F208" i="12"/>
  <c r="E208" i="12"/>
  <c r="D208" i="12"/>
  <c r="G207" i="12"/>
  <c r="F207" i="12"/>
  <c r="E207" i="12"/>
  <c r="D207" i="12"/>
  <c r="G206" i="12"/>
  <c r="F206" i="12"/>
  <c r="E206" i="12"/>
  <c r="D206" i="12"/>
  <c r="G203" i="12"/>
  <c r="F203" i="12"/>
  <c r="E203" i="12"/>
  <c r="D203" i="12"/>
  <c r="G202" i="12"/>
  <c r="F202" i="12"/>
  <c r="E202" i="12"/>
  <c r="D202" i="12"/>
  <c r="G201" i="12"/>
  <c r="F201" i="12"/>
  <c r="E201" i="12"/>
  <c r="D201" i="12"/>
  <c r="G200" i="12"/>
  <c r="F200" i="12"/>
  <c r="E200" i="12"/>
  <c r="D200" i="12"/>
  <c r="G199" i="12"/>
  <c r="F199" i="12"/>
  <c r="E199" i="12"/>
  <c r="D199" i="12"/>
  <c r="G196" i="12"/>
  <c r="F196" i="12"/>
  <c r="E196" i="12"/>
  <c r="D196" i="12"/>
  <c r="G197" i="12"/>
  <c r="F197" i="12"/>
  <c r="E197" i="12"/>
  <c r="D197" i="12"/>
  <c r="G195" i="12"/>
  <c r="F195" i="12"/>
  <c r="E195" i="12"/>
  <c r="D195" i="12"/>
  <c r="G194" i="12"/>
  <c r="F194" i="12"/>
  <c r="E194" i="12"/>
  <c r="D194" i="12"/>
  <c r="G192" i="12"/>
  <c r="F192" i="12"/>
  <c r="E192" i="12"/>
  <c r="D192" i="12"/>
  <c r="G191" i="12"/>
  <c r="F191" i="12"/>
  <c r="E191" i="12"/>
  <c r="D191" i="12"/>
  <c r="G190" i="12"/>
  <c r="F190" i="12"/>
  <c r="E190" i="12"/>
  <c r="D190" i="12"/>
  <c r="G189" i="12"/>
  <c r="F189" i="12"/>
  <c r="E189" i="12"/>
  <c r="D189" i="12"/>
  <c r="G187" i="12"/>
  <c r="F187" i="12"/>
  <c r="E187" i="12"/>
  <c r="D187" i="12"/>
  <c r="G186" i="12"/>
  <c r="F186" i="12"/>
  <c r="E186" i="12"/>
  <c r="D186" i="12"/>
  <c r="G185" i="12"/>
  <c r="F185" i="12"/>
  <c r="E185" i="12"/>
  <c r="D185" i="12"/>
  <c r="G184" i="12"/>
  <c r="F184" i="12"/>
  <c r="E184" i="12"/>
  <c r="D184" i="12"/>
  <c r="G182" i="12"/>
  <c r="F182" i="12"/>
  <c r="E182" i="12"/>
  <c r="D182" i="12"/>
  <c r="G181" i="12"/>
  <c r="F181" i="12"/>
  <c r="E181" i="12"/>
  <c r="D181" i="12"/>
  <c r="G180" i="12"/>
  <c r="F180" i="12"/>
  <c r="E180" i="12"/>
  <c r="D180" i="12"/>
  <c r="G179" i="12"/>
  <c r="F179" i="12"/>
  <c r="E179" i="12"/>
  <c r="D179" i="12"/>
  <c r="G178" i="12"/>
  <c r="F178" i="12"/>
  <c r="E178" i="12"/>
  <c r="D178" i="12"/>
  <c r="G177" i="12"/>
  <c r="F177" i="12"/>
  <c r="E177" i="12"/>
  <c r="D177" i="12"/>
  <c r="G175" i="12"/>
  <c r="F175" i="12"/>
  <c r="E175" i="12"/>
  <c r="D175" i="12"/>
  <c r="G174" i="12"/>
  <c r="F174" i="12"/>
  <c r="E174" i="12"/>
  <c r="D174" i="12"/>
  <c r="G173" i="12"/>
  <c r="F173" i="12"/>
  <c r="E173" i="12"/>
  <c r="D173" i="12"/>
  <c r="G172" i="12"/>
  <c r="F172" i="12"/>
  <c r="E172" i="12"/>
  <c r="D172" i="12"/>
  <c r="G171" i="12"/>
  <c r="F171" i="12"/>
  <c r="E171" i="12"/>
  <c r="D171" i="12"/>
  <c r="G170" i="12"/>
  <c r="F170" i="12"/>
  <c r="E170" i="12"/>
  <c r="D170" i="12"/>
  <c r="G169" i="12"/>
  <c r="F169" i="12"/>
  <c r="E169" i="12"/>
  <c r="D169" i="12"/>
  <c r="G168" i="12"/>
  <c r="F168" i="12"/>
  <c r="E168" i="12"/>
  <c r="D168" i="12"/>
  <c r="G167" i="12"/>
  <c r="F167" i="12"/>
  <c r="E167" i="12"/>
  <c r="D167" i="12"/>
  <c r="G165" i="12"/>
  <c r="F165" i="12"/>
  <c r="E165" i="12"/>
  <c r="D165" i="12"/>
  <c r="G164" i="12"/>
  <c r="F164" i="12"/>
  <c r="E164" i="12"/>
  <c r="D164" i="12"/>
  <c r="G163" i="12"/>
  <c r="F163" i="12"/>
  <c r="E163" i="12"/>
  <c r="D163" i="12"/>
  <c r="G162" i="12"/>
  <c r="F162" i="12"/>
  <c r="E162" i="12"/>
  <c r="D162" i="12"/>
  <c r="G161" i="12"/>
  <c r="F161" i="12"/>
  <c r="E161" i="12"/>
  <c r="D161" i="12"/>
  <c r="G160" i="12"/>
  <c r="F160" i="12"/>
  <c r="E160" i="12"/>
  <c r="D160" i="12"/>
  <c r="G159" i="12"/>
  <c r="F159" i="12"/>
  <c r="E159" i="12"/>
  <c r="D159" i="12"/>
  <c r="G158" i="12"/>
  <c r="F158" i="12"/>
  <c r="E158" i="12"/>
  <c r="D158" i="12"/>
  <c r="G157" i="12"/>
  <c r="F157" i="12"/>
  <c r="E157" i="12"/>
  <c r="D157" i="12"/>
  <c r="G156" i="12"/>
  <c r="F156" i="12"/>
  <c r="E156" i="12"/>
  <c r="D156" i="12"/>
  <c r="G155" i="12"/>
  <c r="F155" i="12"/>
  <c r="E155" i="12"/>
  <c r="D155" i="12"/>
  <c r="G154" i="12"/>
  <c r="F154" i="12"/>
  <c r="E154" i="12"/>
  <c r="D154" i="12"/>
  <c r="G153" i="12"/>
  <c r="F153" i="12"/>
  <c r="E153" i="12"/>
  <c r="D153" i="12"/>
  <c r="G143" i="12"/>
  <c r="F143" i="12"/>
  <c r="E143" i="12"/>
  <c r="D143" i="12"/>
  <c r="G142" i="12"/>
  <c r="F142" i="12"/>
  <c r="E142" i="12"/>
  <c r="G141" i="12"/>
  <c r="F141" i="12"/>
  <c r="E141" i="12"/>
  <c r="D141" i="12"/>
  <c r="G138" i="12"/>
  <c r="F138" i="12"/>
  <c r="E138" i="12"/>
  <c r="D138" i="12"/>
  <c r="G137" i="12"/>
  <c r="F137" i="12"/>
  <c r="E137" i="12"/>
  <c r="D137" i="12"/>
  <c r="G136" i="12"/>
  <c r="F136" i="12"/>
  <c r="E136" i="12"/>
  <c r="D136" i="12"/>
  <c r="G133" i="12"/>
  <c r="F133" i="12"/>
  <c r="E133" i="12"/>
  <c r="D133" i="12"/>
  <c r="G132" i="12"/>
  <c r="F132" i="12"/>
  <c r="E132" i="12"/>
  <c r="D132" i="12"/>
  <c r="G131" i="12"/>
  <c r="F131" i="12"/>
  <c r="E131" i="12"/>
  <c r="D131" i="12"/>
  <c r="G128" i="12"/>
  <c r="F128" i="12"/>
  <c r="E128" i="12"/>
  <c r="D128" i="12"/>
  <c r="G127" i="12"/>
  <c r="F127" i="12"/>
  <c r="E127" i="12"/>
  <c r="D127" i="12"/>
  <c r="G126" i="12"/>
  <c r="F126" i="12"/>
  <c r="E126" i="12"/>
  <c r="D126" i="12"/>
  <c r="G140" i="12"/>
  <c r="F140" i="12"/>
  <c r="E140" i="12"/>
  <c r="D140" i="12"/>
  <c r="G135" i="12"/>
  <c r="F135" i="12"/>
  <c r="E135" i="12"/>
  <c r="D135" i="12"/>
  <c r="G130" i="12"/>
  <c r="F130" i="12"/>
  <c r="E130" i="12"/>
  <c r="D130" i="12"/>
  <c r="G125" i="12"/>
  <c r="F125" i="12"/>
  <c r="E125" i="12"/>
  <c r="D125" i="12"/>
  <c r="G122" i="12"/>
  <c r="F122" i="12"/>
  <c r="E122" i="12"/>
  <c r="D122" i="12"/>
  <c r="G121" i="12"/>
  <c r="F121" i="12"/>
  <c r="E121" i="12"/>
  <c r="D121" i="12"/>
  <c r="G116" i="12"/>
  <c r="F116" i="12"/>
  <c r="E116" i="12"/>
  <c r="D116" i="12"/>
  <c r="G115" i="12"/>
  <c r="F115" i="12"/>
  <c r="E115" i="12"/>
  <c r="D115" i="12"/>
  <c r="G114" i="12"/>
  <c r="F114" i="12"/>
  <c r="E114" i="12"/>
  <c r="D114" i="12"/>
  <c r="G113" i="12"/>
  <c r="F113" i="12"/>
  <c r="E113" i="12"/>
  <c r="D113" i="12"/>
  <c r="G110" i="12"/>
  <c r="F110" i="12"/>
  <c r="E110" i="12"/>
  <c r="D110" i="12"/>
  <c r="G109" i="12"/>
  <c r="F109" i="12"/>
  <c r="E109" i="12"/>
  <c r="D109" i="12"/>
  <c r="G108" i="12"/>
  <c r="F108" i="12"/>
  <c r="E108" i="12"/>
  <c r="D108" i="12"/>
  <c r="G107" i="12"/>
  <c r="F107" i="12"/>
  <c r="E107" i="12"/>
  <c r="D107" i="12"/>
  <c r="G104" i="12"/>
  <c r="F104" i="12"/>
  <c r="E104" i="12"/>
  <c r="D104" i="12"/>
  <c r="G103" i="12"/>
  <c r="F103" i="12"/>
  <c r="E103" i="12"/>
  <c r="D103" i="12"/>
  <c r="G102" i="12"/>
  <c r="F102" i="12"/>
  <c r="E102" i="12"/>
  <c r="D102" i="12"/>
  <c r="G101" i="12"/>
  <c r="F101" i="12"/>
  <c r="E101" i="12"/>
  <c r="D101" i="12"/>
  <c r="G84" i="12"/>
  <c r="F84" i="12"/>
  <c r="E84" i="12"/>
  <c r="D84" i="12"/>
  <c r="G78" i="12"/>
  <c r="F78" i="12"/>
  <c r="E78" i="12"/>
  <c r="D78" i="12"/>
  <c r="G72" i="12"/>
  <c r="F72" i="12"/>
  <c r="E72" i="12"/>
  <c r="D72" i="12"/>
  <c r="G66" i="12"/>
  <c r="F66" i="12"/>
  <c r="E66" i="12"/>
  <c r="D66" i="12"/>
  <c r="G63" i="12"/>
  <c r="F63" i="12"/>
  <c r="E63" i="12"/>
  <c r="D63" i="12"/>
  <c r="G61" i="12"/>
  <c r="F61" i="12"/>
  <c r="E61" i="12"/>
  <c r="D61" i="12"/>
  <c r="G98" i="12"/>
  <c r="F98" i="12"/>
  <c r="E98" i="12"/>
  <c r="D98" i="12"/>
  <c r="G87" i="12"/>
  <c r="F87" i="12"/>
  <c r="E87" i="12"/>
  <c r="D87" i="12"/>
  <c r="G86" i="12"/>
  <c r="F86" i="12"/>
  <c r="E86" i="12"/>
  <c r="D86" i="12"/>
  <c r="G85" i="12"/>
  <c r="F85" i="12"/>
  <c r="E85" i="12"/>
  <c r="D85" i="12"/>
  <c r="G81" i="12"/>
  <c r="F81" i="12"/>
  <c r="E81" i="12"/>
  <c r="D81" i="12"/>
  <c r="G80" i="12"/>
  <c r="F80" i="12"/>
  <c r="E80" i="12"/>
  <c r="D80" i="12"/>
  <c r="G79" i="12"/>
  <c r="F79" i="12"/>
  <c r="E79" i="12"/>
  <c r="D79" i="12"/>
  <c r="G75" i="12"/>
  <c r="F75" i="12"/>
  <c r="E75" i="12"/>
  <c r="D75" i="12"/>
  <c r="G74" i="12"/>
  <c r="F74" i="12"/>
  <c r="E74" i="12"/>
  <c r="D74" i="12"/>
  <c r="G73" i="12"/>
  <c r="F73" i="12"/>
  <c r="E73" i="12"/>
  <c r="D73" i="12"/>
  <c r="G69" i="12"/>
  <c r="F69" i="12"/>
  <c r="E69" i="12"/>
  <c r="D69" i="12"/>
  <c r="G68" i="12"/>
  <c r="F68" i="12"/>
  <c r="E68" i="12"/>
  <c r="D68" i="12"/>
  <c r="G67" i="12"/>
  <c r="F67" i="12"/>
  <c r="E67" i="12"/>
  <c r="D67" i="12"/>
  <c r="G56" i="12"/>
  <c r="F56" i="12"/>
  <c r="E56" i="12"/>
  <c r="D56" i="12"/>
  <c r="G55" i="12"/>
  <c r="F55" i="12"/>
  <c r="E55" i="12"/>
  <c r="D55" i="12"/>
  <c r="G54" i="12"/>
  <c r="F54" i="12"/>
  <c r="E54" i="12"/>
  <c r="D54" i="12"/>
  <c r="G49" i="12"/>
  <c r="F49" i="12"/>
  <c r="E49" i="12"/>
  <c r="D49" i="12"/>
  <c r="G46" i="12"/>
  <c r="F46" i="12"/>
  <c r="E46" i="12"/>
  <c r="D46" i="12"/>
  <c r="G44" i="12"/>
  <c r="F44" i="12"/>
  <c r="E44" i="12"/>
  <c r="D44" i="12"/>
  <c r="G39" i="12"/>
  <c r="F39" i="12"/>
  <c r="E39" i="12"/>
  <c r="D39" i="12"/>
  <c r="G37" i="12"/>
  <c r="F37" i="12"/>
  <c r="E37" i="12"/>
  <c r="D37" i="12"/>
  <c r="G35" i="12"/>
  <c r="F35" i="12"/>
  <c r="E35" i="12"/>
  <c r="D35" i="12"/>
  <c r="G33" i="12"/>
  <c r="F33" i="12"/>
  <c r="E33" i="12"/>
  <c r="D33" i="12"/>
  <c r="G31" i="12"/>
  <c r="F31" i="12"/>
  <c r="E31" i="12"/>
  <c r="D31" i="12"/>
  <c r="G29" i="12"/>
  <c r="F29" i="12"/>
  <c r="E29" i="12"/>
  <c r="D29" i="12"/>
  <c r="P262" i="11"/>
  <c r="P261" i="11"/>
  <c r="G263" i="14" l="1"/>
  <c r="H61" i="12"/>
  <c r="H63" i="12"/>
  <c r="H29" i="12"/>
  <c r="G90" i="14"/>
  <c r="H121" i="12"/>
  <c r="F90" i="14"/>
  <c r="G263" i="12"/>
  <c r="F236" i="14"/>
  <c r="E236" i="12"/>
  <c r="F263" i="17"/>
  <c r="F88" i="14"/>
  <c r="F89" i="14" s="1"/>
  <c r="E145" i="14"/>
  <c r="H79" i="14"/>
  <c r="P263" i="11"/>
  <c r="H136" i="14"/>
  <c r="H126" i="12"/>
  <c r="H116" i="14"/>
  <c r="H110" i="14"/>
  <c r="H104" i="14"/>
  <c r="H85" i="14"/>
  <c r="H84" i="14"/>
  <c r="H78" i="14"/>
  <c r="H246" i="14"/>
  <c r="G236" i="12"/>
  <c r="G145" i="14"/>
  <c r="G145" i="12"/>
  <c r="H84" i="12"/>
  <c r="H72" i="14"/>
  <c r="H66" i="14"/>
  <c r="H66" i="12"/>
  <c r="F236" i="12"/>
  <c r="H141" i="14"/>
  <c r="H140" i="14"/>
  <c r="F145" i="14"/>
  <c r="F145" i="12"/>
  <c r="F93" i="12"/>
  <c r="H245" i="14"/>
  <c r="H196" i="14"/>
  <c r="H143" i="14"/>
  <c r="E145" i="12"/>
  <c r="H135" i="14"/>
  <c r="H137" i="14"/>
  <c r="H138" i="14"/>
  <c r="H132" i="14"/>
  <c r="H127" i="14"/>
  <c r="H114" i="12"/>
  <c r="H113" i="14"/>
  <c r="H114" i="14"/>
  <c r="H115" i="14"/>
  <c r="H108" i="12"/>
  <c r="H107" i="14"/>
  <c r="H108" i="14"/>
  <c r="H109" i="14"/>
  <c r="H102" i="12"/>
  <c r="H101" i="14"/>
  <c r="H102" i="14"/>
  <c r="H103" i="14"/>
  <c r="E90" i="14"/>
  <c r="H68" i="14"/>
  <c r="D236" i="12"/>
  <c r="H196" i="12"/>
  <c r="D145" i="14"/>
  <c r="H130" i="14"/>
  <c r="H133" i="14"/>
  <c r="H125" i="14"/>
  <c r="D145" i="12"/>
  <c r="H125" i="12"/>
  <c r="H128" i="14"/>
  <c r="H115" i="12"/>
  <c r="H116" i="12"/>
  <c r="H109" i="12"/>
  <c r="H110" i="12"/>
  <c r="H104" i="12"/>
  <c r="H103" i="12"/>
  <c r="H98" i="14"/>
  <c r="D90" i="14"/>
  <c r="H78" i="12"/>
  <c r="H73" i="14"/>
  <c r="H72" i="12"/>
  <c r="H69" i="14"/>
  <c r="D263" i="17"/>
  <c r="G263" i="17"/>
  <c r="H113" i="12"/>
  <c r="H101" i="12"/>
  <c r="H107" i="12"/>
  <c r="H35" i="14"/>
  <c r="D148" i="11"/>
  <c r="H131" i="14"/>
  <c r="H126" i="14"/>
  <c r="H61" i="14"/>
  <c r="F263" i="14"/>
  <c r="D263" i="11"/>
  <c r="D146" i="11"/>
  <c r="H35" i="12"/>
  <c r="F134" i="14"/>
  <c r="E236" i="14"/>
  <c r="D236" i="14"/>
  <c r="F263" i="12"/>
  <c r="F88" i="12"/>
  <c r="F89" i="12" s="1"/>
  <c r="G134" i="12"/>
  <c r="G139" i="12"/>
  <c r="F134" i="12"/>
  <c r="E263" i="12"/>
  <c r="D129" i="11"/>
  <c r="D147" i="11"/>
  <c r="D134" i="11"/>
  <c r="D144" i="11"/>
  <c r="D236" i="11"/>
  <c r="D145" i="11"/>
  <c r="D139" i="11"/>
  <c r="F92" i="12"/>
  <c r="F91" i="14"/>
  <c r="F256" i="14" s="1"/>
  <c r="F92" i="14"/>
  <c r="F93" i="14"/>
  <c r="F91" i="12"/>
  <c r="F256" i="12" s="1"/>
  <c r="E134" i="12"/>
  <c r="D263" i="14"/>
  <c r="D148" i="12"/>
  <c r="D139" i="12"/>
  <c r="D129" i="12"/>
  <c r="D88" i="14"/>
  <c r="D89" i="14" s="1"/>
  <c r="D93" i="12"/>
  <c r="D91" i="14"/>
  <c r="D256" i="14" s="1"/>
  <c r="G236" i="14"/>
  <c r="H80" i="12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H86" i="12"/>
  <c r="G92" i="12"/>
  <c r="G92" i="14"/>
  <c r="G91" i="14"/>
  <c r="G256" i="14" s="1"/>
  <c r="D90" i="11"/>
  <c r="H75" i="12"/>
  <c r="G91" i="12"/>
  <c r="G256" i="12" s="1"/>
  <c r="H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H261" i="12"/>
  <c r="E263" i="14"/>
  <c r="H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D89" i="11" s="1"/>
  <c r="E88" i="12"/>
  <c r="E89" i="12" s="1"/>
  <c r="D92" i="11"/>
  <c r="P92" i="11" s="1"/>
  <c r="E91" i="12"/>
  <c r="E256" i="12" s="1"/>
  <c r="E92" i="12"/>
  <c r="D263" i="12"/>
  <c r="H261" i="14"/>
  <c r="D148" i="14"/>
  <c r="D134" i="12"/>
  <c r="D134" i="14"/>
  <c r="D129" i="14"/>
  <c r="D146" i="12"/>
  <c r="D146" i="14"/>
  <c r="D139" i="14"/>
  <c r="D88" i="12"/>
  <c r="D89" i="12" s="1"/>
  <c r="H85" i="12"/>
  <c r="D92" i="14"/>
  <c r="D93" i="14"/>
  <c r="D92" i="12"/>
  <c r="D91" i="12"/>
  <c r="D256" i="12" s="1"/>
  <c r="E90" i="12"/>
  <c r="F90" i="12"/>
  <c r="G90" i="12"/>
  <c r="D90" i="12"/>
  <c r="F94" i="12" l="1"/>
  <c r="D94" i="12"/>
  <c r="D95" i="12" s="1"/>
  <c r="D255" i="12" s="1"/>
  <c r="H90" i="14"/>
  <c r="H139" i="14"/>
  <c r="H111" i="14"/>
  <c r="H105" i="14"/>
  <c r="H117" i="14"/>
  <c r="H134" i="14"/>
  <c r="H90" i="12"/>
  <c r="H91" i="14"/>
  <c r="H122" i="12"/>
  <c r="F94" i="14"/>
  <c r="F95" i="14" s="1"/>
  <c r="F255" i="14" s="1"/>
  <c r="D94" i="11"/>
  <c r="D149" i="11"/>
  <c r="G94" i="14"/>
  <c r="G95" i="14" s="1"/>
  <c r="G255" i="14" s="1"/>
  <c r="G94" i="12"/>
  <c r="G95" i="12" s="1"/>
  <c r="G255" i="12" s="1"/>
  <c r="F95" i="12"/>
  <c r="F255" i="12" s="1"/>
  <c r="H92" i="14"/>
  <c r="H93" i="12"/>
  <c r="H263" i="14"/>
  <c r="H263" i="12"/>
  <c r="G149" i="12"/>
  <c r="G149" i="14"/>
  <c r="H93" i="14"/>
  <c r="F149" i="14"/>
  <c r="F149" i="12"/>
  <c r="E149" i="14"/>
  <c r="E149" i="12"/>
  <c r="E94" i="12"/>
  <c r="E95" i="12" s="1"/>
  <c r="E255" i="12" s="1"/>
  <c r="H92" i="12"/>
  <c r="E94" i="14"/>
  <c r="E95" i="14" s="1"/>
  <c r="E255" i="14" s="1"/>
  <c r="H88" i="12"/>
  <c r="D94" i="14"/>
  <c r="D95" i="14" s="1"/>
  <c r="D255" i="14" s="1"/>
  <c r="H118" i="14" l="1"/>
  <c r="H119" i="14" s="1"/>
  <c r="H94" i="14"/>
  <c r="H95" i="14" s="1"/>
  <c r="D93" i="4"/>
  <c r="D92" i="4"/>
  <c r="D91" i="4"/>
  <c r="D90" i="4"/>
  <c r="D89" i="4"/>
  <c r="D94" i="4" l="1"/>
  <c r="P93" i="4"/>
  <c r="D95" i="4"/>
  <c r="D263" i="4" l="1"/>
  <c r="D236" i="4"/>
  <c r="D129" i="4" l="1"/>
  <c r="D134" i="4"/>
  <c r="D139" i="4"/>
  <c r="D144" i="4"/>
  <c r="D148" i="4"/>
  <c r="D147" i="4"/>
  <c r="D146" i="4"/>
  <c r="D145" i="4"/>
  <c r="D149" i="4" l="1"/>
  <c r="D263" i="3" l="1"/>
  <c r="D263" i="2"/>
  <c r="D236" i="3"/>
  <c r="D144" i="3"/>
  <c r="D139" i="3"/>
  <c r="D134" i="3"/>
  <c r="D129" i="3"/>
  <c r="D148" i="3"/>
  <c r="D147" i="3"/>
  <c r="D146" i="3"/>
  <c r="D145" i="3"/>
  <c r="D89" i="3"/>
  <c r="D236" i="2"/>
  <c r="D148" i="2"/>
  <c r="D147" i="2"/>
  <c r="D146" i="2"/>
  <c r="D145" i="2"/>
  <c r="D129" i="2"/>
  <c r="D134" i="2"/>
  <c r="D139" i="2"/>
  <c r="D144" i="2"/>
  <c r="D149" i="3" l="1"/>
  <c r="D149" i="2"/>
  <c r="E263" i="1" l="1"/>
  <c r="F263" i="1"/>
  <c r="G263" i="1"/>
  <c r="H263" i="1"/>
  <c r="I263" i="1"/>
  <c r="J263" i="1"/>
  <c r="K263" i="1"/>
  <c r="L263" i="1"/>
  <c r="M263" i="1"/>
  <c r="N263" i="1"/>
  <c r="O263" i="1"/>
  <c r="D263" i="1"/>
  <c r="D146" i="1" l="1"/>
  <c r="D147" i="1"/>
  <c r="D148" i="1"/>
  <c r="D145" i="1"/>
  <c r="D144" i="1"/>
  <c r="D139" i="1"/>
  <c r="D134" i="1"/>
  <c r="D129" i="1"/>
  <c r="D93" i="1"/>
  <c r="P93" i="1" s="1"/>
  <c r="D92" i="1"/>
  <c r="D91" i="1"/>
  <c r="D256" i="4"/>
  <c r="D93" i="3"/>
  <c r="P93" i="3" s="1"/>
  <c r="D92" i="3"/>
  <c r="D91" i="3"/>
  <c r="D256" i="3" s="1"/>
  <c r="D90" i="3"/>
  <c r="D93" i="2"/>
  <c r="P93" i="2" s="1"/>
  <c r="D92" i="2"/>
  <c r="D91" i="2"/>
  <c r="D256" i="2" s="1"/>
  <c r="D90" i="2"/>
  <c r="E144" i="1" l="1"/>
  <c r="E147" i="1"/>
  <c r="E149" i="1" s="1"/>
  <c r="E147" i="11"/>
  <c r="E149" i="11" s="1"/>
  <c r="D142" i="12"/>
  <c r="D142" i="14"/>
  <c r="D149" i="1"/>
  <c r="H142" i="14" l="1"/>
  <c r="H144" i="14" s="1"/>
  <c r="D144" i="14"/>
  <c r="D147" i="14"/>
  <c r="D149" i="14" s="1"/>
  <c r="D144" i="12"/>
  <c r="D147" i="12"/>
  <c r="D149" i="12" s="1"/>
  <c r="D236" i="1"/>
  <c r="D256" i="1" l="1"/>
  <c r="D20" i="16" l="1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9" i="14"/>
  <c r="H20" i="14"/>
  <c r="H14" i="14"/>
  <c r="H12" i="14"/>
  <c r="H11" i="14"/>
  <c r="H17" i="14"/>
  <c r="H13" i="14"/>
  <c r="D20" i="13"/>
  <c r="D19" i="13"/>
  <c r="D18" i="13"/>
  <c r="D17" i="13"/>
  <c r="D12" i="13"/>
  <c r="D13" i="13"/>
  <c r="D14" i="13"/>
  <c r="D11" i="13"/>
  <c r="D9" i="13"/>
  <c r="H9" i="13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G247" i="17" l="1"/>
  <c r="F247" i="17"/>
  <c r="E247" i="17"/>
  <c r="D247" i="17"/>
  <c r="G117" i="17"/>
  <c r="F117" i="17"/>
  <c r="E117" i="17"/>
  <c r="D117" i="17"/>
  <c r="F259" i="16"/>
  <c r="E259" i="16"/>
  <c r="F258" i="16"/>
  <c r="E258" i="16"/>
  <c r="G247" i="16"/>
  <c r="F247" i="16"/>
  <c r="E247" i="16"/>
  <c r="D247" i="16"/>
  <c r="G242" i="16"/>
  <c r="F242" i="16"/>
  <c r="E242" i="16"/>
  <c r="D242" i="16"/>
  <c r="G229" i="16"/>
  <c r="F229" i="16"/>
  <c r="E229" i="16"/>
  <c r="D229" i="16"/>
  <c r="G223" i="16"/>
  <c r="F223" i="16"/>
  <c r="E223" i="16"/>
  <c r="D223" i="16"/>
  <c r="G216" i="16"/>
  <c r="F216" i="16"/>
  <c r="E216" i="16"/>
  <c r="D216" i="16"/>
  <c r="G210" i="16"/>
  <c r="F210" i="16"/>
  <c r="E210" i="16"/>
  <c r="D210" i="16"/>
  <c r="G204" i="16"/>
  <c r="F204" i="16"/>
  <c r="E204" i="16"/>
  <c r="D204" i="16"/>
  <c r="G193" i="16"/>
  <c r="F193" i="16"/>
  <c r="E193" i="16"/>
  <c r="D193" i="16"/>
  <c r="G123" i="16"/>
  <c r="F123" i="16"/>
  <c r="E123" i="16"/>
  <c r="D123" i="16"/>
  <c r="G117" i="16"/>
  <c r="F117" i="16"/>
  <c r="E117" i="16"/>
  <c r="D117" i="16"/>
  <c r="G111" i="16"/>
  <c r="F111" i="16"/>
  <c r="E111" i="16"/>
  <c r="D111" i="16"/>
  <c r="G105" i="16"/>
  <c r="F105" i="16"/>
  <c r="E105" i="16"/>
  <c r="D105" i="16"/>
  <c r="G70" i="16"/>
  <c r="G71" i="16" s="1"/>
  <c r="F70" i="16"/>
  <c r="F71" i="16" s="1"/>
  <c r="E70" i="16"/>
  <c r="E71" i="16" s="1"/>
  <c r="D70" i="16"/>
  <c r="D71" i="16" s="1"/>
  <c r="G62" i="16"/>
  <c r="F62" i="16"/>
  <c r="E62" i="16"/>
  <c r="G47" i="16"/>
  <c r="F47" i="16"/>
  <c r="E47" i="16"/>
  <c r="G45" i="16"/>
  <c r="F45" i="16"/>
  <c r="E45" i="16"/>
  <c r="G40" i="16"/>
  <c r="F40" i="16"/>
  <c r="E40" i="16"/>
  <c r="G38" i="16"/>
  <c r="F38" i="16"/>
  <c r="E38" i="16"/>
  <c r="G34" i="16"/>
  <c r="F34" i="16"/>
  <c r="E34" i="16"/>
  <c r="G32" i="16"/>
  <c r="F32" i="16"/>
  <c r="E32" i="16"/>
  <c r="G30" i="16"/>
  <c r="F30" i="16"/>
  <c r="E30" i="16"/>
  <c r="G21" i="16"/>
  <c r="F21" i="16"/>
  <c r="E21" i="16"/>
  <c r="G15" i="16"/>
  <c r="F15" i="16"/>
  <c r="E15" i="16"/>
  <c r="D47" i="16"/>
  <c r="G259" i="15"/>
  <c r="F259" i="15"/>
  <c r="E259" i="15"/>
  <c r="D259" i="15"/>
  <c r="G258" i="15"/>
  <c r="F258" i="15"/>
  <c r="E258" i="15"/>
  <c r="D258" i="15"/>
  <c r="G242" i="15"/>
  <c r="F242" i="15"/>
  <c r="E242" i="15"/>
  <c r="D242" i="15"/>
  <c r="G229" i="15"/>
  <c r="F229" i="15"/>
  <c r="E229" i="15"/>
  <c r="D229" i="15"/>
  <c r="G223" i="15"/>
  <c r="F223" i="15"/>
  <c r="E223" i="15"/>
  <c r="D223" i="15"/>
  <c r="G216" i="15"/>
  <c r="F216" i="15"/>
  <c r="E216" i="15"/>
  <c r="D216" i="15"/>
  <c r="G210" i="15"/>
  <c r="F210" i="15"/>
  <c r="E210" i="15"/>
  <c r="D210" i="15"/>
  <c r="G204" i="15"/>
  <c r="F204" i="15"/>
  <c r="E204" i="15"/>
  <c r="D204" i="15"/>
  <c r="G193" i="15"/>
  <c r="F193" i="15"/>
  <c r="E193" i="15"/>
  <c r="D193" i="15"/>
  <c r="G123" i="15"/>
  <c r="F123" i="15"/>
  <c r="E123" i="15"/>
  <c r="D123" i="15"/>
  <c r="G105" i="15"/>
  <c r="G119" i="15" s="1"/>
  <c r="F105" i="15"/>
  <c r="F119" i="15" s="1"/>
  <c r="E105" i="15"/>
  <c r="E119" i="15" s="1"/>
  <c r="D105" i="15"/>
  <c r="D119" i="15" s="1"/>
  <c r="G82" i="15"/>
  <c r="G83" i="15" s="1"/>
  <c r="F82" i="15"/>
  <c r="F83" i="15" s="1"/>
  <c r="E82" i="15"/>
  <c r="D82" i="15"/>
  <c r="G76" i="15"/>
  <c r="G77" i="15" s="1"/>
  <c r="F76" i="15"/>
  <c r="F77" i="15" s="1"/>
  <c r="E76" i="15"/>
  <c r="E77" i="15" s="1"/>
  <c r="D76" i="15"/>
  <c r="G70" i="15"/>
  <c r="G71" i="15" s="1"/>
  <c r="F70" i="15"/>
  <c r="F71" i="15" s="1"/>
  <c r="E70" i="15"/>
  <c r="E71" i="15" s="1"/>
  <c r="D70" i="15"/>
  <c r="G62" i="15"/>
  <c r="F62" i="15"/>
  <c r="E62" i="15"/>
  <c r="G47" i="15"/>
  <c r="F47" i="15"/>
  <c r="E47" i="15"/>
  <c r="G45" i="15"/>
  <c r="F45" i="15"/>
  <c r="E45" i="15"/>
  <c r="G40" i="15"/>
  <c r="F40" i="15"/>
  <c r="E40" i="15"/>
  <c r="G38" i="15"/>
  <c r="F38" i="15"/>
  <c r="E38" i="15"/>
  <c r="G34" i="15"/>
  <c r="F34" i="15"/>
  <c r="E34" i="15"/>
  <c r="G32" i="15"/>
  <c r="F32" i="15"/>
  <c r="E32" i="15"/>
  <c r="G30" i="15"/>
  <c r="F30" i="15"/>
  <c r="E30" i="15"/>
  <c r="G21" i="15"/>
  <c r="F21" i="15"/>
  <c r="G15" i="15"/>
  <c r="F15" i="15"/>
  <c r="E15" i="15"/>
  <c r="D15" i="15"/>
  <c r="D47" i="15"/>
  <c r="G259" i="14"/>
  <c r="F259" i="14"/>
  <c r="E259" i="14"/>
  <c r="D259" i="14"/>
  <c r="G258" i="14"/>
  <c r="F258" i="14"/>
  <c r="E258" i="14"/>
  <c r="D258" i="14"/>
  <c r="H257" i="14"/>
  <c r="H256" i="14"/>
  <c r="H255" i="14"/>
  <c r="H254" i="14"/>
  <c r="H253" i="14"/>
  <c r="H247" i="14"/>
  <c r="G247" i="14"/>
  <c r="F247" i="14"/>
  <c r="E247" i="14"/>
  <c r="D247" i="14"/>
  <c r="G242" i="14"/>
  <c r="F242" i="14"/>
  <c r="E242" i="14"/>
  <c r="D242" i="14"/>
  <c r="H241" i="14"/>
  <c r="H240" i="14"/>
  <c r="H239" i="14"/>
  <c r="H238" i="14"/>
  <c r="H235" i="14"/>
  <c r="H234" i="14"/>
  <c r="H233" i="14"/>
  <c r="H232" i="14"/>
  <c r="G229" i="14"/>
  <c r="F229" i="14"/>
  <c r="E229" i="14"/>
  <c r="D229" i="14"/>
  <c r="H228" i="14"/>
  <c r="H227" i="14"/>
  <c r="H226" i="14"/>
  <c r="H225" i="14"/>
  <c r="G223" i="14"/>
  <c r="F223" i="14"/>
  <c r="E223" i="14"/>
  <c r="D223" i="14"/>
  <c r="H222" i="14"/>
  <c r="H221" i="14"/>
  <c r="H220" i="14"/>
  <c r="H219" i="14"/>
  <c r="G216" i="14"/>
  <c r="F216" i="14"/>
  <c r="E216" i="14"/>
  <c r="D216" i="14"/>
  <c r="H215" i="14"/>
  <c r="H214" i="14"/>
  <c r="H213" i="14"/>
  <c r="H212" i="14"/>
  <c r="G210" i="14"/>
  <c r="F210" i="14"/>
  <c r="E210" i="14"/>
  <c r="D210" i="14"/>
  <c r="H209" i="14"/>
  <c r="H208" i="14"/>
  <c r="H207" i="14"/>
  <c r="H206" i="14"/>
  <c r="G204" i="14"/>
  <c r="F204" i="14"/>
  <c r="E204" i="14"/>
  <c r="D204" i="14"/>
  <c r="H203" i="14"/>
  <c r="H202" i="14"/>
  <c r="H201" i="14"/>
  <c r="H200" i="14"/>
  <c r="H199" i="14"/>
  <c r="H197" i="14"/>
  <c r="H195" i="14"/>
  <c r="H194" i="14"/>
  <c r="G193" i="14"/>
  <c r="F193" i="14"/>
  <c r="E193" i="14"/>
  <c r="D193" i="14"/>
  <c r="H192" i="14"/>
  <c r="H191" i="14"/>
  <c r="H190" i="14"/>
  <c r="H189" i="14"/>
  <c r="H187" i="14"/>
  <c r="H186" i="14"/>
  <c r="H185" i="14"/>
  <c r="H184" i="14"/>
  <c r="H182" i="14"/>
  <c r="H181" i="14"/>
  <c r="H180" i="14"/>
  <c r="H179" i="14"/>
  <c r="H178" i="14"/>
  <c r="H177" i="14"/>
  <c r="H175" i="14"/>
  <c r="H174" i="14"/>
  <c r="H173" i="14"/>
  <c r="H172" i="14"/>
  <c r="H171" i="14"/>
  <c r="H170" i="14"/>
  <c r="H169" i="14"/>
  <c r="H168" i="14"/>
  <c r="H167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G123" i="14"/>
  <c r="F123" i="14"/>
  <c r="E123" i="14"/>
  <c r="D123" i="14"/>
  <c r="G117" i="14"/>
  <c r="F117" i="14"/>
  <c r="E117" i="14"/>
  <c r="D117" i="14"/>
  <c r="G111" i="14"/>
  <c r="F111" i="14"/>
  <c r="E111" i="14"/>
  <c r="D111" i="14"/>
  <c r="G105" i="14"/>
  <c r="F105" i="14"/>
  <c r="E105" i="14"/>
  <c r="D105" i="14"/>
  <c r="H87" i="14"/>
  <c r="G82" i="14"/>
  <c r="G83" i="14" s="1"/>
  <c r="F82" i="14"/>
  <c r="F83" i="14" s="1"/>
  <c r="E82" i="14"/>
  <c r="E83" i="14" s="1"/>
  <c r="D82" i="14"/>
  <c r="D83" i="14" s="1"/>
  <c r="G76" i="14"/>
  <c r="G77" i="14" s="1"/>
  <c r="F76" i="14"/>
  <c r="F77" i="14" s="1"/>
  <c r="E76" i="14"/>
  <c r="E77" i="14" s="1"/>
  <c r="D76" i="14"/>
  <c r="D77" i="14" s="1"/>
  <c r="G70" i="14"/>
  <c r="G71" i="14" s="1"/>
  <c r="F70" i="14"/>
  <c r="F71" i="14" s="1"/>
  <c r="E70" i="14"/>
  <c r="E71" i="14" s="1"/>
  <c r="D70" i="14"/>
  <c r="D71" i="14" s="1"/>
  <c r="H67" i="14"/>
  <c r="H63" i="14"/>
  <c r="G62" i="14"/>
  <c r="F62" i="14"/>
  <c r="E62" i="14"/>
  <c r="H56" i="14"/>
  <c r="H55" i="14"/>
  <c r="H54" i="14"/>
  <c r="H51" i="14"/>
  <c r="H50" i="14"/>
  <c r="H49" i="14"/>
  <c r="G47" i="14"/>
  <c r="F47" i="14"/>
  <c r="E47" i="14"/>
  <c r="H46" i="14"/>
  <c r="G45" i="14"/>
  <c r="F45" i="14"/>
  <c r="E45" i="14"/>
  <c r="H44" i="14"/>
  <c r="G40" i="14"/>
  <c r="F40" i="14"/>
  <c r="E40" i="14"/>
  <c r="G38" i="14"/>
  <c r="F38" i="14"/>
  <c r="E38" i="14"/>
  <c r="G34" i="14"/>
  <c r="F34" i="14"/>
  <c r="E34" i="14"/>
  <c r="H33" i="14"/>
  <c r="G32" i="14"/>
  <c r="F32" i="14"/>
  <c r="E32" i="14"/>
  <c r="H31" i="14"/>
  <c r="G30" i="14"/>
  <c r="F30" i="14"/>
  <c r="E30" i="14"/>
  <c r="H29" i="14"/>
  <c r="G21" i="14"/>
  <c r="F21" i="14"/>
  <c r="E21" i="14"/>
  <c r="G15" i="14"/>
  <c r="F15" i="14"/>
  <c r="E15" i="14"/>
  <c r="H9" i="14"/>
  <c r="H62" i="14" s="1"/>
  <c r="D47" i="14"/>
  <c r="F259" i="13"/>
  <c r="G258" i="13"/>
  <c r="F258" i="13"/>
  <c r="E258" i="13"/>
  <c r="D258" i="13"/>
  <c r="H257" i="13"/>
  <c r="H256" i="13"/>
  <c r="H254" i="13"/>
  <c r="H253" i="13"/>
  <c r="G247" i="13"/>
  <c r="F247" i="13"/>
  <c r="E247" i="13"/>
  <c r="D247" i="13"/>
  <c r="G242" i="13"/>
  <c r="F242" i="13"/>
  <c r="E242" i="13"/>
  <c r="D242" i="13"/>
  <c r="H241" i="13"/>
  <c r="H240" i="13"/>
  <c r="H239" i="13"/>
  <c r="H238" i="13"/>
  <c r="H235" i="13"/>
  <c r="H234" i="13"/>
  <c r="H233" i="13"/>
  <c r="H232" i="13"/>
  <c r="G229" i="13"/>
  <c r="F229" i="13"/>
  <c r="E229" i="13"/>
  <c r="D229" i="13"/>
  <c r="H228" i="13"/>
  <c r="H227" i="13"/>
  <c r="H226" i="13"/>
  <c r="H225" i="13"/>
  <c r="G223" i="13"/>
  <c r="F223" i="13"/>
  <c r="E223" i="13"/>
  <c r="D223" i="13"/>
  <c r="H222" i="13"/>
  <c r="H221" i="13"/>
  <c r="H220" i="13"/>
  <c r="H219" i="13"/>
  <c r="G216" i="13"/>
  <c r="F216" i="13"/>
  <c r="E216" i="13"/>
  <c r="D216" i="13"/>
  <c r="H215" i="13"/>
  <c r="H214" i="13"/>
  <c r="H213" i="13"/>
  <c r="H212" i="13"/>
  <c r="G210" i="13"/>
  <c r="F210" i="13"/>
  <c r="E210" i="13"/>
  <c r="D210" i="13"/>
  <c r="H209" i="13"/>
  <c r="H208" i="13"/>
  <c r="H207" i="13"/>
  <c r="H206" i="13"/>
  <c r="G204" i="13"/>
  <c r="F204" i="13"/>
  <c r="E204" i="13"/>
  <c r="D204" i="13"/>
  <c r="H203" i="13"/>
  <c r="H202" i="13"/>
  <c r="H201" i="13"/>
  <c r="H200" i="13"/>
  <c r="H199" i="13"/>
  <c r="H197" i="13"/>
  <c r="H194" i="13"/>
  <c r="G193" i="13"/>
  <c r="F193" i="13"/>
  <c r="E193" i="13"/>
  <c r="D193" i="13"/>
  <c r="H192" i="13"/>
  <c r="H191" i="13"/>
  <c r="H190" i="13"/>
  <c r="H189" i="13"/>
  <c r="H187" i="13"/>
  <c r="H186" i="13"/>
  <c r="H185" i="13"/>
  <c r="H184" i="13"/>
  <c r="H182" i="13"/>
  <c r="H181" i="13"/>
  <c r="H180" i="13"/>
  <c r="H179" i="13"/>
  <c r="H178" i="13"/>
  <c r="H177" i="13"/>
  <c r="H175" i="13"/>
  <c r="H174" i="13"/>
  <c r="H173" i="13"/>
  <c r="H172" i="13"/>
  <c r="H171" i="13"/>
  <c r="H170" i="13"/>
  <c r="H169" i="13"/>
  <c r="H168" i="13"/>
  <c r="H167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G123" i="13"/>
  <c r="F123" i="13"/>
  <c r="E123" i="13"/>
  <c r="D123" i="13"/>
  <c r="G105" i="13"/>
  <c r="G119" i="13" s="1"/>
  <c r="F105" i="13"/>
  <c r="F119" i="13" s="1"/>
  <c r="E105" i="13"/>
  <c r="E119" i="13" s="1"/>
  <c r="D105" i="13"/>
  <c r="D119" i="13" s="1"/>
  <c r="H98" i="13"/>
  <c r="H87" i="13"/>
  <c r="H85" i="13"/>
  <c r="G82" i="13"/>
  <c r="G83" i="13" s="1"/>
  <c r="F82" i="13"/>
  <c r="F83" i="13" s="1"/>
  <c r="E82" i="13"/>
  <c r="E83" i="13" s="1"/>
  <c r="D82" i="13"/>
  <c r="D83" i="13" s="1"/>
  <c r="G76" i="13"/>
  <c r="G77" i="13" s="1"/>
  <c r="F76" i="13"/>
  <c r="F77" i="13" s="1"/>
  <c r="E76" i="13"/>
  <c r="E77" i="13" s="1"/>
  <c r="D76" i="13"/>
  <c r="D77" i="13" s="1"/>
  <c r="H74" i="13"/>
  <c r="H76" i="13" s="1"/>
  <c r="H73" i="13"/>
  <c r="G70" i="13"/>
  <c r="G71" i="13" s="1"/>
  <c r="F70" i="13"/>
  <c r="F71" i="13" s="1"/>
  <c r="E70" i="13"/>
  <c r="D70" i="13"/>
  <c r="D71" i="13" s="1"/>
  <c r="H69" i="13"/>
  <c r="H68" i="13"/>
  <c r="H67" i="13"/>
  <c r="H63" i="13"/>
  <c r="G62" i="13"/>
  <c r="F62" i="13"/>
  <c r="E62" i="13"/>
  <c r="H56" i="13"/>
  <c r="H55" i="13"/>
  <c r="H54" i="13"/>
  <c r="H51" i="13"/>
  <c r="H50" i="13"/>
  <c r="H49" i="13"/>
  <c r="G47" i="13"/>
  <c r="F47" i="13"/>
  <c r="E47" i="13"/>
  <c r="H46" i="13"/>
  <c r="G45" i="13"/>
  <c r="F45" i="13"/>
  <c r="E45" i="13"/>
  <c r="H44" i="13"/>
  <c r="G40" i="13"/>
  <c r="F40" i="13"/>
  <c r="E40" i="13"/>
  <c r="G38" i="13"/>
  <c r="F38" i="13"/>
  <c r="E38" i="13"/>
  <c r="G34" i="13"/>
  <c r="F34" i="13"/>
  <c r="E34" i="13"/>
  <c r="H33" i="13"/>
  <c r="G32" i="13"/>
  <c r="F32" i="13"/>
  <c r="E32" i="13"/>
  <c r="H31" i="13"/>
  <c r="G30" i="13"/>
  <c r="F30" i="13"/>
  <c r="E30" i="13"/>
  <c r="H29" i="13"/>
  <c r="G21" i="13"/>
  <c r="F21" i="13"/>
  <c r="E21" i="13"/>
  <c r="H20" i="13"/>
  <c r="H19" i="13"/>
  <c r="H18" i="13"/>
  <c r="H17" i="13"/>
  <c r="G15" i="13"/>
  <c r="F15" i="13"/>
  <c r="E15" i="13"/>
  <c r="H14" i="13"/>
  <c r="H13" i="13"/>
  <c r="H12" i="13"/>
  <c r="D47" i="13"/>
  <c r="D20" i="12"/>
  <c r="H20" i="12" s="1"/>
  <c r="D19" i="12"/>
  <c r="D18" i="12"/>
  <c r="H18" i="12" s="1"/>
  <c r="D17" i="12"/>
  <c r="H17" i="12" s="1"/>
  <c r="D14" i="12"/>
  <c r="H14" i="12" s="1"/>
  <c r="D13" i="12"/>
  <c r="D38" i="12" s="1"/>
  <c r="D12" i="12"/>
  <c r="H12" i="12" s="1"/>
  <c r="D11" i="12"/>
  <c r="D36" i="12" s="1"/>
  <c r="D9" i="12"/>
  <c r="H87" i="12"/>
  <c r="G259" i="12"/>
  <c r="F259" i="12"/>
  <c r="E259" i="12"/>
  <c r="D259" i="12"/>
  <c r="G258" i="12"/>
  <c r="F258" i="12"/>
  <c r="E258" i="12"/>
  <c r="D258" i="12"/>
  <c r="H257" i="12"/>
  <c r="H256" i="12"/>
  <c r="H255" i="12"/>
  <c r="H254" i="12"/>
  <c r="H253" i="12"/>
  <c r="H247" i="12"/>
  <c r="G247" i="12"/>
  <c r="F247" i="12"/>
  <c r="E247" i="12"/>
  <c r="D247" i="12"/>
  <c r="G242" i="12"/>
  <c r="F242" i="12"/>
  <c r="E242" i="12"/>
  <c r="D242" i="12"/>
  <c r="H241" i="12"/>
  <c r="H240" i="12"/>
  <c r="H239" i="12"/>
  <c r="H238" i="12"/>
  <c r="H235" i="12"/>
  <c r="H234" i="12"/>
  <c r="H233" i="12"/>
  <c r="H232" i="12"/>
  <c r="G229" i="12"/>
  <c r="F229" i="12"/>
  <c r="E229" i="12"/>
  <c r="D229" i="12"/>
  <c r="H228" i="12"/>
  <c r="H227" i="12"/>
  <c r="H226" i="12"/>
  <c r="H225" i="12"/>
  <c r="G223" i="12"/>
  <c r="F223" i="12"/>
  <c r="E223" i="12"/>
  <c r="D223" i="12"/>
  <c r="H222" i="12"/>
  <c r="H221" i="12"/>
  <c r="H220" i="12"/>
  <c r="H219" i="12"/>
  <c r="G216" i="12"/>
  <c r="F216" i="12"/>
  <c r="E216" i="12"/>
  <c r="D216" i="12"/>
  <c r="H215" i="12"/>
  <c r="H214" i="12"/>
  <c r="H213" i="12"/>
  <c r="H212" i="12"/>
  <c r="G210" i="12"/>
  <c r="F210" i="12"/>
  <c r="E210" i="12"/>
  <c r="D210" i="12"/>
  <c r="H209" i="12"/>
  <c r="H208" i="12"/>
  <c r="H207" i="12"/>
  <c r="H206" i="12"/>
  <c r="G204" i="12"/>
  <c r="F204" i="12"/>
  <c r="E204" i="12"/>
  <c r="D204" i="12"/>
  <c r="H203" i="12"/>
  <c r="H202" i="12"/>
  <c r="H201" i="12"/>
  <c r="H200" i="12"/>
  <c r="H199" i="12"/>
  <c r="H197" i="12"/>
  <c r="H195" i="12"/>
  <c r="H194" i="12"/>
  <c r="G193" i="12"/>
  <c r="F193" i="12"/>
  <c r="E193" i="12"/>
  <c r="D193" i="12"/>
  <c r="H192" i="12"/>
  <c r="H191" i="12"/>
  <c r="H190" i="12"/>
  <c r="H189" i="12"/>
  <c r="H187" i="12"/>
  <c r="H186" i="12"/>
  <c r="H185" i="12"/>
  <c r="H184" i="12"/>
  <c r="H182" i="12"/>
  <c r="H181" i="12"/>
  <c r="H180" i="12"/>
  <c r="H179" i="12"/>
  <c r="H178" i="12"/>
  <c r="H177" i="12"/>
  <c r="H175" i="12"/>
  <c r="H174" i="12"/>
  <c r="H173" i="12"/>
  <c r="H172" i="12"/>
  <c r="H171" i="12"/>
  <c r="H170" i="12"/>
  <c r="H169" i="12"/>
  <c r="H168" i="12"/>
  <c r="H167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43" i="12"/>
  <c r="H142" i="12"/>
  <c r="H141" i="12"/>
  <c r="H140" i="12"/>
  <c r="H138" i="12"/>
  <c r="H137" i="12"/>
  <c r="H136" i="12"/>
  <c r="H135" i="12"/>
  <c r="H133" i="12"/>
  <c r="H132" i="12"/>
  <c r="H131" i="12"/>
  <c r="H130" i="12"/>
  <c r="H128" i="12"/>
  <c r="H127" i="12"/>
  <c r="G123" i="12"/>
  <c r="F123" i="12"/>
  <c r="E123" i="12"/>
  <c r="D123" i="12"/>
  <c r="G117" i="12"/>
  <c r="F117" i="12"/>
  <c r="E117" i="12"/>
  <c r="D117" i="12"/>
  <c r="G111" i="12"/>
  <c r="F111" i="12"/>
  <c r="E111" i="12"/>
  <c r="D111" i="12"/>
  <c r="G105" i="12"/>
  <c r="F105" i="12"/>
  <c r="E105" i="12"/>
  <c r="D105" i="12"/>
  <c r="H98" i="12"/>
  <c r="G82" i="12"/>
  <c r="G83" i="12" s="1"/>
  <c r="F82" i="12"/>
  <c r="F83" i="12" s="1"/>
  <c r="E82" i="12"/>
  <c r="E83" i="12" s="1"/>
  <c r="D82" i="12"/>
  <c r="D83" i="12" s="1"/>
  <c r="H79" i="12"/>
  <c r="G76" i="12"/>
  <c r="G77" i="12" s="1"/>
  <c r="F76" i="12"/>
  <c r="F77" i="12" s="1"/>
  <c r="E76" i="12"/>
  <c r="E77" i="12" s="1"/>
  <c r="D76" i="12"/>
  <c r="D77" i="12" s="1"/>
  <c r="G70" i="12"/>
  <c r="G71" i="12" s="1"/>
  <c r="F70" i="12"/>
  <c r="F71" i="12" s="1"/>
  <c r="E70" i="12"/>
  <c r="E71" i="12" s="1"/>
  <c r="D70" i="12"/>
  <c r="D71" i="12" s="1"/>
  <c r="H69" i="12"/>
  <c r="H68" i="12"/>
  <c r="H67" i="12"/>
  <c r="G62" i="12"/>
  <c r="F62" i="12"/>
  <c r="E62" i="12"/>
  <c r="H56" i="12"/>
  <c r="H55" i="12"/>
  <c r="H54" i="12"/>
  <c r="H51" i="12"/>
  <c r="H50" i="12"/>
  <c r="H49" i="12"/>
  <c r="G47" i="12"/>
  <c r="F47" i="12"/>
  <c r="E47" i="12"/>
  <c r="H46" i="12"/>
  <c r="G45" i="12"/>
  <c r="F45" i="12"/>
  <c r="E45" i="12"/>
  <c r="H44" i="12"/>
  <c r="D41" i="12"/>
  <c r="G34" i="12"/>
  <c r="F34" i="12"/>
  <c r="E34" i="12"/>
  <c r="H33" i="12"/>
  <c r="G32" i="12"/>
  <c r="F32" i="12"/>
  <c r="E32" i="12"/>
  <c r="H31" i="12"/>
  <c r="G30" i="12"/>
  <c r="F30" i="12"/>
  <c r="E30" i="12"/>
  <c r="G21" i="12"/>
  <c r="F21" i="12"/>
  <c r="E21" i="12"/>
  <c r="G15" i="12"/>
  <c r="F15" i="12"/>
  <c r="E15" i="12"/>
  <c r="M259" i="11"/>
  <c r="L259" i="11"/>
  <c r="K259" i="11"/>
  <c r="J259" i="11"/>
  <c r="I259" i="11"/>
  <c r="H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E230" i="11" s="1"/>
  <c r="E243" i="11" s="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L22" i="11" s="1"/>
  <c r="K15" i="11"/>
  <c r="J15" i="11"/>
  <c r="I15" i="11"/>
  <c r="H15" i="11"/>
  <c r="G15" i="11"/>
  <c r="F15" i="11"/>
  <c r="E15" i="11"/>
  <c r="D15" i="11"/>
  <c r="D22" i="11" s="1"/>
  <c r="P14" i="11"/>
  <c r="P13" i="11"/>
  <c r="P12" i="11"/>
  <c r="P11" i="11"/>
  <c r="P9" i="11"/>
  <c r="M259" i="4"/>
  <c r="L259" i="4"/>
  <c r="K259" i="4"/>
  <c r="J259" i="4"/>
  <c r="O258" i="4"/>
  <c r="M258" i="4"/>
  <c r="L258" i="4"/>
  <c r="K258" i="4"/>
  <c r="J258" i="4"/>
  <c r="I258" i="4"/>
  <c r="H258" i="4"/>
  <c r="G258" i="4"/>
  <c r="F258" i="4"/>
  <c r="E258" i="4"/>
  <c r="D258" i="4"/>
  <c r="P257" i="4"/>
  <c r="G257" i="17" s="1"/>
  <c r="P254" i="4"/>
  <c r="G254" i="17" s="1"/>
  <c r="P253" i="4"/>
  <c r="G253" i="17" s="1"/>
  <c r="P247" i="4"/>
  <c r="O247" i="4"/>
  <c r="N247" i="4"/>
  <c r="M247" i="4"/>
  <c r="L247" i="4"/>
  <c r="K247" i="4"/>
  <c r="J247" i="4"/>
  <c r="I247" i="4"/>
  <c r="H247" i="4"/>
  <c r="D247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G241" i="17" s="1"/>
  <c r="P240" i="4"/>
  <c r="G240" i="17" s="1"/>
  <c r="P239" i="4"/>
  <c r="G239" i="17" s="1"/>
  <c r="P238" i="4"/>
  <c r="G238" i="17" s="1"/>
  <c r="P235" i="4"/>
  <c r="G235" i="17" s="1"/>
  <c r="P234" i="4"/>
  <c r="G234" i="17" s="1"/>
  <c r="P233" i="4"/>
  <c r="G233" i="17" s="1"/>
  <c r="P232" i="4"/>
  <c r="G232" i="17" s="1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G228" i="17" s="1"/>
  <c r="P227" i="4"/>
  <c r="G227" i="17" s="1"/>
  <c r="P226" i="4"/>
  <c r="G226" i="17" s="1"/>
  <c r="P225" i="4"/>
  <c r="G225" i="17" s="1"/>
  <c r="O223" i="4"/>
  <c r="N223" i="4"/>
  <c r="N230" i="4" s="1"/>
  <c r="M223" i="4"/>
  <c r="L223" i="4"/>
  <c r="K223" i="4"/>
  <c r="J223" i="4"/>
  <c r="I223" i="4"/>
  <c r="H223" i="4"/>
  <c r="G223" i="4"/>
  <c r="F223" i="4"/>
  <c r="F230" i="4" s="1"/>
  <c r="E223" i="4"/>
  <c r="D223" i="4"/>
  <c r="P222" i="4"/>
  <c r="G222" i="17" s="1"/>
  <c r="P221" i="4"/>
  <c r="G221" i="17" s="1"/>
  <c r="P220" i="4"/>
  <c r="G220" i="17" s="1"/>
  <c r="P219" i="4"/>
  <c r="G219" i="17" s="1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G215" i="17" s="1"/>
  <c r="P214" i="4"/>
  <c r="G214" i="17" s="1"/>
  <c r="P213" i="4"/>
  <c r="G213" i="17" s="1"/>
  <c r="P212" i="4"/>
  <c r="G212" i="17" s="1"/>
  <c r="O210" i="4"/>
  <c r="N210" i="4"/>
  <c r="M210" i="4"/>
  <c r="K210" i="4"/>
  <c r="J210" i="4"/>
  <c r="I210" i="4"/>
  <c r="H210" i="4"/>
  <c r="G210" i="4"/>
  <c r="F210" i="4"/>
  <c r="E210" i="4"/>
  <c r="D210" i="4"/>
  <c r="P209" i="4"/>
  <c r="G209" i="17" s="1"/>
  <c r="P208" i="4"/>
  <c r="G208" i="17" s="1"/>
  <c r="P207" i="4"/>
  <c r="G207" i="17" s="1"/>
  <c r="P206" i="4"/>
  <c r="G206" i="17" s="1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G203" i="17" s="1"/>
  <c r="P202" i="4"/>
  <c r="G202" i="17" s="1"/>
  <c r="P201" i="4"/>
  <c r="G201" i="17" s="1"/>
  <c r="P200" i="4"/>
  <c r="G200" i="17" s="1"/>
  <c r="P199" i="4"/>
  <c r="G199" i="17" s="1"/>
  <c r="P197" i="4"/>
  <c r="G197" i="17" s="1"/>
  <c r="P195" i="4"/>
  <c r="G195" i="17" s="1"/>
  <c r="P194" i="4"/>
  <c r="G194" i="17" s="1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G192" i="17" s="1"/>
  <c r="P191" i="4"/>
  <c r="G191" i="17" s="1"/>
  <c r="P190" i="4"/>
  <c r="G190" i="17" s="1"/>
  <c r="P189" i="4"/>
  <c r="G189" i="17" s="1"/>
  <c r="P187" i="4"/>
  <c r="G187" i="17" s="1"/>
  <c r="P186" i="4"/>
  <c r="G186" i="17" s="1"/>
  <c r="P185" i="4"/>
  <c r="G185" i="17" s="1"/>
  <c r="P184" i="4"/>
  <c r="G184" i="17" s="1"/>
  <c r="P182" i="4"/>
  <c r="G182" i="17" s="1"/>
  <c r="P181" i="4"/>
  <c r="G181" i="17" s="1"/>
  <c r="P180" i="4"/>
  <c r="G180" i="17" s="1"/>
  <c r="P179" i="4"/>
  <c r="G179" i="17" s="1"/>
  <c r="P178" i="4"/>
  <c r="G178" i="17" s="1"/>
  <c r="P177" i="4"/>
  <c r="G177" i="17" s="1"/>
  <c r="P175" i="4"/>
  <c r="G175" i="17" s="1"/>
  <c r="P174" i="4"/>
  <c r="G174" i="17" s="1"/>
  <c r="P173" i="4"/>
  <c r="G173" i="17" s="1"/>
  <c r="P172" i="4"/>
  <c r="G172" i="17" s="1"/>
  <c r="P171" i="4"/>
  <c r="G171" i="17" s="1"/>
  <c r="P170" i="4"/>
  <c r="G170" i="17" s="1"/>
  <c r="P169" i="4"/>
  <c r="G169" i="17" s="1"/>
  <c r="P168" i="4"/>
  <c r="G168" i="17" s="1"/>
  <c r="P167" i="4"/>
  <c r="G167" i="17" s="1"/>
  <c r="P165" i="4"/>
  <c r="G165" i="17" s="1"/>
  <c r="P164" i="4"/>
  <c r="G164" i="17" s="1"/>
  <c r="P163" i="4"/>
  <c r="G163" i="17" s="1"/>
  <c r="P162" i="4"/>
  <c r="G162" i="17" s="1"/>
  <c r="P161" i="4"/>
  <c r="G161" i="17" s="1"/>
  <c r="P160" i="4"/>
  <c r="G160" i="17" s="1"/>
  <c r="P159" i="4"/>
  <c r="G159" i="17" s="1"/>
  <c r="P158" i="4"/>
  <c r="G158" i="17" s="1"/>
  <c r="P157" i="4"/>
  <c r="G157" i="17" s="1"/>
  <c r="P156" i="4"/>
  <c r="G156" i="17" s="1"/>
  <c r="P155" i="4"/>
  <c r="G155" i="17" s="1"/>
  <c r="P154" i="4"/>
  <c r="G154" i="17" s="1"/>
  <c r="P153" i="4"/>
  <c r="G153" i="17" s="1"/>
  <c r="P143" i="4"/>
  <c r="G143" i="17" s="1"/>
  <c r="P142" i="4"/>
  <c r="G142" i="17" s="1"/>
  <c r="P141" i="4"/>
  <c r="G141" i="17" s="1"/>
  <c r="P140" i="4"/>
  <c r="G140" i="17" s="1"/>
  <c r="P138" i="4"/>
  <c r="G138" i="17" s="1"/>
  <c r="P137" i="4"/>
  <c r="G137" i="17" s="1"/>
  <c r="P136" i="4"/>
  <c r="G136" i="17" s="1"/>
  <c r="P135" i="4"/>
  <c r="G135" i="17" s="1"/>
  <c r="P133" i="4"/>
  <c r="G133" i="17" s="1"/>
  <c r="P132" i="4"/>
  <c r="G132" i="17" s="1"/>
  <c r="P131" i="4"/>
  <c r="G131" i="17" s="1"/>
  <c r="P130" i="4"/>
  <c r="G130" i="17" s="1"/>
  <c r="P128" i="4"/>
  <c r="G128" i="17" s="1"/>
  <c r="P127" i="4"/>
  <c r="G127" i="17" s="1"/>
  <c r="P126" i="4"/>
  <c r="G126" i="17" s="1"/>
  <c r="P125" i="4"/>
  <c r="G125" i="17" s="1"/>
  <c r="M123" i="4"/>
  <c r="L123" i="4"/>
  <c r="K123" i="4"/>
  <c r="J123" i="4"/>
  <c r="I123" i="4"/>
  <c r="H123" i="4"/>
  <c r="G123" i="4"/>
  <c r="F123" i="4"/>
  <c r="E123" i="4"/>
  <c r="D123" i="4"/>
  <c r="O123" i="4"/>
  <c r="N123" i="4"/>
  <c r="P121" i="4"/>
  <c r="G121" i="17" s="1"/>
  <c r="P117" i="4"/>
  <c r="N117" i="4"/>
  <c r="L117" i="4"/>
  <c r="F117" i="4"/>
  <c r="E117" i="4"/>
  <c r="D117" i="4"/>
  <c r="O111" i="4"/>
  <c r="N111" i="4"/>
  <c r="M111" i="4"/>
  <c r="M118" i="4" s="1"/>
  <c r="L111" i="4"/>
  <c r="L118" i="4" s="1"/>
  <c r="K111" i="4"/>
  <c r="K118" i="4" s="1"/>
  <c r="J111" i="4"/>
  <c r="J118" i="4" s="1"/>
  <c r="I111" i="4"/>
  <c r="I118" i="4" s="1"/>
  <c r="H111" i="4"/>
  <c r="H118" i="4" s="1"/>
  <c r="G111" i="4"/>
  <c r="G118" i="4" s="1"/>
  <c r="F111" i="4"/>
  <c r="E111" i="4"/>
  <c r="D111" i="4"/>
  <c r="P110" i="4"/>
  <c r="G110" i="17" s="1"/>
  <c r="P109" i="4"/>
  <c r="G109" i="17" s="1"/>
  <c r="P108" i="4"/>
  <c r="G108" i="17" s="1"/>
  <c r="P107" i="4"/>
  <c r="G107" i="17" s="1"/>
  <c r="O105" i="4"/>
  <c r="N105" i="4"/>
  <c r="M105" i="4"/>
  <c r="L105" i="4"/>
  <c r="L119" i="4" s="1"/>
  <c r="K105" i="4"/>
  <c r="K119" i="4" s="1"/>
  <c r="J105" i="4"/>
  <c r="J119" i="4" s="1"/>
  <c r="I105" i="4"/>
  <c r="H105" i="4"/>
  <c r="H119" i="4" s="1"/>
  <c r="G105" i="4"/>
  <c r="F105" i="4"/>
  <c r="E105" i="4"/>
  <c r="D105" i="4"/>
  <c r="P104" i="4"/>
  <c r="G104" i="17" s="1"/>
  <c r="P103" i="4"/>
  <c r="G103" i="17" s="1"/>
  <c r="P102" i="4"/>
  <c r="G102" i="17" s="1"/>
  <c r="P101" i="4"/>
  <c r="G101" i="17" s="1"/>
  <c r="P98" i="4"/>
  <c r="G98" i="17" s="1"/>
  <c r="G94" i="4"/>
  <c r="G95" i="4" s="1"/>
  <c r="G255" i="4" s="1"/>
  <c r="F94" i="4"/>
  <c r="F95" i="4" s="1"/>
  <c r="F255" i="4" s="1"/>
  <c r="F259" i="4" s="1"/>
  <c r="E94" i="4"/>
  <c r="E95" i="4" s="1"/>
  <c r="E255" i="4" s="1"/>
  <c r="E259" i="4" s="1"/>
  <c r="D255" i="4"/>
  <c r="D259" i="4" s="1"/>
  <c r="P90" i="4"/>
  <c r="P87" i="4"/>
  <c r="G87" i="17" s="1"/>
  <c r="G88" i="17" s="1"/>
  <c r="P85" i="4"/>
  <c r="G85" i="17" s="1"/>
  <c r="P84" i="4"/>
  <c r="G82" i="4"/>
  <c r="G83" i="4" s="1"/>
  <c r="F82" i="4"/>
  <c r="F83" i="4" s="1"/>
  <c r="E82" i="4"/>
  <c r="E83" i="4" s="1"/>
  <c r="D82" i="4"/>
  <c r="D83" i="4" s="1"/>
  <c r="P78" i="4"/>
  <c r="G90" i="17" s="1"/>
  <c r="G76" i="4"/>
  <c r="G77" i="4" s="1"/>
  <c r="F76" i="4"/>
  <c r="F77" i="4" s="1"/>
  <c r="E76" i="4"/>
  <c r="E77" i="4" s="1"/>
  <c r="D76" i="4"/>
  <c r="D77" i="4" s="1"/>
  <c r="N76" i="4"/>
  <c r="N91" i="4"/>
  <c r="N256" i="4" s="1"/>
  <c r="P72" i="4"/>
  <c r="N70" i="4"/>
  <c r="N71" i="4" s="1"/>
  <c r="G70" i="4"/>
  <c r="G71" i="4" s="1"/>
  <c r="F70" i="4"/>
  <c r="F71" i="4" s="1"/>
  <c r="E70" i="4"/>
  <c r="E71" i="4" s="1"/>
  <c r="D70" i="4"/>
  <c r="D71" i="4" s="1"/>
  <c r="P69" i="4"/>
  <c r="G69" i="17" s="1"/>
  <c r="P68" i="4"/>
  <c r="G68" i="17" s="1"/>
  <c r="P67" i="4"/>
  <c r="G67" i="17" s="1"/>
  <c r="P66" i="4"/>
  <c r="P63" i="4"/>
  <c r="G63" i="17" s="1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G61" i="17" s="1"/>
  <c r="P56" i="4"/>
  <c r="G56" i="17" s="1"/>
  <c r="P55" i="4"/>
  <c r="G55" i="17" s="1"/>
  <c r="P54" i="4"/>
  <c r="G54" i="17" s="1"/>
  <c r="G52" i="15"/>
  <c r="G52" i="13"/>
  <c r="P51" i="4"/>
  <c r="G51" i="17" s="1"/>
  <c r="P50" i="4"/>
  <c r="G50" i="17" s="1"/>
  <c r="P49" i="4"/>
  <c r="G49" i="17" s="1"/>
  <c r="O47" i="4"/>
  <c r="N47" i="4"/>
  <c r="M47" i="4"/>
  <c r="L47" i="4"/>
  <c r="K47" i="4"/>
  <c r="J47" i="4"/>
  <c r="I47" i="4"/>
  <c r="H47" i="4"/>
  <c r="G47" i="4"/>
  <c r="F47" i="4"/>
  <c r="E47" i="4"/>
  <c r="D47" i="4"/>
  <c r="P46" i="4"/>
  <c r="G46" i="17" s="1"/>
  <c r="O45" i="4"/>
  <c r="N45" i="4"/>
  <c r="M45" i="4"/>
  <c r="L45" i="4"/>
  <c r="J45" i="4"/>
  <c r="I45" i="4"/>
  <c r="H45" i="4"/>
  <c r="G45" i="4"/>
  <c r="F45" i="4"/>
  <c r="E45" i="4"/>
  <c r="D45" i="4"/>
  <c r="P44" i="4"/>
  <c r="G44" i="17" s="1"/>
  <c r="G40" i="4"/>
  <c r="D40" i="4"/>
  <c r="O40" i="4"/>
  <c r="N40" i="4"/>
  <c r="M40" i="4"/>
  <c r="L40" i="4"/>
  <c r="K40" i="4"/>
  <c r="J40" i="4"/>
  <c r="I40" i="4"/>
  <c r="H40" i="4"/>
  <c r="F40" i="4"/>
  <c r="E40" i="4"/>
  <c r="O38" i="4"/>
  <c r="N38" i="4"/>
  <c r="M38" i="4"/>
  <c r="L38" i="4"/>
  <c r="K38" i="4"/>
  <c r="J38" i="4"/>
  <c r="I38" i="4"/>
  <c r="H38" i="4"/>
  <c r="G38" i="4"/>
  <c r="F38" i="4"/>
  <c r="E38" i="4"/>
  <c r="D38" i="4"/>
  <c r="O34" i="4"/>
  <c r="N34" i="4"/>
  <c r="M34" i="4"/>
  <c r="L34" i="4"/>
  <c r="K34" i="4"/>
  <c r="J34" i="4"/>
  <c r="I34" i="4"/>
  <c r="H34" i="4"/>
  <c r="G34" i="4"/>
  <c r="F34" i="4"/>
  <c r="E34" i="4"/>
  <c r="D34" i="4"/>
  <c r="P33" i="4"/>
  <c r="G33" i="17" s="1"/>
  <c r="O32" i="4"/>
  <c r="N32" i="4"/>
  <c r="M32" i="4"/>
  <c r="L32" i="4"/>
  <c r="K32" i="4"/>
  <c r="J32" i="4"/>
  <c r="I32" i="4"/>
  <c r="H32" i="4"/>
  <c r="G32" i="4"/>
  <c r="F32" i="4"/>
  <c r="E32" i="4"/>
  <c r="D32" i="4"/>
  <c r="P31" i="4"/>
  <c r="G31" i="17" s="1"/>
  <c r="O30" i="4"/>
  <c r="N30" i="4"/>
  <c r="M30" i="4"/>
  <c r="L30" i="4"/>
  <c r="K30" i="4"/>
  <c r="J30" i="4"/>
  <c r="I30" i="4"/>
  <c r="H30" i="4"/>
  <c r="G30" i="4"/>
  <c r="F30" i="4"/>
  <c r="E30" i="4"/>
  <c r="D30" i="4"/>
  <c r="P29" i="4"/>
  <c r="G29" i="17" s="1"/>
  <c r="G41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M15" i="4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M259" i="3"/>
  <c r="L259" i="3"/>
  <c r="K259" i="3"/>
  <c r="J259" i="3"/>
  <c r="I259" i="3"/>
  <c r="H259" i="3"/>
  <c r="G259" i="3"/>
  <c r="O258" i="3"/>
  <c r="N258" i="3"/>
  <c r="M258" i="3"/>
  <c r="L258" i="3"/>
  <c r="K258" i="3"/>
  <c r="J258" i="3"/>
  <c r="I258" i="3"/>
  <c r="H258" i="3"/>
  <c r="G258" i="3"/>
  <c r="P257" i="3"/>
  <c r="F257" i="17" s="1"/>
  <c r="P256" i="3"/>
  <c r="P254" i="3"/>
  <c r="F254" i="17" s="1"/>
  <c r="P253" i="3"/>
  <c r="F253" i="17" s="1"/>
  <c r="P247" i="3"/>
  <c r="O247" i="3"/>
  <c r="N247" i="3"/>
  <c r="M247" i="3"/>
  <c r="L247" i="3"/>
  <c r="K247" i="3"/>
  <c r="J247" i="3"/>
  <c r="I247" i="3"/>
  <c r="H247" i="3"/>
  <c r="G247" i="3"/>
  <c r="F247" i="3"/>
  <c r="D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F241" i="17" s="1"/>
  <c r="P240" i="3"/>
  <c r="F240" i="17" s="1"/>
  <c r="P239" i="3"/>
  <c r="F239" i="17" s="1"/>
  <c r="P238" i="3"/>
  <c r="F238" i="17" s="1"/>
  <c r="P235" i="3"/>
  <c r="F235" i="17" s="1"/>
  <c r="P234" i="3"/>
  <c r="F234" i="17" s="1"/>
  <c r="P233" i="3"/>
  <c r="F233" i="17" s="1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F228" i="17" s="1"/>
  <c r="P227" i="3"/>
  <c r="F227" i="17" s="1"/>
  <c r="P226" i="3"/>
  <c r="F226" i="17" s="1"/>
  <c r="P225" i="3"/>
  <c r="F225" i="17" s="1"/>
  <c r="O223" i="3"/>
  <c r="N223" i="3"/>
  <c r="N230" i="3" s="1"/>
  <c r="M223" i="3"/>
  <c r="L223" i="3"/>
  <c r="K223" i="3"/>
  <c r="K230" i="3" s="1"/>
  <c r="J223" i="3"/>
  <c r="I223" i="3"/>
  <c r="I230" i="3" s="1"/>
  <c r="H223" i="3"/>
  <c r="H230" i="3" s="1"/>
  <c r="G223" i="3"/>
  <c r="G230" i="3" s="1"/>
  <c r="F223" i="3"/>
  <c r="E223" i="3"/>
  <c r="D223" i="3"/>
  <c r="P222" i="3"/>
  <c r="F222" i="17" s="1"/>
  <c r="P221" i="3"/>
  <c r="F221" i="17" s="1"/>
  <c r="P220" i="3"/>
  <c r="F220" i="17" s="1"/>
  <c r="P219" i="3"/>
  <c r="F219" i="17" s="1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F215" i="17" s="1"/>
  <c r="P214" i="3"/>
  <c r="F214" i="17" s="1"/>
  <c r="P213" i="3"/>
  <c r="F213" i="17" s="1"/>
  <c r="P212" i="3"/>
  <c r="F212" i="17" s="1"/>
  <c r="O210" i="3"/>
  <c r="N210" i="3"/>
  <c r="M210" i="3"/>
  <c r="L210" i="3"/>
  <c r="K210" i="3"/>
  <c r="J210" i="3"/>
  <c r="I210" i="3"/>
  <c r="H210" i="3"/>
  <c r="G210" i="3"/>
  <c r="F210" i="3"/>
  <c r="E210" i="3"/>
  <c r="D210" i="3"/>
  <c r="P209" i="3"/>
  <c r="F209" i="17" s="1"/>
  <c r="P208" i="3"/>
  <c r="F208" i="17" s="1"/>
  <c r="P207" i="3"/>
  <c r="F207" i="17" s="1"/>
  <c r="P206" i="3"/>
  <c r="F206" i="17" s="1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F203" i="17" s="1"/>
  <c r="P202" i="3"/>
  <c r="F202" i="17" s="1"/>
  <c r="P201" i="3"/>
  <c r="F201" i="17" s="1"/>
  <c r="P200" i="3"/>
  <c r="F200" i="17" s="1"/>
  <c r="P199" i="3"/>
  <c r="F199" i="17" s="1"/>
  <c r="P197" i="3"/>
  <c r="F197" i="17" s="1"/>
  <c r="P195" i="3"/>
  <c r="F195" i="17" s="1"/>
  <c r="P194" i="3"/>
  <c r="F194" i="17" s="1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F192" i="17" s="1"/>
  <c r="P191" i="3"/>
  <c r="F191" i="17" s="1"/>
  <c r="P190" i="3"/>
  <c r="F190" i="17" s="1"/>
  <c r="P189" i="3"/>
  <c r="F189" i="17" s="1"/>
  <c r="P187" i="3"/>
  <c r="F187" i="17" s="1"/>
  <c r="P186" i="3"/>
  <c r="F186" i="17" s="1"/>
  <c r="P185" i="3"/>
  <c r="F185" i="17" s="1"/>
  <c r="P184" i="3"/>
  <c r="F184" i="17" s="1"/>
  <c r="P182" i="3"/>
  <c r="F182" i="17" s="1"/>
  <c r="P181" i="3"/>
  <c r="F181" i="17" s="1"/>
  <c r="P180" i="3"/>
  <c r="F180" i="17" s="1"/>
  <c r="P179" i="3"/>
  <c r="F179" i="17" s="1"/>
  <c r="P178" i="3"/>
  <c r="F178" i="17" s="1"/>
  <c r="P177" i="3"/>
  <c r="F177" i="17" s="1"/>
  <c r="P175" i="3"/>
  <c r="F175" i="17" s="1"/>
  <c r="P174" i="3"/>
  <c r="F174" i="17" s="1"/>
  <c r="P173" i="3"/>
  <c r="F173" i="17" s="1"/>
  <c r="P172" i="3"/>
  <c r="F172" i="17" s="1"/>
  <c r="P171" i="3"/>
  <c r="F171" i="17" s="1"/>
  <c r="P170" i="3"/>
  <c r="F170" i="17" s="1"/>
  <c r="P169" i="3"/>
  <c r="F169" i="17" s="1"/>
  <c r="P168" i="3"/>
  <c r="F168" i="17" s="1"/>
  <c r="P167" i="3"/>
  <c r="F167" i="17" s="1"/>
  <c r="P165" i="3"/>
  <c r="F165" i="17" s="1"/>
  <c r="P164" i="3"/>
  <c r="F164" i="17" s="1"/>
  <c r="P163" i="3"/>
  <c r="F163" i="17" s="1"/>
  <c r="P162" i="3"/>
  <c r="F162" i="17" s="1"/>
  <c r="P161" i="3"/>
  <c r="F161" i="17" s="1"/>
  <c r="P160" i="3"/>
  <c r="F160" i="17" s="1"/>
  <c r="P159" i="3"/>
  <c r="F159" i="17" s="1"/>
  <c r="P158" i="3"/>
  <c r="F158" i="17" s="1"/>
  <c r="P157" i="3"/>
  <c r="F157" i="17" s="1"/>
  <c r="P156" i="3"/>
  <c r="F156" i="17" s="1"/>
  <c r="P155" i="3"/>
  <c r="F155" i="17" s="1"/>
  <c r="P154" i="3"/>
  <c r="F154" i="17" s="1"/>
  <c r="P153" i="3"/>
  <c r="F153" i="17" s="1"/>
  <c r="P143" i="3"/>
  <c r="F143" i="17" s="1"/>
  <c r="P142" i="3"/>
  <c r="F142" i="17" s="1"/>
  <c r="P141" i="3"/>
  <c r="F141" i="17" s="1"/>
  <c r="P140" i="3"/>
  <c r="F140" i="17" s="1"/>
  <c r="P138" i="3"/>
  <c r="F138" i="17" s="1"/>
  <c r="P137" i="3"/>
  <c r="F137" i="17" s="1"/>
  <c r="P136" i="3"/>
  <c r="F136" i="17" s="1"/>
  <c r="P135" i="3"/>
  <c r="F135" i="17" s="1"/>
  <c r="P133" i="3"/>
  <c r="F133" i="17" s="1"/>
  <c r="P132" i="3"/>
  <c r="F132" i="17" s="1"/>
  <c r="P131" i="3"/>
  <c r="F131" i="17" s="1"/>
  <c r="P130" i="3"/>
  <c r="F130" i="17" s="1"/>
  <c r="P128" i="3"/>
  <c r="F128" i="17" s="1"/>
  <c r="P127" i="3"/>
  <c r="F127" i="17" s="1"/>
  <c r="P126" i="3"/>
  <c r="F126" i="17" s="1"/>
  <c r="P125" i="3"/>
  <c r="F125" i="17" s="1"/>
  <c r="M123" i="3"/>
  <c r="L123" i="3"/>
  <c r="K123" i="3"/>
  <c r="J123" i="3"/>
  <c r="I123" i="3"/>
  <c r="H123" i="3"/>
  <c r="G123" i="3"/>
  <c r="F123" i="3"/>
  <c r="E123" i="3"/>
  <c r="D123" i="3"/>
  <c r="P122" i="3"/>
  <c r="N123" i="3"/>
  <c r="P121" i="3"/>
  <c r="F121" i="17" s="1"/>
  <c r="P117" i="3"/>
  <c r="F117" i="3"/>
  <c r="E117" i="3"/>
  <c r="D117" i="3"/>
  <c r="O111" i="3"/>
  <c r="N111" i="3"/>
  <c r="N118" i="3" s="1"/>
  <c r="M111" i="3"/>
  <c r="M118" i="3" s="1"/>
  <c r="L111" i="3"/>
  <c r="L118" i="3" s="1"/>
  <c r="K111" i="3"/>
  <c r="K118" i="3" s="1"/>
  <c r="J111" i="3"/>
  <c r="J118" i="3" s="1"/>
  <c r="I111" i="3"/>
  <c r="I118" i="3" s="1"/>
  <c r="H111" i="3"/>
  <c r="H118" i="3" s="1"/>
  <c r="G111" i="3"/>
  <c r="G118" i="3" s="1"/>
  <c r="F111" i="3"/>
  <c r="E111" i="3"/>
  <c r="D111" i="3"/>
  <c r="P110" i="3"/>
  <c r="F110" i="17" s="1"/>
  <c r="P109" i="3"/>
  <c r="F109" i="17" s="1"/>
  <c r="P108" i="3"/>
  <c r="F108" i="17" s="1"/>
  <c r="P107" i="3"/>
  <c r="F107" i="17" s="1"/>
  <c r="O105" i="3"/>
  <c r="P105" i="3" s="1"/>
  <c r="N105" i="3"/>
  <c r="M105" i="3"/>
  <c r="M119" i="3" s="1"/>
  <c r="L105" i="3"/>
  <c r="L119" i="3" s="1"/>
  <c r="K105" i="3"/>
  <c r="K119" i="3" s="1"/>
  <c r="J105" i="3"/>
  <c r="I105" i="3"/>
  <c r="I119" i="3" s="1"/>
  <c r="H105" i="3"/>
  <c r="G105" i="3"/>
  <c r="G119" i="3" s="1"/>
  <c r="F105" i="3"/>
  <c r="E105" i="3"/>
  <c r="D105" i="3"/>
  <c r="P104" i="3"/>
  <c r="F104" i="17" s="1"/>
  <c r="P103" i="3"/>
  <c r="F103" i="17" s="1"/>
  <c r="P102" i="3"/>
  <c r="F102" i="17" s="1"/>
  <c r="P101" i="3"/>
  <c r="F101" i="17" s="1"/>
  <c r="P98" i="3"/>
  <c r="F98" i="17" s="1"/>
  <c r="F94" i="3"/>
  <c r="F95" i="3" s="1"/>
  <c r="F255" i="3" s="1"/>
  <c r="F259" i="3" s="1"/>
  <c r="E94" i="3"/>
  <c r="E95" i="3" s="1"/>
  <c r="E255" i="3" s="1"/>
  <c r="E259" i="3" s="1"/>
  <c r="D94" i="3"/>
  <c r="D95" i="3" s="1"/>
  <c r="D255" i="3" s="1"/>
  <c r="D259" i="3" s="1"/>
  <c r="P90" i="3"/>
  <c r="P85" i="3"/>
  <c r="F85" i="17" s="1"/>
  <c r="P84" i="3"/>
  <c r="F82" i="3"/>
  <c r="F83" i="3" s="1"/>
  <c r="E82" i="3"/>
  <c r="E83" i="3" s="1"/>
  <c r="D82" i="3"/>
  <c r="D83" i="3" s="1"/>
  <c r="P81" i="3"/>
  <c r="P79" i="3"/>
  <c r="F79" i="17" s="1"/>
  <c r="P78" i="3"/>
  <c r="F76" i="3"/>
  <c r="F77" i="3" s="1"/>
  <c r="E76" i="3"/>
  <c r="E77" i="3" s="1"/>
  <c r="D76" i="3"/>
  <c r="D77" i="3" s="1"/>
  <c r="P91" i="3"/>
  <c r="P72" i="3"/>
  <c r="G70" i="3"/>
  <c r="G71" i="3" s="1"/>
  <c r="F70" i="3"/>
  <c r="F71" i="3" s="1"/>
  <c r="E70" i="3"/>
  <c r="E71" i="3" s="1"/>
  <c r="D70" i="3"/>
  <c r="D71" i="3" s="1"/>
  <c r="P69" i="3"/>
  <c r="F69" i="17" s="1"/>
  <c r="P68" i="3"/>
  <c r="F68" i="17" s="1"/>
  <c r="P67" i="3"/>
  <c r="F67" i="17" s="1"/>
  <c r="P66" i="3"/>
  <c r="P63" i="3"/>
  <c r="F63" i="17" s="1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F61" i="17" s="1"/>
  <c r="P56" i="3"/>
  <c r="F56" i="17" s="1"/>
  <c r="P55" i="3"/>
  <c r="F55" i="17" s="1"/>
  <c r="P54" i="3"/>
  <c r="F54" i="17" s="1"/>
  <c r="F52" i="15"/>
  <c r="F52" i="12"/>
  <c r="P51" i="3"/>
  <c r="F51" i="17" s="1"/>
  <c r="P50" i="3"/>
  <c r="F50" i="17" s="1"/>
  <c r="P49" i="3"/>
  <c r="F49" i="17" s="1"/>
  <c r="O47" i="3"/>
  <c r="N47" i="3"/>
  <c r="M47" i="3"/>
  <c r="L47" i="3"/>
  <c r="K47" i="3"/>
  <c r="J47" i="3"/>
  <c r="I47" i="3"/>
  <c r="H47" i="3"/>
  <c r="G47" i="3"/>
  <c r="F47" i="3"/>
  <c r="E47" i="3"/>
  <c r="D47" i="3"/>
  <c r="P46" i="3"/>
  <c r="F46" i="17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F44" i="17" s="1"/>
  <c r="O40" i="3"/>
  <c r="N40" i="3"/>
  <c r="M40" i="3"/>
  <c r="L40" i="3"/>
  <c r="K40" i="3"/>
  <c r="J40" i="3"/>
  <c r="I40" i="3"/>
  <c r="H40" i="3"/>
  <c r="G40" i="3"/>
  <c r="F40" i="3"/>
  <c r="E40" i="3"/>
  <c r="D40" i="3"/>
  <c r="N38" i="3"/>
  <c r="O38" i="3"/>
  <c r="M38" i="3"/>
  <c r="L38" i="3"/>
  <c r="K38" i="3"/>
  <c r="J38" i="3"/>
  <c r="I38" i="3"/>
  <c r="G38" i="3"/>
  <c r="F38" i="3"/>
  <c r="E38" i="3"/>
  <c r="D38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F33" i="17" s="1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F31" i="17" s="1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F29" i="17" s="1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M15" i="3"/>
  <c r="L15" i="3"/>
  <c r="K15" i="3"/>
  <c r="J15" i="3"/>
  <c r="I15" i="3"/>
  <c r="H15" i="3"/>
  <c r="G15" i="3"/>
  <c r="F15" i="3"/>
  <c r="E15" i="3"/>
  <c r="D15" i="3"/>
  <c r="P14" i="3"/>
  <c r="P13" i="3"/>
  <c r="P12" i="3"/>
  <c r="P11" i="3"/>
  <c r="P9" i="3"/>
  <c r="M259" i="2"/>
  <c r="L259" i="2"/>
  <c r="K259" i="2"/>
  <c r="J259" i="2"/>
  <c r="I259" i="2"/>
  <c r="H259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P257" i="2"/>
  <c r="E257" i="17" s="1"/>
  <c r="P256" i="2"/>
  <c r="P254" i="2"/>
  <c r="E254" i="17" s="1"/>
  <c r="P253" i="2"/>
  <c r="E253" i="17" s="1"/>
  <c r="P247" i="2"/>
  <c r="O247" i="2"/>
  <c r="N247" i="2"/>
  <c r="M247" i="2"/>
  <c r="L247" i="2"/>
  <c r="K247" i="2"/>
  <c r="J247" i="2"/>
  <c r="I247" i="2"/>
  <c r="H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E241" i="17" s="1"/>
  <c r="P240" i="2"/>
  <c r="E240" i="17" s="1"/>
  <c r="P239" i="2"/>
  <c r="E239" i="17" s="1"/>
  <c r="P238" i="2"/>
  <c r="E238" i="17" s="1"/>
  <c r="P235" i="2"/>
  <c r="E235" i="17" s="1"/>
  <c r="P234" i="2"/>
  <c r="E234" i="17" s="1"/>
  <c r="P233" i="2"/>
  <c r="E233" i="17" s="1"/>
  <c r="P232" i="2"/>
  <c r="E232" i="17" s="1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E228" i="17" s="1"/>
  <c r="P227" i="2"/>
  <c r="E227" i="17" s="1"/>
  <c r="P226" i="2"/>
  <c r="E226" i="17" s="1"/>
  <c r="P225" i="2"/>
  <c r="E225" i="17" s="1"/>
  <c r="O223" i="2"/>
  <c r="N223" i="2"/>
  <c r="N230" i="2" s="1"/>
  <c r="M223" i="2"/>
  <c r="L223" i="2"/>
  <c r="K223" i="2"/>
  <c r="K230" i="2" s="1"/>
  <c r="J223" i="2"/>
  <c r="I223" i="2"/>
  <c r="I230" i="2" s="1"/>
  <c r="H223" i="2"/>
  <c r="H230" i="2" s="1"/>
  <c r="G223" i="2"/>
  <c r="G230" i="2" s="1"/>
  <c r="F223" i="2"/>
  <c r="F230" i="2" s="1"/>
  <c r="E223" i="2"/>
  <c r="E230" i="2" s="1"/>
  <c r="D223" i="2"/>
  <c r="P222" i="2"/>
  <c r="E222" i="17" s="1"/>
  <c r="P221" i="2"/>
  <c r="E221" i="17" s="1"/>
  <c r="P220" i="2"/>
  <c r="E220" i="17" s="1"/>
  <c r="P219" i="2"/>
  <c r="E219" i="17" s="1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E215" i="17" s="1"/>
  <c r="P214" i="2"/>
  <c r="E214" i="17" s="1"/>
  <c r="P213" i="2"/>
  <c r="E213" i="17" s="1"/>
  <c r="P212" i="2"/>
  <c r="E212" i="17" s="1"/>
  <c r="O210" i="2"/>
  <c r="N210" i="2"/>
  <c r="M210" i="2"/>
  <c r="L210" i="2"/>
  <c r="K210" i="2"/>
  <c r="J210" i="2"/>
  <c r="I210" i="2"/>
  <c r="H210" i="2"/>
  <c r="G210" i="2"/>
  <c r="F210" i="2"/>
  <c r="E210" i="2"/>
  <c r="D210" i="2"/>
  <c r="P209" i="2"/>
  <c r="E209" i="17" s="1"/>
  <c r="P208" i="2"/>
  <c r="E208" i="17" s="1"/>
  <c r="P207" i="2"/>
  <c r="E207" i="17" s="1"/>
  <c r="P206" i="2"/>
  <c r="E206" i="17" s="1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E203" i="17" s="1"/>
  <c r="P202" i="2"/>
  <c r="E202" i="17" s="1"/>
  <c r="P201" i="2"/>
  <c r="E201" i="17" s="1"/>
  <c r="P200" i="2"/>
  <c r="E200" i="17" s="1"/>
  <c r="P199" i="2"/>
  <c r="E199" i="17" s="1"/>
  <c r="P197" i="2"/>
  <c r="E197" i="17" s="1"/>
  <c r="P195" i="2"/>
  <c r="E195" i="17" s="1"/>
  <c r="P194" i="2"/>
  <c r="E194" i="17" s="1"/>
  <c r="P192" i="2"/>
  <c r="E192" i="17" s="1"/>
  <c r="P191" i="2"/>
  <c r="E191" i="17" s="1"/>
  <c r="P190" i="2"/>
  <c r="E190" i="17" s="1"/>
  <c r="P189" i="2"/>
  <c r="E189" i="17" s="1"/>
  <c r="P187" i="2"/>
  <c r="E187" i="17" s="1"/>
  <c r="P186" i="2"/>
  <c r="E186" i="17" s="1"/>
  <c r="P185" i="2"/>
  <c r="E185" i="17" s="1"/>
  <c r="P184" i="2"/>
  <c r="E184" i="17" s="1"/>
  <c r="P182" i="2"/>
  <c r="E182" i="17" s="1"/>
  <c r="P181" i="2"/>
  <c r="E181" i="17" s="1"/>
  <c r="P180" i="2"/>
  <c r="E180" i="17" s="1"/>
  <c r="P179" i="2"/>
  <c r="E179" i="17" s="1"/>
  <c r="P178" i="2"/>
  <c r="E178" i="17" s="1"/>
  <c r="P177" i="2"/>
  <c r="E177" i="17" s="1"/>
  <c r="P175" i="2"/>
  <c r="E175" i="17" s="1"/>
  <c r="P174" i="2"/>
  <c r="E174" i="17" s="1"/>
  <c r="P173" i="2"/>
  <c r="E173" i="17" s="1"/>
  <c r="P172" i="2"/>
  <c r="E172" i="17" s="1"/>
  <c r="P171" i="2"/>
  <c r="E171" i="17" s="1"/>
  <c r="P170" i="2"/>
  <c r="E170" i="17" s="1"/>
  <c r="P169" i="2"/>
  <c r="E169" i="17" s="1"/>
  <c r="P168" i="2"/>
  <c r="E168" i="17" s="1"/>
  <c r="P167" i="2"/>
  <c r="E167" i="17" s="1"/>
  <c r="P165" i="2"/>
  <c r="E165" i="17" s="1"/>
  <c r="P164" i="2"/>
  <c r="E164" i="17" s="1"/>
  <c r="P163" i="2"/>
  <c r="E163" i="17" s="1"/>
  <c r="P162" i="2"/>
  <c r="E162" i="17" s="1"/>
  <c r="P161" i="2"/>
  <c r="E161" i="17" s="1"/>
  <c r="P160" i="2"/>
  <c r="E160" i="17" s="1"/>
  <c r="P159" i="2"/>
  <c r="E159" i="17" s="1"/>
  <c r="P158" i="2"/>
  <c r="E158" i="17" s="1"/>
  <c r="P157" i="2"/>
  <c r="E157" i="17" s="1"/>
  <c r="P156" i="2"/>
  <c r="E156" i="17" s="1"/>
  <c r="P155" i="2"/>
  <c r="E155" i="17" s="1"/>
  <c r="P154" i="2"/>
  <c r="E154" i="17" s="1"/>
  <c r="P153" i="2"/>
  <c r="E153" i="17" s="1"/>
  <c r="P143" i="2"/>
  <c r="E143" i="17" s="1"/>
  <c r="P142" i="2"/>
  <c r="E142" i="17" s="1"/>
  <c r="P141" i="2"/>
  <c r="E141" i="17" s="1"/>
  <c r="P140" i="2"/>
  <c r="E140" i="17" s="1"/>
  <c r="P138" i="2"/>
  <c r="E138" i="17" s="1"/>
  <c r="P137" i="2"/>
  <c r="E137" i="17" s="1"/>
  <c r="P136" i="2"/>
  <c r="E136" i="17" s="1"/>
  <c r="P135" i="2"/>
  <c r="E135" i="17" s="1"/>
  <c r="P133" i="2"/>
  <c r="E133" i="17" s="1"/>
  <c r="P132" i="2"/>
  <c r="E132" i="17" s="1"/>
  <c r="P131" i="2"/>
  <c r="E131" i="17" s="1"/>
  <c r="P130" i="2"/>
  <c r="E130" i="17" s="1"/>
  <c r="P128" i="2"/>
  <c r="E128" i="17" s="1"/>
  <c r="P127" i="2"/>
  <c r="E127" i="17" s="1"/>
  <c r="P126" i="2"/>
  <c r="E126" i="17" s="1"/>
  <c r="P125" i="2"/>
  <c r="E125" i="17" s="1"/>
  <c r="M123" i="2"/>
  <c r="L123" i="2"/>
  <c r="K123" i="2"/>
  <c r="J123" i="2"/>
  <c r="I123" i="2"/>
  <c r="H123" i="2"/>
  <c r="G123" i="2"/>
  <c r="F123" i="2"/>
  <c r="E123" i="2"/>
  <c r="D123" i="2"/>
  <c r="O123" i="2"/>
  <c r="N123" i="2"/>
  <c r="P121" i="2"/>
  <c r="E121" i="17" s="1"/>
  <c r="P117" i="2"/>
  <c r="O117" i="2"/>
  <c r="N117" i="2"/>
  <c r="L117" i="2"/>
  <c r="G117" i="2"/>
  <c r="F117" i="2"/>
  <c r="E117" i="2"/>
  <c r="D117" i="2"/>
  <c r="O111" i="2"/>
  <c r="N111" i="2"/>
  <c r="M111" i="2"/>
  <c r="M118" i="2" s="1"/>
  <c r="L111" i="2"/>
  <c r="L118" i="2" s="1"/>
  <c r="K111" i="2"/>
  <c r="K118" i="2" s="1"/>
  <c r="J111" i="2"/>
  <c r="J118" i="2" s="1"/>
  <c r="H111" i="2"/>
  <c r="H118" i="2" s="1"/>
  <c r="G111" i="2"/>
  <c r="F111" i="2"/>
  <c r="E111" i="2"/>
  <c r="D111" i="2"/>
  <c r="P110" i="2"/>
  <c r="E110" i="17" s="1"/>
  <c r="P109" i="2"/>
  <c r="E109" i="17" s="1"/>
  <c r="P108" i="2"/>
  <c r="E108" i="17" s="1"/>
  <c r="P107" i="2"/>
  <c r="E107" i="17" s="1"/>
  <c r="O105" i="2"/>
  <c r="N105" i="2"/>
  <c r="M105" i="2"/>
  <c r="L105" i="2"/>
  <c r="K105" i="2"/>
  <c r="J105" i="2"/>
  <c r="I105" i="2"/>
  <c r="I119" i="2" s="1"/>
  <c r="H105" i="2"/>
  <c r="H119" i="2" s="1"/>
  <c r="G105" i="2"/>
  <c r="F105" i="2"/>
  <c r="E105" i="2"/>
  <c r="D105" i="2"/>
  <c r="P104" i="2"/>
  <c r="E104" i="17" s="1"/>
  <c r="P103" i="2"/>
  <c r="E103" i="17" s="1"/>
  <c r="P102" i="2"/>
  <c r="E102" i="17" s="1"/>
  <c r="P101" i="2"/>
  <c r="E101" i="17" s="1"/>
  <c r="P98" i="2"/>
  <c r="E98" i="17" s="1"/>
  <c r="F94" i="2"/>
  <c r="F95" i="2" s="1"/>
  <c r="F255" i="2" s="1"/>
  <c r="F259" i="2" s="1"/>
  <c r="E94" i="2"/>
  <c r="E95" i="2" s="1"/>
  <c r="E255" i="2" s="1"/>
  <c r="E259" i="2" s="1"/>
  <c r="D94" i="2"/>
  <c r="D95" i="2" s="1"/>
  <c r="D255" i="2" s="1"/>
  <c r="P90" i="2"/>
  <c r="P87" i="2"/>
  <c r="E87" i="17" s="1"/>
  <c r="E88" i="17" s="1"/>
  <c r="P84" i="2"/>
  <c r="M82" i="2"/>
  <c r="M83" i="2" s="1"/>
  <c r="G82" i="2"/>
  <c r="G83" i="2" s="1"/>
  <c r="F82" i="2"/>
  <c r="F83" i="2" s="1"/>
  <c r="E82" i="2"/>
  <c r="E83" i="2" s="1"/>
  <c r="D82" i="2"/>
  <c r="D83" i="2" s="1"/>
  <c r="P81" i="2"/>
  <c r="P78" i="2"/>
  <c r="M76" i="2"/>
  <c r="M77" i="2" s="1"/>
  <c r="G76" i="2"/>
  <c r="G77" i="2" s="1"/>
  <c r="F76" i="2"/>
  <c r="F77" i="2" s="1"/>
  <c r="E76" i="2"/>
  <c r="E77" i="2" s="1"/>
  <c r="D76" i="2"/>
  <c r="D77" i="2" s="1"/>
  <c r="P73" i="2"/>
  <c r="E73" i="17" s="1"/>
  <c r="P72" i="2"/>
  <c r="N70" i="2"/>
  <c r="N71" i="2" s="1"/>
  <c r="M70" i="2"/>
  <c r="M71" i="2" s="1"/>
  <c r="G70" i="2"/>
  <c r="F70" i="2"/>
  <c r="F71" i="2" s="1"/>
  <c r="G66" i="2" s="1"/>
  <c r="E70" i="2"/>
  <c r="E71" i="2" s="1"/>
  <c r="D70" i="2"/>
  <c r="D71" i="2" s="1"/>
  <c r="P69" i="2"/>
  <c r="E69" i="17" s="1"/>
  <c r="P68" i="2"/>
  <c r="E68" i="17" s="1"/>
  <c r="P67" i="2"/>
  <c r="E67" i="17" s="1"/>
  <c r="P66" i="2"/>
  <c r="P63" i="2"/>
  <c r="E63" i="17" s="1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E61" i="17" s="1"/>
  <c r="P56" i="2"/>
  <c r="E56" i="17" s="1"/>
  <c r="P55" i="2"/>
  <c r="E55" i="17" s="1"/>
  <c r="P54" i="2"/>
  <c r="E54" i="17" s="1"/>
  <c r="E52" i="13"/>
  <c r="E52" i="12"/>
  <c r="P51" i="2"/>
  <c r="E51" i="17" s="1"/>
  <c r="P50" i="2"/>
  <c r="E50" i="17" s="1"/>
  <c r="P49" i="2"/>
  <c r="E49" i="17" s="1"/>
  <c r="O47" i="2"/>
  <c r="N47" i="2"/>
  <c r="M47" i="2"/>
  <c r="L47" i="2"/>
  <c r="K47" i="2"/>
  <c r="J47" i="2"/>
  <c r="I47" i="2"/>
  <c r="H47" i="2"/>
  <c r="G47" i="2"/>
  <c r="F47" i="2"/>
  <c r="E47" i="2"/>
  <c r="D47" i="2"/>
  <c r="P46" i="2"/>
  <c r="E46" i="17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E44" i="17" s="1"/>
  <c r="O40" i="2"/>
  <c r="G40" i="2"/>
  <c r="N40" i="2"/>
  <c r="M40" i="2"/>
  <c r="L40" i="2"/>
  <c r="K40" i="2"/>
  <c r="J40" i="2"/>
  <c r="I40" i="2"/>
  <c r="H40" i="2"/>
  <c r="F40" i="2"/>
  <c r="E40" i="2"/>
  <c r="D40" i="2"/>
  <c r="G38" i="2"/>
  <c r="O38" i="2"/>
  <c r="N38" i="2"/>
  <c r="M38" i="2"/>
  <c r="L38" i="2"/>
  <c r="K38" i="2"/>
  <c r="J38" i="2"/>
  <c r="I38" i="2"/>
  <c r="H38" i="2"/>
  <c r="F38" i="2"/>
  <c r="E38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E33" i="17" s="1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E31" i="17" s="1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E29" i="17" s="1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E15" i="2"/>
  <c r="D15" i="2"/>
  <c r="P14" i="2"/>
  <c r="P13" i="2"/>
  <c r="P12" i="2"/>
  <c r="P11" i="2"/>
  <c r="P9" i="2"/>
  <c r="F13" i="17" l="1"/>
  <c r="G11" i="17"/>
  <c r="H22" i="4"/>
  <c r="H24" i="4" s="1"/>
  <c r="H25" i="4" s="1"/>
  <c r="I119" i="4"/>
  <c r="F14" i="17"/>
  <c r="G12" i="17"/>
  <c r="D22" i="3"/>
  <c r="D24" i="3" s="1"/>
  <c r="D25" i="3" s="1"/>
  <c r="L22" i="3"/>
  <c r="L24" i="3" s="1"/>
  <c r="L25" i="3" s="1"/>
  <c r="G13" i="17"/>
  <c r="G14" i="17"/>
  <c r="F11" i="17"/>
  <c r="K230" i="4"/>
  <c r="N22" i="3"/>
  <c r="N24" i="3" s="1"/>
  <c r="N25" i="3" s="1"/>
  <c r="L22" i="4"/>
  <c r="L24" i="4" s="1"/>
  <c r="L25" i="4" s="1"/>
  <c r="F12" i="17"/>
  <c r="D251" i="3"/>
  <c r="D250" i="3"/>
  <c r="E12" i="17"/>
  <c r="E11" i="17"/>
  <c r="E14" i="17"/>
  <c r="E13" i="17"/>
  <c r="O217" i="3"/>
  <c r="O251" i="3"/>
  <c r="O250" i="3"/>
  <c r="F118" i="16"/>
  <c r="G71" i="2"/>
  <c r="D251" i="2"/>
  <c r="D250" i="2"/>
  <c r="E250" i="2"/>
  <c r="E251" i="2"/>
  <c r="E243" i="2"/>
  <c r="G66" i="11"/>
  <c r="E66" i="13"/>
  <c r="E71" i="13" s="1"/>
  <c r="G90" i="2"/>
  <c r="G95" i="2" s="1"/>
  <c r="G255" i="2" s="1"/>
  <c r="P255" i="2" s="1"/>
  <c r="F251" i="2"/>
  <c r="F250" i="2"/>
  <c r="O251" i="2"/>
  <c r="O250" i="2"/>
  <c r="N243" i="4"/>
  <c r="N250" i="3"/>
  <c r="N251" i="3"/>
  <c r="N119" i="3"/>
  <c r="N250" i="2"/>
  <c r="N251" i="2"/>
  <c r="N118" i="2"/>
  <c r="N119" i="2" s="1"/>
  <c r="M217" i="3"/>
  <c r="M250" i="3"/>
  <c r="M251" i="3"/>
  <c r="M217" i="2"/>
  <c r="M251" i="2"/>
  <c r="M250" i="2"/>
  <c r="L251" i="3"/>
  <c r="L250" i="3"/>
  <c r="L250" i="2"/>
  <c r="L251" i="2"/>
  <c r="L119" i="2"/>
  <c r="K250" i="3"/>
  <c r="K251" i="3"/>
  <c r="K250" i="2"/>
  <c r="K251" i="2"/>
  <c r="K250" i="4"/>
  <c r="K251" i="4"/>
  <c r="D251" i="4"/>
  <c r="D250" i="4"/>
  <c r="L250" i="4"/>
  <c r="L251" i="4"/>
  <c r="E250" i="4"/>
  <c r="E251" i="4"/>
  <c r="M217" i="4"/>
  <c r="M250" i="4"/>
  <c r="M251" i="4"/>
  <c r="F250" i="4"/>
  <c r="F251" i="4"/>
  <c r="N250" i="4"/>
  <c r="N251" i="4"/>
  <c r="G255" i="13"/>
  <c r="G259" i="13" s="1"/>
  <c r="G259" i="4"/>
  <c r="O250" i="4"/>
  <c r="O251" i="4"/>
  <c r="J251" i="4"/>
  <c r="J250" i="4"/>
  <c r="J217" i="3"/>
  <c r="J250" i="3"/>
  <c r="J251" i="3"/>
  <c r="J250" i="2"/>
  <c r="J251" i="2"/>
  <c r="I243" i="11"/>
  <c r="I251" i="4"/>
  <c r="I250" i="4"/>
  <c r="E230" i="3"/>
  <c r="E243" i="3" s="1"/>
  <c r="E251" i="3"/>
  <c r="E250" i="3"/>
  <c r="F230" i="3"/>
  <c r="F251" i="3"/>
  <c r="F250" i="3"/>
  <c r="I251" i="3"/>
  <c r="I250" i="3"/>
  <c r="I251" i="2"/>
  <c r="I250" i="2"/>
  <c r="H250" i="4"/>
  <c r="H251" i="4"/>
  <c r="H251" i="3"/>
  <c r="H250" i="3"/>
  <c r="H119" i="3"/>
  <c r="H251" i="2"/>
  <c r="H250" i="2"/>
  <c r="H22" i="2"/>
  <c r="H24" i="2" s="1"/>
  <c r="H25" i="2" s="1"/>
  <c r="G251" i="13"/>
  <c r="G250" i="13"/>
  <c r="G250" i="14"/>
  <c r="G251" i="14"/>
  <c r="G118" i="16"/>
  <c r="G251" i="12"/>
  <c r="G250" i="12"/>
  <c r="F250" i="13"/>
  <c r="F251" i="13"/>
  <c r="F251" i="14"/>
  <c r="F250" i="14"/>
  <c r="F250" i="12"/>
  <c r="F251" i="12"/>
  <c r="E251" i="13"/>
  <c r="E250" i="13"/>
  <c r="E251" i="14"/>
  <c r="E250" i="14"/>
  <c r="E250" i="12"/>
  <c r="E251" i="12"/>
  <c r="J217" i="11"/>
  <c r="J251" i="11"/>
  <c r="J250" i="11"/>
  <c r="D251" i="13"/>
  <c r="D250" i="13"/>
  <c r="D250" i="14"/>
  <c r="D251" i="14"/>
  <c r="K217" i="11"/>
  <c r="K251" i="11"/>
  <c r="K250" i="11"/>
  <c r="L217" i="11"/>
  <c r="L251" i="11"/>
  <c r="L250" i="11"/>
  <c r="M217" i="11"/>
  <c r="M251" i="11"/>
  <c r="M250" i="11"/>
  <c r="D251" i="12"/>
  <c r="D250" i="12"/>
  <c r="N217" i="11"/>
  <c r="N251" i="11"/>
  <c r="N250" i="11"/>
  <c r="I217" i="11"/>
  <c r="I251" i="11"/>
  <c r="I250" i="11"/>
  <c r="O217" i="11"/>
  <c r="O251" i="11"/>
  <c r="O250" i="11"/>
  <c r="H251" i="11"/>
  <c r="H250" i="11"/>
  <c r="G250" i="2"/>
  <c r="G251" i="2"/>
  <c r="G250" i="3"/>
  <c r="G251" i="3"/>
  <c r="G250" i="4"/>
  <c r="G251" i="4"/>
  <c r="G251" i="11"/>
  <c r="G250" i="11"/>
  <c r="F204" i="17"/>
  <c r="F22" i="3"/>
  <c r="F24" i="3" s="1"/>
  <c r="E204" i="17"/>
  <c r="D251" i="11"/>
  <c r="D250" i="11"/>
  <c r="E251" i="11"/>
  <c r="E250" i="11"/>
  <c r="F251" i="11"/>
  <c r="F250" i="11"/>
  <c r="F25" i="3"/>
  <c r="G204" i="17"/>
  <c r="F119" i="16"/>
  <c r="E118" i="16"/>
  <c r="E119" i="16" s="1"/>
  <c r="D62" i="12"/>
  <c r="H9" i="12"/>
  <c r="H34" i="12" s="1"/>
  <c r="N243" i="2"/>
  <c r="E119" i="11"/>
  <c r="I22" i="2"/>
  <c r="I24" i="2" s="1"/>
  <c r="I25" i="2" s="1"/>
  <c r="K119" i="2"/>
  <c r="G243" i="2"/>
  <c r="M119" i="4"/>
  <c r="F243" i="2"/>
  <c r="K243" i="3"/>
  <c r="J119" i="2"/>
  <c r="F118" i="4"/>
  <c r="F119" i="4" s="1"/>
  <c r="P204" i="3"/>
  <c r="F118" i="12"/>
  <c r="F119" i="12" s="1"/>
  <c r="F118" i="2"/>
  <c r="F119" i="2" s="1"/>
  <c r="G118" i="2"/>
  <c r="G119" i="2" s="1"/>
  <c r="F243" i="4"/>
  <c r="F243" i="3"/>
  <c r="H11" i="12"/>
  <c r="H36" i="12" s="1"/>
  <c r="D118" i="4"/>
  <c r="D119" i="4" s="1"/>
  <c r="E145" i="17"/>
  <c r="D118" i="3"/>
  <c r="P32" i="11"/>
  <c r="D32" i="12"/>
  <c r="E52" i="15"/>
  <c r="F52" i="13"/>
  <c r="G52" i="12"/>
  <c r="H22" i="11"/>
  <c r="G230" i="15"/>
  <c r="G243" i="15" s="1"/>
  <c r="G230" i="13"/>
  <c r="G243" i="13" s="1"/>
  <c r="G145" i="17"/>
  <c r="G119" i="4"/>
  <c r="N118" i="4"/>
  <c r="N119" i="4" s="1"/>
  <c r="G118" i="12"/>
  <c r="G119" i="12" s="1"/>
  <c r="P111" i="4"/>
  <c r="P118" i="4" s="1"/>
  <c r="O118" i="4"/>
  <c r="G119" i="16"/>
  <c r="P256" i="4"/>
  <c r="P258" i="4" s="1"/>
  <c r="G256" i="16"/>
  <c r="G258" i="16" s="1"/>
  <c r="G243" i="3"/>
  <c r="I243" i="3"/>
  <c r="F230" i="13"/>
  <c r="F243" i="13" s="1"/>
  <c r="F230" i="15"/>
  <c r="F243" i="15" s="1"/>
  <c r="F145" i="17"/>
  <c r="F118" i="3"/>
  <c r="F119" i="3" s="1"/>
  <c r="P89" i="3"/>
  <c r="F84" i="17"/>
  <c r="F78" i="17"/>
  <c r="F72" i="17"/>
  <c r="F66" i="17"/>
  <c r="I243" i="2"/>
  <c r="H243" i="2"/>
  <c r="K243" i="2"/>
  <c r="E118" i="12"/>
  <c r="E119" i="12" s="1"/>
  <c r="M119" i="2"/>
  <c r="P111" i="2"/>
  <c r="P118" i="2" s="1"/>
  <c r="O118" i="2"/>
  <c r="D118" i="2"/>
  <c r="D119" i="2" s="1"/>
  <c r="D230" i="16"/>
  <c r="D243" i="16" s="1"/>
  <c r="H111" i="12"/>
  <c r="D21" i="12"/>
  <c r="G230" i="16"/>
  <c r="G243" i="16" s="1"/>
  <c r="G22" i="16"/>
  <c r="G24" i="16" s="1"/>
  <c r="G25" i="16" s="1"/>
  <c r="E230" i="16"/>
  <c r="E243" i="16" s="1"/>
  <c r="F230" i="16"/>
  <c r="F243" i="16" s="1"/>
  <c r="G105" i="17"/>
  <c r="G111" i="17"/>
  <c r="G118" i="17" s="1"/>
  <c r="E111" i="17"/>
  <c r="E118" i="17" s="1"/>
  <c r="F111" i="17"/>
  <c r="F118" i="17" s="1"/>
  <c r="D118" i="16"/>
  <c r="D119" i="16" s="1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F22" i="16"/>
  <c r="F24" i="16" s="1"/>
  <c r="F25" i="16" s="1"/>
  <c r="E105" i="17"/>
  <c r="P105" i="2"/>
  <c r="O119" i="2"/>
  <c r="P123" i="3"/>
  <c r="F122" i="17"/>
  <c r="F123" i="17" s="1"/>
  <c r="F105" i="17"/>
  <c r="P105" i="4"/>
  <c r="P119" i="4" s="1"/>
  <c r="O119" i="4"/>
  <c r="N258" i="4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L40" i="11"/>
  <c r="N38" i="11"/>
  <c r="H119" i="11"/>
  <c r="E40" i="11"/>
  <c r="M40" i="11"/>
  <c r="O38" i="11"/>
  <c r="O230" i="3"/>
  <c r="O243" i="3" s="1"/>
  <c r="P111" i="3"/>
  <c r="P118" i="3" s="1"/>
  <c r="P119" i="3" s="1"/>
  <c r="O118" i="3"/>
  <c r="O119" i="3" s="1"/>
  <c r="O22" i="3"/>
  <c r="O24" i="3" s="1"/>
  <c r="O25" i="3" s="1"/>
  <c r="O230" i="2"/>
  <c r="O243" i="2" s="1"/>
  <c r="P111" i="11"/>
  <c r="P118" i="11" s="1"/>
  <c r="P119" i="11" s="1"/>
  <c r="O118" i="11"/>
  <c r="O119" i="11" s="1"/>
  <c r="N217" i="4"/>
  <c r="N243" i="3"/>
  <c r="N217" i="3"/>
  <c r="N119" i="11"/>
  <c r="N22" i="2"/>
  <c r="N24" i="2" s="1"/>
  <c r="N25" i="2" s="1"/>
  <c r="M119" i="11"/>
  <c r="M230" i="3"/>
  <c r="M243" i="3" s="1"/>
  <c r="M230" i="2"/>
  <c r="M243" i="2" s="1"/>
  <c r="L217" i="3"/>
  <c r="E230" i="15"/>
  <c r="E243" i="15" s="1"/>
  <c r="L230" i="2"/>
  <c r="L243" i="2" s="1"/>
  <c r="L217" i="2"/>
  <c r="L22" i="2"/>
  <c r="L24" i="2" s="1"/>
  <c r="L25" i="2" s="1"/>
  <c r="L119" i="11"/>
  <c r="K217" i="3"/>
  <c r="K243" i="4"/>
  <c r="G223" i="17"/>
  <c r="D230" i="15"/>
  <c r="D243" i="15" s="1"/>
  <c r="K119" i="11"/>
  <c r="D83" i="15"/>
  <c r="D77" i="15"/>
  <c r="D71" i="15"/>
  <c r="G250" i="15"/>
  <c r="G251" i="15"/>
  <c r="F251" i="15"/>
  <c r="F250" i="15"/>
  <c r="D217" i="15"/>
  <c r="D251" i="15"/>
  <c r="D250" i="15"/>
  <c r="E217" i="15"/>
  <c r="E251" i="15"/>
  <c r="E250" i="15"/>
  <c r="G22" i="15"/>
  <c r="G24" i="15" s="1"/>
  <c r="G25" i="15" s="1"/>
  <c r="J119" i="3"/>
  <c r="G229" i="17"/>
  <c r="E229" i="17"/>
  <c r="J217" i="4"/>
  <c r="E210" i="17"/>
  <c r="J119" i="11"/>
  <c r="J230" i="4"/>
  <c r="J243" i="4" s="1"/>
  <c r="G20" i="17"/>
  <c r="G18" i="17"/>
  <c r="G19" i="17"/>
  <c r="J22" i="4"/>
  <c r="J24" i="4" s="1"/>
  <c r="J25" i="4" s="1"/>
  <c r="F20" i="17"/>
  <c r="F17" i="17"/>
  <c r="F18" i="17"/>
  <c r="F19" i="17"/>
  <c r="J230" i="2"/>
  <c r="J243" i="2" s="1"/>
  <c r="E18" i="17"/>
  <c r="E20" i="17"/>
  <c r="J22" i="2"/>
  <c r="J24" i="2" s="1"/>
  <c r="J25" i="2" s="1"/>
  <c r="E19" i="17"/>
  <c r="E17" i="17"/>
  <c r="D118" i="14"/>
  <c r="D119" i="14" s="1"/>
  <c r="I119" i="11"/>
  <c r="G118" i="14"/>
  <c r="G119" i="14" s="1"/>
  <c r="E118" i="14"/>
  <c r="E119" i="14" s="1"/>
  <c r="F118" i="14"/>
  <c r="F119" i="14" s="1"/>
  <c r="H258" i="13"/>
  <c r="H105" i="13"/>
  <c r="I217" i="4"/>
  <c r="G22" i="13"/>
  <c r="G24" i="13" s="1"/>
  <c r="G25" i="13" s="1"/>
  <c r="I22" i="4"/>
  <c r="I24" i="4" s="1"/>
  <c r="I25" i="4" s="1"/>
  <c r="F223" i="17"/>
  <c r="I22" i="3"/>
  <c r="I24" i="3" s="1"/>
  <c r="I25" i="3" s="1"/>
  <c r="E242" i="17"/>
  <c r="E230" i="13"/>
  <c r="E243" i="13" s="1"/>
  <c r="E223" i="17"/>
  <c r="I217" i="2"/>
  <c r="H242" i="13"/>
  <c r="H119" i="13"/>
  <c r="H118" i="13"/>
  <c r="H236" i="13"/>
  <c r="H229" i="13"/>
  <c r="D217" i="13"/>
  <c r="E217" i="13"/>
  <c r="F22" i="13"/>
  <c r="F24" i="13" s="1"/>
  <c r="F25" i="13" s="1"/>
  <c r="H243" i="3"/>
  <c r="H217" i="3"/>
  <c r="H217" i="2"/>
  <c r="E193" i="17"/>
  <c r="H22" i="3"/>
  <c r="H24" i="3" s="1"/>
  <c r="H25" i="3" s="1"/>
  <c r="H236" i="12"/>
  <c r="D118" i="12"/>
  <c r="D119" i="12" s="1"/>
  <c r="H119" i="12" s="1"/>
  <c r="H117" i="12"/>
  <c r="G242" i="17"/>
  <c r="F242" i="17"/>
  <c r="E236" i="17"/>
  <c r="G217" i="2"/>
  <c r="G15" i="17"/>
  <c r="G22" i="3"/>
  <c r="G24" i="3" s="1"/>
  <c r="G25" i="3" s="1"/>
  <c r="F15" i="17"/>
  <c r="E15" i="17"/>
  <c r="H105" i="12"/>
  <c r="H19" i="12"/>
  <c r="H21" i="12" s="1"/>
  <c r="K243" i="11"/>
  <c r="F119" i="11"/>
  <c r="P85" i="11"/>
  <c r="D38" i="11"/>
  <c r="D40" i="11"/>
  <c r="D118" i="11"/>
  <c r="D119" i="11" s="1"/>
  <c r="G129" i="17"/>
  <c r="G139" i="17"/>
  <c r="P82" i="3"/>
  <c r="P83" i="3" s="1"/>
  <c r="F81" i="17"/>
  <c r="P255" i="3"/>
  <c r="G236" i="17"/>
  <c r="G216" i="17"/>
  <c r="F217" i="4"/>
  <c r="G210" i="17"/>
  <c r="F217" i="3"/>
  <c r="E216" i="17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D119" i="3"/>
  <c r="F70" i="17"/>
  <c r="E134" i="17"/>
  <c r="E129" i="17"/>
  <c r="E148" i="17"/>
  <c r="E146" i="17"/>
  <c r="E139" i="17"/>
  <c r="E144" i="17"/>
  <c r="E147" i="17"/>
  <c r="E70" i="17"/>
  <c r="E71" i="17" s="1"/>
  <c r="E90" i="17"/>
  <c r="P82" i="2"/>
  <c r="E81" i="17"/>
  <c r="E82" i="17" s="1"/>
  <c r="D259" i="2"/>
  <c r="D259" i="11"/>
  <c r="H70" i="14"/>
  <c r="H71" i="14" s="1"/>
  <c r="D40" i="12"/>
  <c r="D45" i="12"/>
  <c r="D30" i="12"/>
  <c r="D47" i="12"/>
  <c r="D34" i="12"/>
  <c r="G193" i="17"/>
  <c r="P32" i="4"/>
  <c r="G9" i="17"/>
  <c r="F193" i="17"/>
  <c r="P32" i="3"/>
  <c r="F9" i="17"/>
  <c r="H193" i="12"/>
  <c r="H32" i="14"/>
  <c r="P70" i="11"/>
  <c r="P71" i="11" s="1"/>
  <c r="P204" i="11"/>
  <c r="E217" i="11"/>
  <c r="E217" i="4"/>
  <c r="P236" i="3"/>
  <c r="F232" i="17"/>
  <c r="F236" i="17" s="1"/>
  <c r="E217" i="3"/>
  <c r="P223" i="2"/>
  <c r="E217" i="2"/>
  <c r="H242" i="14"/>
  <c r="H236" i="14"/>
  <c r="G230" i="14"/>
  <c r="G243" i="14" s="1"/>
  <c r="G22" i="14"/>
  <c r="G24" i="14" s="1"/>
  <c r="G25" i="14" s="1"/>
  <c r="P21" i="4"/>
  <c r="G17" i="17"/>
  <c r="F230" i="12"/>
  <c r="F243" i="12" s="1"/>
  <c r="F230" i="14"/>
  <c r="F243" i="14" s="1"/>
  <c r="F229" i="17"/>
  <c r="F216" i="17"/>
  <c r="E230" i="14"/>
  <c r="E243" i="14" s="1"/>
  <c r="H229" i="14"/>
  <c r="H258" i="14"/>
  <c r="D217" i="14"/>
  <c r="E217" i="14"/>
  <c r="H146" i="14"/>
  <c r="H147" i="14"/>
  <c r="H148" i="14"/>
  <c r="H145" i="14"/>
  <c r="F22" i="14"/>
  <c r="F24" i="14" s="1"/>
  <c r="F25" i="14" s="1"/>
  <c r="H147" i="12"/>
  <c r="P258" i="11"/>
  <c r="D217" i="11"/>
  <c r="P193" i="11"/>
  <c r="P144" i="11"/>
  <c r="P147" i="11"/>
  <c r="P148" i="11"/>
  <c r="P134" i="11"/>
  <c r="P139" i="4"/>
  <c r="P144" i="4"/>
  <c r="P145" i="4"/>
  <c r="E118" i="4"/>
  <c r="E119" i="4" s="1"/>
  <c r="P258" i="3"/>
  <c r="D217" i="3"/>
  <c r="P144" i="3"/>
  <c r="P145" i="3"/>
  <c r="E118" i="3"/>
  <c r="E119" i="3" s="1"/>
  <c r="P242" i="2"/>
  <c r="D217" i="2"/>
  <c r="P148" i="2"/>
  <c r="P139" i="2"/>
  <c r="P129" i="2"/>
  <c r="P147" i="2"/>
  <c r="E118" i="2"/>
  <c r="E119" i="2" s="1"/>
  <c r="P70" i="2"/>
  <c r="P71" i="2" s="1"/>
  <c r="P30" i="2"/>
  <c r="P45" i="2"/>
  <c r="P32" i="2"/>
  <c r="E9" i="17"/>
  <c r="E22" i="14"/>
  <c r="E24" i="14" s="1"/>
  <c r="E25" i="14" s="1"/>
  <c r="P45" i="11"/>
  <c r="E22" i="11"/>
  <c r="M22" i="11"/>
  <c r="D22" i="4"/>
  <c r="D24" i="4" s="1"/>
  <c r="D25" i="4" s="1"/>
  <c r="D22" i="2"/>
  <c r="D24" i="2" s="1"/>
  <c r="D25" i="2" s="1"/>
  <c r="P15" i="4"/>
  <c r="D15" i="16"/>
  <c r="E22" i="16"/>
  <c r="E24" i="16" s="1"/>
  <c r="E25" i="16" s="1"/>
  <c r="E22" i="15"/>
  <c r="E24" i="15" s="1"/>
  <c r="E25" i="15" s="1"/>
  <c r="F22" i="15"/>
  <c r="F24" i="15" s="1"/>
  <c r="F25" i="15" s="1"/>
  <c r="F217" i="15"/>
  <c r="H193" i="14"/>
  <c r="D230" i="14"/>
  <c r="D243" i="14" s="1"/>
  <c r="H216" i="14"/>
  <c r="H123" i="14"/>
  <c r="F217" i="14"/>
  <c r="H52" i="14"/>
  <c r="H204" i="14"/>
  <c r="H193" i="13"/>
  <c r="D230" i="13"/>
  <c r="D243" i="13" s="1"/>
  <c r="H216" i="13"/>
  <c r="H70" i="13"/>
  <c r="D15" i="13"/>
  <c r="F217" i="13"/>
  <c r="H11" i="13"/>
  <c r="H15" i="13" s="1"/>
  <c r="E22" i="13"/>
  <c r="E24" i="13" s="1"/>
  <c r="E25" i="13" s="1"/>
  <c r="H204" i="13"/>
  <c r="G230" i="12"/>
  <c r="G243" i="12" s="1"/>
  <c r="H145" i="12"/>
  <c r="H81" i="12"/>
  <c r="H82" i="12" s="1"/>
  <c r="H83" i="12" s="1"/>
  <c r="D15" i="12"/>
  <c r="H70" i="12"/>
  <c r="H71" i="12" s="1"/>
  <c r="E217" i="12"/>
  <c r="K22" i="11"/>
  <c r="P236" i="11"/>
  <c r="P123" i="11"/>
  <c r="P223" i="11"/>
  <c r="P30" i="11"/>
  <c r="P216" i="11"/>
  <c r="F22" i="11"/>
  <c r="N22" i="11"/>
  <c r="P62" i="11"/>
  <c r="P146" i="11"/>
  <c r="P210" i="11"/>
  <c r="F230" i="11"/>
  <c r="F243" i="11" s="1"/>
  <c r="N230" i="11"/>
  <c r="N243" i="11" s="1"/>
  <c r="G22" i="11"/>
  <c r="O22" i="11"/>
  <c r="P47" i="11"/>
  <c r="P242" i="11"/>
  <c r="J22" i="11"/>
  <c r="P15" i="11"/>
  <c r="P21" i="11"/>
  <c r="P229" i="11"/>
  <c r="D230" i="11"/>
  <c r="D243" i="11" s="1"/>
  <c r="I22" i="11"/>
  <c r="P34" i="11"/>
  <c r="P145" i="11"/>
  <c r="P139" i="11"/>
  <c r="F22" i="4"/>
  <c r="F24" i="4" s="1"/>
  <c r="F25" i="4" s="1"/>
  <c r="N22" i="4"/>
  <c r="N24" i="4" s="1"/>
  <c r="N25" i="4" s="1"/>
  <c r="P79" i="4"/>
  <c r="G79" i="17" s="1"/>
  <c r="P70" i="4"/>
  <c r="P71" i="4" s="1"/>
  <c r="P242" i="4"/>
  <c r="K217" i="4"/>
  <c r="H230" i="4"/>
  <c r="H243" i="4" s="1"/>
  <c r="G230" i="4"/>
  <c r="G243" i="4" s="1"/>
  <c r="P30" i="4"/>
  <c r="P146" i="4"/>
  <c r="I230" i="4"/>
  <c r="I243" i="4" s="1"/>
  <c r="K22" i="4"/>
  <c r="K24" i="4" s="1"/>
  <c r="K25" i="4" s="1"/>
  <c r="N41" i="4"/>
  <c r="N58" i="4" s="1"/>
  <c r="N249" i="4" s="1"/>
  <c r="P147" i="4"/>
  <c r="O230" i="4"/>
  <c r="O243" i="4" s="1"/>
  <c r="P122" i="4"/>
  <c r="P148" i="4"/>
  <c r="P236" i="4"/>
  <c r="E22" i="4"/>
  <c r="E24" i="4" s="1"/>
  <c r="E25" i="4" s="1"/>
  <c r="M22" i="4"/>
  <c r="M24" i="4" s="1"/>
  <c r="M25" i="4" s="1"/>
  <c r="P73" i="4"/>
  <c r="G73" i="17" s="1"/>
  <c r="P134" i="4"/>
  <c r="G217" i="4"/>
  <c r="O217" i="4"/>
  <c r="P223" i="4"/>
  <c r="L230" i="4"/>
  <c r="L243" i="4" s="1"/>
  <c r="P15" i="3"/>
  <c r="P21" i="3"/>
  <c r="G41" i="3"/>
  <c r="G42" i="3" s="1"/>
  <c r="J230" i="3"/>
  <c r="J243" i="3" s="1"/>
  <c r="P34" i="3"/>
  <c r="P62" i="3"/>
  <c r="P70" i="3"/>
  <c r="P71" i="3" s="1"/>
  <c r="P147" i="3"/>
  <c r="J22" i="3"/>
  <c r="J24" i="3" s="1"/>
  <c r="J25" i="3" s="1"/>
  <c r="P47" i="3"/>
  <c r="D230" i="3"/>
  <c r="D243" i="3" s="1"/>
  <c r="L230" i="3"/>
  <c r="L243" i="3" s="1"/>
  <c r="K22" i="3"/>
  <c r="K24" i="3" s="1"/>
  <c r="K25" i="3" s="1"/>
  <c r="P134" i="3"/>
  <c r="I217" i="3"/>
  <c r="G217" i="3"/>
  <c r="P146" i="3"/>
  <c r="E22" i="3"/>
  <c r="E24" i="3" s="1"/>
  <c r="M22" i="3"/>
  <c r="M24" i="3" s="1"/>
  <c r="M25" i="3" s="1"/>
  <c r="P45" i="3"/>
  <c r="P139" i="3"/>
  <c r="P148" i="3"/>
  <c r="P193" i="3"/>
  <c r="P216" i="3"/>
  <c r="P242" i="3"/>
  <c r="J217" i="2"/>
  <c r="P258" i="2"/>
  <c r="K217" i="2"/>
  <c r="N217" i="2"/>
  <c r="D230" i="2"/>
  <c r="D243" i="2" s="1"/>
  <c r="E22" i="2"/>
  <c r="E24" i="2" s="1"/>
  <c r="E25" i="2" s="1"/>
  <c r="M22" i="2"/>
  <c r="M24" i="2" s="1"/>
  <c r="M25" i="2" s="1"/>
  <c r="P34" i="2"/>
  <c r="P204" i="2"/>
  <c r="P216" i="2"/>
  <c r="O217" i="2"/>
  <c r="F22" i="2"/>
  <c r="F24" i="2" s="1"/>
  <c r="F25" i="2" s="1"/>
  <c r="F41" i="2"/>
  <c r="F58" i="2" s="1"/>
  <c r="F249" i="2" s="1"/>
  <c r="P62" i="2"/>
  <c r="P146" i="2"/>
  <c r="P47" i="2"/>
  <c r="P15" i="2"/>
  <c r="P21" i="2"/>
  <c r="P79" i="2"/>
  <c r="E79" i="17" s="1"/>
  <c r="P144" i="2"/>
  <c r="F217" i="2"/>
  <c r="D38" i="13"/>
  <c r="D15" i="14"/>
  <c r="H30" i="14"/>
  <c r="D40" i="15"/>
  <c r="H15" i="14"/>
  <c r="D30" i="14"/>
  <c r="D62" i="16"/>
  <c r="D30" i="15"/>
  <c r="D30" i="16"/>
  <c r="D38" i="14"/>
  <c r="H47" i="14"/>
  <c r="D40" i="13"/>
  <c r="D38" i="15"/>
  <c r="D38" i="16"/>
  <c r="D30" i="13"/>
  <c r="J41" i="2"/>
  <c r="J42" i="2" s="1"/>
  <c r="F41" i="4"/>
  <c r="F42" i="4" s="1"/>
  <c r="P52" i="4"/>
  <c r="G52" i="17" s="1"/>
  <c r="P91" i="4"/>
  <c r="P79" i="11"/>
  <c r="P83" i="11" s="1"/>
  <c r="M41" i="3"/>
  <c r="M42" i="3" s="1"/>
  <c r="P52" i="3"/>
  <c r="F52" i="17" s="1"/>
  <c r="P73" i="3"/>
  <c r="F73" i="17" s="1"/>
  <c r="F91" i="17" s="1"/>
  <c r="P81" i="4"/>
  <c r="P87" i="11"/>
  <c r="P39" i="2"/>
  <c r="O123" i="3"/>
  <c r="J38" i="11"/>
  <c r="P37" i="3"/>
  <c r="P52" i="2"/>
  <c r="E52" i="17" s="1"/>
  <c r="O259" i="2"/>
  <c r="P92" i="3"/>
  <c r="H123" i="13"/>
  <c r="D40" i="14"/>
  <c r="D40" i="16"/>
  <c r="O41" i="2"/>
  <c r="O58" i="2" s="1"/>
  <c r="O249" i="2" s="1"/>
  <c r="N82" i="2"/>
  <c r="N83" i="2" s="1"/>
  <c r="L41" i="3"/>
  <c r="L58" i="3" s="1"/>
  <c r="P39" i="3"/>
  <c r="H39" i="13"/>
  <c r="H77" i="13"/>
  <c r="H89" i="13"/>
  <c r="O259" i="11"/>
  <c r="H92" i="13"/>
  <c r="H74" i="14"/>
  <c r="H76" i="14" s="1"/>
  <c r="D21" i="16"/>
  <c r="D34" i="16"/>
  <c r="D45" i="16"/>
  <c r="D41" i="16"/>
  <c r="E41" i="16"/>
  <c r="D32" i="16"/>
  <c r="F41" i="16"/>
  <c r="G41" i="16"/>
  <c r="G217" i="15"/>
  <c r="D21" i="15"/>
  <c r="D22" i="15" s="1"/>
  <c r="D24" i="15" s="1"/>
  <c r="D25" i="15" s="1"/>
  <c r="D34" i="15"/>
  <c r="D45" i="15"/>
  <c r="D41" i="15"/>
  <c r="E41" i="15"/>
  <c r="D62" i="15"/>
  <c r="D32" i="15"/>
  <c r="F41" i="15"/>
  <c r="G41" i="15"/>
  <c r="H21" i="14"/>
  <c r="H89" i="14"/>
  <c r="H129" i="14"/>
  <c r="G217" i="14"/>
  <c r="D21" i="14"/>
  <c r="D34" i="14"/>
  <c r="D45" i="14"/>
  <c r="D41" i="14"/>
  <c r="H81" i="14"/>
  <c r="H82" i="14" s="1"/>
  <c r="H34" i="14"/>
  <c r="E41" i="14"/>
  <c r="H45" i="14"/>
  <c r="D62" i="14"/>
  <c r="D32" i="14"/>
  <c r="F41" i="14"/>
  <c r="G41" i="14"/>
  <c r="H210" i="14"/>
  <c r="H223" i="14"/>
  <c r="H21" i="13"/>
  <c r="G217" i="13"/>
  <c r="D21" i="13"/>
  <c r="D34" i="13"/>
  <c r="D45" i="13"/>
  <c r="D41" i="13"/>
  <c r="H81" i="13"/>
  <c r="H82" i="13" s="1"/>
  <c r="E41" i="13"/>
  <c r="D62" i="13"/>
  <c r="H91" i="13"/>
  <c r="D32" i="13"/>
  <c r="F41" i="13"/>
  <c r="H32" i="13"/>
  <c r="G41" i="13"/>
  <c r="H210" i="13"/>
  <c r="H223" i="13"/>
  <c r="H13" i="12"/>
  <c r="H89" i="12"/>
  <c r="F217" i="12"/>
  <c r="H242" i="12"/>
  <c r="H144" i="12"/>
  <c r="H91" i="12"/>
  <c r="H223" i="12"/>
  <c r="F22" i="12"/>
  <c r="F24" i="12" s="1"/>
  <c r="F25" i="12" s="1"/>
  <c r="H139" i="12"/>
  <c r="D230" i="12"/>
  <c r="D243" i="12" s="1"/>
  <c r="D217" i="12"/>
  <c r="E230" i="12"/>
  <c r="E243" i="12" s="1"/>
  <c r="H258" i="12"/>
  <c r="H204" i="12"/>
  <c r="G41" i="12"/>
  <c r="G42" i="12" s="1"/>
  <c r="G217" i="12"/>
  <c r="E22" i="12"/>
  <c r="E24" i="12" s="1"/>
  <c r="E25" i="12" s="1"/>
  <c r="H148" i="12"/>
  <c r="H73" i="12"/>
  <c r="H134" i="12"/>
  <c r="G22" i="12"/>
  <c r="G24" i="12" s="1"/>
  <c r="G25" i="12" s="1"/>
  <c r="H216" i="12"/>
  <c r="H146" i="12"/>
  <c r="H129" i="12"/>
  <c r="H74" i="12"/>
  <c r="H76" i="12" s="1"/>
  <c r="H210" i="12"/>
  <c r="H229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G22" i="4"/>
  <c r="G24" i="4" s="1"/>
  <c r="O22" i="4"/>
  <c r="O24" i="4" s="1"/>
  <c r="O25" i="4" s="1"/>
  <c r="P39" i="4"/>
  <c r="J41" i="4"/>
  <c r="P62" i="4"/>
  <c r="G42" i="4"/>
  <c r="G58" i="4"/>
  <c r="O41" i="4"/>
  <c r="P193" i="4"/>
  <c r="P204" i="4"/>
  <c r="D217" i="4"/>
  <c r="P210" i="4"/>
  <c r="L217" i="4"/>
  <c r="D230" i="4"/>
  <c r="P229" i="4"/>
  <c r="P45" i="4"/>
  <c r="M41" i="4"/>
  <c r="P34" i="4"/>
  <c r="I41" i="4"/>
  <c r="P47" i="4"/>
  <c r="N77" i="4"/>
  <c r="P89" i="4"/>
  <c r="P216" i="4"/>
  <c r="E230" i="4"/>
  <c r="E243" i="4" s="1"/>
  <c r="M230" i="4"/>
  <c r="M243" i="4" s="1"/>
  <c r="P129" i="4"/>
  <c r="H41" i="4"/>
  <c r="H217" i="4"/>
  <c r="P74" i="4"/>
  <c r="K41" i="4"/>
  <c r="P37" i="4"/>
  <c r="D41" i="4"/>
  <c r="L41" i="4"/>
  <c r="E41" i="4"/>
  <c r="N259" i="3"/>
  <c r="O259" i="3"/>
  <c r="F41" i="3"/>
  <c r="H41" i="3"/>
  <c r="N41" i="3"/>
  <c r="P30" i="3"/>
  <c r="O41" i="3"/>
  <c r="P87" i="3"/>
  <c r="F87" i="17" s="1"/>
  <c r="F88" i="17" s="1"/>
  <c r="H38" i="3"/>
  <c r="I41" i="3"/>
  <c r="P74" i="3"/>
  <c r="P223" i="3"/>
  <c r="P129" i="3"/>
  <c r="J41" i="3"/>
  <c r="P210" i="3"/>
  <c r="P229" i="3"/>
  <c r="K41" i="3"/>
  <c r="D41" i="3"/>
  <c r="E41" i="3"/>
  <c r="O42" i="2"/>
  <c r="P122" i="2"/>
  <c r="P210" i="2"/>
  <c r="P229" i="2"/>
  <c r="P236" i="2"/>
  <c r="P145" i="2"/>
  <c r="K22" i="2"/>
  <c r="K24" i="2" s="1"/>
  <c r="K25" i="2" s="1"/>
  <c r="N76" i="2"/>
  <c r="N77" i="2" s="1"/>
  <c r="P74" i="2"/>
  <c r="P85" i="2"/>
  <c r="P91" i="2"/>
  <c r="G41" i="2"/>
  <c r="D38" i="2"/>
  <c r="P37" i="2"/>
  <c r="L41" i="2"/>
  <c r="D41" i="2"/>
  <c r="H41" i="2"/>
  <c r="P134" i="2"/>
  <c r="P193" i="2"/>
  <c r="M41" i="2"/>
  <c r="K41" i="2"/>
  <c r="G22" i="2"/>
  <c r="G24" i="2" s="1"/>
  <c r="G25" i="2" s="1"/>
  <c r="O22" i="2"/>
  <c r="O24" i="2" s="1"/>
  <c r="O25" i="2" s="1"/>
  <c r="N41" i="2"/>
  <c r="I41" i="2"/>
  <c r="E41" i="2"/>
  <c r="E90" i="13" l="1"/>
  <c r="H66" i="13"/>
  <c r="H71" i="13" s="1"/>
  <c r="G90" i="11"/>
  <c r="G95" i="11" s="1"/>
  <c r="G255" i="11" s="1"/>
  <c r="G259" i="11" s="1"/>
  <c r="G71" i="11"/>
  <c r="E255" i="13"/>
  <c r="E259" i="13" s="1"/>
  <c r="G259" i="2"/>
  <c r="G230" i="17"/>
  <c r="G243" i="17" s="1"/>
  <c r="L249" i="3"/>
  <c r="H251" i="13"/>
  <c r="H251" i="12"/>
  <c r="H250" i="12"/>
  <c r="H251" i="14"/>
  <c r="H250" i="14"/>
  <c r="G249" i="4"/>
  <c r="G25" i="4"/>
  <c r="F230" i="17"/>
  <c r="F243" i="17" s="1"/>
  <c r="G58" i="3"/>
  <c r="G249" i="3" s="1"/>
  <c r="P251" i="11"/>
  <c r="P250" i="11"/>
  <c r="E25" i="3"/>
  <c r="G119" i="17"/>
  <c r="H37" i="13"/>
  <c r="H38" i="13" s="1"/>
  <c r="F90" i="17"/>
  <c r="H37" i="12"/>
  <c r="H38" i="12" s="1"/>
  <c r="D22" i="16"/>
  <c r="D24" i="16" s="1"/>
  <c r="D25" i="16" s="1"/>
  <c r="H15" i="12"/>
  <c r="H22" i="12" s="1"/>
  <c r="H24" i="12" s="1"/>
  <c r="H25" i="12" s="1"/>
  <c r="N42" i="4"/>
  <c r="D22" i="12"/>
  <c r="D24" i="12" s="1"/>
  <c r="D25" i="12" s="1"/>
  <c r="F71" i="17"/>
  <c r="E230" i="17"/>
  <c r="E243" i="17" s="1"/>
  <c r="P22" i="4"/>
  <c r="P24" i="4" s="1"/>
  <c r="P25" i="4" s="1"/>
  <c r="P230" i="2"/>
  <c r="P119" i="2"/>
  <c r="P37" i="11"/>
  <c r="P38" i="11" s="1"/>
  <c r="H39" i="12"/>
  <c r="H40" i="12" s="1"/>
  <c r="H41" i="11"/>
  <c r="H42" i="11" s="1"/>
  <c r="P40" i="4"/>
  <c r="G39" i="17"/>
  <c r="G40" i="17" s="1"/>
  <c r="P38" i="4"/>
  <c r="G37" i="17"/>
  <c r="P40" i="3"/>
  <c r="F39" i="17"/>
  <c r="F40" i="17" s="1"/>
  <c r="P38" i="3"/>
  <c r="F37" i="17"/>
  <c r="D41" i="11"/>
  <c r="D42" i="11" s="1"/>
  <c r="G41" i="11"/>
  <c r="E41" i="11"/>
  <c r="E42" i="11" s="1"/>
  <c r="P40" i="2"/>
  <c r="E39" i="17"/>
  <c r="E40" i="17" s="1"/>
  <c r="P38" i="2"/>
  <c r="E37" i="17"/>
  <c r="P230" i="3"/>
  <c r="F41" i="11"/>
  <c r="F42" i="11" s="1"/>
  <c r="E119" i="17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E250" i="17"/>
  <c r="E217" i="17"/>
  <c r="P39" i="11"/>
  <c r="P40" i="11" s="1"/>
  <c r="O41" i="11"/>
  <c r="N41" i="11"/>
  <c r="P123" i="2"/>
  <c r="E122" i="17"/>
  <c r="E123" i="17" s="1"/>
  <c r="P123" i="4"/>
  <c r="G122" i="17"/>
  <c r="G123" i="17" s="1"/>
  <c r="F259" i="11"/>
  <c r="J41" i="11"/>
  <c r="I41" i="11"/>
  <c r="M41" i="11"/>
  <c r="K41" i="11"/>
  <c r="L41" i="11"/>
  <c r="G251" i="17"/>
  <c r="F251" i="17"/>
  <c r="G21" i="17"/>
  <c r="G22" i="17" s="1"/>
  <c r="G24" i="17" s="1"/>
  <c r="G25" i="17" s="1"/>
  <c r="L42" i="3"/>
  <c r="M58" i="3"/>
  <c r="M249" i="3" s="1"/>
  <c r="F42" i="2"/>
  <c r="J58" i="2"/>
  <c r="J249" i="2" s="1"/>
  <c r="H243" i="13"/>
  <c r="H245" i="13" s="1"/>
  <c r="H246" i="13" s="1"/>
  <c r="H247" i="13" s="1"/>
  <c r="P243" i="2"/>
  <c r="D22" i="13"/>
  <c r="D24" i="13" s="1"/>
  <c r="D25" i="13" s="1"/>
  <c r="H230" i="13"/>
  <c r="F250" i="17"/>
  <c r="F93" i="17"/>
  <c r="P89" i="11"/>
  <c r="H39" i="14"/>
  <c r="H40" i="14" s="1"/>
  <c r="H118" i="12"/>
  <c r="G217" i="17"/>
  <c r="G250" i="17"/>
  <c r="P22" i="2"/>
  <c r="P24" i="2" s="1"/>
  <c r="P25" i="2" s="1"/>
  <c r="H45" i="12"/>
  <c r="H62" i="12"/>
  <c r="H37" i="14"/>
  <c r="H38" i="14" s="1"/>
  <c r="F256" i="17"/>
  <c r="F258" i="17" s="1"/>
  <c r="P76" i="3"/>
  <c r="P77" i="3" s="1"/>
  <c r="F74" i="17"/>
  <c r="F76" i="17" s="1"/>
  <c r="E149" i="17"/>
  <c r="P22" i="3"/>
  <c r="P24" i="3" s="1"/>
  <c r="P25" i="3" s="1"/>
  <c r="G149" i="17"/>
  <c r="P82" i="4"/>
  <c r="P83" i="4" s="1"/>
  <c r="G81" i="17"/>
  <c r="G82" i="17" s="1"/>
  <c r="G91" i="17"/>
  <c r="G256" i="17" s="1"/>
  <c r="G258" i="17" s="1"/>
  <c r="P76" i="4"/>
  <c r="G74" i="17"/>
  <c r="G76" i="17" s="1"/>
  <c r="F217" i="17"/>
  <c r="F149" i="17"/>
  <c r="H149" i="14"/>
  <c r="P76" i="2"/>
  <c r="P77" i="2" s="1"/>
  <c r="E74" i="17"/>
  <c r="E76" i="17" s="1"/>
  <c r="P89" i="2"/>
  <c r="E85" i="17"/>
  <c r="E93" i="17" s="1"/>
  <c r="E83" i="17"/>
  <c r="P83" i="2"/>
  <c r="H30" i="12"/>
  <c r="H47" i="12"/>
  <c r="H32" i="12"/>
  <c r="G47" i="17"/>
  <c r="G62" i="17"/>
  <c r="G30" i="17"/>
  <c r="G32" i="17"/>
  <c r="G45" i="17"/>
  <c r="G34" i="17"/>
  <c r="F45" i="17"/>
  <c r="F47" i="17"/>
  <c r="F30" i="17"/>
  <c r="F62" i="17"/>
  <c r="F32" i="17"/>
  <c r="F38" i="17"/>
  <c r="F34" i="17"/>
  <c r="P243" i="11"/>
  <c r="H230" i="14"/>
  <c r="P243" i="4"/>
  <c r="P243" i="3"/>
  <c r="P217" i="11"/>
  <c r="H243" i="14"/>
  <c r="H22" i="14"/>
  <c r="P149" i="11"/>
  <c r="P22" i="11"/>
  <c r="P24" i="11" s="1"/>
  <c r="P25" i="11" s="1"/>
  <c r="P250" i="4"/>
  <c r="P251" i="4"/>
  <c r="P149" i="4"/>
  <c r="P251" i="3"/>
  <c r="P250" i="3"/>
  <c r="P149" i="3"/>
  <c r="P251" i="2"/>
  <c r="P250" i="2"/>
  <c r="P149" i="2"/>
  <c r="E47" i="17"/>
  <c r="E34" i="17"/>
  <c r="E45" i="17"/>
  <c r="E32" i="17"/>
  <c r="E30" i="17"/>
  <c r="E62" i="17"/>
  <c r="E38" i="17"/>
  <c r="D22" i="14"/>
  <c r="D24" i="14" s="1"/>
  <c r="H83" i="14"/>
  <c r="F58" i="4"/>
  <c r="F249" i="4" s="1"/>
  <c r="H83" i="13"/>
  <c r="H77" i="14"/>
  <c r="F58" i="16"/>
  <c r="F249" i="16" s="1"/>
  <c r="F42" i="16"/>
  <c r="E42" i="16"/>
  <c r="E58" i="16"/>
  <c r="E249" i="16" s="1"/>
  <c r="D42" i="16"/>
  <c r="D58" i="16"/>
  <c r="D249" i="16" s="1"/>
  <c r="G58" i="16"/>
  <c r="G249" i="16" s="1"/>
  <c r="G42" i="16"/>
  <c r="G58" i="15"/>
  <c r="G249" i="15" s="1"/>
  <c r="G42" i="15"/>
  <c r="E42" i="15"/>
  <c r="E58" i="15"/>
  <c r="E249" i="15" s="1"/>
  <c r="F58" i="15"/>
  <c r="F249" i="15" s="1"/>
  <c r="F42" i="15"/>
  <c r="D42" i="15"/>
  <c r="H217" i="14"/>
  <c r="D42" i="14"/>
  <c r="H41" i="14"/>
  <c r="H42" i="14" s="1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H259" i="14"/>
  <c r="H40" i="13"/>
  <c r="D42" i="13"/>
  <c r="H217" i="13"/>
  <c r="G58" i="13"/>
  <c r="G249" i="13" s="1"/>
  <c r="G42" i="13"/>
  <c r="E42" i="13"/>
  <c r="E58" i="13"/>
  <c r="E249" i="13" s="1"/>
  <c r="H94" i="13"/>
  <c r="H62" i="13"/>
  <c r="H47" i="13"/>
  <c r="H45" i="13"/>
  <c r="H34" i="13"/>
  <c r="H30" i="13"/>
  <c r="F42" i="13"/>
  <c r="F58" i="13"/>
  <c r="F249" i="13" s="1"/>
  <c r="H22" i="13"/>
  <c r="H24" i="13" s="1"/>
  <c r="H25" i="13" s="1"/>
  <c r="H243" i="12"/>
  <c r="H230" i="12"/>
  <c r="H149" i="12"/>
  <c r="G58" i="12"/>
  <c r="G249" i="12" s="1"/>
  <c r="E58" i="12"/>
  <c r="E249" i="12" s="1"/>
  <c r="E42" i="12"/>
  <c r="F42" i="12"/>
  <c r="F58" i="12"/>
  <c r="F249" i="12" s="1"/>
  <c r="H217" i="12"/>
  <c r="H77" i="12"/>
  <c r="D42" i="12"/>
  <c r="N259" i="11"/>
  <c r="P230" i="11"/>
  <c r="P76" i="11"/>
  <c r="P77" i="11" s="1"/>
  <c r="P217" i="4"/>
  <c r="G59" i="4"/>
  <c r="G60" i="4"/>
  <c r="O42" i="4"/>
  <c r="O58" i="4"/>
  <c r="O249" i="4" s="1"/>
  <c r="D58" i="4"/>
  <c r="D42" i="4"/>
  <c r="P41" i="4"/>
  <c r="P42" i="4" s="1"/>
  <c r="E58" i="4"/>
  <c r="E249" i="4" s="1"/>
  <c r="E42" i="4"/>
  <c r="L58" i="4"/>
  <c r="L249" i="4" s="1"/>
  <c r="L42" i="4"/>
  <c r="H42" i="4"/>
  <c r="H58" i="4"/>
  <c r="H249" i="4" s="1"/>
  <c r="I58" i="4"/>
  <c r="I249" i="4" s="1"/>
  <c r="I42" i="4"/>
  <c r="N59" i="4"/>
  <c r="N60" i="4"/>
  <c r="O259" i="4"/>
  <c r="K58" i="4"/>
  <c r="K249" i="4" s="1"/>
  <c r="K42" i="4"/>
  <c r="M42" i="4"/>
  <c r="M58" i="4"/>
  <c r="M249" i="4" s="1"/>
  <c r="J58" i="4"/>
  <c r="J249" i="4" s="1"/>
  <c r="J42" i="4"/>
  <c r="F59" i="4"/>
  <c r="P92" i="4"/>
  <c r="N94" i="4"/>
  <c r="N95" i="4" s="1"/>
  <c r="N255" i="4" s="1"/>
  <c r="P77" i="4"/>
  <c r="P230" i="4"/>
  <c r="D243" i="4"/>
  <c r="K58" i="3"/>
  <c r="K249" i="3" s="1"/>
  <c r="K42" i="3"/>
  <c r="N42" i="3"/>
  <c r="N58" i="3"/>
  <c r="N249" i="3" s="1"/>
  <c r="L60" i="3"/>
  <c r="L59" i="3"/>
  <c r="I58" i="3"/>
  <c r="I249" i="3" s="1"/>
  <c r="I42" i="3"/>
  <c r="F42" i="3"/>
  <c r="F58" i="3"/>
  <c r="F249" i="3" s="1"/>
  <c r="H42" i="3"/>
  <c r="H58" i="3"/>
  <c r="H249" i="3" s="1"/>
  <c r="P217" i="3"/>
  <c r="G59" i="3"/>
  <c r="G60" i="3"/>
  <c r="D58" i="3"/>
  <c r="D249" i="3" s="1"/>
  <c r="D42" i="3"/>
  <c r="P41" i="3"/>
  <c r="P42" i="3" s="1"/>
  <c r="J58" i="3"/>
  <c r="J249" i="3" s="1"/>
  <c r="J42" i="3"/>
  <c r="P259" i="3"/>
  <c r="P94" i="3"/>
  <c r="P95" i="3" s="1"/>
  <c r="E42" i="3"/>
  <c r="E58" i="3"/>
  <c r="E249" i="3" s="1"/>
  <c r="O42" i="3"/>
  <c r="O58" i="3"/>
  <c r="O249" i="3" s="1"/>
  <c r="F59" i="2"/>
  <c r="F60" i="2"/>
  <c r="E58" i="2"/>
  <c r="E249" i="2" s="1"/>
  <c r="E42" i="2"/>
  <c r="I58" i="2"/>
  <c r="I249" i="2" s="1"/>
  <c r="I42" i="2"/>
  <c r="H42" i="2"/>
  <c r="H58" i="2"/>
  <c r="H249" i="2" s="1"/>
  <c r="K58" i="2"/>
  <c r="K249" i="2" s="1"/>
  <c r="K42" i="2"/>
  <c r="D58" i="2"/>
  <c r="D249" i="2" s="1"/>
  <c r="D42" i="2"/>
  <c r="P41" i="2"/>
  <c r="P42" i="2" s="1"/>
  <c r="N259" i="2"/>
  <c r="P92" i="2"/>
  <c r="M42" i="2"/>
  <c r="M58" i="2"/>
  <c r="M249" i="2" s="1"/>
  <c r="L58" i="2"/>
  <c r="L249" i="2" s="1"/>
  <c r="L42" i="2"/>
  <c r="O59" i="2"/>
  <c r="O60" i="2"/>
  <c r="N42" i="2"/>
  <c r="N58" i="2"/>
  <c r="N249" i="2" s="1"/>
  <c r="P217" i="2"/>
  <c r="G42" i="2"/>
  <c r="G58" i="2"/>
  <c r="G249" i="2" s="1"/>
  <c r="P255" i="11" l="1"/>
  <c r="E95" i="13"/>
  <c r="H90" i="13"/>
  <c r="H95" i="13"/>
  <c r="G41" i="17"/>
  <c r="G58" i="17" s="1"/>
  <c r="G60" i="17" s="1"/>
  <c r="D249" i="4"/>
  <c r="H250" i="13"/>
  <c r="H41" i="12"/>
  <c r="H42" i="12" s="1"/>
  <c r="G38" i="17"/>
  <c r="E41" i="17"/>
  <c r="E42" i="17" s="1"/>
  <c r="H41" i="13"/>
  <c r="H42" i="13" s="1"/>
  <c r="F41" i="17"/>
  <c r="F42" i="17" s="1"/>
  <c r="F60" i="4"/>
  <c r="P255" i="4"/>
  <c r="P259" i="4" s="1"/>
  <c r="G255" i="16"/>
  <c r="G259" i="16" s="1"/>
  <c r="G42" i="11"/>
  <c r="J60" i="2"/>
  <c r="J59" i="2"/>
  <c r="N42" i="11"/>
  <c r="O42" i="11"/>
  <c r="P41" i="11"/>
  <c r="P42" i="11" s="1"/>
  <c r="I42" i="11"/>
  <c r="K42" i="11"/>
  <c r="J42" i="11"/>
  <c r="M42" i="11"/>
  <c r="L42" i="11"/>
  <c r="N259" i="4"/>
  <c r="M60" i="3"/>
  <c r="M59" i="3"/>
  <c r="F77" i="17"/>
  <c r="F92" i="17"/>
  <c r="F94" i="17" s="1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D25" i="14"/>
  <c r="H24" i="14"/>
  <c r="H25" i="14" s="1"/>
  <c r="G60" i="12"/>
  <c r="D59" i="16"/>
  <c r="D60" i="16"/>
  <c r="G59" i="16"/>
  <c r="G60" i="16"/>
  <c r="E59" i="16"/>
  <c r="E60" i="16"/>
  <c r="F59" i="16"/>
  <c r="F60" i="16"/>
  <c r="E59" i="15"/>
  <c r="E60" i="15"/>
  <c r="G59" i="15"/>
  <c r="G60" i="15"/>
  <c r="F59" i="15"/>
  <c r="F60" i="15"/>
  <c r="F59" i="14"/>
  <c r="F60" i="14"/>
  <c r="E59" i="14"/>
  <c r="E60" i="14"/>
  <c r="G59" i="14"/>
  <c r="G60" i="14"/>
  <c r="D59" i="14"/>
  <c r="H58" i="14"/>
  <c r="H249" i="14" s="1"/>
  <c r="D60" i="14"/>
  <c r="G59" i="13"/>
  <c r="G60" i="13"/>
  <c r="F59" i="13"/>
  <c r="F60" i="13"/>
  <c r="E59" i="13"/>
  <c r="E60" i="13"/>
  <c r="G59" i="12"/>
  <c r="E59" i="12"/>
  <c r="E60" i="12"/>
  <c r="F59" i="12"/>
  <c r="F60" i="12"/>
  <c r="H259" i="12"/>
  <c r="H94" i="12"/>
  <c r="H95" i="12" s="1"/>
  <c r="P259" i="11"/>
  <c r="P94" i="11"/>
  <c r="P95" i="11" s="1"/>
  <c r="H60" i="4"/>
  <c r="H59" i="4"/>
  <c r="O59" i="4"/>
  <c r="O60" i="4"/>
  <c r="J60" i="4"/>
  <c r="J59" i="4"/>
  <c r="L59" i="4"/>
  <c r="L60" i="4"/>
  <c r="D59" i="4"/>
  <c r="P58" i="4"/>
  <c r="P249" i="4" s="1"/>
  <c r="D60" i="4"/>
  <c r="M59" i="4"/>
  <c r="M60" i="4"/>
  <c r="E59" i="4"/>
  <c r="E60" i="4"/>
  <c r="P94" i="4"/>
  <c r="P95" i="4" s="1"/>
  <c r="K59" i="4"/>
  <c r="K60" i="4"/>
  <c r="I60" i="4"/>
  <c r="I59" i="4"/>
  <c r="H60" i="3"/>
  <c r="H59" i="3"/>
  <c r="N59" i="3"/>
  <c r="N60" i="3"/>
  <c r="E59" i="3"/>
  <c r="E60" i="3"/>
  <c r="D59" i="3"/>
  <c r="P58" i="3"/>
  <c r="P249" i="3" s="1"/>
  <c r="D60" i="3"/>
  <c r="F59" i="3"/>
  <c r="F60" i="3"/>
  <c r="O59" i="3"/>
  <c r="O60" i="3"/>
  <c r="K59" i="3"/>
  <c r="K60" i="3"/>
  <c r="I60" i="3"/>
  <c r="I59" i="3"/>
  <c r="J60" i="3"/>
  <c r="J59" i="3"/>
  <c r="I60" i="2"/>
  <c r="I59" i="2"/>
  <c r="L59" i="2"/>
  <c r="L60" i="2"/>
  <c r="P58" i="2"/>
  <c r="P249" i="2" s="1"/>
  <c r="D59" i="2"/>
  <c r="D60" i="2"/>
  <c r="M60" i="2"/>
  <c r="M59" i="2"/>
  <c r="E60" i="2"/>
  <c r="E59" i="2"/>
  <c r="N59" i="2"/>
  <c r="N60" i="2"/>
  <c r="P259" i="2"/>
  <c r="P94" i="2"/>
  <c r="P95" i="2" s="1"/>
  <c r="K59" i="2"/>
  <c r="K60" i="2"/>
  <c r="G59" i="2"/>
  <c r="G60" i="2"/>
  <c r="H59" i="2"/>
  <c r="H60" i="2"/>
  <c r="G42" i="17" l="1"/>
  <c r="G249" i="17"/>
  <c r="G59" i="17"/>
  <c r="E58" i="17"/>
  <c r="E249" i="17" s="1"/>
  <c r="F58" i="17"/>
  <c r="F249" i="17" s="1"/>
  <c r="F95" i="17"/>
  <c r="F255" i="17" s="1"/>
  <c r="F259" i="17" s="1"/>
  <c r="F99" i="17"/>
  <c r="G94" i="17"/>
  <c r="E95" i="17"/>
  <c r="E255" i="17" s="1"/>
  <c r="E259" i="17" s="1"/>
  <c r="H59" i="14"/>
  <c r="H60" i="14"/>
  <c r="P60" i="4"/>
  <c r="P59" i="4"/>
  <c r="P60" i="3"/>
  <c r="P59" i="3"/>
  <c r="P60" i="2"/>
  <c r="P59" i="2"/>
  <c r="E60" i="17" l="1"/>
  <c r="E59" i="17"/>
  <c r="F60" i="17"/>
  <c r="F59" i="17"/>
  <c r="G95" i="17"/>
  <c r="G255" i="17" s="1"/>
  <c r="G259" i="17" s="1"/>
  <c r="G99" i="17"/>
  <c r="H123" i="12"/>
  <c r="O229" i="1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P227" i="1"/>
  <c r="D227" i="17" s="1"/>
  <c r="P226" i="1"/>
  <c r="D226" i="17" s="1"/>
  <c r="P225" i="1"/>
  <c r="D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O111" i="1"/>
  <c r="D111" i="1"/>
  <c r="P104" i="1"/>
  <c r="D104" i="17" s="1"/>
  <c r="E105" i="1"/>
  <c r="F105" i="1"/>
  <c r="G105" i="1"/>
  <c r="H105" i="1"/>
  <c r="I105" i="1"/>
  <c r="J105" i="1"/>
  <c r="K105" i="1"/>
  <c r="L105" i="1"/>
  <c r="M105" i="1"/>
  <c r="N105" i="1"/>
  <c r="O105" i="1"/>
  <c r="D105" i="1"/>
  <c r="D117" i="1"/>
  <c r="M119" i="1" l="1"/>
  <c r="D118" i="1"/>
  <c r="D119" i="1" s="1"/>
  <c r="H119" i="1"/>
  <c r="P111" i="1"/>
  <c r="O118" i="1"/>
  <c r="O119" i="1" s="1"/>
  <c r="N119" i="1"/>
  <c r="P105" i="1"/>
  <c r="K119" i="1"/>
  <c r="P229" i="1"/>
  <c r="D229" i="17"/>
  <c r="P187" i="1"/>
  <c r="D187" i="17" s="1"/>
  <c r="P186" i="1"/>
  <c r="D186" i="17" s="1"/>
  <c r="P185" i="1"/>
  <c r="D185" i="17" s="1"/>
  <c r="P184" i="1"/>
  <c r="D184" i="17" s="1"/>
  <c r="E193" i="1"/>
  <c r="F193" i="1"/>
  <c r="G193" i="1"/>
  <c r="H193" i="1"/>
  <c r="I193" i="1"/>
  <c r="J193" i="1"/>
  <c r="K193" i="1"/>
  <c r="L193" i="1"/>
  <c r="M193" i="1"/>
  <c r="N193" i="1"/>
  <c r="O193" i="1"/>
  <c r="D193" i="1"/>
  <c r="E247" i="1" l="1"/>
  <c r="F247" i="1"/>
  <c r="G247" i="1"/>
  <c r="H247" i="1"/>
  <c r="I247" i="1"/>
  <c r="J247" i="1"/>
  <c r="K247" i="1"/>
  <c r="L247" i="1"/>
  <c r="M247" i="1"/>
  <c r="N247" i="1"/>
  <c r="O247" i="1"/>
  <c r="P247" i="1"/>
  <c r="D247" i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E94" i="1"/>
  <c r="E95" i="1" s="1"/>
  <c r="E255" i="1" s="1"/>
  <c r="F94" i="1"/>
  <c r="F95" i="1" s="1"/>
  <c r="F255" i="1" s="1"/>
  <c r="G94" i="1"/>
  <c r="G95" i="1" s="1"/>
  <c r="G255" i="1" s="1"/>
  <c r="H94" i="1"/>
  <c r="H95" i="1" s="1"/>
  <c r="H255" i="1" s="1"/>
  <c r="D94" i="1"/>
  <c r="D95" i="1" s="1"/>
  <c r="D255" i="1" s="1"/>
  <c r="J83" i="1"/>
  <c r="M82" i="1"/>
  <c r="M83" i="1" s="1"/>
  <c r="H71" i="1"/>
  <c r="J71" i="1"/>
  <c r="K70" i="1"/>
  <c r="K71" i="1" s="1"/>
  <c r="M70" i="1"/>
  <c r="M71" i="1" s="1"/>
  <c r="N70" i="1"/>
  <c r="N71" i="1" s="1"/>
  <c r="O70" i="1"/>
  <c r="O71" i="1" s="1"/>
  <c r="P68" i="1"/>
  <c r="D68" i="17" s="1"/>
  <c r="P69" i="1"/>
  <c r="D69" i="17" s="1"/>
  <c r="E15" i="1"/>
  <c r="F15" i="1"/>
  <c r="G15" i="1"/>
  <c r="H15" i="1"/>
  <c r="I15" i="1"/>
  <c r="J15" i="1"/>
  <c r="K15" i="1"/>
  <c r="L15" i="1"/>
  <c r="M15" i="1"/>
  <c r="N15" i="1"/>
  <c r="O15" i="1"/>
  <c r="E21" i="1"/>
  <c r="F21" i="1"/>
  <c r="G21" i="1"/>
  <c r="H21" i="1"/>
  <c r="I21" i="1"/>
  <c r="J21" i="1"/>
  <c r="K21" i="1"/>
  <c r="L21" i="1"/>
  <c r="M21" i="1"/>
  <c r="N21" i="1"/>
  <c r="O21" i="1"/>
  <c r="D21" i="1"/>
  <c r="P9" i="1"/>
  <c r="E32" i="1"/>
  <c r="P13" i="1"/>
  <c r="P18" i="1"/>
  <c r="F30" i="1"/>
  <c r="H30" i="1"/>
  <c r="I30" i="1"/>
  <c r="J30" i="1"/>
  <c r="K30" i="1"/>
  <c r="M30" i="1"/>
  <c r="N30" i="1"/>
  <c r="O30" i="1"/>
  <c r="G30" i="1"/>
  <c r="L30" i="1"/>
  <c r="F32" i="1"/>
  <c r="G32" i="1"/>
  <c r="I32" i="1"/>
  <c r="J32" i="1"/>
  <c r="K32" i="1"/>
  <c r="L32" i="1"/>
  <c r="M32" i="1"/>
  <c r="N32" i="1"/>
  <c r="O32" i="1"/>
  <c r="H32" i="1"/>
  <c r="G34" i="1"/>
  <c r="I34" i="1"/>
  <c r="J34" i="1"/>
  <c r="K34" i="1"/>
  <c r="M34" i="1"/>
  <c r="F34" i="1"/>
  <c r="H34" i="1"/>
  <c r="L34" i="1"/>
  <c r="N34" i="1"/>
  <c r="D38" i="1"/>
  <c r="F38" i="1"/>
  <c r="G38" i="1"/>
  <c r="H38" i="1"/>
  <c r="I38" i="1"/>
  <c r="J38" i="1"/>
  <c r="K38" i="1"/>
  <c r="L38" i="1"/>
  <c r="M38" i="1"/>
  <c r="N38" i="1"/>
  <c r="O38" i="1"/>
  <c r="D40" i="1"/>
  <c r="F40" i="1"/>
  <c r="G40" i="1"/>
  <c r="H40" i="1"/>
  <c r="I40" i="1"/>
  <c r="J40" i="1"/>
  <c r="K40" i="1"/>
  <c r="L40" i="1"/>
  <c r="M40" i="1"/>
  <c r="N40" i="1"/>
  <c r="O40" i="1"/>
  <c r="G45" i="1"/>
  <c r="H45" i="1"/>
  <c r="I45" i="1"/>
  <c r="K45" i="1"/>
  <c r="M45" i="1"/>
  <c r="N45" i="1"/>
  <c r="O45" i="1"/>
  <c r="D45" i="1"/>
  <c r="F45" i="1"/>
  <c r="L45" i="1"/>
  <c r="F47" i="1"/>
  <c r="G47" i="1"/>
  <c r="H47" i="1"/>
  <c r="I47" i="1"/>
  <c r="J47" i="1"/>
  <c r="K47" i="1"/>
  <c r="L47" i="1"/>
  <c r="M47" i="1"/>
  <c r="N47" i="1"/>
  <c r="O47" i="1"/>
  <c r="D47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F62" i="1"/>
  <c r="G62" i="1"/>
  <c r="H62" i="1"/>
  <c r="I62" i="1"/>
  <c r="K62" i="1"/>
  <c r="L62" i="1"/>
  <c r="M62" i="1"/>
  <c r="P61" i="1"/>
  <c r="D61" i="17" s="1"/>
  <c r="D62" i="1"/>
  <c r="J62" i="1"/>
  <c r="N62" i="1"/>
  <c r="P66" i="1"/>
  <c r="P78" i="1"/>
  <c r="N82" i="1"/>
  <c r="N83" i="1" s="1"/>
  <c r="O82" i="1"/>
  <c r="O83" i="1" s="1"/>
  <c r="P84" i="1"/>
  <c r="P101" i="1"/>
  <c r="D101" i="17" s="1"/>
  <c r="P102" i="1"/>
  <c r="D102" i="17" s="1"/>
  <c r="P103" i="1"/>
  <c r="D103" i="17" s="1"/>
  <c r="P107" i="1"/>
  <c r="D107" i="17" s="1"/>
  <c r="P108" i="1"/>
  <c r="D108" i="17" s="1"/>
  <c r="P109" i="1"/>
  <c r="D109" i="17" s="1"/>
  <c r="P110" i="1"/>
  <c r="D110" i="17" s="1"/>
  <c r="P121" i="1"/>
  <c r="D121" i="17" s="1"/>
  <c r="E123" i="1"/>
  <c r="F123" i="1"/>
  <c r="G123" i="1"/>
  <c r="K123" i="1"/>
  <c r="L123" i="1"/>
  <c r="M123" i="1"/>
  <c r="P122" i="1"/>
  <c r="D122" i="17" s="1"/>
  <c r="D123" i="1"/>
  <c r="P125" i="1"/>
  <c r="D125" i="17" s="1"/>
  <c r="P130" i="1"/>
  <c r="D130" i="17" s="1"/>
  <c r="P140" i="1"/>
  <c r="D140" i="17" s="1"/>
  <c r="F204" i="1"/>
  <c r="K204" i="1"/>
  <c r="F210" i="1"/>
  <c r="J210" i="1"/>
  <c r="G216" i="1"/>
  <c r="L216" i="1"/>
  <c r="M216" i="1"/>
  <c r="H223" i="1"/>
  <c r="H230" i="1" s="1"/>
  <c r="H243" i="1" s="1"/>
  <c r="I223" i="1"/>
  <c r="I230" i="1" s="1"/>
  <c r="J223" i="1"/>
  <c r="K223" i="1"/>
  <c r="K230" i="1" s="1"/>
  <c r="L223" i="1"/>
  <c r="L230" i="1" s="1"/>
  <c r="N242" i="1"/>
  <c r="O242" i="1"/>
  <c r="D258" i="1"/>
  <c r="G258" i="1"/>
  <c r="I258" i="1"/>
  <c r="J258" i="1"/>
  <c r="K258" i="1"/>
  <c r="M258" i="1"/>
  <c r="D13" i="17" l="1"/>
  <c r="D9" i="17"/>
  <c r="H250" i="1"/>
  <c r="H251" i="1"/>
  <c r="J250" i="1"/>
  <c r="J251" i="1"/>
  <c r="D255" i="13"/>
  <c r="D259" i="13" s="1"/>
  <c r="G22" i="1"/>
  <c r="G24" i="1" s="1"/>
  <c r="D123" i="17"/>
  <c r="I60" i="11"/>
  <c r="I59" i="11"/>
  <c r="H60" i="11"/>
  <c r="H59" i="11"/>
  <c r="D52" i="12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D105" i="17"/>
  <c r="D111" i="17"/>
  <c r="D118" i="17" s="1"/>
  <c r="J230" i="1"/>
  <c r="D18" i="17"/>
  <c r="D70" i="17"/>
  <c r="D62" i="17"/>
  <c r="I22" i="1"/>
  <c r="I24" i="1" s="1"/>
  <c r="G242" i="1"/>
  <c r="F223" i="1"/>
  <c r="F251" i="1" s="1"/>
  <c r="P70" i="1"/>
  <c r="I123" i="1"/>
  <c r="F22" i="1"/>
  <c r="F24" i="1" s="1"/>
  <c r="H258" i="1"/>
  <c r="D216" i="1"/>
  <c r="E22" i="1"/>
  <c r="E24" i="1" s="1"/>
  <c r="N91" i="1"/>
  <c r="N256" i="1" s="1"/>
  <c r="E216" i="1"/>
  <c r="N216" i="1"/>
  <c r="O90" i="1"/>
  <c r="K242" i="1"/>
  <c r="K243" i="1" s="1"/>
  <c r="N204" i="1"/>
  <c r="F216" i="1"/>
  <c r="O22" i="1"/>
  <c r="O24" i="1" s="1"/>
  <c r="M22" i="1"/>
  <c r="M24" i="1" s="1"/>
  <c r="M24" i="11" s="1"/>
  <c r="M25" i="11" s="1"/>
  <c r="F242" i="1"/>
  <c r="E259" i="1"/>
  <c r="L22" i="1"/>
  <c r="L24" i="1" s="1"/>
  <c r="J22" i="1"/>
  <c r="J24" i="1" s="1"/>
  <c r="E204" i="1"/>
  <c r="M259" i="1"/>
  <c r="D242" i="1"/>
  <c r="D204" i="1"/>
  <c r="E41" i="1"/>
  <c r="E58" i="1" s="1"/>
  <c r="D223" i="1"/>
  <c r="D41" i="1"/>
  <c r="D58" i="1" s="1"/>
  <c r="N41" i="1"/>
  <c r="N42" i="1" s="1"/>
  <c r="M41" i="1"/>
  <c r="M58" i="1" s="1"/>
  <c r="K216" i="1"/>
  <c r="J41" i="1"/>
  <c r="J42" i="1" s="1"/>
  <c r="M210" i="1"/>
  <c r="L210" i="1"/>
  <c r="J259" i="1"/>
  <c r="O41" i="1"/>
  <c r="L41" i="1"/>
  <c r="H22" i="1"/>
  <c r="H24" i="1" s="1"/>
  <c r="K41" i="1"/>
  <c r="L242" i="1"/>
  <c r="L243" i="1" s="1"/>
  <c r="M204" i="1"/>
  <c r="O89" i="1"/>
  <c r="O91" i="1"/>
  <c r="O256" i="1" s="1"/>
  <c r="O258" i="1" s="1"/>
  <c r="I41" i="1"/>
  <c r="G210" i="1"/>
  <c r="H41" i="1"/>
  <c r="G41" i="1"/>
  <c r="G58" i="1" s="1"/>
  <c r="F41" i="1"/>
  <c r="L259" i="1"/>
  <c r="N22" i="1"/>
  <c r="N24" i="1" s="1"/>
  <c r="K259" i="1"/>
  <c r="M242" i="1"/>
  <c r="I216" i="1"/>
  <c r="N90" i="1"/>
  <c r="M223" i="1"/>
  <c r="J123" i="1"/>
  <c r="L258" i="1"/>
  <c r="K210" i="1"/>
  <c r="H123" i="1"/>
  <c r="G259" i="1"/>
  <c r="I259" i="1"/>
  <c r="K22" i="1"/>
  <c r="K24" i="1" s="1"/>
  <c r="I210" i="1"/>
  <c r="P90" i="1"/>
  <c r="P135" i="1"/>
  <c r="E242" i="1"/>
  <c r="O216" i="1"/>
  <c r="P136" i="1"/>
  <c r="D136" i="17" s="1"/>
  <c r="P127" i="1"/>
  <c r="D127" i="17" s="1"/>
  <c r="L204" i="1"/>
  <c r="P162" i="1"/>
  <c r="D162" i="17" s="1"/>
  <c r="N89" i="1"/>
  <c r="E223" i="1"/>
  <c r="E230" i="1" s="1"/>
  <c r="E210" i="1"/>
  <c r="P133" i="1"/>
  <c r="D133" i="17" s="1"/>
  <c r="P209" i="1"/>
  <c r="D209" i="17" s="1"/>
  <c r="P191" i="1"/>
  <c r="D191" i="17" s="1"/>
  <c r="P172" i="1"/>
  <c r="D172" i="17" s="1"/>
  <c r="E47" i="1"/>
  <c r="P46" i="1"/>
  <c r="D46" i="17" s="1"/>
  <c r="P29" i="1"/>
  <c r="D29" i="17" s="1"/>
  <c r="D30" i="17" s="1"/>
  <c r="P190" i="1"/>
  <c r="D190" i="17" s="1"/>
  <c r="P171" i="1"/>
  <c r="D171" i="17" s="1"/>
  <c r="P219" i="1"/>
  <c r="D219" i="17" s="1"/>
  <c r="P192" i="1"/>
  <c r="D192" i="17" s="1"/>
  <c r="P160" i="1"/>
  <c r="D160" i="17" s="1"/>
  <c r="E62" i="1"/>
  <c r="P180" i="1"/>
  <c r="D180" i="17" s="1"/>
  <c r="P220" i="1"/>
  <c r="D220" i="17" s="1"/>
  <c r="J216" i="1"/>
  <c r="P194" i="1"/>
  <c r="D194" i="17" s="1"/>
  <c r="P174" i="1"/>
  <c r="D174" i="17" s="1"/>
  <c r="P161" i="1"/>
  <c r="D161" i="17" s="1"/>
  <c r="P126" i="1"/>
  <c r="D126" i="17" s="1"/>
  <c r="P81" i="1"/>
  <c r="E34" i="1"/>
  <c r="P233" i="1"/>
  <c r="D233" i="17" s="1"/>
  <c r="H216" i="1"/>
  <c r="P206" i="1"/>
  <c r="D206" i="17" s="1"/>
  <c r="P197" i="1"/>
  <c r="D197" i="17" s="1"/>
  <c r="P177" i="1"/>
  <c r="D177" i="17" s="1"/>
  <c r="P163" i="1"/>
  <c r="D163" i="17" s="1"/>
  <c r="P137" i="1"/>
  <c r="D137" i="17" s="1"/>
  <c r="P128" i="1"/>
  <c r="D128" i="17" s="1"/>
  <c r="P85" i="1"/>
  <c r="D85" i="17" s="1"/>
  <c r="D73" i="17"/>
  <c r="P253" i="1"/>
  <c r="D253" i="17" s="1"/>
  <c r="P207" i="1"/>
  <c r="D207" i="17" s="1"/>
  <c r="J204" i="1"/>
  <c r="P164" i="1"/>
  <c r="D164" i="17" s="1"/>
  <c r="P138" i="1"/>
  <c r="D138" i="17" s="1"/>
  <c r="P79" i="1"/>
  <c r="D79" i="17" s="1"/>
  <c r="P56" i="1"/>
  <c r="D56" i="17" s="1"/>
  <c r="P49" i="1"/>
  <c r="D49" i="17" s="1"/>
  <c r="P44" i="1"/>
  <c r="D44" i="17" s="1"/>
  <c r="P39" i="1"/>
  <c r="D39" i="17" s="1"/>
  <c r="P254" i="1"/>
  <c r="D254" i="17" s="1"/>
  <c r="J242" i="1"/>
  <c r="P234" i="1"/>
  <c r="D234" i="17" s="1"/>
  <c r="P208" i="1"/>
  <c r="D208" i="17" s="1"/>
  <c r="I204" i="1"/>
  <c r="P165" i="1"/>
  <c r="D165" i="17" s="1"/>
  <c r="P153" i="1"/>
  <c r="D153" i="17" s="1"/>
  <c r="P63" i="1"/>
  <c r="D63" i="17" s="1"/>
  <c r="P50" i="1"/>
  <c r="D50" i="17" s="1"/>
  <c r="I242" i="1"/>
  <c r="I243" i="1" s="1"/>
  <c r="H204" i="1"/>
  <c r="P175" i="1"/>
  <c r="D175" i="17" s="1"/>
  <c r="P167" i="1"/>
  <c r="D167" i="17" s="1"/>
  <c r="P154" i="1"/>
  <c r="D154" i="17" s="1"/>
  <c r="P123" i="1"/>
  <c r="F259" i="1"/>
  <c r="P54" i="1"/>
  <c r="D54" i="17" s="1"/>
  <c r="P51" i="1"/>
  <c r="D51" i="17" s="1"/>
  <c r="P31" i="1"/>
  <c r="D31" i="17" s="1"/>
  <c r="P11" i="1"/>
  <c r="F258" i="1"/>
  <c r="P232" i="1"/>
  <c r="D232" i="17" s="1"/>
  <c r="G204" i="1"/>
  <c r="P181" i="1"/>
  <c r="D181" i="17" s="1"/>
  <c r="P168" i="1"/>
  <c r="D168" i="17" s="1"/>
  <c r="P52" i="1"/>
  <c r="D52" i="17" s="1"/>
  <c r="P19" i="1"/>
  <c r="P222" i="1"/>
  <c r="D222" i="17" s="1"/>
  <c r="P182" i="1"/>
  <c r="D182" i="17" s="1"/>
  <c r="P178" i="1"/>
  <c r="D178" i="17" s="1"/>
  <c r="P169" i="1"/>
  <c r="D169" i="17" s="1"/>
  <c r="N123" i="1"/>
  <c r="P20" i="1"/>
  <c r="P221" i="1"/>
  <c r="D221" i="17" s="1"/>
  <c r="P195" i="1"/>
  <c r="D195" i="17" s="1"/>
  <c r="P189" i="1"/>
  <c r="D189" i="17" s="1"/>
  <c r="P179" i="1"/>
  <c r="D179" i="17" s="1"/>
  <c r="P173" i="1"/>
  <c r="D173" i="17" s="1"/>
  <c r="P170" i="1"/>
  <c r="D170" i="17" s="1"/>
  <c r="P55" i="1"/>
  <c r="D55" i="17" s="1"/>
  <c r="E38" i="1"/>
  <c r="P159" i="1"/>
  <c r="D159" i="17" s="1"/>
  <c r="P132" i="1"/>
  <c r="D132" i="17" s="1"/>
  <c r="P257" i="1"/>
  <c r="D257" i="17" s="1"/>
  <c r="P158" i="1"/>
  <c r="D158" i="17" s="1"/>
  <c r="P143" i="1"/>
  <c r="D143" i="17" s="1"/>
  <c r="P131" i="1"/>
  <c r="D131" i="17" s="1"/>
  <c r="P67" i="1"/>
  <c r="D67" i="17" s="1"/>
  <c r="P37" i="1"/>
  <c r="D37" i="17" s="1"/>
  <c r="P203" i="1"/>
  <c r="D203" i="17" s="1"/>
  <c r="P157" i="1"/>
  <c r="D157" i="17" s="1"/>
  <c r="P142" i="1"/>
  <c r="D142" i="17" s="1"/>
  <c r="P241" i="1"/>
  <c r="D241" i="17" s="1"/>
  <c r="P215" i="1"/>
  <c r="D215" i="17" s="1"/>
  <c r="P202" i="1"/>
  <c r="D202" i="17" s="1"/>
  <c r="P156" i="1"/>
  <c r="D156" i="17" s="1"/>
  <c r="P141" i="1"/>
  <c r="D141" i="17" s="1"/>
  <c r="O34" i="1"/>
  <c r="P33" i="1"/>
  <c r="D33" i="17" s="1"/>
  <c r="P240" i="1"/>
  <c r="D240" i="17" s="1"/>
  <c r="G223" i="1"/>
  <c r="G230" i="1" s="1"/>
  <c r="P214" i="1"/>
  <c r="D214" i="17" s="1"/>
  <c r="P201" i="1"/>
  <c r="D201" i="17" s="1"/>
  <c r="P155" i="1"/>
  <c r="D155" i="17" s="1"/>
  <c r="H259" i="1"/>
  <c r="P17" i="1"/>
  <c r="P239" i="1"/>
  <c r="D239" i="17" s="1"/>
  <c r="P213" i="1"/>
  <c r="D213" i="17" s="1"/>
  <c r="P200" i="1"/>
  <c r="D200" i="17" s="1"/>
  <c r="O62" i="1"/>
  <c r="E45" i="1"/>
  <c r="E30" i="1"/>
  <c r="P238" i="1"/>
  <c r="D238" i="17" s="1"/>
  <c r="P212" i="1"/>
  <c r="D212" i="17" s="1"/>
  <c r="P199" i="1"/>
  <c r="D199" i="17" s="1"/>
  <c r="P14" i="1"/>
  <c r="P235" i="1"/>
  <c r="D235" i="17" s="1"/>
  <c r="O223" i="1"/>
  <c r="D210" i="1"/>
  <c r="P12" i="1"/>
  <c r="N223" i="1"/>
  <c r="N230" i="1" s="1"/>
  <c r="N243" i="1" s="1"/>
  <c r="O210" i="1"/>
  <c r="O123" i="1"/>
  <c r="E40" i="1"/>
  <c r="N210" i="1"/>
  <c r="H255" i="13" l="1"/>
  <c r="H259" i="13" s="1"/>
  <c r="D11" i="17"/>
  <c r="D14" i="17"/>
  <c r="D12" i="17"/>
  <c r="K25" i="1"/>
  <c r="K24" i="11"/>
  <c r="K25" i="11" s="1"/>
  <c r="I25" i="1"/>
  <c r="I24" i="11"/>
  <c r="I25" i="11" s="1"/>
  <c r="J25" i="1"/>
  <c r="J24" i="11"/>
  <c r="J25" i="11" s="1"/>
  <c r="L25" i="1"/>
  <c r="L24" i="11"/>
  <c r="L25" i="11" s="1"/>
  <c r="O250" i="1"/>
  <c r="O251" i="1"/>
  <c r="E251" i="1"/>
  <c r="E250" i="1"/>
  <c r="K250" i="1"/>
  <c r="K251" i="1"/>
  <c r="N25" i="1"/>
  <c r="N24" i="11"/>
  <c r="N25" i="11" s="1"/>
  <c r="L251" i="1"/>
  <c r="L250" i="1"/>
  <c r="I250" i="1"/>
  <c r="I251" i="1"/>
  <c r="D250" i="1"/>
  <c r="D251" i="1"/>
  <c r="N251" i="1"/>
  <c r="N250" i="1"/>
  <c r="M217" i="1"/>
  <c r="M251" i="1"/>
  <c r="M250" i="1"/>
  <c r="F250" i="1"/>
  <c r="O25" i="1"/>
  <c r="O24" i="11"/>
  <c r="O25" i="11" s="1"/>
  <c r="H25" i="1"/>
  <c r="H24" i="11"/>
  <c r="H25" i="11" s="1"/>
  <c r="G250" i="1"/>
  <c r="G251" i="1"/>
  <c r="G25" i="1"/>
  <c r="G24" i="11"/>
  <c r="G25" i="11" s="1"/>
  <c r="F25" i="1"/>
  <c r="F24" i="11"/>
  <c r="F25" i="11" s="1"/>
  <c r="E25" i="1"/>
  <c r="E24" i="11"/>
  <c r="E25" i="11" s="1"/>
  <c r="D38" i="17"/>
  <c r="H52" i="13"/>
  <c r="D58" i="13"/>
  <c r="D249" i="13" s="1"/>
  <c r="P52" i="11"/>
  <c r="D58" i="11"/>
  <c r="D249" i="11" s="1"/>
  <c r="G59" i="11"/>
  <c r="G60" i="11"/>
  <c r="D58" i="15"/>
  <c r="H52" i="12"/>
  <c r="D58" i="12"/>
  <c r="D249" i="12" s="1"/>
  <c r="J59" i="11"/>
  <c r="J60" i="11"/>
  <c r="J243" i="1"/>
  <c r="P145" i="1"/>
  <c r="D135" i="17"/>
  <c r="D139" i="17" s="1"/>
  <c r="D119" i="17"/>
  <c r="P256" i="1"/>
  <c r="P258" i="1" s="1"/>
  <c r="D256" i="16"/>
  <c r="N258" i="1"/>
  <c r="D40" i="17"/>
  <c r="O230" i="1"/>
  <c r="O243" i="1" s="1"/>
  <c r="M230" i="1"/>
  <c r="M243" i="1" s="1"/>
  <c r="M249" i="1" s="1"/>
  <c r="L217" i="1"/>
  <c r="D19" i="17"/>
  <c r="D20" i="17"/>
  <c r="D17" i="17"/>
  <c r="D204" i="17"/>
  <c r="G243" i="1"/>
  <c r="G249" i="1" s="1"/>
  <c r="G217" i="1"/>
  <c r="D134" i="17"/>
  <c r="D129" i="17"/>
  <c r="D144" i="17"/>
  <c r="D148" i="17"/>
  <c r="D147" i="17"/>
  <c r="D146" i="17"/>
  <c r="P82" i="1"/>
  <c r="P83" i="1" s="1"/>
  <c r="D81" i="17"/>
  <c r="D82" i="17" s="1"/>
  <c r="D74" i="17"/>
  <c r="D76" i="17" s="1"/>
  <c r="D91" i="17"/>
  <c r="D71" i="17"/>
  <c r="D193" i="17"/>
  <c r="D47" i="17"/>
  <c r="D45" i="17"/>
  <c r="D34" i="17"/>
  <c r="D32" i="17"/>
  <c r="D41" i="17"/>
  <c r="D242" i="17"/>
  <c r="D236" i="17"/>
  <c r="D223" i="17"/>
  <c r="D210" i="17"/>
  <c r="D15" i="17"/>
  <c r="D216" i="17"/>
  <c r="D230" i="1"/>
  <c r="F230" i="1"/>
  <c r="F243" i="1" s="1"/>
  <c r="E243" i="1"/>
  <c r="E249" i="1" s="1"/>
  <c r="J217" i="1"/>
  <c r="H217" i="1"/>
  <c r="F217" i="1"/>
  <c r="M59" i="1"/>
  <c r="P71" i="1"/>
  <c r="D217" i="1"/>
  <c r="G60" i="1"/>
  <c r="N217" i="1"/>
  <c r="N94" i="1"/>
  <c r="N95" i="1" s="1"/>
  <c r="N255" i="1" s="1"/>
  <c r="O94" i="1"/>
  <c r="O95" i="1" s="1"/>
  <c r="O255" i="1" s="1"/>
  <c r="O259" i="1" s="1"/>
  <c r="E60" i="1"/>
  <c r="J58" i="1"/>
  <c r="J249" i="1" s="1"/>
  <c r="E42" i="1"/>
  <c r="E59" i="1"/>
  <c r="P147" i="1"/>
  <c r="G42" i="1"/>
  <c r="M42" i="1"/>
  <c r="N58" i="1"/>
  <c r="N249" i="1" s="1"/>
  <c r="O217" i="1"/>
  <c r="K217" i="1"/>
  <c r="P21" i="1"/>
  <c r="P139" i="1"/>
  <c r="M60" i="1"/>
  <c r="D42" i="1"/>
  <c r="P236" i="1"/>
  <c r="F42" i="1"/>
  <c r="F58" i="1"/>
  <c r="P41" i="1"/>
  <c r="P42" i="1" s="1"/>
  <c r="O42" i="1"/>
  <c r="O58" i="1"/>
  <c r="O249" i="1" s="1"/>
  <c r="H42" i="1"/>
  <c r="H58" i="1"/>
  <c r="H249" i="1" s="1"/>
  <c r="E217" i="1"/>
  <c r="I42" i="1"/>
  <c r="I58" i="1"/>
  <c r="I249" i="1" s="1"/>
  <c r="K42" i="1"/>
  <c r="K58" i="1"/>
  <c r="K249" i="1" s="1"/>
  <c r="I217" i="1"/>
  <c r="G59" i="1"/>
  <c r="L42" i="1"/>
  <c r="L58" i="1"/>
  <c r="L249" i="1" s="1"/>
  <c r="D59" i="1"/>
  <c r="P91" i="1"/>
  <c r="P242" i="1"/>
  <c r="P15" i="1"/>
  <c r="P204" i="1"/>
  <c r="P193" i="1"/>
  <c r="P129" i="1"/>
  <c r="P144" i="1"/>
  <c r="P89" i="1"/>
  <c r="D22" i="1"/>
  <c r="D24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P146" i="1"/>
  <c r="M25" i="1"/>
  <c r="F249" i="1" l="1"/>
  <c r="D25" i="1"/>
  <c r="D24" i="11"/>
  <c r="D25" i="11" s="1"/>
  <c r="D60" i="11"/>
  <c r="P58" i="11"/>
  <c r="P249" i="11" s="1"/>
  <c r="D59" i="11"/>
  <c r="H58" i="12"/>
  <c r="H249" i="12" s="1"/>
  <c r="D60" i="12"/>
  <c r="D59" i="12"/>
  <c r="D59" i="13"/>
  <c r="H58" i="13"/>
  <c r="H249" i="13" s="1"/>
  <c r="D60" i="13"/>
  <c r="D249" i="15"/>
  <c r="D60" i="15"/>
  <c r="D59" i="15"/>
  <c r="D145" i="17"/>
  <c r="D149" i="17" s="1"/>
  <c r="D258" i="16"/>
  <c r="D88" i="17"/>
  <c r="D89" i="17" s="1"/>
  <c r="P255" i="1"/>
  <c r="P259" i="1" s="1"/>
  <c r="D255" i="16"/>
  <c r="N259" i="1"/>
  <c r="D21" i="17"/>
  <c r="D22" i="17" s="1"/>
  <c r="D24" i="17" s="1"/>
  <c r="D25" i="17" s="1"/>
  <c r="D83" i="17"/>
  <c r="D93" i="17"/>
  <c r="D77" i="17"/>
  <c r="D92" i="17"/>
  <c r="D256" i="17"/>
  <c r="D58" i="17"/>
  <c r="D42" i="17"/>
  <c r="D230" i="17"/>
  <c r="D250" i="17"/>
  <c r="D251" i="17"/>
  <c r="D243" i="1"/>
  <c r="D249" i="1" s="1"/>
  <c r="P230" i="1"/>
  <c r="D217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D60" i="1"/>
  <c r="L59" i="1"/>
  <c r="L60" i="1"/>
  <c r="H60" i="1"/>
  <c r="H59" i="1"/>
  <c r="O59" i="1"/>
  <c r="O60" i="1"/>
  <c r="P149" i="1"/>
  <c r="K59" i="1"/>
  <c r="K60" i="1"/>
  <c r="F60" i="1"/>
  <c r="F59" i="1"/>
  <c r="P58" i="1"/>
  <c r="I59" i="1"/>
  <c r="I60" i="1"/>
  <c r="H59" i="12" l="1"/>
  <c r="H60" i="12"/>
  <c r="H60" i="13"/>
  <c r="H59" i="13"/>
  <c r="P59" i="11"/>
  <c r="P60" i="11"/>
  <c r="D259" i="16"/>
  <c r="D60" i="17"/>
  <c r="D94" i="17"/>
  <c r="D258" i="17"/>
  <c r="D59" i="17"/>
  <c r="D243" i="17"/>
  <c r="D249" i="17" s="1"/>
  <c r="P249" i="1"/>
  <c r="P60" i="1"/>
  <c r="P59" i="1"/>
  <c r="D95" i="17" l="1"/>
  <c r="D255" i="17" s="1"/>
  <c r="D259" i="17" s="1"/>
  <c r="D99" i="17"/>
</calcChain>
</file>

<file path=xl/sharedStrings.xml><?xml version="1.0" encoding="utf-8"?>
<sst xmlns="http://schemas.openxmlformats.org/spreadsheetml/2006/main" count="5435" uniqueCount="237">
  <si>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</si>
  <si>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</si>
  <si>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</si>
  <si>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</si>
  <si>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</si>
  <si>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</si>
  <si>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</si>
  <si>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</si>
  <si>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</si>
  <si>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</si>
  <si>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</si>
  <si>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</si>
  <si>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</si>
  <si>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</si>
  <si>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</si>
  <si>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</si>
  <si>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</si>
  <si>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</si>
  <si>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</si>
  <si>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</si>
  <si>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</si>
  <si>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</si>
  <si>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</si>
  <si>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</si>
  <si>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</si>
  <si>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</si>
  <si>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</si>
  <si>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</si>
  <si>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</si>
  <si>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</si>
  <si>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</si>
  <si>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</si>
  <si>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</si>
  <si>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</si>
  <si>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</si>
  <si>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</si>
  <si>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</si>
  <si>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</si>
  <si>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</si>
  <si>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</si>
  <si>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</si>
  <si>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</si>
  <si>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</si>
  <si>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</si>
  <si>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</si>
  <si>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</si>
  <si>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</si>
  <si>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</si>
  <si>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</si>
  <si>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</si>
  <si>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</si>
  <si>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</si>
  <si>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</si>
  <si>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</si>
  <si>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</si>
  <si>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</si>
  <si>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</si>
  <si>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</si>
  <si>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</si>
  <si>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</si>
  <si>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</si>
  <si>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</si>
  <si>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</si>
  <si>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</si>
  <si>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</si>
  <si>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</si>
  <si>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</si>
  <si>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</si>
  <si>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</si>
  <si>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</si>
  <si>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</si>
  <si>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</si>
  <si>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</si>
  <si>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</si>
  <si>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</si>
  <si>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</si>
  <si>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</si>
  <si>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</si>
  <si>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</si>
  <si>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</si>
  <si>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</si>
  <si>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</si>
  <si>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</si>
  <si>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</si>
  <si>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</si>
  <si>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</si>
  <si>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</si>
  <si>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</si>
  <si>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</si>
  <si>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</si>
  <si>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</si>
  <si>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</si>
  <si>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</si>
  <si>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</si>
  <si>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</si>
  <si>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</si>
  <si>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</si>
  <si>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</si>
  <si>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</si>
  <si>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</si>
  <si>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</si>
  <si>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</si>
  <si>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</si>
  <si>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</si>
  <si>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</si>
  <si>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</si>
  <si>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</si>
  <si>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</si>
  <si>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</si>
  <si>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</si>
  <si>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</si>
  <si>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</si>
  <si>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</si>
  <si>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</si>
  <si>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</si>
  <si>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</si>
  <si>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</si>
  <si>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</si>
  <si>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</si>
  <si>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</si>
  <si>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</si>
  <si>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</si>
  <si>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</si>
  <si>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</si>
  <si>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</si>
  <si>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</si>
  <si>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</si>
  <si>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</si>
  <si>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</si>
  <si>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</si>
  <si>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</si>
  <si>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</si>
  <si>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</si>
  <si>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</si>
  <si>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</si>
  <si>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</si>
  <si>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</si>
  <si>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</si>
  <si>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</si>
  <si>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</si>
  <si>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</si>
  <si>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</si>
  <si>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</si>
  <si>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</si>
  <si>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</si>
  <si>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</si>
  <si>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</si>
  <si>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</si>
  <si>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</si>
  <si>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</si>
  <si>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</si>
  <si>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</si>
  <si>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</si>
  <si>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</si>
  <si>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</si>
  <si>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</si>
  <si>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</si>
  <si>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</si>
  <si>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</si>
  <si>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</si>
  <si>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</si>
  <si>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</si>
  <si>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</si>
  <si>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</si>
  <si>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</si>
  <si>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</si>
  <si>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</si>
  <si>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</si>
  <si>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</si>
  <si>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</si>
  <si>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</si>
  <si>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</si>
  <si>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</si>
  <si>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</si>
  <si>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</si>
  <si>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</si>
  <si>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</si>
  <si>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</si>
  <si>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</si>
  <si>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</si>
  <si>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</si>
  <si>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</si>
  <si>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</si>
  <si>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</si>
  <si>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</si>
  <si>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</si>
  <si>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</si>
  <si>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</si>
  <si>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</si>
  <si>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</si>
  <si>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</si>
  <si>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</si>
  <si>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</si>
  <si>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</si>
  <si>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</si>
  <si>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</si>
  <si>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</si>
  <si>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</si>
  <si>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</si>
  <si>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</si>
  <si>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</si>
  <si>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</si>
  <si>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</si>
  <si>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</si>
  <si>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</si>
  <si>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</si>
  <si>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</si>
  <si>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</si>
  <si>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</si>
  <si>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</si>
  <si>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</si>
  <si>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</si>
  <si>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</si>
  <si>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</si>
  <si>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</si>
  <si>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</si>
  <si>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</si>
  <si>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 xml:space="preserve"> MONTHLY REPORTS - 2023/2024</t>
  </si>
  <si>
    <t>LIWONDE ZONE</t>
  </si>
  <si>
    <t>Balaka</t>
  </si>
  <si>
    <t>Liwonde</t>
  </si>
  <si>
    <t>Machinga</t>
  </si>
  <si>
    <t>Ntaja</t>
  </si>
  <si>
    <t>APR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</si>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</sst>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681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5" fillId="0" borderId="23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1" fontId="4" fillId="0" borderId="38" xfId="0" applyNumberFormat="1" applyFont="1" applyFill="1" applyBorder="1"/>
    <xf numFmtId="1" fontId="4" fillId="0" borderId="40" xfId="0" applyNumberFormat="1" applyFont="1" applyFill="1" applyBorder="1"/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Fill="1" applyBorder="1"/>
    <xf numFmtId="1" fontId="4" fillId="0" borderId="44" xfId="0" applyNumberFormat="1" applyFont="1" applyFill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1" xfId="1" applyNumberFormat="1" applyFont="1" applyFill="1" applyBorder="1"/>
    <xf numFmtId="165" fontId="4" fillId="0" borderId="11" xfId="3" applyNumberFormat="1" applyFont="1" applyFill="1" applyBorder="1"/>
    <xf numFmtId="1" fontId="4" fillId="0" borderId="11" xfId="1" applyNumberFormat="1" applyFont="1" applyFill="1" applyBorder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Fill="1" applyBorder="1"/>
    <xf numFmtId="1" fontId="8" fillId="0" borderId="43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NumberFormat="1" applyFont="1" applyFill="1" applyBorder="1"/>
    <xf numFmtId="0" fontId="8" fillId="0" borderId="43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4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" xfId="3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" fontId="8" fillId="0" borderId="1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Fill="1" applyBorder="1"/>
    <xf numFmtId="164" fontId="0" fillId="0" borderId="0" xfId="0" applyNumberFormat="1" applyFill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2" fontId="4" fillId="0" borderId="1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164" fontId="0" fillId="0" borderId="0" xfId="0" applyNumberFormat="1"/>
    <xf numFmtId="168" fontId="4" fillId="0" borderId="1" xfId="3" applyNumberFormat="1" applyFont="1" applyFill="1" applyBorder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4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2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3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1" fontId="4" fillId="0" borderId="39" xfId="0" applyNumberFormat="1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" fontId="4" fillId="0" borderId="38" xfId="0" applyNumberFormat="1" applyFont="1" applyFill="1" applyBorder="1" applyAlignment="1"/>
    <xf numFmtId="1" fontId="4" fillId="0" borderId="40" xfId="0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4" fontId="8" fillId="0" borderId="1" xfId="1" applyFont="1" applyFill="1" applyBorder="1" applyAlignment="1">
      <alignment horizontal="left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1" fontId="4" fillId="0" borderId="1" xfId="3" applyNumberFormat="1" applyFont="1" applyFill="1" applyBorder="1" applyAlignment="1"/>
    <xf numFmtId="2" fontId="4" fillId="0" borderId="1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5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9" borderId="26" xfId="0" applyFont="1" applyFill="1" applyBorder="1" applyAlignment="1"/>
    <xf numFmtId="0" fontId="7" fillId="9" borderId="47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9" fontId="6" fillId="0" borderId="1" xfId="2" applyFont="1" applyBorder="1" applyAlignment="1"/>
    <xf numFmtId="166" fontId="8" fillId="0" borderId="1" xfId="2" applyNumberFormat="1" applyFont="1" applyBorder="1" applyAlignment="1"/>
    <xf numFmtId="0" fontId="4" fillId="0" borderId="1" xfId="3" applyNumberFormat="1" applyFont="1" applyFill="1" applyBorder="1" applyAlignment="1"/>
    <xf numFmtId="0" fontId="4" fillId="0" borderId="22" xfId="2" applyNumberFormat="1" applyFont="1" applyFill="1" applyBorder="1"/>
    <xf numFmtId="2" fontId="21" fillId="0" borderId="43" xfId="0" applyNumberFormat="1" applyFont="1" applyBorder="1"/>
    <xf numFmtId="2" fontId="8" fillId="0" borderId="10" xfId="0" applyNumberFormat="1" applyFont="1" applyBorder="1"/>
    <xf numFmtId="166" fontId="8" fillId="0" borderId="42" xfId="2" applyNumberFormat="1" applyFont="1" applyFill="1" applyBorder="1"/>
    <xf numFmtId="166" fontId="8" fillId="0" borderId="10" xfId="2" applyNumberFormat="1" applyFont="1" applyFill="1" applyBorder="1"/>
    <xf numFmtId="166" fontId="8" fillId="0" borderId="43" xfId="2" applyNumberFormat="1" applyFont="1" applyFill="1" applyBorder="1"/>
    <xf numFmtId="164" fontId="8" fillId="0" borderId="10" xfId="3" applyFont="1" applyFill="1" applyBorder="1"/>
    <xf numFmtId="2" fontId="8" fillId="0" borderId="10" xfId="3" applyNumberFormat="1" applyFont="1" applyFill="1" applyBorder="1"/>
    <xf numFmtId="0" fontId="21" fillId="0" borderId="0" xfId="0" applyFont="1"/>
    <xf numFmtId="165" fontId="22" fillId="0" borderId="51" xfId="0" applyNumberFormat="1" applyFont="1" applyBorder="1"/>
    <xf numFmtId="2" fontId="21" fillId="0" borderId="43" xfId="0" applyNumberFormat="1" applyFont="1" applyBorder="1" applyAlignment="1"/>
    <xf numFmtId="0" fontId="23" fillId="9" borderId="27" xfId="0" applyFont="1" applyFill="1" applyBorder="1" applyAlignment="1"/>
    <xf numFmtId="165" fontId="8" fillId="0" borderId="23" xfId="1" applyNumberFormat="1" applyFont="1" applyFill="1" applyBorder="1" applyAlignment="1"/>
    <xf numFmtId="0" fontId="23" fillId="9" borderId="5" xfId="0" applyFont="1" applyFill="1" applyBorder="1" applyAlignment="1"/>
    <xf numFmtId="0" fontId="23" fillId="0" borderId="5" xfId="0" applyFont="1" applyFill="1" applyBorder="1" applyAlignment="1"/>
    <xf numFmtId="0" fontId="23" fillId="9" borderId="48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4" fillId="9" borderId="27" xfId="0" applyFont="1" applyFill="1" applyBorder="1" applyAlignment="1">
      <alignment vertical="center"/>
    </xf>
    <xf numFmtId="0" fontId="25" fillId="9" borderId="5" xfId="0" applyFont="1" applyFill="1" applyBorder="1" applyAlignment="1"/>
    <xf numFmtId="0" fontId="25" fillId="9" borderId="5" xfId="0" applyFont="1" applyFill="1" applyBorder="1" applyAlignment="1">
      <alignment vertical="top"/>
    </xf>
    <xf numFmtId="0" fontId="23" fillId="9" borderId="20" xfId="0" applyFont="1" applyFill="1" applyBorder="1" applyAlignment="1"/>
    <xf numFmtId="164" fontId="8" fillId="0" borderId="10" xfId="1" applyFont="1" applyBorder="1" applyAlignment="1"/>
    <xf numFmtId="166" fontId="8" fillId="0" borderId="42" xfId="2" applyNumberFormat="1" applyFont="1" applyBorder="1" applyAlignment="1"/>
    <xf numFmtId="2" fontId="8" fillId="0" borderId="10" xfId="0" applyNumberFormat="1" applyFont="1" applyBorder="1" applyAlignment="1"/>
    <xf numFmtId="0" fontId="8" fillId="0" borderId="10" xfId="1" applyNumberFormat="1" applyFont="1" applyFill="1" applyBorder="1" applyAlignment="1"/>
    <xf numFmtId="1" fontId="8" fillId="0" borderId="44" xfId="0" applyNumberFormat="1" applyFont="1" applyFill="1" applyBorder="1" applyAlignment="1"/>
    <xf numFmtId="166" fontId="8" fillId="0" borderId="42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3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0" fontId="21" fillId="0" borderId="0" xfId="0" applyFont="1" applyAlignment="1"/>
    <xf numFmtId="166" fontId="8" fillId="0" borderId="10" xfId="2" applyNumberFormat="1" applyFont="1" applyBorder="1" applyAlignment="1"/>
    <xf numFmtId="0" fontId="8" fillId="0" borderId="10" xfId="3" applyNumberFormat="1" applyFont="1" applyFill="1" applyBorder="1" applyAlignment="1"/>
    <xf numFmtId="1" fontId="8" fillId="0" borderId="41" xfId="1" applyNumberFormat="1" applyFont="1" applyFill="1" applyBorder="1"/>
    <xf numFmtId="168" fontId="8" fillId="0" borderId="10" xfId="3" applyNumberFormat="1" applyFont="1" applyFill="1" applyBorder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23" fillId="9" borderId="27" xfId="0" applyFont="1" applyFill="1" applyBorder="1" applyAlignment="1">
      <alignment wrapText="1"/>
    </xf>
    <xf numFmtId="0" fontId="23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4" fillId="9" borderId="27" xfId="0" applyFont="1" applyFill="1" applyBorder="1" applyAlignment="1">
      <alignment vertical="center" wrapText="1"/>
    </xf>
    <xf numFmtId="0" fontId="25" fillId="9" borderId="5" xfId="0" applyFont="1" applyFill="1" applyBorder="1" applyAlignment="1">
      <alignment wrapText="1"/>
    </xf>
    <xf numFmtId="0" fontId="25" fillId="9" borderId="5" xfId="0" applyFont="1" applyFill="1" applyBorder="1" applyAlignment="1">
      <alignment vertical="top" wrapText="1"/>
    </xf>
    <xf numFmtId="0" fontId="23" fillId="9" borderId="20" xfId="0" applyFont="1" applyFill="1" applyBorder="1" applyAlignment="1">
      <alignment wrapText="1"/>
    </xf>
    <xf numFmtId="0" fontId="8" fillId="0" borderId="27" xfId="0" applyFont="1" applyBorder="1" applyAlignment="1">
      <alignment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vertical="center"/>
    </xf>
    <xf numFmtId="0" fontId="21" fillId="9" borderId="33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wrapText="1"/>
    </xf>
    <xf numFmtId="0" fontId="8" fillId="0" borderId="10" xfId="3" applyNumberFormat="1" applyFont="1" applyFill="1" applyBorder="1"/>
    <xf numFmtId="166" fontId="8" fillId="0" borderId="1" xfId="2" applyNumberFormat="1" applyFont="1" applyFill="1" applyBorder="1"/>
    <xf numFmtId="166" fontId="8" fillId="0" borderId="22" xfId="2" applyNumberFormat="1" applyFont="1" applyFill="1" applyBorder="1"/>
    <xf numFmtId="166" fontId="8" fillId="0" borderId="7" xfId="2" applyNumberFormat="1" applyFont="1" applyFill="1" applyBorder="1"/>
    <xf numFmtId="165" fontId="8" fillId="0" borderId="10" xfId="3" applyNumberFormat="1" applyFont="1" applyFill="1" applyBorder="1"/>
    <xf numFmtId="164" fontId="21" fillId="0" borderId="0" xfId="0" applyNumberFormat="1" applyFont="1"/>
    <xf numFmtId="1" fontId="4" fillId="0" borderId="1" xfId="1" applyNumberFormat="1" applyFont="1" applyFill="1" applyBorder="1" applyAlignment="1"/>
    <xf numFmtId="0" fontId="0" fillId="0" borderId="1" xfId="0" applyBorder="1" applyAlignment="1"/>
    <xf numFmtId="164" fontId="4" fillId="10" borderId="4" xfId="1" applyFont="1" applyFill="1" applyBorder="1"/>
    <xf numFmtId="165" fontId="0" fillId="0" borderId="0" xfId="0" applyNumberFormat="1"/>
    <xf numFmtId="165" fontId="0" fillId="0" borderId="0" xfId="0" applyNumberFormat="1" applyAlignment="1"/>
    <xf numFmtId="164" fontId="9" fillId="4" borderId="1" xfId="1" applyFont="1" applyFill="1" applyBorder="1" applyAlignment="1">
      <alignment horizont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wrapText="1"/>
    </xf>
    <xf numFmtId="0" fontId="7" fillId="0" borderId="6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63"/>
  <sheetViews>
    <sheetView zoomScale="110" zoomScaleNormal="110" workbookViewId="0">
      <pane xSplit="2" ySplit="8" topLeftCell="Q9" activePane="bottomRight" state="frozen"/>
      <selection pane="topRight" activeCell="C1" sqref="C1"/>
      <selection pane="bottomLeft" activeCell="A9" sqref="A9"/>
      <selection pane="bottomRight" activeCell="J54" sqref="J54:J56"/>
    </sheetView>
  </sheetViews>
  <sheetFormatPr defaultRowHeight="15.6" x14ac:dyDescent="0.3"/>
  <cols>
    <col min="1" max="1" width="39" style="342" customWidth="1"/>
    <col min="2" max="2" width="16.88671875" style="342" customWidth="1"/>
    <col min="3" max="3" width="12.5546875" style="342" customWidth="1"/>
    <col min="4" max="4" width="20.109375" style="342" bestFit="1" customWidth="1"/>
    <col min="5" max="9" width="19.88671875" style="342" bestFit="1" customWidth="1"/>
    <col min="10" max="10" width="19.109375" style="342" customWidth="1"/>
    <col min="11" max="11" width="23.109375" style="342" customWidth="1"/>
    <col min="12" max="12" width="22.6640625" style="342" customWidth="1"/>
    <col min="13" max="13" width="20.109375" style="342" bestFit="1" customWidth="1"/>
    <col min="14" max="15" width="19.109375" style="342" customWidth="1"/>
    <col min="16" max="16" width="21.109375" style="546" bestFit="1" customWidth="1"/>
    <col min="17" max="16384" width="8.88671875" style="342"/>
  </cols>
  <sheetData>
    <row r="1" spans="1:29" customFormat="1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29" customFormat="1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29" customFormat="1" ht="18" thickBot="1" x14ac:dyDescent="0.35">
      <c r="A3" s="317" t="s">
        <v>217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9"/>
    </row>
    <row r="4" spans="1:29" customFormat="1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29" customFormat="1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5"/>
    </row>
    <row r="6" spans="1:29" customFormat="1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29" ht="16.2" thickBot="1" x14ac:dyDescent="0.35">
      <c r="A7" s="445" t="s">
        <v>174</v>
      </c>
      <c r="B7" s="446"/>
      <c r="C7" s="339" t="s">
        <v>173</v>
      </c>
      <c r="D7" s="340" t="s">
        <v>163</v>
      </c>
      <c r="E7" s="340" t="s">
        <v>162</v>
      </c>
      <c r="F7" s="340" t="s">
        <v>161</v>
      </c>
      <c r="G7" s="340" t="s">
        <v>172</v>
      </c>
      <c r="H7" s="340" t="s">
        <v>171</v>
      </c>
      <c r="I7" s="340" t="s">
        <v>170</v>
      </c>
      <c r="J7" s="340" t="s">
        <v>169</v>
      </c>
      <c r="K7" s="340" t="s">
        <v>168</v>
      </c>
      <c r="L7" s="340" t="s">
        <v>167</v>
      </c>
      <c r="M7" s="340" t="s">
        <v>166</v>
      </c>
      <c r="N7" s="340" t="s">
        <v>165</v>
      </c>
      <c r="O7" s="340" t="s">
        <v>164</v>
      </c>
      <c r="P7" s="341" t="s">
        <v>160</v>
      </c>
    </row>
    <row r="8" spans="1:29" ht="16.2" thickBot="1" x14ac:dyDescent="0.35">
      <c r="A8" s="506" t="s">
        <v>159</v>
      </c>
      <c r="B8" s="507"/>
      <c r="C8" s="507"/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24"/>
      <c r="Q8" s="342" t="s">
        <v>223</v>
      </c>
      <c r="R8" s="342" t="s">
        <v>162</v>
      </c>
      <c r="S8" s="342" t="s">
        <v>224</v>
      </c>
      <c r="T8" s="342" t="s">
        <v>225</v>
      </c>
      <c r="U8" s="342" t="s">
        <v>226</v>
      </c>
      <c r="V8" s="342" t="s">
        <v>227</v>
      </c>
      <c r="W8" s="342" t="s">
        <v>228</v>
      </c>
      <c r="X8" s="342" t="s">
        <v>229</v>
      </c>
      <c r="Y8" s="342" t="s">
        <v>230</v>
      </c>
      <c r="Z8" s="342" t="s">
        <v>231</v>
      </c>
      <c r="AA8" s="342" t="s">
        <v>232</v>
      </c>
      <c r="AB8" s="342" t="s">
        <v>233</v>
      </c>
      <c r="AC8" s="342" t="s">
        <v>234</v>
      </c>
    </row>
    <row r="9" spans="1:29" x14ac:dyDescent="0.3">
      <c r="A9" s="508" t="s">
        <v>176</v>
      </c>
      <c r="B9" s="509"/>
      <c r="C9" s="343" t="s">
        <v>152</v>
      </c>
      <c r="D9" s="344">
        <v>48530</v>
      </c>
      <c r="E9" s="344">
        <v>61068</v>
      </c>
      <c r="F9" s="344">
        <v>63082</v>
      </c>
      <c r="G9" s="344">
        <v>60779</v>
      </c>
      <c r="H9" s="344">
        <v>62610</v>
      </c>
      <c r="I9" s="344">
        <v>67798</v>
      </c>
      <c r="J9" s="344">
        <v>70492</v>
      </c>
      <c r="K9" s="344">
        <v>72435</v>
      </c>
      <c r="L9" s="344">
        <v>66190</v>
      </c>
      <c r="M9" s="344">
        <v>65670</v>
      </c>
      <c r="N9" s="344">
        <v>65071</v>
      </c>
      <c r="O9" s="344">
        <v>52112</v>
      </c>
      <c r="P9" s="525">
        <f>SUM(D9:O9)</f>
        <v>755837</v>
      </c>
      <c r="Q9" s="578">
        <v>0</v>
      </c>
      <c r="R9" s="578">
        <v>0</v>
      </c>
      <c r="S9" s="578">
        <v>0</v>
      </c>
      <c r="T9" s="578">
        <v>0</v>
      </c>
      <c r="U9" s="578">
        <v>0</v>
      </c>
      <c r="V9" s="578">
        <v>0</v>
      </c>
      <c r="W9" s="578">
        <v>0</v>
      </c>
      <c r="X9" s="578">
        <v>0</v>
      </c>
      <c r="Y9" s="578">
        <v>0</v>
      </c>
      <c r="Z9" s="578">
        <v>0</v>
      </c>
      <c r="AA9" s="578">
        <v>0</v>
      </c>
      <c r="AB9" s="578">
        <v>0</v>
      </c>
      <c r="AC9" s="578">
        <v>0</v>
      </c>
    </row>
    <row r="10" spans="1:29" x14ac:dyDescent="0.3">
      <c r="A10" s="447" t="s">
        <v>177</v>
      </c>
      <c r="B10" s="448"/>
      <c r="C10" s="448"/>
      <c r="D10" s="448"/>
      <c r="E10" s="448"/>
      <c r="F10" s="448"/>
      <c r="G10" s="448"/>
      <c r="H10" s="448"/>
      <c r="I10" s="448"/>
      <c r="J10" s="448"/>
      <c r="K10" s="448"/>
      <c r="L10" s="448"/>
      <c r="M10" s="448"/>
      <c r="N10" s="448"/>
      <c r="O10" s="448"/>
      <c r="P10" s="526"/>
      <c r="Q10" s="578">
        <v>0</v>
      </c>
      <c r="R10" s="578">
        <v>0</v>
      </c>
      <c r="S10" s="578">
        <v>0</v>
      </c>
      <c r="T10" s="578">
        <v>0</v>
      </c>
      <c r="U10" s="578">
        <v>0</v>
      </c>
      <c r="V10" s="578">
        <v>0</v>
      </c>
      <c r="W10" s="578">
        <v>0</v>
      </c>
      <c r="X10" s="578">
        <v>0</v>
      </c>
      <c r="Y10" s="578">
        <v>0</v>
      </c>
      <c r="Z10" s="578">
        <v>0</v>
      </c>
      <c r="AA10" s="578">
        <v>0</v>
      </c>
      <c r="AB10" s="578">
        <v>0</v>
      </c>
      <c r="AC10" s="578">
        <v>0</v>
      </c>
    </row>
    <row r="11" spans="1:29" x14ac:dyDescent="0.3">
      <c r="A11" s="456" t="s">
        <v>157</v>
      </c>
      <c r="B11" s="457"/>
      <c r="C11" s="345" t="s">
        <v>152</v>
      </c>
      <c r="D11" s="346">
        <v>23018</v>
      </c>
      <c r="E11" s="346">
        <v>26253</v>
      </c>
      <c r="F11" s="346">
        <v>25377</v>
      </c>
      <c r="G11" s="346">
        <v>25441</v>
      </c>
      <c r="H11" s="346">
        <v>27639</v>
      </c>
      <c r="I11" s="346">
        <v>31483</v>
      </c>
      <c r="J11" s="346">
        <v>33851</v>
      </c>
      <c r="K11" s="346">
        <v>37133</v>
      </c>
      <c r="L11" s="346">
        <v>31345</v>
      </c>
      <c r="M11" s="346">
        <v>34534</v>
      </c>
      <c r="N11" s="346">
        <v>31684</v>
      </c>
      <c r="O11" s="346">
        <v>29326</v>
      </c>
      <c r="P11" s="347">
        <f>SUM(D11:O11)</f>
        <v>357084</v>
      </c>
      <c r="Q11" s="578">
        <v>0</v>
      </c>
      <c r="R11" s="578">
        <v>0</v>
      </c>
      <c r="S11" s="578">
        <v>0</v>
      </c>
      <c r="T11" s="578">
        <v>0</v>
      </c>
      <c r="U11" s="578">
        <v>0</v>
      </c>
      <c r="V11" s="578">
        <v>0</v>
      </c>
      <c r="W11" s="578">
        <v>0</v>
      </c>
      <c r="X11" s="578">
        <v>0</v>
      </c>
      <c r="Y11" s="578">
        <v>0</v>
      </c>
      <c r="Z11" s="578">
        <v>0</v>
      </c>
      <c r="AA11" s="578">
        <v>0</v>
      </c>
      <c r="AB11" s="578">
        <v>0</v>
      </c>
      <c r="AC11" s="578">
        <v>0</v>
      </c>
    </row>
    <row r="12" spans="1:29" x14ac:dyDescent="0.3">
      <c r="A12" s="456" t="s">
        <v>156</v>
      </c>
      <c r="B12" s="457"/>
      <c r="C12" s="345" t="s">
        <v>152</v>
      </c>
      <c r="D12" s="346">
        <v>1035</v>
      </c>
      <c r="E12" s="346">
        <v>1000</v>
      </c>
      <c r="F12" s="346">
        <v>434</v>
      </c>
      <c r="G12" s="346">
        <v>1049</v>
      </c>
      <c r="H12" s="346">
        <v>1254</v>
      </c>
      <c r="I12" s="346">
        <v>1228</v>
      </c>
      <c r="J12" s="346">
        <v>1323</v>
      </c>
      <c r="K12" s="346">
        <v>1269</v>
      </c>
      <c r="L12" s="346">
        <v>1173</v>
      </c>
      <c r="M12" s="346">
        <v>1037</v>
      </c>
      <c r="N12" s="346">
        <v>1267</v>
      </c>
      <c r="O12" s="346">
        <v>844</v>
      </c>
      <c r="P12" s="347">
        <f>SUM(D12:O12)</f>
        <v>12913</v>
      </c>
      <c r="Q12" s="578">
        <v>0</v>
      </c>
      <c r="R12" s="578">
        <v>0</v>
      </c>
      <c r="S12" s="578">
        <v>0</v>
      </c>
      <c r="T12" s="578">
        <v>0</v>
      </c>
      <c r="U12" s="578">
        <v>0</v>
      </c>
      <c r="V12" s="578">
        <v>0</v>
      </c>
      <c r="W12" s="578">
        <v>0</v>
      </c>
      <c r="X12" s="578">
        <v>0</v>
      </c>
      <c r="Y12" s="578">
        <v>0</v>
      </c>
      <c r="Z12" s="578">
        <v>0</v>
      </c>
      <c r="AA12" s="578">
        <v>0</v>
      </c>
      <c r="AB12" s="578">
        <v>0</v>
      </c>
      <c r="AC12" s="578">
        <v>0</v>
      </c>
    </row>
    <row r="13" spans="1:29" x14ac:dyDescent="0.3">
      <c r="A13" s="456" t="s">
        <v>155</v>
      </c>
      <c r="B13" s="457"/>
      <c r="C13" s="345" t="s">
        <v>152</v>
      </c>
      <c r="D13" s="346">
        <v>552</v>
      </c>
      <c r="E13" s="346">
        <v>200</v>
      </c>
      <c r="F13" s="346">
        <v>2451</v>
      </c>
      <c r="G13" s="346">
        <v>228</v>
      </c>
      <c r="H13" s="346">
        <v>290</v>
      </c>
      <c r="I13" s="346">
        <v>390</v>
      </c>
      <c r="J13" s="346">
        <v>421</v>
      </c>
      <c r="K13" s="346">
        <v>199</v>
      </c>
      <c r="L13" s="346">
        <v>171</v>
      </c>
      <c r="M13" s="346">
        <v>420</v>
      </c>
      <c r="N13" s="346">
        <v>143</v>
      </c>
      <c r="O13" s="346">
        <v>160</v>
      </c>
      <c r="P13" s="347">
        <f>SUM(D13:O13)</f>
        <v>5625</v>
      </c>
      <c r="Q13" s="578">
        <v>0</v>
      </c>
      <c r="R13" s="578">
        <v>0</v>
      </c>
      <c r="S13" s="578">
        <v>0</v>
      </c>
      <c r="T13" s="578">
        <v>0</v>
      </c>
      <c r="U13" s="578">
        <v>0</v>
      </c>
      <c r="V13" s="578">
        <v>0</v>
      </c>
      <c r="W13" s="578">
        <v>0</v>
      </c>
      <c r="X13" s="578">
        <v>0</v>
      </c>
      <c r="Y13" s="578">
        <v>0</v>
      </c>
      <c r="Z13" s="578">
        <v>0</v>
      </c>
      <c r="AA13" s="578">
        <v>0</v>
      </c>
      <c r="AB13" s="578">
        <v>0</v>
      </c>
      <c r="AC13" s="578">
        <v>0</v>
      </c>
    </row>
    <row r="14" spans="1:29" x14ac:dyDescent="0.3">
      <c r="A14" s="449" t="s">
        <v>154</v>
      </c>
      <c r="B14" s="450"/>
      <c r="C14" s="345" t="s">
        <v>152</v>
      </c>
      <c r="D14" s="346">
        <v>55</v>
      </c>
      <c r="E14" s="346">
        <v>53</v>
      </c>
      <c r="F14" s="346">
        <v>150</v>
      </c>
      <c r="G14" s="346">
        <v>43</v>
      </c>
      <c r="H14" s="346">
        <v>150</v>
      </c>
      <c r="I14" s="346">
        <v>149</v>
      </c>
      <c r="J14" s="346">
        <v>110</v>
      </c>
      <c r="K14" s="346">
        <v>39</v>
      </c>
      <c r="L14" s="346">
        <v>38</v>
      </c>
      <c r="M14" s="346">
        <v>35</v>
      </c>
      <c r="N14" s="346">
        <v>82</v>
      </c>
      <c r="O14" s="346">
        <v>91</v>
      </c>
      <c r="P14" s="347">
        <f>SUM(D14:O14)</f>
        <v>995</v>
      </c>
      <c r="Q14" s="578">
        <v>0</v>
      </c>
      <c r="R14" s="578">
        <v>0</v>
      </c>
      <c r="S14" s="578">
        <v>0</v>
      </c>
      <c r="T14" s="578">
        <v>0</v>
      </c>
      <c r="U14" s="578">
        <v>0</v>
      </c>
      <c r="V14" s="578">
        <v>0</v>
      </c>
      <c r="W14" s="578">
        <v>0</v>
      </c>
      <c r="X14" s="578">
        <v>0</v>
      </c>
      <c r="Y14" s="578">
        <v>0</v>
      </c>
      <c r="Z14" s="578">
        <v>0</v>
      </c>
      <c r="AA14" s="578">
        <v>0</v>
      </c>
      <c r="AB14" s="578">
        <v>0</v>
      </c>
      <c r="AC14" s="578">
        <v>0</v>
      </c>
    </row>
    <row r="15" spans="1:29" s="350" customFormat="1" x14ac:dyDescent="0.3">
      <c r="A15" s="465" t="s">
        <v>158</v>
      </c>
      <c r="B15" s="466"/>
      <c r="C15" s="348" t="s">
        <v>152</v>
      </c>
      <c r="D15" s="349">
        <f t="shared" ref="D15" si="0">SUM(D11:D14)</f>
        <v>24660</v>
      </c>
      <c r="E15" s="349">
        <f t="shared" ref="E15" si="1">SUM(E11:E14)</f>
        <v>27506</v>
      </c>
      <c r="F15" s="349">
        <f t="shared" ref="F15" si="2">SUM(F11:F14)</f>
        <v>28412</v>
      </c>
      <c r="G15" s="349">
        <f t="shared" ref="G15" si="3">SUM(G11:G14)</f>
        <v>26761</v>
      </c>
      <c r="H15" s="349">
        <f t="shared" ref="H15" si="4">SUM(H11:H14)</f>
        <v>29333</v>
      </c>
      <c r="I15" s="349">
        <f t="shared" ref="I15" si="5">SUM(I11:I14)</f>
        <v>33250</v>
      </c>
      <c r="J15" s="349">
        <f t="shared" ref="J15" si="6">SUM(J11:J14)</f>
        <v>35705</v>
      </c>
      <c r="K15" s="349">
        <f t="shared" ref="K15" si="7">SUM(K11:K14)</f>
        <v>38640</v>
      </c>
      <c r="L15" s="349">
        <f t="shared" ref="L15" si="8">SUM(L11:L14)</f>
        <v>32727</v>
      </c>
      <c r="M15" s="349">
        <f t="shared" ref="M15" si="9">SUM(M11:M14)</f>
        <v>36026</v>
      </c>
      <c r="N15" s="349">
        <f t="shared" ref="N15" si="10">SUM(N11:N14)</f>
        <v>33176</v>
      </c>
      <c r="O15" s="349">
        <f t="shared" ref="O15" si="11">SUM(O11:O14)</f>
        <v>30421</v>
      </c>
      <c r="P15" s="347">
        <f t="shared" ref="P15" si="12">SUM(P11:P14)</f>
        <v>376617</v>
      </c>
      <c r="Q15" s="578">
        <v>0</v>
      </c>
      <c r="R15" s="578">
        <v>0</v>
      </c>
      <c r="S15" s="578">
        <v>0</v>
      </c>
      <c r="T15" s="578">
        <v>0</v>
      </c>
      <c r="U15" s="578">
        <v>0</v>
      </c>
      <c r="V15" s="578">
        <v>0</v>
      </c>
      <c r="W15" s="578">
        <v>0</v>
      </c>
      <c r="X15" s="578">
        <v>0</v>
      </c>
      <c r="Y15" s="578">
        <v>0</v>
      </c>
      <c r="Z15" s="578">
        <v>0</v>
      </c>
      <c r="AA15" s="578">
        <v>0</v>
      </c>
      <c r="AB15" s="578">
        <v>0</v>
      </c>
      <c r="AC15" s="578">
        <v>0</v>
      </c>
    </row>
    <row r="16" spans="1:29" s="351" customFormat="1" x14ac:dyDescent="0.3">
      <c r="A16" s="447" t="s">
        <v>178</v>
      </c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526"/>
    </row>
    <row r="17" spans="1:16" s="351" customFormat="1" x14ac:dyDescent="0.3">
      <c r="A17" s="456" t="s">
        <v>180</v>
      </c>
      <c r="B17" s="457"/>
      <c r="C17" s="345" t="s">
        <v>152</v>
      </c>
      <c r="D17" s="346">
        <v>6897</v>
      </c>
      <c r="E17" s="346">
        <v>7593</v>
      </c>
      <c r="F17" s="346">
        <v>7232</v>
      </c>
      <c r="G17" s="346">
        <v>6169</v>
      </c>
      <c r="H17" s="346">
        <v>7905</v>
      </c>
      <c r="I17" s="346">
        <v>6351</v>
      </c>
      <c r="J17" s="346">
        <v>6689</v>
      </c>
      <c r="K17" s="346">
        <v>6507</v>
      </c>
      <c r="L17" s="346">
        <v>7205</v>
      </c>
      <c r="M17" s="346">
        <v>5531</v>
      </c>
      <c r="N17" s="346">
        <v>9809</v>
      </c>
      <c r="O17" s="346">
        <v>5458</v>
      </c>
      <c r="P17" s="347">
        <f>SUM(D17:O17)</f>
        <v>83346</v>
      </c>
    </row>
    <row r="18" spans="1:16" s="351" customFormat="1" x14ac:dyDescent="0.3">
      <c r="A18" s="456" t="s">
        <v>181</v>
      </c>
      <c r="B18" s="457"/>
      <c r="C18" s="345" t="s">
        <v>152</v>
      </c>
      <c r="D18" s="346">
        <v>0</v>
      </c>
      <c r="E18" s="346">
        <v>0</v>
      </c>
      <c r="F18" s="346">
        <v>0</v>
      </c>
      <c r="G18" s="346">
        <v>0</v>
      </c>
      <c r="H18" s="346">
        <v>0</v>
      </c>
      <c r="I18" s="346">
        <v>0</v>
      </c>
      <c r="J18" s="346"/>
      <c r="K18" s="346">
        <v>0</v>
      </c>
      <c r="L18" s="346">
        <v>0</v>
      </c>
      <c r="M18" s="346">
        <v>0</v>
      </c>
      <c r="N18" s="346">
        <v>0</v>
      </c>
      <c r="O18" s="346">
        <v>47</v>
      </c>
      <c r="P18" s="347">
        <f>SUM(D18:O18)</f>
        <v>47</v>
      </c>
    </row>
    <row r="19" spans="1:16" s="351" customFormat="1" x14ac:dyDescent="0.3">
      <c r="A19" s="456" t="s">
        <v>182</v>
      </c>
      <c r="B19" s="457"/>
      <c r="C19" s="345" t="s">
        <v>152</v>
      </c>
      <c r="D19" s="346">
        <v>0</v>
      </c>
      <c r="E19" s="346">
        <v>0</v>
      </c>
      <c r="F19" s="346">
        <v>0</v>
      </c>
      <c r="G19" s="346">
        <v>0</v>
      </c>
      <c r="H19" s="346">
        <v>0</v>
      </c>
      <c r="I19" s="346">
        <v>1374</v>
      </c>
      <c r="J19" s="346">
        <v>1462</v>
      </c>
      <c r="K19" s="346">
        <v>1418</v>
      </c>
      <c r="L19" s="346">
        <v>1559</v>
      </c>
      <c r="M19" s="346">
        <v>1196</v>
      </c>
      <c r="N19" s="346">
        <v>2120</v>
      </c>
      <c r="O19" s="346">
        <v>392</v>
      </c>
      <c r="P19" s="347">
        <f>SUM(D19:O19)</f>
        <v>9521</v>
      </c>
    </row>
    <row r="20" spans="1:16" s="351" customFormat="1" x14ac:dyDescent="0.3">
      <c r="A20" s="449" t="s">
        <v>183</v>
      </c>
      <c r="B20" s="450"/>
      <c r="C20" s="345" t="s">
        <v>152</v>
      </c>
      <c r="D20" s="346">
        <v>0</v>
      </c>
      <c r="E20" s="346">
        <v>0</v>
      </c>
      <c r="F20" s="346">
        <v>0</v>
      </c>
      <c r="G20" s="346">
        <v>0</v>
      </c>
      <c r="H20" s="346">
        <v>0</v>
      </c>
      <c r="I20" s="346">
        <v>551</v>
      </c>
      <c r="J20" s="346">
        <v>566</v>
      </c>
      <c r="K20" s="346">
        <v>549</v>
      </c>
      <c r="L20" s="346">
        <v>605</v>
      </c>
      <c r="M20" s="346">
        <v>466</v>
      </c>
      <c r="N20" s="346">
        <v>827</v>
      </c>
      <c r="O20" s="346">
        <v>390</v>
      </c>
      <c r="P20" s="347">
        <f>SUM(D20:O20)</f>
        <v>3954</v>
      </c>
    </row>
    <row r="21" spans="1:16" s="352" customFormat="1" x14ac:dyDescent="0.3">
      <c r="A21" s="465" t="s">
        <v>184</v>
      </c>
      <c r="B21" s="466"/>
      <c r="C21" s="348" t="s">
        <v>152</v>
      </c>
      <c r="D21" s="349">
        <f>SUM(D17:D20)</f>
        <v>6897</v>
      </c>
      <c r="E21" s="349">
        <f t="shared" ref="E21:P21" si="13">SUM(E17:E20)</f>
        <v>7593</v>
      </c>
      <c r="F21" s="349">
        <f t="shared" si="13"/>
        <v>7232</v>
      </c>
      <c r="G21" s="349">
        <f t="shared" si="13"/>
        <v>6169</v>
      </c>
      <c r="H21" s="349">
        <f t="shared" si="13"/>
        <v>7905</v>
      </c>
      <c r="I21" s="349">
        <f t="shared" si="13"/>
        <v>8276</v>
      </c>
      <c r="J21" s="349">
        <f t="shared" si="13"/>
        <v>8717</v>
      </c>
      <c r="K21" s="349">
        <f t="shared" si="13"/>
        <v>8474</v>
      </c>
      <c r="L21" s="349">
        <f t="shared" si="13"/>
        <v>9369</v>
      </c>
      <c r="M21" s="349">
        <f t="shared" si="13"/>
        <v>7193</v>
      </c>
      <c r="N21" s="349">
        <f t="shared" si="13"/>
        <v>12756</v>
      </c>
      <c r="O21" s="349">
        <f t="shared" si="13"/>
        <v>6287</v>
      </c>
      <c r="P21" s="347">
        <f t="shared" si="13"/>
        <v>96868</v>
      </c>
    </row>
    <row r="22" spans="1:16" s="351" customFormat="1" x14ac:dyDescent="0.3">
      <c r="A22" s="353" t="s">
        <v>185</v>
      </c>
      <c r="B22" s="354"/>
      <c r="C22" s="345" t="s">
        <v>152</v>
      </c>
      <c r="D22" s="349">
        <f>D21+D15</f>
        <v>31557</v>
      </c>
      <c r="E22" s="349">
        <f t="shared" ref="E22:P22" si="14">E21+E15</f>
        <v>35099</v>
      </c>
      <c r="F22" s="349">
        <f t="shared" si="14"/>
        <v>35644</v>
      </c>
      <c r="G22" s="349">
        <f t="shared" si="14"/>
        <v>32930</v>
      </c>
      <c r="H22" s="349">
        <f t="shared" si="14"/>
        <v>37238</v>
      </c>
      <c r="I22" s="349">
        <f t="shared" si="14"/>
        <v>41526</v>
      </c>
      <c r="J22" s="349">
        <f t="shared" si="14"/>
        <v>44422</v>
      </c>
      <c r="K22" s="349">
        <f t="shared" si="14"/>
        <v>47114</v>
      </c>
      <c r="L22" s="349">
        <f t="shared" si="14"/>
        <v>42096</v>
      </c>
      <c r="M22" s="349">
        <f t="shared" si="14"/>
        <v>43219</v>
      </c>
      <c r="N22" s="349">
        <f t="shared" si="14"/>
        <v>45932</v>
      </c>
      <c r="O22" s="349">
        <f t="shared" si="14"/>
        <v>36708</v>
      </c>
      <c r="P22" s="347">
        <f t="shared" si="14"/>
        <v>473485</v>
      </c>
    </row>
    <row r="23" spans="1:16" x14ac:dyDescent="0.3">
      <c r="A23" s="502"/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3"/>
      <c r="O23" s="503"/>
      <c r="P23" s="527"/>
    </row>
    <row r="24" spans="1:16" x14ac:dyDescent="0.3">
      <c r="A24" s="442" t="s">
        <v>179</v>
      </c>
      <c r="B24" s="355" t="s">
        <v>153</v>
      </c>
      <c r="C24" s="355" t="s">
        <v>152</v>
      </c>
      <c r="D24" s="356">
        <f>D9-D22</f>
        <v>16973</v>
      </c>
      <c r="E24" s="356">
        <f t="shared" ref="E24:P24" si="15">E9-E22</f>
        <v>25969</v>
      </c>
      <c r="F24" s="356">
        <f t="shared" si="15"/>
        <v>27438</v>
      </c>
      <c r="G24" s="356">
        <f t="shared" si="15"/>
        <v>27849</v>
      </c>
      <c r="H24" s="356">
        <f t="shared" si="15"/>
        <v>25372</v>
      </c>
      <c r="I24" s="356">
        <f t="shared" si="15"/>
        <v>26272</v>
      </c>
      <c r="J24" s="356">
        <f t="shared" si="15"/>
        <v>26070</v>
      </c>
      <c r="K24" s="356">
        <f t="shared" si="15"/>
        <v>25321</v>
      </c>
      <c r="L24" s="356">
        <f t="shared" si="15"/>
        <v>24094</v>
      </c>
      <c r="M24" s="356">
        <f t="shared" si="15"/>
        <v>22451</v>
      </c>
      <c r="N24" s="356">
        <f t="shared" si="15"/>
        <v>19139</v>
      </c>
      <c r="O24" s="356">
        <f t="shared" si="15"/>
        <v>15404</v>
      </c>
      <c r="P24" s="536">
        <f t="shared" si="15"/>
        <v>282352</v>
      </c>
    </row>
    <row r="25" spans="1:16" ht="16.2" thickBot="1" x14ac:dyDescent="0.35">
      <c r="A25" s="443"/>
      <c r="B25" s="357" t="s">
        <v>151</v>
      </c>
      <c r="C25" s="358" t="s">
        <v>6</v>
      </c>
      <c r="D25" s="359">
        <f t="shared" ref="D25:P25" si="16">D24/D9</f>
        <v>0.34974242736451677</v>
      </c>
      <c r="E25" s="359">
        <f t="shared" si="16"/>
        <v>0.42524726534355145</v>
      </c>
      <c r="F25" s="359">
        <f t="shared" si="16"/>
        <v>0.43495767413842301</v>
      </c>
      <c r="G25" s="359">
        <f t="shared" si="16"/>
        <v>0.4582010233797858</v>
      </c>
      <c r="H25" s="359">
        <f t="shared" si="16"/>
        <v>0.40523877974764416</v>
      </c>
      <c r="I25" s="359">
        <f t="shared" si="16"/>
        <v>0.38750405616684858</v>
      </c>
      <c r="J25" s="359">
        <f t="shared" si="16"/>
        <v>0.36982920047664986</v>
      </c>
      <c r="K25" s="359">
        <f t="shared" si="16"/>
        <v>0.34956857872575414</v>
      </c>
      <c r="L25" s="359">
        <f t="shared" si="16"/>
        <v>0.36401269073878229</v>
      </c>
      <c r="M25" s="359">
        <f t="shared" si="16"/>
        <v>0.34187604690117251</v>
      </c>
      <c r="N25" s="359">
        <f t="shared" si="16"/>
        <v>0.29412487897834672</v>
      </c>
      <c r="O25" s="359">
        <f t="shared" si="16"/>
        <v>0.29559410500460548</v>
      </c>
      <c r="P25" s="537">
        <f t="shared" si="16"/>
        <v>0.37356202461641863</v>
      </c>
    </row>
    <row r="26" spans="1:16" x14ac:dyDescent="0.3">
      <c r="A26" s="504" t="s">
        <v>150</v>
      </c>
      <c r="B26" s="505"/>
      <c r="C26" s="505"/>
      <c r="D26" s="505"/>
      <c r="E26" s="505"/>
      <c r="F26" s="505"/>
      <c r="G26" s="505"/>
      <c r="H26" s="505"/>
      <c r="I26" s="505"/>
      <c r="J26" s="505"/>
      <c r="K26" s="505"/>
      <c r="L26" s="505"/>
      <c r="M26" s="505"/>
      <c r="N26" s="505"/>
      <c r="O26" s="505"/>
      <c r="P26" s="528"/>
    </row>
    <row r="27" spans="1:16" x14ac:dyDescent="0.3">
      <c r="A27" s="440" t="s">
        <v>149</v>
      </c>
      <c r="B27" s="441"/>
      <c r="C27" s="441"/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529"/>
    </row>
    <row r="28" spans="1:16" x14ac:dyDescent="0.3">
      <c r="A28" s="360" t="s">
        <v>148</v>
      </c>
      <c r="B28" s="361" t="s">
        <v>147</v>
      </c>
      <c r="C28" s="362"/>
      <c r="D28" s="363"/>
      <c r="E28" s="363"/>
      <c r="F28" s="363"/>
      <c r="G28" s="363"/>
      <c r="H28" s="363"/>
      <c r="I28" s="363"/>
      <c r="J28" s="364"/>
      <c r="K28" s="364"/>
      <c r="L28" s="364"/>
      <c r="M28" s="364"/>
      <c r="N28" s="364"/>
      <c r="O28" s="363"/>
      <c r="P28" s="365"/>
    </row>
    <row r="29" spans="1:16" x14ac:dyDescent="0.3">
      <c r="A29" s="249" t="s">
        <v>146</v>
      </c>
      <c r="B29" s="579">
        <f>176264.5/50</f>
        <v>3525.29</v>
      </c>
      <c r="C29" s="355" t="s">
        <v>140</v>
      </c>
      <c r="D29" s="366">
        <v>98</v>
      </c>
      <c r="E29" s="366">
        <v>120</v>
      </c>
      <c r="F29" s="366">
        <v>122</v>
      </c>
      <c r="G29" s="366">
        <v>96</v>
      </c>
      <c r="H29" s="366">
        <v>114</v>
      </c>
      <c r="I29" s="366">
        <v>110</v>
      </c>
      <c r="J29" s="366">
        <v>115</v>
      </c>
      <c r="K29" s="366">
        <v>121</v>
      </c>
      <c r="L29" s="366">
        <v>121</v>
      </c>
      <c r="M29" s="366">
        <v>119</v>
      </c>
      <c r="N29" s="366">
        <v>125</v>
      </c>
      <c r="O29" s="366">
        <v>84</v>
      </c>
      <c r="P29" s="367">
        <f>SUM(D29:O29)</f>
        <v>1345</v>
      </c>
    </row>
    <row r="30" spans="1:16" x14ac:dyDescent="0.3">
      <c r="A30" s="250"/>
      <c r="B30" s="579"/>
      <c r="C30" s="368" t="s">
        <v>139</v>
      </c>
      <c r="D30" s="369">
        <f t="shared" ref="D30:P30" si="17">D29/(D9/1000)</f>
        <v>2.0193694621883371</v>
      </c>
      <c r="E30" s="369">
        <f t="shared" si="17"/>
        <v>1.9650225977598743</v>
      </c>
      <c r="F30" s="369">
        <f t="shared" si="17"/>
        <v>1.9339906787990235</v>
      </c>
      <c r="G30" s="369">
        <f t="shared" si="17"/>
        <v>1.5794929169614504</v>
      </c>
      <c r="H30" s="369">
        <f t="shared" si="17"/>
        <v>1.8207954000958313</v>
      </c>
      <c r="I30" s="369">
        <f t="shared" si="17"/>
        <v>1.6224667394318415</v>
      </c>
      <c r="J30" s="369">
        <f t="shared" si="17"/>
        <v>1.6313907961187084</v>
      </c>
      <c r="K30" s="369">
        <f t="shared" si="17"/>
        <v>1.6704631738800304</v>
      </c>
      <c r="L30" s="369">
        <f t="shared" si="17"/>
        <v>1.8280707055446443</v>
      </c>
      <c r="M30" s="369">
        <f t="shared" si="17"/>
        <v>1.8120907568143749</v>
      </c>
      <c r="N30" s="369">
        <f t="shared" si="17"/>
        <v>1.9209786233498793</v>
      </c>
      <c r="O30" s="369">
        <f t="shared" si="17"/>
        <v>1.6119128031931225</v>
      </c>
      <c r="P30" s="375">
        <f t="shared" si="17"/>
        <v>1.7794842009586724</v>
      </c>
    </row>
    <row r="31" spans="1:16" x14ac:dyDescent="0.3">
      <c r="A31" s="249" t="s">
        <v>145</v>
      </c>
      <c r="B31" s="579">
        <f>53000.511/50</f>
        <v>1060.0102199999999</v>
      </c>
      <c r="C31" s="355" t="s">
        <v>140</v>
      </c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7">
        <f>SUM(D31:O31)</f>
        <v>0</v>
      </c>
    </row>
    <row r="32" spans="1:16" x14ac:dyDescent="0.3">
      <c r="A32" s="250"/>
      <c r="B32" s="579"/>
      <c r="C32" s="368" t="s">
        <v>139</v>
      </c>
      <c r="D32" s="369">
        <f t="shared" ref="D32:P32" si="18">D31/(D9/1000)</f>
        <v>0</v>
      </c>
      <c r="E32" s="369">
        <f t="shared" si="18"/>
        <v>0</v>
      </c>
      <c r="F32" s="369">
        <f t="shared" si="18"/>
        <v>0</v>
      </c>
      <c r="G32" s="369">
        <f t="shared" si="18"/>
        <v>0</v>
      </c>
      <c r="H32" s="369">
        <f t="shared" si="18"/>
        <v>0</v>
      </c>
      <c r="I32" s="369">
        <f t="shared" si="18"/>
        <v>0</v>
      </c>
      <c r="J32" s="369">
        <f t="shared" si="18"/>
        <v>0</v>
      </c>
      <c r="K32" s="369">
        <f t="shared" si="18"/>
        <v>0</v>
      </c>
      <c r="L32" s="369">
        <f t="shared" si="18"/>
        <v>0</v>
      </c>
      <c r="M32" s="369">
        <f t="shared" si="18"/>
        <v>0</v>
      </c>
      <c r="N32" s="369">
        <f t="shared" si="18"/>
        <v>0</v>
      </c>
      <c r="O32" s="369">
        <f t="shared" si="18"/>
        <v>0</v>
      </c>
      <c r="P32" s="375">
        <f t="shared" si="18"/>
        <v>0</v>
      </c>
    </row>
    <row r="33" spans="1:16" x14ac:dyDescent="0.3">
      <c r="A33" s="249" t="s">
        <v>144</v>
      </c>
      <c r="B33" s="579">
        <f>61414.43/50</f>
        <v>1228.2886000000001</v>
      </c>
      <c r="C33" s="355" t="s">
        <v>140</v>
      </c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7">
        <f>SUM(D33:O33)</f>
        <v>0</v>
      </c>
    </row>
    <row r="34" spans="1:16" x14ac:dyDescent="0.3">
      <c r="A34" s="250"/>
      <c r="B34" s="579"/>
      <c r="C34" s="368" t="s">
        <v>139</v>
      </c>
      <c r="D34" s="369">
        <f t="shared" ref="D34:P34" si="19">D33/(D9/1000)</f>
        <v>0</v>
      </c>
      <c r="E34" s="369">
        <f t="shared" si="19"/>
        <v>0</v>
      </c>
      <c r="F34" s="369">
        <f t="shared" si="19"/>
        <v>0</v>
      </c>
      <c r="G34" s="369">
        <f t="shared" si="19"/>
        <v>0</v>
      </c>
      <c r="H34" s="369">
        <f t="shared" si="19"/>
        <v>0</v>
      </c>
      <c r="I34" s="369">
        <f t="shared" si="19"/>
        <v>0</v>
      </c>
      <c r="J34" s="369">
        <f t="shared" si="19"/>
        <v>0</v>
      </c>
      <c r="K34" s="369">
        <f t="shared" si="19"/>
        <v>0</v>
      </c>
      <c r="L34" s="369">
        <f t="shared" si="19"/>
        <v>0</v>
      </c>
      <c r="M34" s="369">
        <f t="shared" si="19"/>
        <v>0</v>
      </c>
      <c r="N34" s="369">
        <f t="shared" si="19"/>
        <v>0</v>
      </c>
      <c r="O34" s="369">
        <f t="shared" si="19"/>
        <v>0</v>
      </c>
      <c r="P34" s="375">
        <f t="shared" si="19"/>
        <v>0</v>
      </c>
    </row>
    <row r="35" spans="1:16" x14ac:dyDescent="0.3">
      <c r="A35" s="249" t="s">
        <v>143</v>
      </c>
      <c r="B35" s="579">
        <f>745345.16/200</f>
        <v>3726.7258000000002</v>
      </c>
      <c r="C35" s="355" t="s">
        <v>126</v>
      </c>
      <c r="D35" s="370"/>
      <c r="E35" s="370"/>
      <c r="F35" s="370"/>
      <c r="G35" s="370"/>
      <c r="H35" s="370"/>
      <c r="I35" s="370"/>
      <c r="J35" s="370"/>
      <c r="K35" s="370"/>
      <c r="L35" s="370"/>
      <c r="M35" s="370"/>
      <c r="N35" s="370"/>
      <c r="O35" s="370"/>
      <c r="P35" s="375"/>
    </row>
    <row r="36" spans="1:16" x14ac:dyDescent="0.3">
      <c r="A36" s="250"/>
      <c r="B36" s="579"/>
      <c r="C36" s="355" t="s">
        <v>142</v>
      </c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5"/>
    </row>
    <row r="37" spans="1:16" x14ac:dyDescent="0.3">
      <c r="A37" s="249" t="s">
        <v>186</v>
      </c>
      <c r="B37" s="579">
        <f>790318.72/200</f>
        <v>3951.5935999999997</v>
      </c>
      <c r="C37" s="355" t="s">
        <v>126</v>
      </c>
      <c r="D37" s="366">
        <v>0</v>
      </c>
      <c r="E37" s="366">
        <v>0</v>
      </c>
      <c r="F37" s="366">
        <v>0</v>
      </c>
      <c r="G37" s="366">
        <v>0</v>
      </c>
      <c r="H37" s="366">
        <v>0</v>
      </c>
      <c r="I37" s="366">
        <v>0</v>
      </c>
      <c r="J37" s="366">
        <v>0</v>
      </c>
      <c r="K37" s="366">
        <v>0</v>
      </c>
      <c r="L37" s="366">
        <v>0</v>
      </c>
      <c r="M37" s="366">
        <v>0</v>
      </c>
      <c r="N37" s="366">
        <v>0</v>
      </c>
      <c r="O37" s="366">
        <v>0</v>
      </c>
      <c r="P37" s="367">
        <f>SUM(D37:O37)</f>
        <v>0</v>
      </c>
    </row>
    <row r="38" spans="1:16" x14ac:dyDescent="0.3">
      <c r="A38" s="250"/>
      <c r="B38" s="579"/>
      <c r="C38" s="355" t="s">
        <v>142</v>
      </c>
      <c r="D38" s="369">
        <f t="shared" ref="D38:P38" si="20">D37/(D9/1000)</f>
        <v>0</v>
      </c>
      <c r="E38" s="369">
        <f t="shared" si="20"/>
        <v>0</v>
      </c>
      <c r="F38" s="369">
        <f t="shared" si="20"/>
        <v>0</v>
      </c>
      <c r="G38" s="369">
        <f t="shared" si="20"/>
        <v>0</v>
      </c>
      <c r="H38" s="369">
        <f t="shared" si="20"/>
        <v>0</v>
      </c>
      <c r="I38" s="369">
        <f t="shared" si="20"/>
        <v>0</v>
      </c>
      <c r="J38" s="369">
        <f t="shared" si="20"/>
        <v>0</v>
      </c>
      <c r="K38" s="369">
        <f t="shared" si="20"/>
        <v>0</v>
      </c>
      <c r="L38" s="369">
        <f t="shared" si="20"/>
        <v>0</v>
      </c>
      <c r="M38" s="369">
        <f t="shared" si="20"/>
        <v>0</v>
      </c>
      <c r="N38" s="369">
        <f t="shared" si="20"/>
        <v>0</v>
      </c>
      <c r="O38" s="369">
        <f t="shared" si="20"/>
        <v>0</v>
      </c>
      <c r="P38" s="375">
        <f t="shared" si="20"/>
        <v>0</v>
      </c>
    </row>
    <row r="39" spans="1:16" x14ac:dyDescent="0.3">
      <c r="A39" s="249" t="s">
        <v>141</v>
      </c>
      <c r="B39" s="579">
        <v>1950</v>
      </c>
      <c r="C39" s="355" t="s">
        <v>140</v>
      </c>
      <c r="D39" s="366">
        <v>0</v>
      </c>
      <c r="E39" s="366">
        <v>0</v>
      </c>
      <c r="F39" s="366">
        <v>0</v>
      </c>
      <c r="G39" s="366">
        <v>0</v>
      </c>
      <c r="H39" s="366">
        <v>0</v>
      </c>
      <c r="I39" s="366">
        <v>0</v>
      </c>
      <c r="J39" s="366">
        <v>0</v>
      </c>
      <c r="K39" s="366">
        <v>0</v>
      </c>
      <c r="L39" s="366">
        <v>0</v>
      </c>
      <c r="M39" s="366">
        <v>0</v>
      </c>
      <c r="N39" s="366">
        <v>0</v>
      </c>
      <c r="O39" s="366">
        <v>0</v>
      </c>
      <c r="P39" s="367">
        <f>SUM(D39:O39)</f>
        <v>0</v>
      </c>
    </row>
    <row r="40" spans="1:16" x14ac:dyDescent="0.3">
      <c r="A40" s="250"/>
      <c r="B40" s="579"/>
      <c r="C40" s="368" t="s">
        <v>139</v>
      </c>
      <c r="D40" s="369">
        <f t="shared" ref="D40:P40" si="21">D39/(D9/1000)</f>
        <v>0</v>
      </c>
      <c r="E40" s="369">
        <f t="shared" si="21"/>
        <v>0</v>
      </c>
      <c r="F40" s="369">
        <f t="shared" si="21"/>
        <v>0</v>
      </c>
      <c r="G40" s="369">
        <f t="shared" si="21"/>
        <v>0</v>
      </c>
      <c r="H40" s="369">
        <f t="shared" si="21"/>
        <v>0</v>
      </c>
      <c r="I40" s="369">
        <f t="shared" si="21"/>
        <v>0</v>
      </c>
      <c r="J40" s="369">
        <f t="shared" si="21"/>
        <v>0</v>
      </c>
      <c r="K40" s="369">
        <f t="shared" si="21"/>
        <v>0</v>
      </c>
      <c r="L40" s="369">
        <f t="shared" si="21"/>
        <v>0</v>
      </c>
      <c r="M40" s="369">
        <f t="shared" si="21"/>
        <v>0</v>
      </c>
      <c r="N40" s="369">
        <f t="shared" si="21"/>
        <v>0</v>
      </c>
      <c r="O40" s="369">
        <f t="shared" si="21"/>
        <v>0</v>
      </c>
      <c r="P40" s="375">
        <f t="shared" si="21"/>
        <v>0</v>
      </c>
    </row>
    <row r="41" spans="1:16" x14ac:dyDescent="0.3">
      <c r="A41" s="449" t="s">
        <v>138</v>
      </c>
      <c r="B41" s="450"/>
      <c r="C41" s="345" t="s">
        <v>31</v>
      </c>
      <c r="D41" s="371">
        <f>(D29*$B29)+(D31*$B31)+(D33*$B33)+(D35*$B35)+(D37*$B37)+(D39*$B39)</f>
        <v>345478.42</v>
      </c>
      <c r="E41" s="371">
        <f t="shared" ref="E41:O41" si="22">(E29*$B29)+(E31*$B31)+(E33*$B33)+(E35*$B35)+(E37*$B37)+(E39*$B39)</f>
        <v>423034.8</v>
      </c>
      <c r="F41" s="371">
        <f t="shared" si="22"/>
        <v>430085.38</v>
      </c>
      <c r="G41" s="371">
        <f t="shared" si="22"/>
        <v>338427.83999999997</v>
      </c>
      <c r="H41" s="371">
        <f t="shared" si="22"/>
        <v>401883.06</v>
      </c>
      <c r="I41" s="371">
        <f t="shared" si="22"/>
        <v>387781.9</v>
      </c>
      <c r="J41" s="371">
        <f t="shared" si="22"/>
        <v>405408.35</v>
      </c>
      <c r="K41" s="371">
        <f t="shared" si="22"/>
        <v>426560.08999999997</v>
      </c>
      <c r="L41" s="371">
        <f t="shared" si="22"/>
        <v>426560.08999999997</v>
      </c>
      <c r="M41" s="371">
        <f t="shared" si="22"/>
        <v>419509.51</v>
      </c>
      <c r="N41" s="371">
        <f t="shared" si="22"/>
        <v>440661.25</v>
      </c>
      <c r="O41" s="371">
        <f t="shared" si="22"/>
        <v>296124.36</v>
      </c>
      <c r="P41" s="372">
        <f>SUM(D41:O41)</f>
        <v>4741515.05</v>
      </c>
    </row>
    <row r="42" spans="1:16" x14ac:dyDescent="0.3">
      <c r="A42" s="500" t="s">
        <v>137</v>
      </c>
      <c r="B42" s="501"/>
      <c r="C42" s="368" t="s">
        <v>115</v>
      </c>
      <c r="D42" s="369">
        <f t="shared" ref="D42:P42" si="23">D41/D9</f>
        <v>7.118862971357923</v>
      </c>
      <c r="E42" s="369">
        <f t="shared" si="23"/>
        <v>6.9272745136569069</v>
      </c>
      <c r="F42" s="369">
        <f t="shared" si="23"/>
        <v>6.8178780000634092</v>
      </c>
      <c r="G42" s="369">
        <f t="shared" si="23"/>
        <v>5.5681705852350314</v>
      </c>
      <c r="H42" s="369">
        <f t="shared" si="23"/>
        <v>6.4188318160038333</v>
      </c>
      <c r="I42" s="369">
        <f t="shared" si="23"/>
        <v>5.7196657718516777</v>
      </c>
      <c r="J42" s="369">
        <f t="shared" si="23"/>
        <v>5.7511256596493219</v>
      </c>
      <c r="K42" s="369">
        <f t="shared" si="23"/>
        <v>5.8888671222475315</v>
      </c>
      <c r="L42" s="369">
        <f t="shared" si="23"/>
        <v>6.4444793775494782</v>
      </c>
      <c r="M42" s="369">
        <f t="shared" si="23"/>
        <v>6.3881454240901476</v>
      </c>
      <c r="N42" s="369">
        <f t="shared" si="23"/>
        <v>6.7720067311090961</v>
      </c>
      <c r="O42" s="369">
        <f t="shared" si="23"/>
        <v>5.6824600859686827</v>
      </c>
      <c r="P42" s="538">
        <f t="shared" si="23"/>
        <v>6.2731978587975981</v>
      </c>
    </row>
    <row r="43" spans="1:16" x14ac:dyDescent="0.3">
      <c r="A43" s="490" t="s">
        <v>136</v>
      </c>
      <c r="B43" s="491"/>
      <c r="C43" s="491"/>
      <c r="D43" s="491"/>
      <c r="E43" s="491"/>
      <c r="F43" s="491"/>
      <c r="G43" s="491"/>
      <c r="H43" s="491"/>
      <c r="I43" s="491"/>
      <c r="J43" s="491"/>
      <c r="K43" s="491"/>
      <c r="L43" s="491"/>
      <c r="M43" s="491"/>
      <c r="N43" s="491"/>
      <c r="O43" s="491"/>
      <c r="P43" s="530"/>
    </row>
    <row r="44" spans="1:16" x14ac:dyDescent="0.3">
      <c r="A44" s="449" t="s">
        <v>135</v>
      </c>
      <c r="B44" s="450"/>
      <c r="C44" s="345" t="s">
        <v>134</v>
      </c>
      <c r="D44" s="366">
        <v>33186</v>
      </c>
      <c r="E44" s="366">
        <v>55310</v>
      </c>
      <c r="F44" s="366">
        <v>34660</v>
      </c>
      <c r="G44" s="366">
        <v>35100</v>
      </c>
      <c r="H44" s="366">
        <v>45036</v>
      </c>
      <c r="I44" s="366">
        <v>45713</v>
      </c>
      <c r="J44" s="366">
        <v>36779</v>
      </c>
      <c r="K44" s="366">
        <v>40320</v>
      </c>
      <c r="L44" s="366">
        <v>42320</v>
      </c>
      <c r="M44" s="366"/>
      <c r="N44" s="366"/>
      <c r="O44" s="366">
        <v>35000</v>
      </c>
      <c r="P44" s="372">
        <f>SUM(D44:O44)</f>
        <v>403424</v>
      </c>
    </row>
    <row r="45" spans="1:16" x14ac:dyDescent="0.3">
      <c r="A45" s="500" t="s">
        <v>133</v>
      </c>
      <c r="B45" s="501"/>
      <c r="C45" s="368" t="s">
        <v>132</v>
      </c>
      <c r="D45" s="369">
        <f t="shared" ref="D45:P45" si="24">D44/D9</f>
        <v>0.68382443849165464</v>
      </c>
      <c r="E45" s="369">
        <f t="shared" si="24"/>
        <v>0.9057116656841554</v>
      </c>
      <c r="F45" s="369">
        <f t="shared" si="24"/>
        <v>0.54944358137027993</v>
      </c>
      <c r="G45" s="369">
        <f t="shared" si="24"/>
        <v>0.57750209776403039</v>
      </c>
      <c r="H45" s="369">
        <f t="shared" si="24"/>
        <v>0.71931001437470055</v>
      </c>
      <c r="I45" s="369">
        <f t="shared" si="24"/>
        <v>0.67425292781497981</v>
      </c>
      <c r="J45" s="369">
        <f t="shared" si="24"/>
        <v>0.52174714861260851</v>
      </c>
      <c r="K45" s="369">
        <f t="shared" si="24"/>
        <v>0.55663698488299851</v>
      </c>
      <c r="L45" s="369">
        <f t="shared" si="24"/>
        <v>0.6393715062698293</v>
      </c>
      <c r="M45" s="369">
        <f t="shared" si="24"/>
        <v>0</v>
      </c>
      <c r="N45" s="369">
        <f t="shared" si="24"/>
        <v>0</v>
      </c>
      <c r="O45" s="369">
        <f t="shared" si="24"/>
        <v>0.67163033466380107</v>
      </c>
      <c r="P45" s="375">
        <f t="shared" si="24"/>
        <v>0.53374470950747321</v>
      </c>
    </row>
    <row r="46" spans="1:16" x14ac:dyDescent="0.3">
      <c r="A46" s="461" t="s">
        <v>131</v>
      </c>
      <c r="B46" s="462"/>
      <c r="C46" s="355" t="s">
        <v>31</v>
      </c>
      <c r="D46" s="373">
        <f>1.165*(14100+(D44*119.1))</f>
        <v>4621033.7790000001</v>
      </c>
      <c r="E46" s="373">
        <f t="shared" ref="E46:G46" si="25">1.165*(14100+(E44*119.1))</f>
        <v>7690771.9649999999</v>
      </c>
      <c r="F46" s="373">
        <f t="shared" si="25"/>
        <v>4825553.49</v>
      </c>
      <c r="G46" s="373">
        <f t="shared" si="25"/>
        <v>4886604.1500000004</v>
      </c>
      <c r="H46" s="373">
        <f>1.165*(16600+(H44*143.5))</f>
        <v>7548344.8900000006</v>
      </c>
      <c r="I46" s="373">
        <f>1.165*(16600+(I44*143.5))</f>
        <v>7661524.0575000001</v>
      </c>
      <c r="J46" s="373">
        <f>1.165*(16600+(J44*143.5))</f>
        <v>6167960.2725</v>
      </c>
      <c r="K46" s="373">
        <f>1.165*(16600+(K44*143.5))</f>
        <v>6759935.7999999998</v>
      </c>
      <c r="L46" s="373">
        <f>1.165*(16600+(L44*143.5))</f>
        <v>7094290.7999999998</v>
      </c>
      <c r="M46" s="373"/>
      <c r="N46" s="373">
        <v>4500000</v>
      </c>
      <c r="O46" s="373">
        <v>4500000</v>
      </c>
      <c r="P46" s="372">
        <f>SUM(D46:O46)</f>
        <v>66256019.203999989</v>
      </c>
    </row>
    <row r="47" spans="1:16" s="351" customFormat="1" x14ac:dyDescent="0.3">
      <c r="A47" s="449" t="s">
        <v>130</v>
      </c>
      <c r="B47" s="450"/>
      <c r="C47" s="345" t="s">
        <v>115</v>
      </c>
      <c r="D47" s="369">
        <f t="shared" ref="D47:P47" si="26">D46/D9</f>
        <v>95.22014792911601</v>
      </c>
      <c r="E47" s="369">
        <f t="shared" si="26"/>
        <v>125.93783921202593</v>
      </c>
      <c r="F47" s="369">
        <f t="shared" si="26"/>
        <v>76.496520243492597</v>
      </c>
      <c r="G47" s="369">
        <f t="shared" si="26"/>
        <v>80.39954836374406</v>
      </c>
      <c r="H47" s="369">
        <f t="shared" si="26"/>
        <v>120.56133029867435</v>
      </c>
      <c r="I47" s="369">
        <f t="shared" si="26"/>
        <v>113.00516324227854</v>
      </c>
      <c r="J47" s="369">
        <f t="shared" si="26"/>
        <v>87.498727125063837</v>
      </c>
      <c r="K47" s="369">
        <f t="shared" si="26"/>
        <v>93.324163733001996</v>
      </c>
      <c r="L47" s="369">
        <f t="shared" si="26"/>
        <v>107.18070403384196</v>
      </c>
      <c r="M47" s="369">
        <f t="shared" si="26"/>
        <v>0</v>
      </c>
      <c r="N47" s="369">
        <f t="shared" si="26"/>
        <v>69.155230440595659</v>
      </c>
      <c r="O47" s="369">
        <f t="shared" si="26"/>
        <v>86.352471599631556</v>
      </c>
      <c r="P47" s="375">
        <f t="shared" si="26"/>
        <v>87.659137094373506</v>
      </c>
    </row>
    <row r="48" spans="1:16" x14ac:dyDescent="0.3">
      <c r="A48" s="490" t="s">
        <v>129</v>
      </c>
      <c r="B48" s="491"/>
      <c r="C48" s="491"/>
      <c r="D48" s="491"/>
      <c r="E48" s="491"/>
      <c r="F48" s="491"/>
      <c r="G48" s="491"/>
      <c r="H48" s="491"/>
      <c r="I48" s="491"/>
      <c r="J48" s="491"/>
      <c r="K48" s="491"/>
      <c r="L48" s="491"/>
      <c r="M48" s="491"/>
      <c r="N48" s="491"/>
      <c r="O48" s="491"/>
      <c r="P48" s="530"/>
    </row>
    <row r="49" spans="1:16" x14ac:dyDescent="0.3">
      <c r="A49" s="449" t="s">
        <v>128</v>
      </c>
      <c r="B49" s="450"/>
      <c r="C49" s="355" t="s">
        <v>127</v>
      </c>
      <c r="D49" s="374">
        <v>1537</v>
      </c>
      <c r="E49" s="374">
        <v>2146</v>
      </c>
      <c r="F49" s="374">
        <v>2897</v>
      </c>
      <c r="G49" s="374">
        <v>2795</v>
      </c>
      <c r="H49" s="374">
        <v>2600</v>
      </c>
      <c r="I49" s="374">
        <v>2650</v>
      </c>
      <c r="J49" s="374">
        <v>1570</v>
      </c>
      <c r="K49" s="374">
        <v>1589</v>
      </c>
      <c r="L49" s="374">
        <v>1690</v>
      </c>
      <c r="M49" s="374"/>
      <c r="N49" s="374"/>
      <c r="O49" s="374"/>
      <c r="P49" s="372">
        <f>SUM(D49:O49)</f>
        <v>19474</v>
      </c>
    </row>
    <row r="50" spans="1:16" x14ac:dyDescent="0.3">
      <c r="A50" s="449" t="s">
        <v>187</v>
      </c>
      <c r="B50" s="450"/>
      <c r="C50" s="355" t="s">
        <v>126</v>
      </c>
      <c r="D50" s="374">
        <v>143</v>
      </c>
      <c r="E50" s="374">
        <v>200</v>
      </c>
      <c r="F50" s="374">
        <v>270</v>
      </c>
      <c r="G50" s="374">
        <v>270</v>
      </c>
      <c r="H50" s="374">
        <v>300</v>
      </c>
      <c r="I50" s="374">
        <v>270</v>
      </c>
      <c r="J50" s="374">
        <v>330</v>
      </c>
      <c r="K50" s="374">
        <v>330</v>
      </c>
      <c r="L50" s="374">
        <v>240</v>
      </c>
      <c r="M50" s="374"/>
      <c r="N50" s="374"/>
      <c r="O50" s="374"/>
      <c r="P50" s="372">
        <f>SUM(D50:O50)</f>
        <v>2353</v>
      </c>
    </row>
    <row r="51" spans="1:16" x14ac:dyDescent="0.3">
      <c r="A51" s="461" t="s">
        <v>125</v>
      </c>
      <c r="B51" s="462"/>
      <c r="C51" s="355" t="s">
        <v>31</v>
      </c>
      <c r="D51" s="370">
        <v>250000</v>
      </c>
      <c r="E51" s="370">
        <v>349200</v>
      </c>
      <c r="F51" s="370">
        <v>520200</v>
      </c>
      <c r="G51" s="370">
        <v>754650</v>
      </c>
      <c r="H51" s="370">
        <v>520200</v>
      </c>
      <c r="I51" s="370">
        <v>518400</v>
      </c>
      <c r="J51" s="370">
        <v>633600</v>
      </c>
      <c r="K51" s="370">
        <v>902220</v>
      </c>
      <c r="L51" s="370">
        <v>656160</v>
      </c>
      <c r="M51" s="370"/>
      <c r="N51" s="370">
        <v>782660</v>
      </c>
      <c r="O51" s="370"/>
      <c r="P51" s="375">
        <f>SUM(D51:O51)</f>
        <v>5887290</v>
      </c>
    </row>
    <row r="52" spans="1:16" x14ac:dyDescent="0.3">
      <c r="A52" s="449" t="s">
        <v>124</v>
      </c>
      <c r="B52" s="450"/>
      <c r="C52" s="355" t="s">
        <v>31</v>
      </c>
      <c r="D52" s="370">
        <v>0</v>
      </c>
      <c r="E52" s="370">
        <v>0</v>
      </c>
      <c r="F52" s="370">
        <v>0</v>
      </c>
      <c r="G52" s="370"/>
      <c r="H52" s="370">
        <v>0</v>
      </c>
      <c r="I52" s="370">
        <v>0</v>
      </c>
      <c r="J52" s="370">
        <v>0</v>
      </c>
      <c r="K52" s="370">
        <v>0</v>
      </c>
      <c r="L52" s="370">
        <v>0</v>
      </c>
      <c r="M52" s="370">
        <v>0</v>
      </c>
      <c r="N52" s="370">
        <v>0</v>
      </c>
      <c r="O52" s="370">
        <v>0</v>
      </c>
      <c r="P52" s="375">
        <f>SUM(D52:O52)</f>
        <v>0</v>
      </c>
    </row>
    <row r="53" spans="1:16" x14ac:dyDescent="0.3">
      <c r="A53" s="490" t="s">
        <v>123</v>
      </c>
      <c r="B53" s="491"/>
      <c r="C53" s="491"/>
      <c r="D53" s="491"/>
      <c r="E53" s="491"/>
      <c r="F53" s="491"/>
      <c r="G53" s="491"/>
      <c r="H53" s="491"/>
      <c r="I53" s="491"/>
      <c r="J53" s="491"/>
      <c r="K53" s="491"/>
      <c r="L53" s="491"/>
      <c r="M53" s="491"/>
      <c r="N53" s="491"/>
      <c r="O53" s="491"/>
      <c r="P53" s="530"/>
    </row>
    <row r="54" spans="1:16" x14ac:dyDescent="0.3">
      <c r="A54" s="449" t="s">
        <v>122</v>
      </c>
      <c r="B54" s="450"/>
      <c r="C54" s="345" t="s">
        <v>18</v>
      </c>
      <c r="D54" s="370">
        <v>5280746.54</v>
      </c>
      <c r="E54" s="370">
        <v>6508570.1600000001</v>
      </c>
      <c r="F54" s="370">
        <v>5314966.41</v>
      </c>
      <c r="G54" s="370">
        <v>5314966.41</v>
      </c>
      <c r="H54" s="370">
        <v>6942503.3399999999</v>
      </c>
      <c r="I54" s="370">
        <v>6436204.96</v>
      </c>
      <c r="J54" s="370">
        <v>6181810.3399999999</v>
      </c>
      <c r="K54" s="370">
        <v>6181810.3399999999</v>
      </c>
      <c r="L54" s="370">
        <v>9127422.7300000004</v>
      </c>
      <c r="M54" s="370">
        <v>7179966.5800000001</v>
      </c>
      <c r="N54" s="370">
        <v>6426300.0800000001</v>
      </c>
      <c r="O54" s="370">
        <v>9950510.0800000001</v>
      </c>
      <c r="P54" s="372">
        <f>SUM(D54:O54)</f>
        <v>80845777.969999999</v>
      </c>
    </row>
    <row r="55" spans="1:16" x14ac:dyDescent="0.3">
      <c r="A55" s="376" t="s">
        <v>121</v>
      </c>
      <c r="B55" s="354"/>
      <c r="C55" s="345" t="s">
        <v>18</v>
      </c>
      <c r="D55" s="370">
        <v>1036581.89</v>
      </c>
      <c r="E55" s="370">
        <v>2375478.81</v>
      </c>
      <c r="F55" s="370">
        <v>1037927.17</v>
      </c>
      <c r="G55" s="370">
        <v>1037927.17</v>
      </c>
      <c r="H55" s="370">
        <v>1282113.0900000001</v>
      </c>
      <c r="I55" s="370">
        <v>1288749.02</v>
      </c>
      <c r="J55" s="370">
        <v>2693851.35</v>
      </c>
      <c r="K55" s="370">
        <v>2983323.21</v>
      </c>
      <c r="L55" s="370">
        <v>2736761.65</v>
      </c>
      <c r="M55" s="370">
        <v>2109381.4900000002</v>
      </c>
      <c r="N55" s="370">
        <v>2150256.4</v>
      </c>
      <c r="O55" s="370">
        <v>2659792.54</v>
      </c>
      <c r="P55" s="372">
        <f>SUM(D55:O55)</f>
        <v>23392143.789999999</v>
      </c>
    </row>
    <row r="56" spans="1:16" x14ac:dyDescent="0.3">
      <c r="A56" s="449" t="s">
        <v>120</v>
      </c>
      <c r="B56" s="450"/>
      <c r="C56" s="355" t="s">
        <v>18</v>
      </c>
      <c r="D56" s="370">
        <v>1852737</v>
      </c>
      <c r="E56" s="370">
        <v>459000</v>
      </c>
      <c r="F56" s="370">
        <v>3423380</v>
      </c>
      <c r="G56" s="370">
        <v>3423380</v>
      </c>
      <c r="H56" s="370">
        <v>5232830</v>
      </c>
      <c r="I56" s="370">
        <v>10060346.15</v>
      </c>
      <c r="J56" s="370">
        <v>1194264.0900000001</v>
      </c>
      <c r="K56" s="370">
        <v>6545720</v>
      </c>
      <c r="L56" s="370">
        <v>7626862.8499999996</v>
      </c>
      <c r="M56" s="370">
        <v>10166850.4</v>
      </c>
      <c r="N56" s="370">
        <v>15260837.25</v>
      </c>
      <c r="O56" s="370">
        <v>13919150.970000001</v>
      </c>
      <c r="P56" s="372">
        <f>SUM(D56:O56)</f>
        <v>79165358.709999993</v>
      </c>
    </row>
    <row r="57" spans="1:16" x14ac:dyDescent="0.3">
      <c r="A57" s="490" t="s">
        <v>119</v>
      </c>
      <c r="B57" s="491"/>
      <c r="C57" s="491"/>
      <c r="D57" s="491"/>
      <c r="E57" s="491"/>
      <c r="F57" s="491"/>
      <c r="G57" s="491"/>
      <c r="H57" s="491"/>
      <c r="I57" s="491"/>
      <c r="J57" s="491"/>
      <c r="K57" s="491"/>
      <c r="L57" s="491"/>
      <c r="M57" s="491"/>
      <c r="N57" s="491"/>
      <c r="O57" s="491"/>
      <c r="P57" s="530"/>
    </row>
    <row r="58" spans="1:16" x14ac:dyDescent="0.3">
      <c r="A58" s="461" t="s">
        <v>118</v>
      </c>
      <c r="B58" s="462"/>
      <c r="C58" s="355" t="s">
        <v>18</v>
      </c>
      <c r="D58" s="370">
        <f>D41+D46+D51+D52+D54+D55+D56</f>
        <v>13386577.629000001</v>
      </c>
      <c r="E58" s="370">
        <f t="shared" ref="E58:O58" si="27">E41+E46+E51+E52+E54+E55+E56</f>
        <v>17806055.734999999</v>
      </c>
      <c r="F58" s="370">
        <f t="shared" si="27"/>
        <v>15552112.450000001</v>
      </c>
      <c r="G58" s="370">
        <f t="shared" si="27"/>
        <v>15755955.57</v>
      </c>
      <c r="H58" s="370">
        <f>H41+H46+H51+H52+H54+H55+H56</f>
        <v>21927874.379999999</v>
      </c>
      <c r="I58" s="370">
        <f t="shared" si="27"/>
        <v>26353006.087499999</v>
      </c>
      <c r="J58" s="370">
        <f t="shared" si="27"/>
        <v>17276894.4025</v>
      </c>
      <c r="K58" s="370">
        <f t="shared" si="27"/>
        <v>23799569.440000001</v>
      </c>
      <c r="L58" s="370">
        <f t="shared" si="27"/>
        <v>27668058.119999997</v>
      </c>
      <c r="M58" s="370">
        <f t="shared" si="27"/>
        <v>19875707.98</v>
      </c>
      <c r="N58" s="370">
        <f t="shared" si="27"/>
        <v>29560714.98</v>
      </c>
      <c r="O58" s="370">
        <f t="shared" si="27"/>
        <v>31325577.950000003</v>
      </c>
      <c r="P58" s="372">
        <f>SUM(D58:O58)</f>
        <v>260288104.72399998</v>
      </c>
    </row>
    <row r="59" spans="1:16" x14ac:dyDescent="0.3">
      <c r="A59" s="461" t="s">
        <v>117</v>
      </c>
      <c r="B59" s="462"/>
      <c r="C59" s="355" t="s">
        <v>115</v>
      </c>
      <c r="D59" s="369">
        <f t="shared" ref="D59:P59" si="28">D58/D9</f>
        <v>275.84128640016485</v>
      </c>
      <c r="E59" s="369">
        <f t="shared" si="28"/>
        <v>291.57751580205672</v>
      </c>
      <c r="F59" s="369">
        <f t="shared" si="28"/>
        <v>246.53803699946104</v>
      </c>
      <c r="G59" s="369">
        <f t="shared" si="28"/>
        <v>259.23354398723245</v>
      </c>
      <c r="H59" s="369">
        <f t="shared" si="28"/>
        <v>350.22958600862478</v>
      </c>
      <c r="I59" s="369">
        <f t="shared" si="28"/>
        <v>388.69887146375999</v>
      </c>
      <c r="J59" s="369">
        <f t="shared" si="28"/>
        <v>245.09014359785508</v>
      </c>
      <c r="K59" s="369">
        <f t="shared" si="28"/>
        <v>328.56449837785601</v>
      </c>
      <c r="L59" s="369">
        <f t="shared" si="28"/>
        <v>418.00964073122822</v>
      </c>
      <c r="M59" s="369">
        <f t="shared" si="28"/>
        <v>302.66039256890514</v>
      </c>
      <c r="N59" s="369">
        <f t="shared" si="28"/>
        <v>454.28401254014847</v>
      </c>
      <c r="O59" s="369">
        <f t="shared" si="28"/>
        <v>601.12024005987109</v>
      </c>
      <c r="P59" s="375">
        <f t="shared" si="28"/>
        <v>344.37068405489538</v>
      </c>
    </row>
    <row r="60" spans="1:16" x14ac:dyDescent="0.3">
      <c r="A60" s="461" t="s">
        <v>116</v>
      </c>
      <c r="B60" s="462"/>
      <c r="C60" s="355" t="s">
        <v>115</v>
      </c>
      <c r="D60" s="369">
        <f>D58/D22</f>
        <v>424.20311274836013</v>
      </c>
      <c r="E60" s="369">
        <f t="shared" ref="E60:O60" si="29">E58/E22</f>
        <v>507.30948844696428</v>
      </c>
      <c r="F60" s="369">
        <f t="shared" si="29"/>
        <v>436.31782207384134</v>
      </c>
      <c r="G60" s="369">
        <f t="shared" si="29"/>
        <v>478.46813149104162</v>
      </c>
      <c r="H60" s="369">
        <f t="shared" si="29"/>
        <v>588.85746764058217</v>
      </c>
      <c r="I60" s="369">
        <f t="shared" si="29"/>
        <v>634.61460500650196</v>
      </c>
      <c r="J60" s="369">
        <f t="shared" si="29"/>
        <v>388.9265319548872</v>
      </c>
      <c r="K60" s="369">
        <f t="shared" si="29"/>
        <v>505.14856390881693</v>
      </c>
      <c r="L60" s="369">
        <f t="shared" si="29"/>
        <v>657.26097776510824</v>
      </c>
      <c r="M60" s="369">
        <f t="shared" si="29"/>
        <v>459.88356926351838</v>
      </c>
      <c r="N60" s="369">
        <f t="shared" si="29"/>
        <v>643.57561133850038</v>
      </c>
      <c r="O60" s="369">
        <f t="shared" si="29"/>
        <v>853.37196115288225</v>
      </c>
      <c r="P60" s="539">
        <f>P58/P22</f>
        <v>549.72830126403153</v>
      </c>
    </row>
    <row r="61" spans="1:16" x14ac:dyDescent="0.3">
      <c r="A61" s="449" t="s">
        <v>114</v>
      </c>
      <c r="B61" s="450"/>
      <c r="C61" s="355" t="s">
        <v>3</v>
      </c>
      <c r="D61" s="374">
        <v>15</v>
      </c>
      <c r="E61" s="374">
        <v>15</v>
      </c>
      <c r="F61" s="374">
        <v>16</v>
      </c>
      <c r="G61" s="374">
        <v>15</v>
      </c>
      <c r="H61" s="374">
        <v>15</v>
      </c>
      <c r="I61" s="374">
        <v>15</v>
      </c>
      <c r="J61" s="374">
        <v>15</v>
      </c>
      <c r="K61" s="374">
        <v>14</v>
      </c>
      <c r="L61" s="374">
        <v>14</v>
      </c>
      <c r="M61" s="374">
        <v>14</v>
      </c>
      <c r="N61" s="374">
        <v>14</v>
      </c>
      <c r="O61" s="374">
        <v>14</v>
      </c>
      <c r="P61" s="372">
        <f>O61</f>
        <v>14</v>
      </c>
    </row>
    <row r="62" spans="1:16" ht="15.6" customHeight="1" x14ac:dyDescent="0.3">
      <c r="A62" s="461" t="s">
        <v>113</v>
      </c>
      <c r="B62" s="462"/>
      <c r="C62" s="355" t="s">
        <v>112</v>
      </c>
      <c r="D62" s="369">
        <f t="shared" ref="D62:P62" si="30">(D61*1000*31)/D9</f>
        <v>9.5817020399752728</v>
      </c>
      <c r="E62" s="369">
        <f t="shared" si="30"/>
        <v>7.6144625663195127</v>
      </c>
      <c r="F62" s="369">
        <f t="shared" si="30"/>
        <v>7.862781776100948</v>
      </c>
      <c r="G62" s="369">
        <f t="shared" si="30"/>
        <v>7.6506688165320256</v>
      </c>
      <c r="H62" s="369">
        <f t="shared" si="30"/>
        <v>7.4269286056540489</v>
      </c>
      <c r="I62" s="369">
        <f t="shared" si="30"/>
        <v>6.8586093985073306</v>
      </c>
      <c r="J62" s="369">
        <f t="shared" si="30"/>
        <v>6.5964932190886909</v>
      </c>
      <c r="K62" s="369">
        <f t="shared" si="30"/>
        <v>5.9915786567267206</v>
      </c>
      <c r="L62" s="369">
        <f t="shared" si="30"/>
        <v>6.5568817041849226</v>
      </c>
      <c r="M62" s="369">
        <f t="shared" si="30"/>
        <v>6.6088015836759553</v>
      </c>
      <c r="N62" s="369">
        <f t="shared" si="30"/>
        <v>6.6696377802707811</v>
      </c>
      <c r="O62" s="369">
        <f t="shared" si="30"/>
        <v>8.3282161498311336</v>
      </c>
      <c r="P62" s="375">
        <f t="shared" si="30"/>
        <v>0.57419787599707339</v>
      </c>
    </row>
    <row r="63" spans="1:16" x14ac:dyDescent="0.3">
      <c r="A63" s="486" t="s">
        <v>111</v>
      </c>
      <c r="B63" s="487"/>
      <c r="C63" s="377" t="s">
        <v>3</v>
      </c>
      <c r="D63" s="374">
        <v>17</v>
      </c>
      <c r="E63" s="374">
        <v>17</v>
      </c>
      <c r="F63" s="374">
        <v>21</v>
      </c>
      <c r="G63" s="374">
        <v>21</v>
      </c>
      <c r="H63" s="374">
        <v>21</v>
      </c>
      <c r="I63" s="374">
        <v>21</v>
      </c>
      <c r="J63" s="374">
        <v>21</v>
      </c>
      <c r="K63" s="374">
        <v>21</v>
      </c>
      <c r="L63" s="374">
        <v>21</v>
      </c>
      <c r="M63" s="374">
        <v>20</v>
      </c>
      <c r="N63" s="374">
        <v>20</v>
      </c>
      <c r="O63" s="374">
        <v>20</v>
      </c>
      <c r="P63" s="372">
        <f>SUM(D63:O63)</f>
        <v>241</v>
      </c>
    </row>
    <row r="64" spans="1:16" x14ac:dyDescent="0.3">
      <c r="A64" s="488"/>
      <c r="B64" s="489"/>
      <c r="C64" s="489"/>
      <c r="D64" s="489"/>
      <c r="E64" s="489"/>
      <c r="F64" s="489"/>
      <c r="G64" s="489"/>
      <c r="H64" s="489"/>
      <c r="I64" s="489"/>
      <c r="J64" s="489"/>
      <c r="K64" s="489"/>
      <c r="L64" s="489"/>
      <c r="M64" s="489"/>
      <c r="N64" s="489"/>
      <c r="O64" s="489"/>
      <c r="P64" s="531"/>
    </row>
    <row r="65" spans="1:16" ht="14.4" customHeight="1" x14ac:dyDescent="0.3">
      <c r="A65" s="490" t="s">
        <v>110</v>
      </c>
      <c r="B65" s="491"/>
      <c r="C65" s="491"/>
      <c r="D65" s="491"/>
      <c r="E65" s="491"/>
      <c r="F65" s="491"/>
      <c r="G65" s="491"/>
      <c r="H65" s="491"/>
      <c r="I65" s="491"/>
      <c r="J65" s="491"/>
      <c r="K65" s="491"/>
      <c r="L65" s="491"/>
      <c r="M65" s="491"/>
      <c r="N65" s="491"/>
      <c r="O65" s="491"/>
      <c r="P65" s="530"/>
    </row>
    <row r="66" spans="1:16" x14ac:dyDescent="0.3">
      <c r="A66" s="442" t="s">
        <v>109</v>
      </c>
      <c r="B66" s="355" t="s">
        <v>85</v>
      </c>
      <c r="C66" s="355" t="s">
        <v>3</v>
      </c>
      <c r="D66" s="378">
        <v>435</v>
      </c>
      <c r="E66" s="378">
        <v>421</v>
      </c>
      <c r="F66" s="378">
        <v>426</v>
      </c>
      <c r="G66" s="378">
        <v>420</v>
      </c>
      <c r="H66" s="378">
        <v>435</v>
      </c>
      <c r="I66" s="378">
        <v>442</v>
      </c>
      <c r="J66" s="378">
        <v>442</v>
      </c>
      <c r="K66" s="378">
        <v>420</v>
      </c>
      <c r="L66" s="378">
        <v>417</v>
      </c>
      <c r="M66" s="378">
        <v>408</v>
      </c>
      <c r="N66" s="378">
        <v>407</v>
      </c>
      <c r="O66" s="378">
        <v>423</v>
      </c>
      <c r="P66" s="379">
        <f>D66</f>
        <v>435</v>
      </c>
    </row>
    <row r="67" spans="1:16" x14ac:dyDescent="0.3">
      <c r="A67" s="443"/>
      <c r="B67" s="345" t="s">
        <v>104</v>
      </c>
      <c r="C67" s="355" t="s">
        <v>3</v>
      </c>
      <c r="D67" s="380">
        <v>11</v>
      </c>
      <c r="E67" s="380">
        <v>27</v>
      </c>
      <c r="F67" s="380">
        <v>35</v>
      </c>
      <c r="G67" s="380">
        <v>41</v>
      </c>
      <c r="H67" s="380">
        <v>70</v>
      </c>
      <c r="I67" s="380">
        <v>34</v>
      </c>
      <c r="J67" s="380">
        <v>31</v>
      </c>
      <c r="K67" s="380">
        <v>34</v>
      </c>
      <c r="L67" s="380">
        <v>21</v>
      </c>
      <c r="M67" s="380">
        <v>24</v>
      </c>
      <c r="N67" s="380">
        <v>58</v>
      </c>
      <c r="O67" s="380">
        <v>28</v>
      </c>
      <c r="P67" s="379">
        <f>SUM(D67:O67)</f>
        <v>414</v>
      </c>
    </row>
    <row r="68" spans="1:16" x14ac:dyDescent="0.3">
      <c r="A68" s="443"/>
      <c r="B68" s="345" t="s">
        <v>103</v>
      </c>
      <c r="C68" s="355" t="s">
        <v>3</v>
      </c>
      <c r="D68" s="380">
        <v>25</v>
      </c>
      <c r="E68" s="380">
        <v>22</v>
      </c>
      <c r="F68" s="380">
        <v>41</v>
      </c>
      <c r="G68" s="380">
        <v>26</v>
      </c>
      <c r="H68" s="380">
        <v>63</v>
      </c>
      <c r="I68" s="380">
        <v>34</v>
      </c>
      <c r="J68" s="380">
        <v>53</v>
      </c>
      <c r="K68" s="380">
        <v>37</v>
      </c>
      <c r="L68" s="380">
        <v>30</v>
      </c>
      <c r="M68" s="380">
        <v>25</v>
      </c>
      <c r="N68" s="380">
        <v>42</v>
      </c>
      <c r="O68" s="380">
        <v>10</v>
      </c>
      <c r="P68" s="379">
        <f t="shared" ref="P68:P69" si="31">SUM(D68:O68)</f>
        <v>408</v>
      </c>
    </row>
    <row r="69" spans="1:16" s="351" customFormat="1" x14ac:dyDescent="0.3">
      <c r="A69" s="443"/>
      <c r="B69" s="345" t="s">
        <v>102</v>
      </c>
      <c r="C69" s="345" t="s">
        <v>3</v>
      </c>
      <c r="D69" s="380">
        <v>0</v>
      </c>
      <c r="E69" s="380">
        <v>0</v>
      </c>
      <c r="F69" s="380">
        <v>0</v>
      </c>
      <c r="G69" s="380">
        <v>0</v>
      </c>
      <c r="H69" s="380">
        <v>0</v>
      </c>
      <c r="I69" s="380">
        <v>0</v>
      </c>
      <c r="J69" s="380">
        <v>0</v>
      </c>
      <c r="K69" s="380">
        <v>0</v>
      </c>
      <c r="L69" s="380">
        <v>0</v>
      </c>
      <c r="M69" s="380">
        <v>0</v>
      </c>
      <c r="N69" s="380">
        <v>0</v>
      </c>
      <c r="O69" s="380">
        <v>0</v>
      </c>
      <c r="P69" s="381">
        <f t="shared" si="31"/>
        <v>0</v>
      </c>
    </row>
    <row r="70" spans="1:16" s="351" customFormat="1" x14ac:dyDescent="0.3">
      <c r="A70" s="443"/>
      <c r="B70" s="345" t="s">
        <v>188</v>
      </c>
      <c r="C70" s="345" t="s">
        <v>3</v>
      </c>
      <c r="D70" s="380">
        <f>D68+D69</f>
        <v>25</v>
      </c>
      <c r="E70" s="380">
        <f t="shared" ref="E70:J70" si="32">E68+E69</f>
        <v>22</v>
      </c>
      <c r="F70" s="380">
        <f t="shared" si="32"/>
        <v>41</v>
      </c>
      <c r="G70" s="380">
        <f t="shared" si="32"/>
        <v>26</v>
      </c>
      <c r="H70" s="380">
        <f t="shared" si="32"/>
        <v>63</v>
      </c>
      <c r="I70" s="380">
        <f t="shared" si="32"/>
        <v>34</v>
      </c>
      <c r="J70" s="380">
        <f t="shared" si="32"/>
        <v>53</v>
      </c>
      <c r="K70" s="380">
        <f t="shared" ref="K70:P70" si="33">K68+K69</f>
        <v>37</v>
      </c>
      <c r="L70" s="380">
        <f t="shared" ref="L70" si="34">L68+L69</f>
        <v>30</v>
      </c>
      <c r="M70" s="380">
        <f t="shared" si="33"/>
        <v>25</v>
      </c>
      <c r="N70" s="380">
        <f t="shared" si="33"/>
        <v>42</v>
      </c>
      <c r="O70" s="380">
        <f t="shared" si="33"/>
        <v>10</v>
      </c>
      <c r="P70" s="382">
        <f t="shared" si="33"/>
        <v>408</v>
      </c>
    </row>
    <row r="71" spans="1:16" x14ac:dyDescent="0.3">
      <c r="A71" s="444"/>
      <c r="B71" s="355" t="s">
        <v>81</v>
      </c>
      <c r="C71" s="355" t="s">
        <v>3</v>
      </c>
      <c r="D71" s="383">
        <f>D66+D67-D70</f>
        <v>421</v>
      </c>
      <c r="E71" s="383">
        <f t="shared" ref="E71:G71" si="35">E66+E67-E70</f>
        <v>426</v>
      </c>
      <c r="F71" s="383">
        <f t="shared" si="35"/>
        <v>420</v>
      </c>
      <c r="G71" s="383">
        <f t="shared" si="35"/>
        <v>435</v>
      </c>
      <c r="H71" s="383">
        <f t="shared" ref="H71:K71" si="36">H66+H67-H70</f>
        <v>442</v>
      </c>
      <c r="I71" s="383">
        <f t="shared" ref="I71" si="37">I66+I67-I70</f>
        <v>442</v>
      </c>
      <c r="J71" s="383">
        <f t="shared" si="36"/>
        <v>420</v>
      </c>
      <c r="K71" s="383">
        <f t="shared" si="36"/>
        <v>417</v>
      </c>
      <c r="L71" s="383">
        <f t="shared" ref="L71:O71" si="38">L66+L67-L70</f>
        <v>408</v>
      </c>
      <c r="M71" s="383">
        <f t="shared" si="38"/>
        <v>407</v>
      </c>
      <c r="N71" s="383">
        <f t="shared" si="38"/>
        <v>423</v>
      </c>
      <c r="O71" s="383">
        <f t="shared" si="38"/>
        <v>441</v>
      </c>
      <c r="P71" s="384">
        <f>P66+P67-P70</f>
        <v>441</v>
      </c>
    </row>
    <row r="72" spans="1:16" x14ac:dyDescent="0.3">
      <c r="A72" s="442" t="s">
        <v>108</v>
      </c>
      <c r="B72" s="355" t="s">
        <v>85</v>
      </c>
      <c r="C72" s="355" t="s">
        <v>3</v>
      </c>
      <c r="D72" s="378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8"/>
      <c r="P72" s="379">
        <f>D72</f>
        <v>0</v>
      </c>
    </row>
    <row r="73" spans="1:16" x14ac:dyDescent="0.3">
      <c r="A73" s="443"/>
      <c r="B73" s="345" t="s">
        <v>104</v>
      </c>
      <c r="C73" s="355" t="s">
        <v>3</v>
      </c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79">
        <f>SUM(D73:O73)</f>
        <v>0</v>
      </c>
    </row>
    <row r="74" spans="1:16" x14ac:dyDescent="0.3">
      <c r="A74" s="443"/>
      <c r="B74" s="345" t="s">
        <v>103</v>
      </c>
      <c r="C74" s="355" t="s">
        <v>3</v>
      </c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79">
        <f t="shared" ref="P74:P75" si="39">SUM(D74:O74)</f>
        <v>0</v>
      </c>
    </row>
    <row r="75" spans="1:16" s="351" customFormat="1" x14ac:dyDescent="0.3">
      <c r="A75" s="443"/>
      <c r="B75" s="345" t="s">
        <v>102</v>
      </c>
      <c r="C75" s="345" t="s">
        <v>3</v>
      </c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81">
        <f t="shared" si="39"/>
        <v>0</v>
      </c>
    </row>
    <row r="76" spans="1:16" s="351" customFormat="1" x14ac:dyDescent="0.3">
      <c r="A76" s="443"/>
      <c r="B76" s="345" t="s">
        <v>188</v>
      </c>
      <c r="C76" s="345" t="s">
        <v>3</v>
      </c>
      <c r="D76" s="380">
        <f>D74+D75</f>
        <v>0</v>
      </c>
      <c r="E76" s="380">
        <f t="shared" ref="E76:O76" si="40">E74+E75</f>
        <v>0</v>
      </c>
      <c r="F76" s="380">
        <f t="shared" si="40"/>
        <v>0</v>
      </c>
      <c r="G76" s="380">
        <f t="shared" si="40"/>
        <v>0</v>
      </c>
      <c r="H76" s="380">
        <f t="shared" si="40"/>
        <v>0</v>
      </c>
      <c r="I76" s="380">
        <f t="shared" si="40"/>
        <v>0</v>
      </c>
      <c r="J76" s="380">
        <f t="shared" si="40"/>
        <v>0</v>
      </c>
      <c r="K76" s="380">
        <f t="shared" si="40"/>
        <v>0</v>
      </c>
      <c r="L76" s="380">
        <f t="shared" si="40"/>
        <v>0</v>
      </c>
      <c r="M76" s="380">
        <f t="shared" si="40"/>
        <v>0</v>
      </c>
      <c r="N76" s="380">
        <f t="shared" si="40"/>
        <v>0</v>
      </c>
      <c r="O76" s="380">
        <f t="shared" si="40"/>
        <v>0</v>
      </c>
      <c r="P76" s="382">
        <f t="shared" ref="P76" si="41">P74+P75</f>
        <v>0</v>
      </c>
    </row>
    <row r="77" spans="1:16" x14ac:dyDescent="0.3">
      <c r="A77" s="444"/>
      <c r="B77" s="355" t="s">
        <v>81</v>
      </c>
      <c r="C77" s="355" t="s">
        <v>3</v>
      </c>
      <c r="D77" s="383">
        <f>D72+D73-D76</f>
        <v>0</v>
      </c>
      <c r="E77" s="383">
        <f t="shared" ref="E77:O77" si="42">E72+E73-E76</f>
        <v>0</v>
      </c>
      <c r="F77" s="383">
        <f t="shared" si="42"/>
        <v>0</v>
      </c>
      <c r="G77" s="383">
        <f t="shared" si="42"/>
        <v>0</v>
      </c>
      <c r="H77" s="383">
        <f t="shared" si="42"/>
        <v>0</v>
      </c>
      <c r="I77" s="383">
        <f t="shared" si="42"/>
        <v>0</v>
      </c>
      <c r="J77" s="383">
        <f t="shared" si="42"/>
        <v>0</v>
      </c>
      <c r="K77" s="383">
        <f t="shared" si="42"/>
        <v>0</v>
      </c>
      <c r="L77" s="383">
        <f t="shared" si="42"/>
        <v>0</v>
      </c>
      <c r="M77" s="383">
        <f t="shared" si="42"/>
        <v>0</v>
      </c>
      <c r="N77" s="383">
        <f t="shared" si="42"/>
        <v>0</v>
      </c>
      <c r="O77" s="383">
        <f t="shared" si="42"/>
        <v>0</v>
      </c>
      <c r="P77" s="384">
        <f>P72+P73-P76</f>
        <v>0</v>
      </c>
    </row>
    <row r="78" spans="1:16" ht="15.6" customHeight="1" x14ac:dyDescent="0.3">
      <c r="A78" s="442" t="s">
        <v>107</v>
      </c>
      <c r="B78" s="355" t="s">
        <v>85</v>
      </c>
      <c r="C78" s="355" t="s">
        <v>3</v>
      </c>
      <c r="D78" s="378"/>
      <c r="E78" s="378"/>
      <c r="F78" s="378"/>
      <c r="G78" s="378"/>
      <c r="H78" s="378"/>
      <c r="I78" s="378"/>
      <c r="J78" s="378"/>
      <c r="K78" s="378"/>
      <c r="L78" s="378"/>
      <c r="M78" s="378"/>
      <c r="N78" s="378"/>
      <c r="O78" s="378"/>
      <c r="P78" s="379">
        <f>D78</f>
        <v>0</v>
      </c>
    </row>
    <row r="79" spans="1:16" x14ac:dyDescent="0.3">
      <c r="A79" s="443"/>
      <c r="B79" s="345" t="s">
        <v>104</v>
      </c>
      <c r="C79" s="355" t="s">
        <v>3</v>
      </c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79">
        <f>SUM(D79:O79)</f>
        <v>0</v>
      </c>
    </row>
    <row r="80" spans="1:16" x14ac:dyDescent="0.3">
      <c r="A80" s="443"/>
      <c r="B80" s="345" t="s">
        <v>103</v>
      </c>
      <c r="C80" s="355" t="s">
        <v>3</v>
      </c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79">
        <f>SUM(D80:O80)</f>
        <v>0</v>
      </c>
    </row>
    <row r="81" spans="1:16" s="351" customFormat="1" x14ac:dyDescent="0.3">
      <c r="A81" s="443"/>
      <c r="B81" s="345" t="s">
        <v>102</v>
      </c>
      <c r="C81" s="345" t="s">
        <v>3</v>
      </c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1">
        <f>SUM(D81:O81)</f>
        <v>0</v>
      </c>
    </row>
    <row r="82" spans="1:16" s="351" customFormat="1" x14ac:dyDescent="0.3">
      <c r="A82" s="443"/>
      <c r="B82" s="345" t="s">
        <v>188</v>
      </c>
      <c r="C82" s="345" t="s">
        <v>3</v>
      </c>
      <c r="D82" s="380">
        <f>D80+D81</f>
        <v>0</v>
      </c>
      <c r="E82" s="380">
        <f t="shared" ref="E82:J82" si="43">E80+E81</f>
        <v>0</v>
      </c>
      <c r="F82" s="380">
        <f t="shared" si="43"/>
        <v>0</v>
      </c>
      <c r="G82" s="380">
        <f t="shared" si="43"/>
        <v>0</v>
      </c>
      <c r="H82" s="380">
        <f t="shared" si="43"/>
        <v>0</v>
      </c>
      <c r="I82" s="380">
        <f t="shared" si="43"/>
        <v>0</v>
      </c>
      <c r="J82" s="380">
        <f t="shared" si="43"/>
        <v>0</v>
      </c>
      <c r="K82" s="380">
        <f t="shared" ref="K82:L82" si="44">K80+K81</f>
        <v>0</v>
      </c>
      <c r="L82" s="380">
        <f t="shared" si="44"/>
        <v>0</v>
      </c>
      <c r="M82" s="380">
        <f t="shared" ref="M82:P82" si="45">M81+M80</f>
        <v>0</v>
      </c>
      <c r="N82" s="380">
        <f t="shared" si="45"/>
        <v>0</v>
      </c>
      <c r="O82" s="380">
        <f t="shared" si="45"/>
        <v>0</v>
      </c>
      <c r="P82" s="382">
        <f t="shared" si="45"/>
        <v>0</v>
      </c>
    </row>
    <row r="83" spans="1:16" x14ac:dyDescent="0.3">
      <c r="A83" s="444"/>
      <c r="B83" s="355" t="s">
        <v>81</v>
      </c>
      <c r="C83" s="355" t="s">
        <v>3</v>
      </c>
      <c r="D83" s="383">
        <f>D78+D79-D82</f>
        <v>0</v>
      </c>
      <c r="E83" s="383">
        <f t="shared" ref="E83:H83" si="46">E78+E79-E82</f>
        <v>0</v>
      </c>
      <c r="F83" s="383">
        <f t="shared" si="46"/>
        <v>0</v>
      </c>
      <c r="G83" s="383">
        <f t="shared" si="46"/>
        <v>0</v>
      </c>
      <c r="H83" s="383">
        <f t="shared" si="46"/>
        <v>0</v>
      </c>
      <c r="I83" s="383">
        <f t="shared" ref="I83" si="47">I78+I79-I82</f>
        <v>0</v>
      </c>
      <c r="J83" s="383">
        <f t="shared" ref="J83:P83" si="48">J78+J79-J82</f>
        <v>0</v>
      </c>
      <c r="K83" s="383">
        <f t="shared" ref="K83:O83" si="49">K78+K79-K82</f>
        <v>0</v>
      </c>
      <c r="L83" s="383">
        <f t="shared" si="49"/>
        <v>0</v>
      </c>
      <c r="M83" s="383">
        <f t="shared" si="49"/>
        <v>0</v>
      </c>
      <c r="N83" s="383">
        <f t="shared" si="49"/>
        <v>0</v>
      </c>
      <c r="O83" s="383">
        <f t="shared" si="49"/>
        <v>0</v>
      </c>
      <c r="P83" s="384">
        <f t="shared" si="48"/>
        <v>0</v>
      </c>
    </row>
    <row r="84" spans="1:16" x14ac:dyDescent="0.3">
      <c r="A84" s="492" t="s">
        <v>106</v>
      </c>
      <c r="B84" s="355" t="s">
        <v>85</v>
      </c>
      <c r="C84" s="355" t="s">
        <v>3</v>
      </c>
      <c r="D84" s="378"/>
      <c r="E84" s="378"/>
      <c r="F84" s="378"/>
      <c r="G84" s="378"/>
      <c r="H84" s="378"/>
      <c r="I84" s="378"/>
      <c r="J84" s="378"/>
      <c r="K84" s="378"/>
      <c r="L84" s="378"/>
      <c r="M84" s="378"/>
      <c r="N84" s="378"/>
      <c r="O84" s="378"/>
      <c r="P84" s="379">
        <f>D84</f>
        <v>0</v>
      </c>
    </row>
    <row r="85" spans="1:16" x14ac:dyDescent="0.3">
      <c r="A85" s="493"/>
      <c r="B85" s="355" t="s">
        <v>104</v>
      </c>
      <c r="C85" s="355" t="s">
        <v>3</v>
      </c>
      <c r="D85" s="380"/>
      <c r="E85" s="380"/>
      <c r="F85" s="380"/>
      <c r="G85" s="380"/>
      <c r="H85" s="380"/>
      <c r="I85" s="380"/>
      <c r="J85" s="380"/>
      <c r="K85" s="380"/>
      <c r="L85" s="380"/>
      <c r="M85" s="380"/>
      <c r="N85" s="380"/>
      <c r="O85" s="380"/>
      <c r="P85" s="379">
        <f>SUM(D85:O85)</f>
        <v>0</v>
      </c>
    </row>
    <row r="86" spans="1:16" x14ac:dyDescent="0.3">
      <c r="A86" s="493"/>
      <c r="B86" s="355" t="s">
        <v>103</v>
      </c>
      <c r="C86" s="355" t="s">
        <v>3</v>
      </c>
      <c r="D86" s="380"/>
      <c r="E86" s="380"/>
      <c r="F86" s="380"/>
      <c r="G86" s="380"/>
      <c r="H86" s="380"/>
      <c r="I86" s="380"/>
      <c r="J86" s="380"/>
      <c r="K86" s="380"/>
      <c r="L86" s="380"/>
      <c r="M86" s="380"/>
      <c r="N86" s="380"/>
      <c r="O86" s="380"/>
      <c r="P86" s="379">
        <f t="shared" ref="P86:P88" si="50">SUM(D86:O86)</f>
        <v>0</v>
      </c>
    </row>
    <row r="87" spans="1:16" s="351" customFormat="1" x14ac:dyDescent="0.3">
      <c r="A87" s="493"/>
      <c r="B87" s="345" t="s">
        <v>102</v>
      </c>
      <c r="C87" s="345" t="s">
        <v>3</v>
      </c>
      <c r="D87" s="380"/>
      <c r="E87" s="380"/>
      <c r="F87" s="380"/>
      <c r="G87" s="380"/>
      <c r="H87" s="380"/>
      <c r="I87" s="380"/>
      <c r="J87" s="380"/>
      <c r="K87" s="380"/>
      <c r="L87" s="380"/>
      <c r="M87" s="380"/>
      <c r="N87" s="380"/>
      <c r="O87" s="380"/>
      <c r="P87" s="379">
        <f t="shared" si="50"/>
        <v>0</v>
      </c>
    </row>
    <row r="88" spans="1:16" s="351" customFormat="1" x14ac:dyDescent="0.3">
      <c r="A88" s="493"/>
      <c r="B88" s="345" t="s">
        <v>188</v>
      </c>
      <c r="C88" s="345" t="s">
        <v>3</v>
      </c>
      <c r="D88" s="380">
        <f>D86+D87</f>
        <v>0</v>
      </c>
      <c r="E88" s="380">
        <f t="shared" ref="E88:J88" si="51">E86+E87</f>
        <v>0</v>
      </c>
      <c r="F88" s="380">
        <f t="shared" si="51"/>
        <v>0</v>
      </c>
      <c r="G88" s="380">
        <f t="shared" si="51"/>
        <v>0</v>
      </c>
      <c r="H88" s="380">
        <f t="shared" si="51"/>
        <v>0</v>
      </c>
      <c r="I88" s="380">
        <f t="shared" si="51"/>
        <v>0</v>
      </c>
      <c r="J88" s="380">
        <f t="shared" si="51"/>
        <v>0</v>
      </c>
      <c r="K88" s="380">
        <f t="shared" ref="K88:L88" si="52">K86+K87</f>
        <v>0</v>
      </c>
      <c r="L88" s="380">
        <f t="shared" si="52"/>
        <v>0</v>
      </c>
      <c r="M88" s="380">
        <f t="shared" ref="M88" si="53">M86+M87</f>
        <v>0</v>
      </c>
      <c r="N88" s="380">
        <v>0</v>
      </c>
      <c r="O88" s="380">
        <v>0</v>
      </c>
      <c r="P88" s="379">
        <f t="shared" si="50"/>
        <v>0</v>
      </c>
    </row>
    <row r="89" spans="1:16" x14ac:dyDescent="0.3">
      <c r="A89" s="494"/>
      <c r="B89" s="385" t="s">
        <v>81</v>
      </c>
      <c r="C89" s="355" t="s">
        <v>3</v>
      </c>
      <c r="D89" s="574">
        <f>D84+D85-D88</f>
        <v>0</v>
      </c>
      <c r="E89" s="574">
        <f t="shared" ref="E89:H89" si="54">E84+E85-E88</f>
        <v>0</v>
      </c>
      <c r="F89" s="574">
        <f t="shared" si="54"/>
        <v>0</v>
      </c>
      <c r="G89" s="574">
        <f t="shared" si="54"/>
        <v>0</v>
      </c>
      <c r="H89" s="574">
        <f t="shared" si="54"/>
        <v>0</v>
      </c>
      <c r="I89" s="383">
        <f t="shared" ref="I89:J89" si="55">I84+I85-I88</f>
        <v>0</v>
      </c>
      <c r="J89" s="383">
        <f t="shared" si="55"/>
        <v>0</v>
      </c>
      <c r="K89" s="383">
        <f t="shared" ref="K89:L89" si="56">K84+K85-K88</f>
        <v>0</v>
      </c>
      <c r="L89" s="383">
        <f t="shared" si="56"/>
        <v>0</v>
      </c>
      <c r="M89" s="383">
        <f t="shared" ref="M89" si="57">M84+M85-M88</f>
        <v>0</v>
      </c>
      <c r="N89" s="383">
        <f t="shared" ref="N89:P89" si="58">N84+N85-N86-N87</f>
        <v>0</v>
      </c>
      <c r="O89" s="383">
        <f t="shared" si="58"/>
        <v>0</v>
      </c>
      <c r="P89" s="384">
        <f t="shared" si="58"/>
        <v>0</v>
      </c>
    </row>
    <row r="90" spans="1:16" x14ac:dyDescent="0.3">
      <c r="A90" s="495" t="s">
        <v>105</v>
      </c>
      <c r="B90" s="345" t="s">
        <v>85</v>
      </c>
      <c r="C90" s="345" t="s">
        <v>3</v>
      </c>
      <c r="D90" s="386">
        <f t="shared" ref="D90:I90" si="59">D66+D72+D78+D84</f>
        <v>435</v>
      </c>
      <c r="E90" s="386">
        <f t="shared" si="59"/>
        <v>421</v>
      </c>
      <c r="F90" s="386">
        <f t="shared" si="59"/>
        <v>426</v>
      </c>
      <c r="G90" s="386">
        <f t="shared" si="59"/>
        <v>420</v>
      </c>
      <c r="H90" s="386">
        <f t="shared" si="59"/>
        <v>435</v>
      </c>
      <c r="I90" s="386">
        <f t="shared" si="59"/>
        <v>442</v>
      </c>
      <c r="J90" s="386">
        <f t="shared" ref="J90:K90" si="60">J66+J72+J78+J84</f>
        <v>442</v>
      </c>
      <c r="K90" s="386">
        <f t="shared" si="60"/>
        <v>420</v>
      </c>
      <c r="L90" s="386">
        <f t="shared" ref="L90:M90" si="61">L66+L72+L78+L84</f>
        <v>417</v>
      </c>
      <c r="M90" s="386">
        <f t="shared" si="61"/>
        <v>408</v>
      </c>
      <c r="N90" s="386">
        <f t="shared" ref="N90:O90" si="62">N66+N72+N78+N84</f>
        <v>407</v>
      </c>
      <c r="O90" s="386">
        <f t="shared" si="62"/>
        <v>423</v>
      </c>
      <c r="P90" s="379">
        <f>D90</f>
        <v>435</v>
      </c>
    </row>
    <row r="91" spans="1:16" x14ac:dyDescent="0.3">
      <c r="A91" s="496"/>
      <c r="B91" s="345" t="s">
        <v>104</v>
      </c>
      <c r="C91" s="345" t="s">
        <v>3</v>
      </c>
      <c r="D91" s="386">
        <f t="shared" ref="D91:E93" si="63">D67+D73+D79+D85</f>
        <v>11</v>
      </c>
      <c r="E91" s="386">
        <f t="shared" si="63"/>
        <v>27</v>
      </c>
      <c r="F91" s="386">
        <f t="shared" ref="F91:G91" si="64">F67+F73+F79+F85</f>
        <v>35</v>
      </c>
      <c r="G91" s="386">
        <f t="shared" si="64"/>
        <v>41</v>
      </c>
      <c r="H91" s="386">
        <f t="shared" ref="H91:I91" si="65">H67+H73+H79+H85</f>
        <v>70</v>
      </c>
      <c r="I91" s="387">
        <f t="shared" si="65"/>
        <v>34</v>
      </c>
      <c r="J91" s="387">
        <f t="shared" ref="J91:K91" si="66">J67+J73+J79+J85</f>
        <v>31</v>
      </c>
      <c r="K91" s="386">
        <f t="shared" si="66"/>
        <v>34</v>
      </c>
      <c r="L91" s="386">
        <f t="shared" ref="L91:M91" si="67">L67+L73+L79+L85</f>
        <v>21</v>
      </c>
      <c r="M91" s="386">
        <f t="shared" si="67"/>
        <v>24</v>
      </c>
      <c r="N91" s="386">
        <f t="shared" ref="N91:O91" si="68">N67+N73+N79+N85</f>
        <v>58</v>
      </c>
      <c r="O91" s="386">
        <f t="shared" si="68"/>
        <v>28</v>
      </c>
      <c r="P91" s="379">
        <f>SUM(D91:O91)</f>
        <v>414</v>
      </c>
    </row>
    <row r="92" spans="1:16" x14ac:dyDescent="0.3">
      <c r="A92" s="496"/>
      <c r="B92" s="345" t="s">
        <v>103</v>
      </c>
      <c r="C92" s="345" t="s">
        <v>3</v>
      </c>
      <c r="D92" s="386">
        <f t="shared" si="63"/>
        <v>25</v>
      </c>
      <c r="E92" s="386">
        <f t="shared" si="63"/>
        <v>22</v>
      </c>
      <c r="F92" s="386">
        <f t="shared" ref="F92:G92" si="69">F68+F74+F80+F86</f>
        <v>41</v>
      </c>
      <c r="G92" s="386">
        <f t="shared" si="69"/>
        <v>26</v>
      </c>
      <c r="H92" s="386">
        <f t="shared" ref="H92:I92" si="70">H68+H74+H80+H86</f>
        <v>63</v>
      </c>
      <c r="I92" s="387">
        <f t="shared" si="70"/>
        <v>34</v>
      </c>
      <c r="J92" s="387">
        <f t="shared" ref="J92:K92" si="71">J68+J74+J80+J86</f>
        <v>53</v>
      </c>
      <c r="K92" s="386">
        <f t="shared" si="71"/>
        <v>37</v>
      </c>
      <c r="L92" s="386">
        <f t="shared" ref="L92:O92" si="72">L68+L74+L80+L86</f>
        <v>30</v>
      </c>
      <c r="M92" s="386">
        <f t="shared" si="72"/>
        <v>25</v>
      </c>
      <c r="N92" s="386">
        <f t="shared" si="72"/>
        <v>42</v>
      </c>
      <c r="O92" s="386">
        <f t="shared" si="72"/>
        <v>10</v>
      </c>
      <c r="P92" s="379">
        <f>SUM(D92:O92)</f>
        <v>408</v>
      </c>
    </row>
    <row r="93" spans="1:16" s="351" customFormat="1" x14ac:dyDescent="0.3">
      <c r="A93" s="496"/>
      <c r="B93" s="345" t="s">
        <v>102</v>
      </c>
      <c r="C93" s="345"/>
      <c r="D93" s="386">
        <f t="shared" si="63"/>
        <v>0</v>
      </c>
      <c r="E93" s="386">
        <f t="shared" si="63"/>
        <v>0</v>
      </c>
      <c r="F93" s="386">
        <f t="shared" ref="F93:G93" si="73">F69+F75+F81+F87</f>
        <v>0</v>
      </c>
      <c r="G93" s="386">
        <f t="shared" si="73"/>
        <v>0</v>
      </c>
      <c r="H93" s="386">
        <f t="shared" ref="H93:I93" si="74">H69+H75+H81+H87</f>
        <v>0</v>
      </c>
      <c r="I93" s="387">
        <f t="shared" si="74"/>
        <v>0</v>
      </c>
      <c r="J93" s="387">
        <f t="shared" ref="J93:K93" si="75">J69+J75+J81+J87</f>
        <v>0</v>
      </c>
      <c r="K93" s="386">
        <f t="shared" si="75"/>
        <v>0</v>
      </c>
      <c r="L93" s="386">
        <f t="shared" ref="L93:O93" si="76">L69+L75+L81+L87</f>
        <v>0</v>
      </c>
      <c r="M93" s="386">
        <f t="shared" si="76"/>
        <v>0</v>
      </c>
      <c r="N93" s="386">
        <f t="shared" si="76"/>
        <v>0</v>
      </c>
      <c r="O93" s="386">
        <f t="shared" si="76"/>
        <v>0</v>
      </c>
      <c r="P93" s="379">
        <f>SUM(D93:O93)</f>
        <v>0</v>
      </c>
    </row>
    <row r="94" spans="1:16" s="351" customFormat="1" x14ac:dyDescent="0.3">
      <c r="A94" s="496"/>
      <c r="B94" s="345" t="s">
        <v>188</v>
      </c>
      <c r="C94" s="345" t="s">
        <v>3</v>
      </c>
      <c r="D94" s="388">
        <f>D93+D92</f>
        <v>25</v>
      </c>
      <c r="E94" s="388">
        <f t="shared" ref="E94:P94" si="77">E93+E92</f>
        <v>22</v>
      </c>
      <c r="F94" s="388">
        <f t="shared" si="77"/>
        <v>41</v>
      </c>
      <c r="G94" s="388">
        <f t="shared" si="77"/>
        <v>26</v>
      </c>
      <c r="H94" s="388">
        <f t="shared" si="77"/>
        <v>63</v>
      </c>
      <c r="I94" s="389">
        <f t="shared" ref="I94:J94" si="78">I93+I92</f>
        <v>34</v>
      </c>
      <c r="J94" s="389">
        <f t="shared" si="78"/>
        <v>53</v>
      </c>
      <c r="K94" s="388">
        <f t="shared" ref="K94:L94" si="79">K93+K92</f>
        <v>37</v>
      </c>
      <c r="L94" s="388">
        <f t="shared" si="79"/>
        <v>30</v>
      </c>
      <c r="M94" s="388">
        <f t="shared" ref="M94" si="80">M93+M92</f>
        <v>25</v>
      </c>
      <c r="N94" s="388">
        <f t="shared" si="77"/>
        <v>42</v>
      </c>
      <c r="O94" s="388">
        <f t="shared" si="77"/>
        <v>10</v>
      </c>
      <c r="P94" s="390">
        <f t="shared" si="77"/>
        <v>408</v>
      </c>
    </row>
    <row r="95" spans="1:16" ht="16.2" thickBot="1" x14ac:dyDescent="0.35">
      <c r="A95" s="497"/>
      <c r="B95" s="345" t="s">
        <v>81</v>
      </c>
      <c r="C95" s="345" t="s">
        <v>3</v>
      </c>
      <c r="D95" s="391">
        <f>D90+D91-D94</f>
        <v>421</v>
      </c>
      <c r="E95" s="391">
        <f t="shared" ref="E95:P95" si="81">E90+E91-E94</f>
        <v>426</v>
      </c>
      <c r="F95" s="391">
        <f t="shared" si="81"/>
        <v>420</v>
      </c>
      <c r="G95" s="391">
        <f t="shared" si="81"/>
        <v>435</v>
      </c>
      <c r="H95" s="391">
        <f t="shared" si="81"/>
        <v>442</v>
      </c>
      <c r="I95" s="391">
        <f t="shared" ref="I95:J95" si="82">I90+I91-I94</f>
        <v>442</v>
      </c>
      <c r="J95" s="391">
        <f t="shared" si="82"/>
        <v>420</v>
      </c>
      <c r="K95" s="391">
        <f t="shared" ref="K95:L95" si="83">K90+K91-K94</f>
        <v>417</v>
      </c>
      <c r="L95" s="391">
        <f t="shared" si="83"/>
        <v>408</v>
      </c>
      <c r="M95" s="391">
        <f t="shared" ref="M95" si="84">M90+M91-M94</f>
        <v>407</v>
      </c>
      <c r="N95" s="391">
        <f t="shared" si="81"/>
        <v>423</v>
      </c>
      <c r="O95" s="391">
        <f t="shared" si="81"/>
        <v>441</v>
      </c>
      <c r="P95" s="392">
        <f t="shared" si="81"/>
        <v>441</v>
      </c>
    </row>
    <row r="96" spans="1:16" ht="16.2" thickBot="1" x14ac:dyDescent="0.35">
      <c r="A96" s="393"/>
      <c r="B96" s="394"/>
      <c r="C96" s="394"/>
      <c r="D96" s="389"/>
      <c r="E96" s="389"/>
      <c r="F96" s="389"/>
      <c r="G96" s="389"/>
      <c r="H96" s="389"/>
      <c r="I96" s="389"/>
      <c r="J96" s="395"/>
      <c r="K96" s="395"/>
      <c r="L96" s="395"/>
      <c r="M96" s="395"/>
      <c r="N96" s="395"/>
      <c r="O96" s="395"/>
      <c r="P96" s="390"/>
    </row>
    <row r="97" spans="1:16" s="351" customFormat="1" ht="15.75" customHeight="1" thickBot="1" x14ac:dyDescent="0.35">
      <c r="A97" s="463" t="s">
        <v>189</v>
      </c>
      <c r="B97" s="464"/>
      <c r="C97" s="464"/>
      <c r="D97" s="464"/>
      <c r="E97" s="464"/>
      <c r="F97" s="464"/>
      <c r="G97" s="464"/>
      <c r="H97" s="464"/>
      <c r="I97" s="464"/>
      <c r="J97" s="464"/>
      <c r="K97" s="464"/>
      <c r="L97" s="464"/>
      <c r="M97" s="464"/>
      <c r="N97" s="464"/>
      <c r="O97" s="464"/>
      <c r="P97" s="532"/>
    </row>
    <row r="98" spans="1:16" x14ac:dyDescent="0.3">
      <c r="A98" s="396" t="s">
        <v>190</v>
      </c>
      <c r="B98" s="397"/>
      <c r="C98" s="345" t="s">
        <v>3</v>
      </c>
      <c r="D98" s="398">
        <v>933</v>
      </c>
      <c r="E98" s="398">
        <v>933</v>
      </c>
      <c r="F98" s="398">
        <v>933</v>
      </c>
      <c r="G98" s="399">
        <v>933</v>
      </c>
      <c r="H98" s="399">
        <v>933</v>
      </c>
      <c r="I98" s="399">
        <v>933</v>
      </c>
      <c r="J98" s="400">
        <v>933</v>
      </c>
      <c r="K98" s="400">
        <v>933</v>
      </c>
      <c r="L98" s="400">
        <v>933</v>
      </c>
      <c r="M98" s="400">
        <v>933</v>
      </c>
      <c r="N98" s="400">
        <v>933</v>
      </c>
      <c r="O98" s="400">
        <v>933</v>
      </c>
      <c r="P98" s="540">
        <f>SUM(D98:O98)</f>
        <v>11196</v>
      </c>
    </row>
    <row r="99" spans="1:16" x14ac:dyDescent="0.3">
      <c r="A99" s="396"/>
      <c r="B99" s="345"/>
      <c r="C99" s="345"/>
      <c r="D99" s="389"/>
      <c r="E99" s="389"/>
      <c r="F99" s="389"/>
      <c r="G99" s="389"/>
      <c r="H99" s="389"/>
      <c r="I99" s="389"/>
      <c r="J99" s="395"/>
      <c r="K99" s="395"/>
      <c r="L99" s="395"/>
      <c r="M99" s="395"/>
      <c r="N99" s="395"/>
      <c r="O99" s="395"/>
      <c r="P99" s="390"/>
    </row>
    <row r="100" spans="1:16" s="351" customFormat="1" x14ac:dyDescent="0.3">
      <c r="A100" s="484" t="s">
        <v>101</v>
      </c>
      <c r="B100" s="485"/>
      <c r="C100" s="485"/>
      <c r="D100" s="485"/>
      <c r="E100" s="485"/>
      <c r="F100" s="485"/>
      <c r="G100" s="485"/>
      <c r="H100" s="485"/>
      <c r="I100" s="485"/>
      <c r="J100" s="485"/>
      <c r="K100" s="485"/>
      <c r="L100" s="485"/>
      <c r="M100" s="485"/>
      <c r="N100" s="485"/>
      <c r="O100" s="485"/>
      <c r="P100" s="533"/>
    </row>
    <row r="101" spans="1:16" x14ac:dyDescent="0.3">
      <c r="A101" s="449" t="s">
        <v>100</v>
      </c>
      <c r="B101" s="450"/>
      <c r="C101" s="345" t="s">
        <v>3</v>
      </c>
      <c r="D101" s="374">
        <v>1979</v>
      </c>
      <c r="E101" s="374">
        <v>1979</v>
      </c>
      <c r="F101" s="374">
        <v>1938</v>
      </c>
      <c r="G101" s="374">
        <v>1910</v>
      </c>
      <c r="H101" s="374">
        <v>1897</v>
      </c>
      <c r="I101" s="374">
        <v>1946</v>
      </c>
      <c r="J101" s="374">
        <v>2165</v>
      </c>
      <c r="K101" s="374">
        <v>2183</v>
      </c>
      <c r="L101" s="374">
        <v>2289</v>
      </c>
      <c r="M101" s="374">
        <v>2369</v>
      </c>
      <c r="N101" s="374">
        <v>2385</v>
      </c>
      <c r="O101" s="374">
        <v>2275</v>
      </c>
      <c r="P101" s="401">
        <f t="shared" ref="P101:P116" si="85">O101</f>
        <v>2275</v>
      </c>
    </row>
    <row r="102" spans="1:16" x14ac:dyDescent="0.3">
      <c r="A102" s="449" t="s">
        <v>99</v>
      </c>
      <c r="B102" s="450"/>
      <c r="C102" s="345" t="s">
        <v>3</v>
      </c>
      <c r="D102" s="374">
        <v>36</v>
      </c>
      <c r="E102" s="374">
        <v>36</v>
      </c>
      <c r="F102" s="374">
        <v>36</v>
      </c>
      <c r="G102" s="374">
        <v>36</v>
      </c>
      <c r="H102" s="374">
        <v>36</v>
      </c>
      <c r="I102" s="374">
        <v>36</v>
      </c>
      <c r="J102" s="374">
        <v>36</v>
      </c>
      <c r="K102" s="374">
        <v>36</v>
      </c>
      <c r="L102" s="374">
        <v>36</v>
      </c>
      <c r="M102" s="374">
        <v>43</v>
      </c>
      <c r="N102" s="374">
        <v>43</v>
      </c>
      <c r="O102" s="374">
        <v>43</v>
      </c>
      <c r="P102" s="401">
        <f t="shared" si="85"/>
        <v>43</v>
      </c>
    </row>
    <row r="103" spans="1:16" ht="15.6" customHeight="1" x14ac:dyDescent="0.3">
      <c r="A103" s="456" t="s">
        <v>98</v>
      </c>
      <c r="B103" s="457"/>
      <c r="C103" s="345" t="s">
        <v>3</v>
      </c>
      <c r="D103" s="374">
        <v>98</v>
      </c>
      <c r="E103" s="374">
        <v>98</v>
      </c>
      <c r="F103" s="374">
        <v>98</v>
      </c>
      <c r="G103" s="374">
        <v>98</v>
      </c>
      <c r="H103" s="374">
        <v>98</v>
      </c>
      <c r="I103" s="374">
        <v>98</v>
      </c>
      <c r="J103" s="374">
        <v>98</v>
      </c>
      <c r="K103" s="374">
        <v>98</v>
      </c>
      <c r="L103" s="374">
        <v>98</v>
      </c>
      <c r="M103" s="374">
        <v>118</v>
      </c>
      <c r="N103" s="374">
        <v>118</v>
      </c>
      <c r="O103" s="374">
        <v>118</v>
      </c>
      <c r="P103" s="401">
        <f t="shared" si="85"/>
        <v>118</v>
      </c>
    </row>
    <row r="104" spans="1:16" x14ac:dyDescent="0.3">
      <c r="A104" s="456" t="s">
        <v>97</v>
      </c>
      <c r="B104" s="457"/>
      <c r="C104" s="345" t="s">
        <v>3</v>
      </c>
      <c r="D104" s="374">
        <v>17</v>
      </c>
      <c r="E104" s="374">
        <v>17</v>
      </c>
      <c r="F104" s="374">
        <v>17</v>
      </c>
      <c r="G104" s="374">
        <v>17</v>
      </c>
      <c r="H104" s="374">
        <v>17</v>
      </c>
      <c r="I104" s="374">
        <v>17</v>
      </c>
      <c r="J104" s="374">
        <v>17</v>
      </c>
      <c r="K104" s="374">
        <v>17</v>
      </c>
      <c r="L104" s="374">
        <v>17</v>
      </c>
      <c r="M104" s="374">
        <v>17</v>
      </c>
      <c r="N104" s="374">
        <v>17</v>
      </c>
      <c r="O104" s="374">
        <v>17</v>
      </c>
      <c r="P104" s="401">
        <f t="shared" si="85"/>
        <v>17</v>
      </c>
    </row>
    <row r="105" spans="1:16" x14ac:dyDescent="0.3">
      <c r="A105" s="498" t="s">
        <v>96</v>
      </c>
      <c r="B105" s="499"/>
      <c r="C105" s="345" t="s">
        <v>3</v>
      </c>
      <c r="D105" s="402">
        <f>SUM(D101:D104)</f>
        <v>2130</v>
      </c>
      <c r="E105" s="402">
        <f t="shared" ref="E105:O105" si="86">SUM(E101:E104)</f>
        <v>2130</v>
      </c>
      <c r="F105" s="402">
        <f t="shared" si="86"/>
        <v>2089</v>
      </c>
      <c r="G105" s="402">
        <f t="shared" si="86"/>
        <v>2061</v>
      </c>
      <c r="H105" s="402">
        <f t="shared" si="86"/>
        <v>2048</v>
      </c>
      <c r="I105" s="402">
        <f t="shared" si="86"/>
        <v>2097</v>
      </c>
      <c r="J105" s="402">
        <f t="shared" si="86"/>
        <v>2316</v>
      </c>
      <c r="K105" s="402">
        <f t="shared" si="86"/>
        <v>2334</v>
      </c>
      <c r="L105" s="402">
        <f t="shared" si="86"/>
        <v>2440</v>
      </c>
      <c r="M105" s="402">
        <f t="shared" si="86"/>
        <v>2547</v>
      </c>
      <c r="N105" s="402">
        <f t="shared" si="86"/>
        <v>2563</v>
      </c>
      <c r="O105" s="402">
        <f t="shared" si="86"/>
        <v>2453</v>
      </c>
      <c r="P105" s="401">
        <f t="shared" si="85"/>
        <v>2453</v>
      </c>
    </row>
    <row r="106" spans="1:16" s="351" customFormat="1" ht="15.6" customHeight="1" x14ac:dyDescent="0.3">
      <c r="A106" s="482" t="s">
        <v>210</v>
      </c>
      <c r="B106" s="483"/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483"/>
      <c r="P106" s="534"/>
    </row>
    <row r="107" spans="1:16" x14ac:dyDescent="0.3">
      <c r="A107" s="449" t="s">
        <v>193</v>
      </c>
      <c r="B107" s="450"/>
      <c r="C107" s="345" t="s">
        <v>3</v>
      </c>
      <c r="D107" s="374">
        <v>3571</v>
      </c>
      <c r="E107" s="374">
        <v>3575</v>
      </c>
      <c r="F107" s="374">
        <v>3657</v>
      </c>
      <c r="G107" s="374">
        <v>3733</v>
      </c>
      <c r="H107" s="374">
        <v>3814</v>
      </c>
      <c r="I107" s="374">
        <v>3802</v>
      </c>
      <c r="J107" s="374">
        <v>3640</v>
      </c>
      <c r="K107" s="374">
        <v>3661</v>
      </c>
      <c r="L107" s="374">
        <v>3577</v>
      </c>
      <c r="M107" s="374">
        <v>3493</v>
      </c>
      <c r="N107" s="374">
        <v>3513</v>
      </c>
      <c r="O107" s="374">
        <v>3630</v>
      </c>
      <c r="P107" s="401">
        <f t="shared" si="85"/>
        <v>3630</v>
      </c>
    </row>
    <row r="108" spans="1:16" x14ac:dyDescent="0.3">
      <c r="A108" s="449" t="s">
        <v>194</v>
      </c>
      <c r="B108" s="450"/>
      <c r="C108" s="345" t="s">
        <v>3</v>
      </c>
      <c r="D108" s="374">
        <v>14</v>
      </c>
      <c r="E108" s="374">
        <v>15</v>
      </c>
      <c r="F108" s="374">
        <v>16</v>
      </c>
      <c r="G108" s="374">
        <v>13</v>
      </c>
      <c r="H108" s="374">
        <v>15</v>
      </c>
      <c r="I108" s="374">
        <v>14</v>
      </c>
      <c r="J108" s="374">
        <v>14</v>
      </c>
      <c r="K108" s="374">
        <v>12</v>
      </c>
      <c r="L108" s="374">
        <v>10</v>
      </c>
      <c r="M108" s="374">
        <v>9</v>
      </c>
      <c r="N108" s="374">
        <v>11</v>
      </c>
      <c r="O108" s="374">
        <v>14</v>
      </c>
      <c r="P108" s="401">
        <f t="shared" si="85"/>
        <v>14</v>
      </c>
    </row>
    <row r="109" spans="1:16" x14ac:dyDescent="0.3">
      <c r="A109" s="449" t="s">
        <v>195</v>
      </c>
      <c r="B109" s="450"/>
      <c r="C109" s="345" t="s">
        <v>3</v>
      </c>
      <c r="D109" s="374">
        <v>11</v>
      </c>
      <c r="E109" s="374">
        <v>11</v>
      </c>
      <c r="F109" s="374">
        <v>11</v>
      </c>
      <c r="G109" s="374">
        <v>11</v>
      </c>
      <c r="H109" s="374">
        <v>15</v>
      </c>
      <c r="I109" s="374">
        <v>14</v>
      </c>
      <c r="J109" s="374">
        <v>11</v>
      </c>
      <c r="K109" s="374">
        <v>11</v>
      </c>
      <c r="L109" s="374">
        <v>11</v>
      </c>
      <c r="M109" s="374">
        <v>10</v>
      </c>
      <c r="N109" s="374">
        <v>13</v>
      </c>
      <c r="O109" s="374">
        <v>13</v>
      </c>
      <c r="P109" s="401">
        <f t="shared" si="85"/>
        <v>13</v>
      </c>
    </row>
    <row r="110" spans="1:16" x14ac:dyDescent="0.3">
      <c r="A110" s="449" t="s">
        <v>196</v>
      </c>
      <c r="B110" s="450"/>
      <c r="C110" s="345" t="s">
        <v>3</v>
      </c>
      <c r="D110" s="374">
        <v>14</v>
      </c>
      <c r="E110" s="374">
        <v>14</v>
      </c>
      <c r="F110" s="374">
        <v>14</v>
      </c>
      <c r="G110" s="374">
        <v>14</v>
      </c>
      <c r="H110" s="374">
        <v>14</v>
      </c>
      <c r="I110" s="374">
        <v>13</v>
      </c>
      <c r="J110" s="374">
        <v>12</v>
      </c>
      <c r="K110" s="374">
        <v>12</v>
      </c>
      <c r="L110" s="374">
        <v>13</v>
      </c>
      <c r="M110" s="374">
        <v>13</v>
      </c>
      <c r="N110" s="374">
        <v>13</v>
      </c>
      <c r="O110" s="374">
        <v>13</v>
      </c>
      <c r="P110" s="401">
        <f t="shared" si="85"/>
        <v>13</v>
      </c>
    </row>
    <row r="111" spans="1:16" x14ac:dyDescent="0.3">
      <c r="A111" s="465" t="s">
        <v>95</v>
      </c>
      <c r="B111" s="466"/>
      <c r="C111" s="345" t="s">
        <v>3</v>
      </c>
      <c r="D111" s="402">
        <f>SUM(D107:D110)</f>
        <v>3610</v>
      </c>
      <c r="E111" s="402">
        <f t="shared" ref="E111:O111" si="87">SUM(E107:E110)</f>
        <v>3615</v>
      </c>
      <c r="F111" s="402">
        <f t="shared" si="87"/>
        <v>3698</v>
      </c>
      <c r="G111" s="402">
        <f t="shared" si="87"/>
        <v>3771</v>
      </c>
      <c r="H111" s="402">
        <f t="shared" si="87"/>
        <v>3858</v>
      </c>
      <c r="I111" s="402">
        <f t="shared" si="87"/>
        <v>3843</v>
      </c>
      <c r="J111" s="402">
        <f t="shared" si="87"/>
        <v>3677</v>
      </c>
      <c r="K111" s="402">
        <f t="shared" si="87"/>
        <v>3696</v>
      </c>
      <c r="L111" s="402">
        <f t="shared" si="87"/>
        <v>3611</v>
      </c>
      <c r="M111" s="402">
        <f t="shared" si="87"/>
        <v>3525</v>
      </c>
      <c r="N111" s="402">
        <f t="shared" si="87"/>
        <v>3550</v>
      </c>
      <c r="O111" s="402">
        <f t="shared" si="87"/>
        <v>3670</v>
      </c>
      <c r="P111" s="401">
        <f t="shared" si="85"/>
        <v>3670</v>
      </c>
    </row>
    <row r="112" spans="1:16" s="351" customFormat="1" ht="15.6" customHeight="1" x14ac:dyDescent="0.3">
      <c r="A112" s="484" t="s">
        <v>216</v>
      </c>
      <c r="B112" s="485"/>
      <c r="C112" s="485"/>
      <c r="D112" s="485"/>
      <c r="E112" s="485"/>
      <c r="F112" s="485"/>
      <c r="G112" s="485"/>
      <c r="H112" s="485"/>
      <c r="I112" s="485"/>
      <c r="J112" s="485"/>
      <c r="K112" s="485"/>
      <c r="L112" s="485"/>
      <c r="M112" s="485"/>
      <c r="N112" s="485"/>
      <c r="O112" s="485"/>
      <c r="P112" s="533"/>
    </row>
    <row r="113" spans="1:16" x14ac:dyDescent="0.3">
      <c r="A113" s="449" t="s">
        <v>197</v>
      </c>
      <c r="B113" s="450"/>
      <c r="C113" s="345" t="s">
        <v>3</v>
      </c>
      <c r="D113" s="403">
        <v>933</v>
      </c>
      <c r="E113" s="403">
        <v>933</v>
      </c>
      <c r="F113" s="403">
        <v>0</v>
      </c>
      <c r="G113" s="403">
        <v>933</v>
      </c>
      <c r="H113" s="403">
        <v>933</v>
      </c>
      <c r="I113" s="403">
        <v>933</v>
      </c>
      <c r="J113" s="403">
        <v>933</v>
      </c>
      <c r="K113" s="403">
        <v>933</v>
      </c>
      <c r="L113" s="403">
        <v>933</v>
      </c>
      <c r="M113" s="403">
        <v>933</v>
      </c>
      <c r="N113" s="403">
        <v>933</v>
      </c>
      <c r="O113" s="403">
        <v>933</v>
      </c>
      <c r="P113" s="401">
        <f t="shared" si="85"/>
        <v>933</v>
      </c>
    </row>
    <row r="114" spans="1:16" x14ac:dyDescent="0.3">
      <c r="A114" s="449" t="s">
        <v>198</v>
      </c>
      <c r="B114" s="450"/>
      <c r="C114" s="345" t="s">
        <v>3</v>
      </c>
      <c r="D114" s="403">
        <v>92</v>
      </c>
      <c r="E114" s="403">
        <v>92</v>
      </c>
      <c r="F114" s="403">
        <v>92</v>
      </c>
      <c r="G114" s="403">
        <v>92</v>
      </c>
      <c r="H114" s="403">
        <v>92</v>
      </c>
      <c r="I114" s="403">
        <v>92</v>
      </c>
      <c r="J114" s="403">
        <v>92</v>
      </c>
      <c r="K114" s="403">
        <v>92</v>
      </c>
      <c r="L114" s="403">
        <v>92</v>
      </c>
      <c r="M114" s="403">
        <v>92</v>
      </c>
      <c r="N114" s="403">
        <v>92</v>
      </c>
      <c r="O114" s="403">
        <v>92</v>
      </c>
      <c r="P114" s="401">
        <f t="shared" si="85"/>
        <v>92</v>
      </c>
    </row>
    <row r="115" spans="1:16" x14ac:dyDescent="0.3">
      <c r="A115" s="449" t="s">
        <v>199</v>
      </c>
      <c r="B115" s="450"/>
      <c r="C115" s="345" t="s">
        <v>3</v>
      </c>
      <c r="D115" s="403">
        <v>90</v>
      </c>
      <c r="E115" s="403">
        <v>90</v>
      </c>
      <c r="F115" s="403">
        <v>90</v>
      </c>
      <c r="G115" s="403">
        <v>90</v>
      </c>
      <c r="H115" s="403">
        <v>90</v>
      </c>
      <c r="I115" s="403">
        <v>90</v>
      </c>
      <c r="J115" s="403">
        <v>90</v>
      </c>
      <c r="K115" s="403">
        <v>90</v>
      </c>
      <c r="L115" s="403">
        <v>90</v>
      </c>
      <c r="M115" s="403">
        <v>90</v>
      </c>
      <c r="N115" s="403">
        <v>90</v>
      </c>
      <c r="O115" s="403">
        <v>90</v>
      </c>
      <c r="P115" s="401">
        <f t="shared" si="85"/>
        <v>90</v>
      </c>
    </row>
    <row r="116" spans="1:16" x14ac:dyDescent="0.3">
      <c r="A116" s="449" t="s">
        <v>200</v>
      </c>
      <c r="B116" s="450"/>
      <c r="C116" s="345" t="s">
        <v>3</v>
      </c>
      <c r="D116" s="403">
        <v>0</v>
      </c>
      <c r="E116" s="403">
        <v>0</v>
      </c>
      <c r="F116" s="403">
        <v>0</v>
      </c>
      <c r="G116" s="403">
        <v>0</v>
      </c>
      <c r="H116" s="403">
        <v>0</v>
      </c>
      <c r="I116" s="403">
        <v>0</v>
      </c>
      <c r="J116" s="403">
        <v>0</v>
      </c>
      <c r="K116" s="403">
        <v>0</v>
      </c>
      <c r="L116" s="403">
        <v>0</v>
      </c>
      <c r="M116" s="403">
        <v>0</v>
      </c>
      <c r="N116" s="403">
        <v>1</v>
      </c>
      <c r="O116" s="403">
        <v>1</v>
      </c>
      <c r="P116" s="401">
        <f t="shared" si="85"/>
        <v>1</v>
      </c>
    </row>
    <row r="117" spans="1:16" x14ac:dyDescent="0.3">
      <c r="A117" s="465" t="s">
        <v>94</v>
      </c>
      <c r="B117" s="466"/>
      <c r="C117" s="345" t="s">
        <v>3</v>
      </c>
      <c r="D117" s="402">
        <f>SUM(D113:D116)</f>
        <v>1115</v>
      </c>
      <c r="E117" s="402">
        <f t="shared" ref="E117:P117" si="88">SUM(E113:E116)</f>
        <v>1115</v>
      </c>
      <c r="F117" s="402">
        <f t="shared" si="88"/>
        <v>182</v>
      </c>
      <c r="G117" s="402">
        <f t="shared" si="88"/>
        <v>1115</v>
      </c>
      <c r="H117" s="402">
        <f t="shared" ref="H117" si="89">SUM(H113:H116)</f>
        <v>1115</v>
      </c>
      <c r="I117" s="402">
        <f t="shared" si="88"/>
        <v>1115</v>
      </c>
      <c r="J117" s="402">
        <f t="shared" si="88"/>
        <v>1115</v>
      </c>
      <c r="K117" s="402">
        <f t="shared" ref="K117" si="90">SUM(K113:K116)</f>
        <v>1115</v>
      </c>
      <c r="L117" s="402">
        <f t="shared" si="88"/>
        <v>1115</v>
      </c>
      <c r="M117" s="402">
        <f t="shared" ref="M117:O117" si="91">SUM(M113:M116)</f>
        <v>1115</v>
      </c>
      <c r="N117" s="402">
        <f t="shared" si="91"/>
        <v>1116</v>
      </c>
      <c r="O117" s="402">
        <f t="shared" si="91"/>
        <v>1116</v>
      </c>
      <c r="P117" s="347">
        <f t="shared" si="88"/>
        <v>1116</v>
      </c>
    </row>
    <row r="118" spans="1:16" s="351" customFormat="1" x14ac:dyDescent="0.3">
      <c r="A118" s="404" t="s">
        <v>191</v>
      </c>
      <c r="B118" s="405"/>
      <c r="C118" s="345" t="s">
        <v>3</v>
      </c>
      <c r="D118" s="402">
        <f t="shared" ref="D118:I118" si="92">D111+D117</f>
        <v>4725</v>
      </c>
      <c r="E118" s="402">
        <f t="shared" si="92"/>
        <v>4730</v>
      </c>
      <c r="F118" s="402">
        <f t="shared" si="92"/>
        <v>3880</v>
      </c>
      <c r="G118" s="402">
        <f t="shared" si="92"/>
        <v>4886</v>
      </c>
      <c r="H118" s="402">
        <f t="shared" si="92"/>
        <v>4973</v>
      </c>
      <c r="I118" s="402">
        <f t="shared" si="92"/>
        <v>4958</v>
      </c>
      <c r="J118" s="402">
        <f t="shared" ref="J118:K118" si="93">J111+J117</f>
        <v>4792</v>
      </c>
      <c r="K118" s="402">
        <f t="shared" si="93"/>
        <v>4811</v>
      </c>
      <c r="L118" s="402">
        <f t="shared" ref="L118:M118" si="94">L111+L117</f>
        <v>4726</v>
      </c>
      <c r="M118" s="402">
        <f t="shared" si="94"/>
        <v>4640</v>
      </c>
      <c r="N118" s="402">
        <f t="shared" ref="N118:P118" si="95">N111+N117</f>
        <v>4666</v>
      </c>
      <c r="O118" s="402">
        <f t="shared" si="95"/>
        <v>4786</v>
      </c>
      <c r="P118" s="402">
        <f t="shared" si="95"/>
        <v>4786</v>
      </c>
    </row>
    <row r="119" spans="1:16" x14ac:dyDescent="0.3">
      <c r="A119" s="465" t="s">
        <v>192</v>
      </c>
      <c r="B119" s="466"/>
      <c r="C119" s="345" t="s">
        <v>3</v>
      </c>
      <c r="D119" s="402">
        <f t="shared" ref="D119:I119" si="96">D105+D118</f>
        <v>6855</v>
      </c>
      <c r="E119" s="402">
        <f t="shared" si="96"/>
        <v>6860</v>
      </c>
      <c r="F119" s="402">
        <f t="shared" si="96"/>
        <v>5969</v>
      </c>
      <c r="G119" s="402">
        <f t="shared" si="96"/>
        <v>6947</v>
      </c>
      <c r="H119" s="402">
        <f t="shared" si="96"/>
        <v>7021</v>
      </c>
      <c r="I119" s="402">
        <f t="shared" si="96"/>
        <v>7055</v>
      </c>
      <c r="J119" s="402">
        <f t="shared" ref="J119:K119" si="97">J105+J118</f>
        <v>7108</v>
      </c>
      <c r="K119" s="402">
        <f t="shared" si="97"/>
        <v>7145</v>
      </c>
      <c r="L119" s="402">
        <f t="shared" ref="L119:M119" si="98">L105+L118</f>
        <v>7166</v>
      </c>
      <c r="M119" s="402">
        <f t="shared" si="98"/>
        <v>7187</v>
      </c>
      <c r="N119" s="402">
        <f t="shared" ref="N119:P119" si="99">N105+N118</f>
        <v>7229</v>
      </c>
      <c r="O119" s="402">
        <f t="shared" si="99"/>
        <v>7239</v>
      </c>
      <c r="P119" s="402">
        <f t="shared" si="99"/>
        <v>7239</v>
      </c>
    </row>
    <row r="120" spans="1:16" x14ac:dyDescent="0.3">
      <c r="A120" s="447" t="s">
        <v>201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48"/>
      <c r="N120" s="448"/>
      <c r="O120" s="448"/>
      <c r="P120" s="526"/>
    </row>
    <row r="121" spans="1:16" x14ac:dyDescent="0.3">
      <c r="A121" s="449" t="s">
        <v>93</v>
      </c>
      <c r="B121" s="450"/>
      <c r="C121" s="355" t="s">
        <v>3</v>
      </c>
      <c r="D121" s="406">
        <v>38115</v>
      </c>
      <c r="E121" s="406">
        <v>38115</v>
      </c>
      <c r="F121" s="406">
        <v>38115</v>
      </c>
      <c r="G121" s="406">
        <v>38115</v>
      </c>
      <c r="H121" s="406">
        <v>38115</v>
      </c>
      <c r="I121" s="406">
        <v>38115</v>
      </c>
      <c r="J121" s="406">
        <v>38115</v>
      </c>
      <c r="K121" s="406">
        <v>38115</v>
      </c>
      <c r="L121" s="406">
        <v>38115</v>
      </c>
      <c r="M121" s="406">
        <v>38115</v>
      </c>
      <c r="N121" s="406">
        <v>38496</v>
      </c>
      <c r="O121" s="406">
        <v>38600</v>
      </c>
      <c r="P121" s="407">
        <f>O121</f>
        <v>38600</v>
      </c>
    </row>
    <row r="122" spans="1:16" x14ac:dyDescent="0.3">
      <c r="A122" s="449" t="s">
        <v>92</v>
      </c>
      <c r="B122" s="450"/>
      <c r="C122" s="355" t="s">
        <v>3</v>
      </c>
      <c r="D122" s="406">
        <v>31510</v>
      </c>
      <c r="E122" s="406">
        <v>31620</v>
      </c>
      <c r="F122" s="406">
        <v>31825</v>
      </c>
      <c r="G122" s="406">
        <v>31955</v>
      </c>
      <c r="H122" s="406">
        <v>32270</v>
      </c>
      <c r="I122" s="406">
        <v>32440</v>
      </c>
      <c r="J122" s="406">
        <v>32705</v>
      </c>
      <c r="K122" s="406">
        <v>32890</v>
      </c>
      <c r="L122" s="406">
        <v>33040</v>
      </c>
      <c r="M122" s="406">
        <v>33165</v>
      </c>
      <c r="N122" s="406">
        <v>33375</v>
      </c>
      <c r="O122" s="406">
        <v>33425</v>
      </c>
      <c r="P122" s="407">
        <f>O122</f>
        <v>33425</v>
      </c>
    </row>
    <row r="123" spans="1:16" x14ac:dyDescent="0.3">
      <c r="A123" s="480" t="s">
        <v>91</v>
      </c>
      <c r="B123" s="481"/>
      <c r="C123" s="408" t="s">
        <v>6</v>
      </c>
      <c r="D123" s="409">
        <f t="shared" ref="D123:P123" si="100">D122/D121</f>
        <v>0.82670864489046303</v>
      </c>
      <c r="E123" s="409">
        <f t="shared" si="100"/>
        <v>0.82959464777646597</v>
      </c>
      <c r="F123" s="409">
        <f t="shared" si="100"/>
        <v>0.83497310770038047</v>
      </c>
      <c r="G123" s="409">
        <f t="shared" si="100"/>
        <v>0.83838383838383834</v>
      </c>
      <c r="H123" s="409">
        <f t="shared" si="100"/>
        <v>0.84664830119375578</v>
      </c>
      <c r="I123" s="409">
        <f t="shared" si="100"/>
        <v>0.85110848747212386</v>
      </c>
      <c r="J123" s="409">
        <f t="shared" si="100"/>
        <v>0.85806113078840351</v>
      </c>
      <c r="K123" s="409">
        <f t="shared" si="100"/>
        <v>0.86291486291486297</v>
      </c>
      <c r="L123" s="409">
        <f t="shared" si="100"/>
        <v>0.86685032139577589</v>
      </c>
      <c r="M123" s="409">
        <f t="shared" si="100"/>
        <v>0.87012987012987009</v>
      </c>
      <c r="N123" s="409">
        <f t="shared" si="100"/>
        <v>0.86697319201995016</v>
      </c>
      <c r="O123" s="409">
        <f t="shared" si="100"/>
        <v>0.8659326424870466</v>
      </c>
      <c r="P123" s="541">
        <f t="shared" si="100"/>
        <v>0.8659326424870466</v>
      </c>
    </row>
    <row r="124" spans="1:16" x14ac:dyDescent="0.3">
      <c r="A124" s="473" t="s">
        <v>90</v>
      </c>
      <c r="B124" s="474"/>
      <c r="C124" s="474"/>
      <c r="D124" s="474"/>
      <c r="E124" s="474"/>
      <c r="F124" s="474"/>
      <c r="G124" s="474"/>
      <c r="H124" s="474"/>
      <c r="I124" s="474"/>
      <c r="J124" s="474"/>
      <c r="K124" s="474"/>
      <c r="L124" s="474"/>
      <c r="M124" s="474"/>
      <c r="N124" s="474"/>
      <c r="O124" s="474"/>
      <c r="P124" s="535"/>
    </row>
    <row r="125" spans="1:16" x14ac:dyDescent="0.3">
      <c r="A125" s="249" t="s">
        <v>235</v>
      </c>
      <c r="B125" s="345" t="s">
        <v>85</v>
      </c>
      <c r="C125" s="345" t="s">
        <v>3</v>
      </c>
      <c r="D125" s="378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9">
        <f>D125</f>
        <v>0</v>
      </c>
    </row>
    <row r="126" spans="1:16" x14ac:dyDescent="0.3">
      <c r="A126" s="458"/>
      <c r="B126" s="345" t="s">
        <v>84</v>
      </c>
      <c r="C126" s="345" t="s">
        <v>3</v>
      </c>
      <c r="D126" s="380"/>
      <c r="E126" s="380"/>
      <c r="F126" s="380"/>
      <c r="G126" s="380"/>
      <c r="H126" s="380"/>
      <c r="I126" s="380"/>
      <c r="J126" s="380"/>
      <c r="K126" s="380"/>
      <c r="L126" s="380"/>
      <c r="M126" s="380"/>
      <c r="N126" s="380"/>
      <c r="O126" s="380"/>
      <c r="P126" s="381">
        <f>SUM(D126:O126)</f>
        <v>0</v>
      </c>
    </row>
    <row r="127" spans="1:16" x14ac:dyDescent="0.3">
      <c r="A127" s="458"/>
      <c r="B127" s="410" t="s">
        <v>88</v>
      </c>
      <c r="C127" s="345" t="s">
        <v>3</v>
      </c>
      <c r="D127" s="380"/>
      <c r="E127" s="380"/>
      <c r="F127" s="380"/>
      <c r="G127" s="380"/>
      <c r="H127" s="380"/>
      <c r="I127" s="380"/>
      <c r="J127" s="380"/>
      <c r="K127" s="380"/>
      <c r="L127" s="380"/>
      <c r="M127" s="380"/>
      <c r="N127" s="380"/>
      <c r="O127" s="380"/>
      <c r="P127" s="381">
        <f>SUM(D127:O127)</f>
        <v>0</v>
      </c>
    </row>
    <row r="128" spans="1:16" x14ac:dyDescent="0.3">
      <c r="A128" s="458"/>
      <c r="B128" s="345" t="s">
        <v>82</v>
      </c>
      <c r="C128" s="345" t="s">
        <v>3</v>
      </c>
      <c r="D128" s="380"/>
      <c r="E128" s="380"/>
      <c r="F128" s="380"/>
      <c r="G128" s="380"/>
      <c r="H128" s="380"/>
      <c r="I128" s="380"/>
      <c r="J128" s="380"/>
      <c r="K128" s="380"/>
      <c r="L128" s="380"/>
      <c r="M128" s="380"/>
      <c r="N128" s="380"/>
      <c r="O128" s="380"/>
      <c r="P128" s="381">
        <f>SUM(D128:O128)</f>
        <v>0</v>
      </c>
    </row>
    <row r="129" spans="1:16" x14ac:dyDescent="0.3">
      <c r="A129" s="250"/>
      <c r="B129" s="345" t="s">
        <v>81</v>
      </c>
      <c r="C129" s="345" t="s">
        <v>3</v>
      </c>
      <c r="D129" s="378">
        <f t="shared" ref="D129:I129" si="101">D125+D126-D127-D128</f>
        <v>0</v>
      </c>
      <c r="E129" s="378">
        <f t="shared" si="101"/>
        <v>0</v>
      </c>
      <c r="F129" s="378">
        <f t="shared" si="101"/>
        <v>0</v>
      </c>
      <c r="G129" s="378">
        <f t="shared" si="101"/>
        <v>0</v>
      </c>
      <c r="H129" s="378">
        <f t="shared" si="101"/>
        <v>0</v>
      </c>
      <c r="I129" s="378">
        <f t="shared" si="101"/>
        <v>0</v>
      </c>
      <c r="J129" s="378">
        <f t="shared" ref="J129:K129" si="102">J125+J126-J127-J128</f>
        <v>0</v>
      </c>
      <c r="K129" s="378">
        <f t="shared" si="102"/>
        <v>0</v>
      </c>
      <c r="L129" s="378">
        <f t="shared" ref="L129:O129" si="103">L125+L126-L127-L128</f>
        <v>0</v>
      </c>
      <c r="M129" s="378">
        <f t="shared" si="103"/>
        <v>0</v>
      </c>
      <c r="N129" s="378">
        <f t="shared" si="103"/>
        <v>0</v>
      </c>
      <c r="O129" s="378">
        <f t="shared" si="103"/>
        <v>0</v>
      </c>
      <c r="P129" s="379">
        <f>P125+P126-P127-P128</f>
        <v>0</v>
      </c>
    </row>
    <row r="130" spans="1:16" x14ac:dyDescent="0.3">
      <c r="A130" s="249" t="s">
        <v>236</v>
      </c>
      <c r="B130" s="411" t="s">
        <v>85</v>
      </c>
      <c r="C130" s="411" t="s">
        <v>3</v>
      </c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9">
        <f>D130</f>
        <v>0</v>
      </c>
    </row>
    <row r="131" spans="1:16" x14ac:dyDescent="0.3">
      <c r="A131" s="458"/>
      <c r="B131" s="345" t="s">
        <v>84</v>
      </c>
      <c r="C131" s="345" t="s">
        <v>3</v>
      </c>
      <c r="D131" s="380"/>
      <c r="E131" s="380"/>
      <c r="F131" s="380"/>
      <c r="G131" s="380"/>
      <c r="H131" s="380"/>
      <c r="I131" s="380"/>
      <c r="J131" s="380"/>
      <c r="K131" s="380"/>
      <c r="L131" s="380"/>
      <c r="M131" s="380"/>
      <c r="N131" s="380"/>
      <c r="O131" s="380"/>
      <c r="P131" s="381">
        <f>SUM(D131:O131)</f>
        <v>0</v>
      </c>
    </row>
    <row r="132" spans="1:16" x14ac:dyDescent="0.3">
      <c r="A132" s="458"/>
      <c r="B132" s="410" t="s">
        <v>88</v>
      </c>
      <c r="C132" s="345" t="s">
        <v>3</v>
      </c>
      <c r="D132" s="380"/>
      <c r="E132" s="380"/>
      <c r="F132" s="380"/>
      <c r="G132" s="380"/>
      <c r="H132" s="380"/>
      <c r="I132" s="380"/>
      <c r="J132" s="380"/>
      <c r="K132" s="380"/>
      <c r="L132" s="380"/>
      <c r="M132" s="380"/>
      <c r="N132" s="380"/>
      <c r="O132" s="380"/>
      <c r="P132" s="381">
        <f>SUM(D132:O132)</f>
        <v>0</v>
      </c>
    </row>
    <row r="133" spans="1:16" x14ac:dyDescent="0.3">
      <c r="A133" s="458"/>
      <c r="B133" s="345" t="s">
        <v>82</v>
      </c>
      <c r="C133" s="345" t="s">
        <v>3</v>
      </c>
      <c r="D133" s="380"/>
      <c r="E133" s="380"/>
      <c r="F133" s="380"/>
      <c r="G133" s="380"/>
      <c r="H133" s="380"/>
      <c r="I133" s="380"/>
      <c r="J133" s="380"/>
      <c r="K133" s="380"/>
      <c r="L133" s="380"/>
      <c r="M133" s="380"/>
      <c r="N133" s="380"/>
      <c r="O133" s="380"/>
      <c r="P133" s="381">
        <f>SUM(D133:O133)</f>
        <v>0</v>
      </c>
    </row>
    <row r="134" spans="1:16" x14ac:dyDescent="0.3">
      <c r="A134" s="250"/>
      <c r="B134" s="345" t="s">
        <v>81</v>
      </c>
      <c r="C134" s="345" t="s">
        <v>3</v>
      </c>
      <c r="D134" s="378">
        <f t="shared" ref="D134:I134" si="104">D130+D131-D132-D133</f>
        <v>0</v>
      </c>
      <c r="E134" s="378">
        <f t="shared" si="104"/>
        <v>0</v>
      </c>
      <c r="F134" s="378">
        <f t="shared" si="104"/>
        <v>0</v>
      </c>
      <c r="G134" s="378">
        <f t="shared" si="104"/>
        <v>0</v>
      </c>
      <c r="H134" s="378">
        <f t="shared" si="104"/>
        <v>0</v>
      </c>
      <c r="I134" s="378">
        <f t="shared" si="104"/>
        <v>0</v>
      </c>
      <c r="J134" s="378">
        <f t="shared" ref="J134:K134" si="105">J130+J131-J132-J133</f>
        <v>0</v>
      </c>
      <c r="K134" s="378">
        <f t="shared" si="105"/>
        <v>0</v>
      </c>
      <c r="L134" s="378">
        <f t="shared" ref="L134:O134" si="106">L130+L131-L132-L133</f>
        <v>0</v>
      </c>
      <c r="M134" s="378">
        <f t="shared" si="106"/>
        <v>0</v>
      </c>
      <c r="N134" s="378">
        <f t="shared" si="106"/>
        <v>0</v>
      </c>
      <c r="O134" s="378">
        <f t="shared" si="106"/>
        <v>0</v>
      </c>
      <c r="P134" s="379">
        <f>P130+P131-P132-P133</f>
        <v>0</v>
      </c>
    </row>
    <row r="135" spans="1:16" x14ac:dyDescent="0.3">
      <c r="A135" s="249" t="s">
        <v>89</v>
      </c>
      <c r="B135" s="345" t="s">
        <v>85</v>
      </c>
      <c r="C135" s="345" t="s">
        <v>3</v>
      </c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9">
        <f>D135</f>
        <v>0</v>
      </c>
    </row>
    <row r="136" spans="1:16" x14ac:dyDescent="0.3">
      <c r="A136" s="458"/>
      <c r="B136" s="345" t="s">
        <v>84</v>
      </c>
      <c r="C136" s="345" t="s">
        <v>3</v>
      </c>
      <c r="D136" s="380"/>
      <c r="E136" s="380"/>
      <c r="F136" s="380"/>
      <c r="G136" s="380"/>
      <c r="H136" s="380"/>
      <c r="I136" s="380"/>
      <c r="J136" s="380"/>
      <c r="K136" s="380"/>
      <c r="L136" s="380"/>
      <c r="M136" s="380"/>
      <c r="N136" s="380"/>
      <c r="O136" s="380"/>
      <c r="P136" s="381">
        <f>SUM(D136:O136)</f>
        <v>0</v>
      </c>
    </row>
    <row r="137" spans="1:16" x14ac:dyDescent="0.3">
      <c r="A137" s="458"/>
      <c r="B137" s="410" t="s">
        <v>88</v>
      </c>
      <c r="C137" s="345" t="s">
        <v>3</v>
      </c>
      <c r="D137" s="380"/>
      <c r="E137" s="380"/>
      <c r="F137" s="380"/>
      <c r="G137" s="380"/>
      <c r="H137" s="380"/>
      <c r="I137" s="380"/>
      <c r="J137" s="380"/>
      <c r="K137" s="380"/>
      <c r="L137" s="380"/>
      <c r="M137" s="380"/>
      <c r="N137" s="380"/>
      <c r="O137" s="380"/>
      <c r="P137" s="381">
        <f>SUM(D137:O137)</f>
        <v>0</v>
      </c>
    </row>
    <row r="138" spans="1:16" x14ac:dyDescent="0.3">
      <c r="A138" s="458"/>
      <c r="B138" s="345" t="s">
        <v>82</v>
      </c>
      <c r="C138" s="345" t="s">
        <v>3</v>
      </c>
      <c r="D138" s="380"/>
      <c r="E138" s="380"/>
      <c r="F138" s="380"/>
      <c r="G138" s="380"/>
      <c r="H138" s="380"/>
      <c r="I138" s="380"/>
      <c r="J138" s="380"/>
      <c r="K138" s="380"/>
      <c r="L138" s="380"/>
      <c r="M138" s="380"/>
      <c r="N138" s="380"/>
      <c r="O138" s="380"/>
      <c r="P138" s="381">
        <f>SUM(D138:O138)</f>
        <v>0</v>
      </c>
    </row>
    <row r="139" spans="1:16" x14ac:dyDescent="0.3">
      <c r="A139" s="250"/>
      <c r="B139" s="345" t="s">
        <v>81</v>
      </c>
      <c r="C139" s="345" t="s">
        <v>3</v>
      </c>
      <c r="D139" s="378">
        <f t="shared" ref="D139:I139" si="107">D135+D136-D137-D138</f>
        <v>0</v>
      </c>
      <c r="E139" s="378">
        <f t="shared" si="107"/>
        <v>0</v>
      </c>
      <c r="F139" s="378">
        <f t="shared" si="107"/>
        <v>0</v>
      </c>
      <c r="G139" s="378">
        <f t="shared" si="107"/>
        <v>0</v>
      </c>
      <c r="H139" s="378">
        <f t="shared" si="107"/>
        <v>0</v>
      </c>
      <c r="I139" s="378">
        <f t="shared" si="107"/>
        <v>0</v>
      </c>
      <c r="J139" s="378">
        <f t="shared" ref="J139:K139" si="108">J135+J136-J137-J138</f>
        <v>0</v>
      </c>
      <c r="K139" s="378">
        <f t="shared" si="108"/>
        <v>0</v>
      </c>
      <c r="L139" s="378">
        <f t="shared" ref="L139:O139" si="109">L135+L136-L137-L138</f>
        <v>0</v>
      </c>
      <c r="M139" s="378">
        <f t="shared" si="109"/>
        <v>0</v>
      </c>
      <c r="N139" s="378">
        <f t="shared" si="109"/>
        <v>0</v>
      </c>
      <c r="O139" s="378">
        <f t="shared" si="109"/>
        <v>0</v>
      </c>
      <c r="P139" s="379">
        <f>P135+P136-P137-P138</f>
        <v>0</v>
      </c>
    </row>
    <row r="140" spans="1:16" x14ac:dyDescent="0.3">
      <c r="A140" s="249" t="s">
        <v>87</v>
      </c>
      <c r="B140" s="345" t="s">
        <v>85</v>
      </c>
      <c r="C140" s="345" t="s">
        <v>3</v>
      </c>
      <c r="D140" s="378">
        <v>905</v>
      </c>
      <c r="E140" s="378">
        <v>915</v>
      </c>
      <c r="F140" s="378">
        <v>920</v>
      </c>
      <c r="G140" s="378">
        <v>929</v>
      </c>
      <c r="H140" s="378">
        <v>990</v>
      </c>
      <c r="I140" s="378">
        <v>938</v>
      </c>
      <c r="J140" s="378">
        <v>883</v>
      </c>
      <c r="K140" s="378">
        <v>856</v>
      </c>
      <c r="L140" s="378">
        <v>882</v>
      </c>
      <c r="M140" s="378">
        <v>872</v>
      </c>
      <c r="N140" s="378">
        <v>250</v>
      </c>
      <c r="O140" s="380">
        <v>159</v>
      </c>
      <c r="P140" s="379">
        <f>D140</f>
        <v>905</v>
      </c>
    </row>
    <row r="141" spans="1:16" x14ac:dyDescent="0.3">
      <c r="A141" s="458"/>
      <c r="B141" s="345" t="s">
        <v>84</v>
      </c>
      <c r="C141" s="345" t="s">
        <v>3</v>
      </c>
      <c r="D141" s="380">
        <v>10</v>
      </c>
      <c r="E141" s="380">
        <v>5</v>
      </c>
      <c r="F141" s="380">
        <v>9</v>
      </c>
      <c r="G141" s="380">
        <v>61</v>
      </c>
      <c r="H141" s="380">
        <v>8</v>
      </c>
      <c r="I141" s="380">
        <v>5</v>
      </c>
      <c r="J141" s="380">
        <v>3</v>
      </c>
      <c r="K141" s="380">
        <v>26</v>
      </c>
      <c r="L141" s="380">
        <v>0</v>
      </c>
      <c r="M141" s="380">
        <v>0</v>
      </c>
      <c r="N141" s="380">
        <v>10</v>
      </c>
      <c r="O141" s="380">
        <v>74</v>
      </c>
      <c r="P141" s="381">
        <f>SUM(D141:O141)</f>
        <v>211</v>
      </c>
    </row>
    <row r="142" spans="1:16" x14ac:dyDescent="0.3">
      <c r="A142" s="458"/>
      <c r="B142" s="345" t="s">
        <v>83</v>
      </c>
      <c r="C142" s="345" t="s">
        <v>3</v>
      </c>
      <c r="D142" s="380"/>
      <c r="E142" s="380"/>
      <c r="F142" s="380"/>
      <c r="G142" s="380"/>
      <c r="H142" s="380">
        <v>25</v>
      </c>
      <c r="I142" s="380">
        <v>0</v>
      </c>
      <c r="J142" s="380">
        <v>0</v>
      </c>
      <c r="K142" s="380">
        <v>0</v>
      </c>
      <c r="L142" s="380">
        <v>0</v>
      </c>
      <c r="M142" s="380">
        <v>0</v>
      </c>
      <c r="N142" s="380">
        <v>19</v>
      </c>
      <c r="O142" s="380">
        <v>10</v>
      </c>
      <c r="P142" s="381">
        <f>SUM(D142:O142)</f>
        <v>54</v>
      </c>
    </row>
    <row r="143" spans="1:16" x14ac:dyDescent="0.3">
      <c r="A143" s="458"/>
      <c r="B143" s="345" t="s">
        <v>82</v>
      </c>
      <c r="C143" s="345" t="s">
        <v>3</v>
      </c>
      <c r="D143" s="380"/>
      <c r="E143" s="380"/>
      <c r="F143" s="380"/>
      <c r="G143" s="380"/>
      <c r="H143" s="380">
        <v>35</v>
      </c>
      <c r="I143" s="380">
        <v>60</v>
      </c>
      <c r="J143" s="380">
        <v>30</v>
      </c>
      <c r="K143" s="380">
        <v>0</v>
      </c>
      <c r="L143" s="380">
        <v>10</v>
      </c>
      <c r="M143" s="380">
        <v>622</v>
      </c>
      <c r="N143" s="380">
        <v>82</v>
      </c>
      <c r="O143" s="380">
        <v>0</v>
      </c>
      <c r="P143" s="381">
        <f>SUM(D143:O143)</f>
        <v>839</v>
      </c>
    </row>
    <row r="144" spans="1:16" x14ac:dyDescent="0.3">
      <c r="A144" s="250"/>
      <c r="B144" s="345" t="s">
        <v>81</v>
      </c>
      <c r="C144" s="345" t="s">
        <v>3</v>
      </c>
      <c r="D144" s="378">
        <f t="shared" ref="D144:H144" si="110">D140+D141-D142-D143</f>
        <v>915</v>
      </c>
      <c r="E144" s="378">
        <f t="shared" si="110"/>
        <v>920</v>
      </c>
      <c r="F144" s="378">
        <f t="shared" si="110"/>
        <v>929</v>
      </c>
      <c r="G144" s="378">
        <f t="shared" si="110"/>
        <v>990</v>
      </c>
      <c r="H144" s="378">
        <f t="shared" si="110"/>
        <v>938</v>
      </c>
      <c r="I144" s="378">
        <v>883</v>
      </c>
      <c r="J144" s="378">
        <v>856</v>
      </c>
      <c r="K144" s="378">
        <f t="shared" ref="K144" si="111">K140+K141-K142-K143</f>
        <v>882</v>
      </c>
      <c r="L144" s="378">
        <f t="shared" ref="L144:O144" si="112">L140+L141-L142-L143</f>
        <v>872</v>
      </c>
      <c r="M144" s="378">
        <f t="shared" si="112"/>
        <v>250</v>
      </c>
      <c r="N144" s="378">
        <f t="shared" si="112"/>
        <v>159</v>
      </c>
      <c r="O144" s="378">
        <f t="shared" si="112"/>
        <v>223</v>
      </c>
      <c r="P144" s="379">
        <f>P140+P141-P142-P143</f>
        <v>223</v>
      </c>
    </row>
    <row r="145" spans="1:16" s="351" customFormat="1" x14ac:dyDescent="0.3">
      <c r="A145" s="249" t="s">
        <v>86</v>
      </c>
      <c r="B145" s="345" t="s">
        <v>85</v>
      </c>
      <c r="C145" s="345" t="s">
        <v>3</v>
      </c>
      <c r="D145" s="383">
        <f t="shared" ref="D145:I145" si="113">D125+D130+D135+D140</f>
        <v>905</v>
      </c>
      <c r="E145" s="383">
        <f t="shared" si="113"/>
        <v>915</v>
      </c>
      <c r="F145" s="383">
        <f t="shared" si="113"/>
        <v>920</v>
      </c>
      <c r="G145" s="383">
        <f t="shared" si="113"/>
        <v>929</v>
      </c>
      <c r="H145" s="383">
        <f t="shared" si="113"/>
        <v>990</v>
      </c>
      <c r="I145" s="383">
        <f t="shared" si="113"/>
        <v>938</v>
      </c>
      <c r="J145" s="383">
        <f t="shared" ref="J145:K145" si="114">J125+J130+J135+J140</f>
        <v>883</v>
      </c>
      <c r="K145" s="383">
        <f t="shared" si="114"/>
        <v>856</v>
      </c>
      <c r="L145" s="383">
        <f t="shared" ref="L145:O145" si="115">L125+L130+L135+L140</f>
        <v>882</v>
      </c>
      <c r="M145" s="383">
        <f t="shared" si="115"/>
        <v>872</v>
      </c>
      <c r="N145" s="383">
        <f t="shared" si="115"/>
        <v>250</v>
      </c>
      <c r="O145" s="383">
        <f t="shared" si="115"/>
        <v>159</v>
      </c>
      <c r="P145" s="412">
        <f t="shared" ref="P145" si="116">P125+P130+P135+P140</f>
        <v>905</v>
      </c>
    </row>
    <row r="146" spans="1:16" x14ac:dyDescent="0.3">
      <c r="A146" s="458"/>
      <c r="B146" s="345" t="s">
        <v>84</v>
      </c>
      <c r="C146" s="345" t="s">
        <v>3</v>
      </c>
      <c r="D146" s="383">
        <f t="shared" ref="D146:E148" si="117">D126+D131+D136+D141</f>
        <v>10</v>
      </c>
      <c r="E146" s="383">
        <f t="shared" si="117"/>
        <v>5</v>
      </c>
      <c r="F146" s="383">
        <f t="shared" ref="F146:G146" si="118">F126+F131+F136+F141</f>
        <v>9</v>
      </c>
      <c r="G146" s="383">
        <f t="shared" si="118"/>
        <v>61</v>
      </c>
      <c r="H146" s="383">
        <f t="shared" ref="H146:I146" si="119">H126+H131+H136+H141</f>
        <v>8</v>
      </c>
      <c r="I146" s="383">
        <f t="shared" si="119"/>
        <v>5</v>
      </c>
      <c r="J146" s="383">
        <f t="shared" ref="J146:K146" si="120">J126+J131+J136+J141</f>
        <v>3</v>
      </c>
      <c r="K146" s="383">
        <f t="shared" si="120"/>
        <v>26</v>
      </c>
      <c r="L146" s="383">
        <f t="shared" ref="L146:O146" si="121">L126+L131+L136+L141</f>
        <v>0</v>
      </c>
      <c r="M146" s="383">
        <f t="shared" si="121"/>
        <v>0</v>
      </c>
      <c r="N146" s="383">
        <f t="shared" si="121"/>
        <v>10</v>
      </c>
      <c r="O146" s="383">
        <f t="shared" si="121"/>
        <v>74</v>
      </c>
      <c r="P146" s="412">
        <f t="shared" ref="P146" si="122">P126+P131+P136+P141</f>
        <v>211</v>
      </c>
    </row>
    <row r="147" spans="1:16" x14ac:dyDescent="0.3">
      <c r="A147" s="458"/>
      <c r="B147" s="345" t="s">
        <v>83</v>
      </c>
      <c r="C147" s="345" t="s">
        <v>3</v>
      </c>
      <c r="D147" s="383">
        <f t="shared" si="117"/>
        <v>0</v>
      </c>
      <c r="E147" s="383">
        <f t="shared" si="117"/>
        <v>0</v>
      </c>
      <c r="F147" s="383">
        <f t="shared" ref="F147:G147" si="123">F127+F132+F137+F142</f>
        <v>0</v>
      </c>
      <c r="G147" s="383">
        <f t="shared" si="123"/>
        <v>0</v>
      </c>
      <c r="H147" s="383">
        <f t="shared" ref="H147:I147" si="124">H127+H132+H137+H142</f>
        <v>25</v>
      </c>
      <c r="I147" s="383">
        <f t="shared" si="124"/>
        <v>0</v>
      </c>
      <c r="J147" s="383">
        <f t="shared" ref="J147:K147" si="125">J127+J132+J137+J142</f>
        <v>0</v>
      </c>
      <c r="K147" s="383">
        <f t="shared" si="125"/>
        <v>0</v>
      </c>
      <c r="L147" s="383">
        <f t="shared" ref="L147:O147" si="126">L127+L132+L137+L142</f>
        <v>0</v>
      </c>
      <c r="M147" s="383">
        <f t="shared" si="126"/>
        <v>0</v>
      </c>
      <c r="N147" s="383">
        <f t="shared" si="126"/>
        <v>19</v>
      </c>
      <c r="O147" s="383">
        <f t="shared" si="126"/>
        <v>10</v>
      </c>
      <c r="P147" s="412">
        <f t="shared" ref="P147" si="127">P127+P132+P137+P142</f>
        <v>54</v>
      </c>
    </row>
    <row r="148" spans="1:16" x14ac:dyDescent="0.3">
      <c r="A148" s="458"/>
      <c r="B148" s="345" t="s">
        <v>82</v>
      </c>
      <c r="C148" s="345" t="s">
        <v>3</v>
      </c>
      <c r="D148" s="383">
        <f t="shared" si="117"/>
        <v>0</v>
      </c>
      <c r="E148" s="383">
        <f t="shared" si="117"/>
        <v>0</v>
      </c>
      <c r="F148" s="383">
        <f t="shared" ref="F148:G148" si="128">F128+F133+F138+F143</f>
        <v>0</v>
      </c>
      <c r="G148" s="383">
        <f t="shared" si="128"/>
        <v>0</v>
      </c>
      <c r="H148" s="383">
        <f t="shared" ref="H148:I148" si="129">H128+H133+H138+H143</f>
        <v>35</v>
      </c>
      <c r="I148" s="383">
        <f t="shared" si="129"/>
        <v>60</v>
      </c>
      <c r="J148" s="383">
        <f t="shared" ref="J148:K148" si="130">J128+J133+J138+J143</f>
        <v>30</v>
      </c>
      <c r="K148" s="383">
        <f t="shared" si="130"/>
        <v>0</v>
      </c>
      <c r="L148" s="383">
        <f t="shared" ref="L148:O148" si="131">L128+L133+L138+L143</f>
        <v>10</v>
      </c>
      <c r="M148" s="383">
        <f t="shared" si="131"/>
        <v>622</v>
      </c>
      <c r="N148" s="383">
        <f t="shared" si="131"/>
        <v>82</v>
      </c>
      <c r="O148" s="383">
        <f t="shared" si="131"/>
        <v>0</v>
      </c>
      <c r="P148" s="412">
        <f t="shared" ref="P148" si="132">P128+P133+P138+P143</f>
        <v>839</v>
      </c>
    </row>
    <row r="149" spans="1:16" x14ac:dyDescent="0.3">
      <c r="A149" s="250"/>
      <c r="B149" s="345" t="s">
        <v>81</v>
      </c>
      <c r="C149" s="345" t="s">
        <v>3</v>
      </c>
      <c r="D149" s="378">
        <f t="shared" ref="D149:I149" si="133">D145+D146-D147-D148</f>
        <v>915</v>
      </c>
      <c r="E149" s="378">
        <f t="shared" si="133"/>
        <v>920</v>
      </c>
      <c r="F149" s="378">
        <f t="shared" si="133"/>
        <v>929</v>
      </c>
      <c r="G149" s="378">
        <f t="shared" si="133"/>
        <v>990</v>
      </c>
      <c r="H149" s="378">
        <f t="shared" si="133"/>
        <v>938</v>
      </c>
      <c r="I149" s="378">
        <f t="shared" si="133"/>
        <v>883</v>
      </c>
      <c r="J149" s="378">
        <f t="shared" ref="J149:K149" si="134">J145+J146-J147-J148</f>
        <v>856</v>
      </c>
      <c r="K149" s="378">
        <f t="shared" si="134"/>
        <v>882</v>
      </c>
      <c r="L149" s="378">
        <f t="shared" ref="L149:O149" si="135">L145+L146-L147-L148</f>
        <v>872</v>
      </c>
      <c r="M149" s="378">
        <f t="shared" si="135"/>
        <v>250</v>
      </c>
      <c r="N149" s="378">
        <f t="shared" si="135"/>
        <v>159</v>
      </c>
      <c r="O149" s="378">
        <f t="shared" si="135"/>
        <v>223</v>
      </c>
      <c r="P149" s="412">
        <f t="shared" ref="P149" si="136">P129+P134+P139+P144</f>
        <v>223</v>
      </c>
    </row>
    <row r="150" spans="1:16" x14ac:dyDescent="0.3">
      <c r="A150" s="447" t="s">
        <v>80</v>
      </c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48"/>
      <c r="N150" s="448"/>
      <c r="O150" s="448"/>
      <c r="P150" s="526"/>
    </row>
    <row r="151" spans="1:16" x14ac:dyDescent="0.3">
      <c r="A151" s="449" t="s">
        <v>79</v>
      </c>
      <c r="B151" s="450"/>
      <c r="C151" s="345"/>
      <c r="D151" s="369"/>
      <c r="E151" s="369"/>
      <c r="F151" s="369"/>
      <c r="G151" s="369"/>
      <c r="H151" s="369"/>
      <c r="I151" s="369"/>
      <c r="J151" s="413"/>
      <c r="K151" s="413"/>
      <c r="L151" s="413"/>
      <c r="M151" s="413"/>
      <c r="N151" s="413"/>
      <c r="O151" s="413"/>
      <c r="P151" s="372"/>
    </row>
    <row r="152" spans="1:16" x14ac:dyDescent="0.3">
      <c r="A152" s="475" t="s">
        <v>78</v>
      </c>
      <c r="B152" s="414" t="s">
        <v>63</v>
      </c>
      <c r="C152" s="345"/>
      <c r="D152" s="369"/>
      <c r="E152" s="369"/>
      <c r="F152" s="369"/>
      <c r="G152" s="369"/>
      <c r="H152" s="369"/>
      <c r="I152" s="369"/>
      <c r="J152" s="413"/>
      <c r="K152" s="413"/>
      <c r="L152" s="413"/>
      <c r="M152" s="413"/>
      <c r="N152" s="413"/>
      <c r="O152" s="413"/>
      <c r="P152" s="372"/>
    </row>
    <row r="153" spans="1:16" x14ac:dyDescent="0.3">
      <c r="A153" s="476"/>
      <c r="B153" s="20" t="s">
        <v>73</v>
      </c>
      <c r="C153" s="345" t="s">
        <v>57</v>
      </c>
      <c r="D153" s="374">
        <v>149</v>
      </c>
      <c r="E153" s="374">
        <v>152</v>
      </c>
      <c r="F153" s="374">
        <v>196</v>
      </c>
      <c r="G153" s="374">
        <v>166</v>
      </c>
      <c r="H153" s="374">
        <v>181</v>
      </c>
      <c r="I153" s="374">
        <v>170</v>
      </c>
      <c r="J153" s="374">
        <v>175</v>
      </c>
      <c r="K153" s="374">
        <v>174</v>
      </c>
      <c r="L153" s="374">
        <v>157</v>
      </c>
      <c r="M153" s="374">
        <v>159</v>
      </c>
      <c r="N153" s="374">
        <v>156</v>
      </c>
      <c r="O153" s="374">
        <v>145</v>
      </c>
      <c r="P153" s="381">
        <f t="shared" ref="P153:P165" si="137">SUM(D153:O153)</f>
        <v>1980</v>
      </c>
    </row>
    <row r="154" spans="1:16" x14ac:dyDescent="0.3">
      <c r="A154" s="476"/>
      <c r="B154" s="20" t="s">
        <v>72</v>
      </c>
      <c r="C154" s="345" t="s">
        <v>57</v>
      </c>
      <c r="D154" s="374">
        <v>110</v>
      </c>
      <c r="E154" s="374">
        <v>128</v>
      </c>
      <c r="F154" s="374">
        <v>105</v>
      </c>
      <c r="G154" s="374">
        <v>119</v>
      </c>
      <c r="H154" s="374">
        <v>150</v>
      </c>
      <c r="I154" s="374">
        <v>135</v>
      </c>
      <c r="J154" s="374">
        <v>135</v>
      </c>
      <c r="K154" s="374">
        <v>122</v>
      </c>
      <c r="L154" s="374">
        <v>110</v>
      </c>
      <c r="M154" s="374">
        <v>116</v>
      </c>
      <c r="N154" s="374">
        <v>104</v>
      </c>
      <c r="O154" s="374">
        <v>82</v>
      </c>
      <c r="P154" s="381">
        <f t="shared" si="137"/>
        <v>1416</v>
      </c>
    </row>
    <row r="155" spans="1:16" x14ac:dyDescent="0.3">
      <c r="A155" s="476"/>
      <c r="B155" s="20" t="s">
        <v>53</v>
      </c>
      <c r="C155" s="345" t="s">
        <v>57</v>
      </c>
      <c r="D155" s="374">
        <v>15</v>
      </c>
      <c r="E155" s="374">
        <v>13</v>
      </c>
      <c r="F155" s="374">
        <v>14</v>
      </c>
      <c r="G155" s="374">
        <v>17</v>
      </c>
      <c r="H155" s="374">
        <v>23</v>
      </c>
      <c r="I155" s="374">
        <v>16</v>
      </c>
      <c r="J155" s="374">
        <v>12</v>
      </c>
      <c r="K155" s="374">
        <v>16</v>
      </c>
      <c r="L155" s="374">
        <v>14</v>
      </c>
      <c r="M155" s="374">
        <v>12</v>
      </c>
      <c r="N155" s="374">
        <v>12</v>
      </c>
      <c r="O155" s="374">
        <v>11</v>
      </c>
      <c r="P155" s="381">
        <f t="shared" si="137"/>
        <v>175</v>
      </c>
    </row>
    <row r="156" spans="1:16" x14ac:dyDescent="0.3">
      <c r="A156" s="476"/>
      <c r="B156" s="20" t="s">
        <v>71</v>
      </c>
      <c r="C156" s="345" t="s">
        <v>57</v>
      </c>
      <c r="D156" s="374">
        <v>5</v>
      </c>
      <c r="E156" s="374">
        <v>5</v>
      </c>
      <c r="F156" s="374">
        <v>4</v>
      </c>
      <c r="G156" s="374">
        <v>10</v>
      </c>
      <c r="H156" s="374">
        <v>2</v>
      </c>
      <c r="I156" s="374">
        <v>3</v>
      </c>
      <c r="J156" s="374">
        <v>4</v>
      </c>
      <c r="K156" s="374">
        <v>5</v>
      </c>
      <c r="L156" s="374">
        <v>5</v>
      </c>
      <c r="M156" s="374">
        <v>2</v>
      </c>
      <c r="N156" s="374">
        <v>1</v>
      </c>
      <c r="O156" s="374">
        <v>1</v>
      </c>
      <c r="P156" s="381">
        <f t="shared" si="137"/>
        <v>47</v>
      </c>
    </row>
    <row r="157" spans="1:16" x14ac:dyDescent="0.3">
      <c r="A157" s="476"/>
      <c r="B157" s="20" t="s">
        <v>52</v>
      </c>
      <c r="C157" s="345" t="s">
        <v>57</v>
      </c>
      <c r="D157" s="374">
        <v>9</v>
      </c>
      <c r="E157" s="374">
        <v>7</v>
      </c>
      <c r="F157" s="374">
        <v>4</v>
      </c>
      <c r="G157" s="374">
        <v>4</v>
      </c>
      <c r="H157" s="374">
        <v>8</v>
      </c>
      <c r="I157" s="374">
        <v>3</v>
      </c>
      <c r="J157" s="374">
        <v>3</v>
      </c>
      <c r="K157" s="374">
        <v>6</v>
      </c>
      <c r="L157" s="374">
        <v>5</v>
      </c>
      <c r="M157" s="374">
        <v>6</v>
      </c>
      <c r="N157" s="374">
        <v>6</v>
      </c>
      <c r="O157" s="374">
        <v>5</v>
      </c>
      <c r="P157" s="381">
        <f t="shared" si="137"/>
        <v>66</v>
      </c>
    </row>
    <row r="158" spans="1:16" x14ac:dyDescent="0.3">
      <c r="A158" s="476"/>
      <c r="B158" s="20" t="s">
        <v>51</v>
      </c>
      <c r="C158" s="345" t="s">
        <v>57</v>
      </c>
      <c r="D158" s="374">
        <v>11</v>
      </c>
      <c r="E158" s="374">
        <v>11</v>
      </c>
      <c r="F158" s="374">
        <v>12</v>
      </c>
      <c r="G158" s="374">
        <v>13</v>
      </c>
      <c r="H158" s="374">
        <v>9</v>
      </c>
      <c r="I158" s="374">
        <v>9</v>
      </c>
      <c r="J158" s="374">
        <v>12</v>
      </c>
      <c r="K158" s="374">
        <v>11</v>
      </c>
      <c r="L158" s="374">
        <v>10</v>
      </c>
      <c r="M158" s="374">
        <v>9</v>
      </c>
      <c r="N158" s="374">
        <v>9</v>
      </c>
      <c r="O158" s="374">
        <v>11</v>
      </c>
      <c r="P158" s="381">
        <f t="shared" si="137"/>
        <v>127</v>
      </c>
    </row>
    <row r="159" spans="1:16" x14ac:dyDescent="0.3">
      <c r="A159" s="476"/>
      <c r="B159" s="20" t="s">
        <v>62</v>
      </c>
      <c r="C159" s="345" t="s">
        <v>57</v>
      </c>
      <c r="D159" s="374">
        <v>0</v>
      </c>
      <c r="E159" s="374">
        <v>0</v>
      </c>
      <c r="F159" s="374">
        <v>0</v>
      </c>
      <c r="G159" s="374"/>
      <c r="H159" s="374">
        <v>0</v>
      </c>
      <c r="I159" s="374">
        <v>0</v>
      </c>
      <c r="J159" s="374"/>
      <c r="K159" s="374"/>
      <c r="L159" s="374">
        <v>0</v>
      </c>
      <c r="M159" s="374">
        <v>0</v>
      </c>
      <c r="N159" s="374">
        <v>0</v>
      </c>
      <c r="O159" s="374"/>
      <c r="P159" s="381">
        <f t="shared" si="137"/>
        <v>0</v>
      </c>
    </row>
    <row r="160" spans="1:16" x14ac:dyDescent="0.3">
      <c r="A160" s="476"/>
      <c r="B160" s="20" t="s">
        <v>50</v>
      </c>
      <c r="C160" s="345" t="s">
        <v>57</v>
      </c>
      <c r="D160" s="374">
        <v>0</v>
      </c>
      <c r="E160" s="374">
        <v>0</v>
      </c>
      <c r="F160" s="374">
        <v>0</v>
      </c>
      <c r="G160" s="374">
        <v>3</v>
      </c>
      <c r="H160" s="374">
        <v>1</v>
      </c>
      <c r="I160" s="374">
        <v>1</v>
      </c>
      <c r="J160" s="374"/>
      <c r="K160" s="374"/>
      <c r="L160" s="374">
        <v>0</v>
      </c>
      <c r="M160" s="374">
        <v>0</v>
      </c>
      <c r="N160" s="374">
        <v>0</v>
      </c>
      <c r="O160" s="374"/>
      <c r="P160" s="381">
        <f t="shared" si="137"/>
        <v>5</v>
      </c>
    </row>
    <row r="161" spans="1:16" x14ac:dyDescent="0.3">
      <c r="A161" s="476"/>
      <c r="B161" s="20" t="s">
        <v>49</v>
      </c>
      <c r="C161" s="345" t="s">
        <v>57</v>
      </c>
      <c r="D161" s="374">
        <v>1</v>
      </c>
      <c r="E161" s="374">
        <v>3</v>
      </c>
      <c r="F161" s="374">
        <v>4</v>
      </c>
      <c r="G161" s="374">
        <v>4</v>
      </c>
      <c r="H161" s="374">
        <v>1</v>
      </c>
      <c r="I161" s="374">
        <v>3</v>
      </c>
      <c r="J161" s="374">
        <v>2</v>
      </c>
      <c r="K161" s="374">
        <v>1</v>
      </c>
      <c r="L161" s="374">
        <v>1</v>
      </c>
      <c r="M161" s="374">
        <v>2</v>
      </c>
      <c r="N161" s="374">
        <v>1</v>
      </c>
      <c r="O161" s="374">
        <v>7</v>
      </c>
      <c r="P161" s="381">
        <f t="shared" si="137"/>
        <v>30</v>
      </c>
    </row>
    <row r="162" spans="1:16" x14ac:dyDescent="0.3">
      <c r="A162" s="476"/>
      <c r="B162" s="20" t="s">
        <v>77</v>
      </c>
      <c r="C162" s="345" t="s">
        <v>57</v>
      </c>
      <c r="D162" s="374"/>
      <c r="E162" s="374"/>
      <c r="F162" s="374">
        <v>3</v>
      </c>
      <c r="G162" s="374">
        <v>3</v>
      </c>
      <c r="H162" s="374">
        <v>0</v>
      </c>
      <c r="I162" s="374">
        <v>0</v>
      </c>
      <c r="J162" s="374"/>
      <c r="K162" s="374"/>
      <c r="L162" s="374">
        <v>0</v>
      </c>
      <c r="M162" s="374">
        <v>1</v>
      </c>
      <c r="N162" s="374">
        <v>2</v>
      </c>
      <c r="O162" s="374"/>
      <c r="P162" s="381">
        <f t="shared" si="137"/>
        <v>9</v>
      </c>
    </row>
    <row r="163" spans="1:16" x14ac:dyDescent="0.3">
      <c r="A163" s="476"/>
      <c r="B163" s="20" t="s">
        <v>69</v>
      </c>
      <c r="C163" s="345" t="s">
        <v>57</v>
      </c>
      <c r="D163" s="374"/>
      <c r="E163" s="374"/>
      <c r="F163" s="374">
        <v>14</v>
      </c>
      <c r="G163" s="374">
        <v>3</v>
      </c>
      <c r="H163" s="374">
        <v>2</v>
      </c>
      <c r="I163" s="374">
        <v>1</v>
      </c>
      <c r="J163" s="374">
        <v>2</v>
      </c>
      <c r="K163" s="374">
        <v>5</v>
      </c>
      <c r="L163" s="374">
        <v>6</v>
      </c>
      <c r="M163" s="374">
        <v>2</v>
      </c>
      <c r="N163" s="374">
        <v>1</v>
      </c>
      <c r="O163" s="374"/>
      <c r="P163" s="381">
        <f t="shared" si="137"/>
        <v>36</v>
      </c>
    </row>
    <row r="164" spans="1:16" x14ac:dyDescent="0.3">
      <c r="A164" s="476"/>
      <c r="B164" s="20" t="s">
        <v>68</v>
      </c>
      <c r="C164" s="345" t="s">
        <v>57</v>
      </c>
      <c r="D164" s="374"/>
      <c r="E164" s="380"/>
      <c r="F164" s="374">
        <v>0</v>
      </c>
      <c r="G164" s="374"/>
      <c r="H164" s="374"/>
      <c r="I164" s="374"/>
      <c r="J164" s="374"/>
      <c r="K164" s="374"/>
      <c r="L164" s="374"/>
      <c r="M164" s="374"/>
      <c r="N164" s="374"/>
      <c r="O164" s="374"/>
      <c r="P164" s="381">
        <f t="shared" si="137"/>
        <v>0</v>
      </c>
    </row>
    <row r="165" spans="1:16" x14ac:dyDescent="0.3">
      <c r="A165" s="477"/>
      <c r="B165" s="20" t="s">
        <v>76</v>
      </c>
      <c r="C165" s="345" t="s">
        <v>57</v>
      </c>
      <c r="D165" s="374"/>
      <c r="E165" s="374"/>
      <c r="F165" s="374">
        <v>0</v>
      </c>
      <c r="G165" s="374"/>
      <c r="H165" s="374"/>
      <c r="I165" s="374"/>
      <c r="J165" s="374"/>
      <c r="K165" s="374"/>
      <c r="L165" s="374"/>
      <c r="M165" s="374"/>
      <c r="N165" s="374"/>
      <c r="O165" s="374"/>
      <c r="P165" s="381">
        <f t="shared" si="137"/>
        <v>0</v>
      </c>
    </row>
    <row r="166" spans="1:16" x14ac:dyDescent="0.3">
      <c r="A166" s="475" t="s">
        <v>75</v>
      </c>
      <c r="B166" s="415" t="s">
        <v>63</v>
      </c>
      <c r="C166" s="345"/>
      <c r="D166" s="374"/>
      <c r="E166" s="374"/>
      <c r="F166" s="374"/>
      <c r="G166" s="374"/>
      <c r="H166" s="374"/>
      <c r="I166" s="374"/>
      <c r="J166" s="374"/>
      <c r="K166" s="374"/>
      <c r="L166" s="374"/>
      <c r="M166" s="374"/>
      <c r="N166" s="374"/>
      <c r="O166" s="374"/>
      <c r="P166" s="381"/>
    </row>
    <row r="167" spans="1:16" x14ac:dyDescent="0.3">
      <c r="A167" s="476"/>
      <c r="B167" s="20" t="s">
        <v>74</v>
      </c>
      <c r="C167" s="345" t="s">
        <v>57</v>
      </c>
      <c r="D167" s="374"/>
      <c r="E167" s="380"/>
      <c r="F167" s="380"/>
      <c r="G167" s="380"/>
      <c r="H167" s="380"/>
      <c r="I167" s="380"/>
      <c r="J167" s="380"/>
      <c r="K167" s="380"/>
      <c r="L167" s="374"/>
      <c r="M167" s="380"/>
      <c r="N167" s="374"/>
      <c r="O167" s="374"/>
      <c r="P167" s="381">
        <f t="shared" ref="P167:P175" si="138">SUM(D167:O167)</f>
        <v>0</v>
      </c>
    </row>
    <row r="168" spans="1:16" x14ac:dyDescent="0.3">
      <c r="A168" s="476"/>
      <c r="B168" s="20" t="s">
        <v>73</v>
      </c>
      <c r="C168" s="345" t="s">
        <v>57</v>
      </c>
      <c r="D168" s="374"/>
      <c r="E168" s="380"/>
      <c r="F168" s="380"/>
      <c r="G168" s="380"/>
      <c r="H168" s="380"/>
      <c r="I168" s="380"/>
      <c r="J168" s="380"/>
      <c r="K168" s="380"/>
      <c r="L168" s="374"/>
      <c r="M168" s="380"/>
      <c r="N168" s="374"/>
      <c r="O168" s="374"/>
      <c r="P168" s="381">
        <f t="shared" si="138"/>
        <v>0</v>
      </c>
    </row>
    <row r="169" spans="1:16" x14ac:dyDescent="0.3">
      <c r="A169" s="476"/>
      <c r="B169" s="20" t="s">
        <v>72</v>
      </c>
      <c r="C169" s="345" t="s">
        <v>57</v>
      </c>
      <c r="D169" s="374"/>
      <c r="E169" s="380"/>
      <c r="F169" s="380"/>
      <c r="G169" s="380"/>
      <c r="H169" s="380"/>
      <c r="I169" s="380"/>
      <c r="J169" s="380"/>
      <c r="K169" s="380"/>
      <c r="L169" s="374"/>
      <c r="M169" s="380"/>
      <c r="N169" s="374"/>
      <c r="O169" s="374"/>
      <c r="P169" s="381">
        <f t="shared" si="138"/>
        <v>0</v>
      </c>
    </row>
    <row r="170" spans="1:16" x14ac:dyDescent="0.3">
      <c r="A170" s="476"/>
      <c r="B170" s="20" t="s">
        <v>71</v>
      </c>
      <c r="C170" s="345" t="s">
        <v>57</v>
      </c>
      <c r="D170" s="374"/>
      <c r="E170" s="380"/>
      <c r="F170" s="380"/>
      <c r="G170" s="380"/>
      <c r="H170" s="380"/>
      <c r="I170" s="380"/>
      <c r="J170" s="380"/>
      <c r="K170" s="380"/>
      <c r="L170" s="374"/>
      <c r="M170" s="380"/>
      <c r="N170" s="374"/>
      <c r="O170" s="374"/>
      <c r="P170" s="381">
        <f t="shared" si="138"/>
        <v>0</v>
      </c>
    </row>
    <row r="171" spans="1:16" x14ac:dyDescent="0.3">
      <c r="A171" s="476"/>
      <c r="B171" s="20" t="s">
        <v>52</v>
      </c>
      <c r="C171" s="345" t="s">
        <v>57</v>
      </c>
      <c r="D171" s="374"/>
      <c r="E171" s="380"/>
      <c r="F171" s="380"/>
      <c r="G171" s="380"/>
      <c r="H171" s="380"/>
      <c r="I171" s="380"/>
      <c r="J171" s="380"/>
      <c r="K171" s="380"/>
      <c r="L171" s="374"/>
      <c r="M171" s="380"/>
      <c r="N171" s="374"/>
      <c r="O171" s="374"/>
      <c r="P171" s="381">
        <f t="shared" si="138"/>
        <v>0</v>
      </c>
    </row>
    <row r="172" spans="1:16" x14ac:dyDescent="0.3">
      <c r="A172" s="476"/>
      <c r="B172" s="20" t="s">
        <v>62</v>
      </c>
      <c r="C172" s="345" t="s">
        <v>57</v>
      </c>
      <c r="D172" s="374"/>
      <c r="E172" s="380"/>
      <c r="F172" s="380"/>
      <c r="G172" s="380"/>
      <c r="H172" s="380"/>
      <c r="I172" s="380"/>
      <c r="J172" s="380"/>
      <c r="K172" s="380"/>
      <c r="L172" s="374"/>
      <c r="M172" s="380"/>
      <c r="N172" s="374"/>
      <c r="O172" s="374"/>
      <c r="P172" s="381">
        <f t="shared" si="138"/>
        <v>0</v>
      </c>
    </row>
    <row r="173" spans="1:16" x14ac:dyDescent="0.3">
      <c r="A173" s="476"/>
      <c r="B173" s="20" t="s">
        <v>61</v>
      </c>
      <c r="C173" s="345" t="s">
        <v>57</v>
      </c>
      <c r="D173" s="374"/>
      <c r="E173" s="380"/>
      <c r="F173" s="380"/>
      <c r="G173" s="380"/>
      <c r="H173" s="380"/>
      <c r="I173" s="380"/>
      <c r="J173" s="380"/>
      <c r="K173" s="380"/>
      <c r="L173" s="374"/>
      <c r="M173" s="374"/>
      <c r="N173" s="374"/>
      <c r="O173" s="374"/>
      <c r="P173" s="381">
        <f t="shared" si="138"/>
        <v>0</v>
      </c>
    </row>
    <row r="174" spans="1:16" x14ac:dyDescent="0.3">
      <c r="A174" s="476"/>
      <c r="B174" s="20" t="s">
        <v>60</v>
      </c>
      <c r="C174" s="345" t="s">
        <v>57</v>
      </c>
      <c r="D174" s="374"/>
      <c r="E174" s="380"/>
      <c r="F174" s="380"/>
      <c r="G174" s="380"/>
      <c r="H174" s="380"/>
      <c r="I174" s="380"/>
      <c r="J174" s="380"/>
      <c r="K174" s="380"/>
      <c r="L174" s="374"/>
      <c r="M174" s="374"/>
      <c r="N174" s="374"/>
      <c r="O174" s="374"/>
      <c r="P174" s="381">
        <f t="shared" si="138"/>
        <v>0</v>
      </c>
    </row>
    <row r="175" spans="1:16" x14ac:dyDescent="0.3">
      <c r="A175" s="477"/>
      <c r="B175" s="20" t="s">
        <v>69</v>
      </c>
      <c r="C175" s="345" t="s">
        <v>57</v>
      </c>
      <c r="D175" s="374"/>
      <c r="E175" s="380"/>
      <c r="F175" s="380"/>
      <c r="G175" s="380"/>
      <c r="H175" s="380"/>
      <c r="I175" s="380"/>
      <c r="J175" s="380"/>
      <c r="K175" s="380"/>
      <c r="L175" s="374"/>
      <c r="M175" s="374"/>
      <c r="N175" s="374"/>
      <c r="O175" s="374"/>
      <c r="P175" s="381">
        <f t="shared" si="138"/>
        <v>0</v>
      </c>
    </row>
    <row r="176" spans="1:16" x14ac:dyDescent="0.3">
      <c r="A176" s="475" t="s">
        <v>70</v>
      </c>
      <c r="B176" s="415" t="s">
        <v>63</v>
      </c>
      <c r="C176" s="345"/>
      <c r="D176" s="374"/>
      <c r="E176" s="374"/>
      <c r="F176" s="374"/>
      <c r="G176" s="374"/>
      <c r="H176" s="374"/>
      <c r="I176" s="374"/>
      <c r="J176" s="374"/>
      <c r="K176" s="374"/>
      <c r="L176" s="374"/>
      <c r="M176" s="374"/>
      <c r="N176" s="374"/>
      <c r="O176" s="374"/>
      <c r="P176" s="381"/>
    </row>
    <row r="177" spans="1:16" x14ac:dyDescent="0.3">
      <c r="A177" s="476"/>
      <c r="B177" s="20" t="s">
        <v>60</v>
      </c>
      <c r="C177" s="345" t="s">
        <v>57</v>
      </c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4"/>
      <c r="P177" s="381">
        <f t="shared" ref="P177:P182" si="139">SUM(D177:O177)</f>
        <v>0</v>
      </c>
    </row>
    <row r="178" spans="1:16" x14ac:dyDescent="0.3">
      <c r="A178" s="476"/>
      <c r="B178" s="20" t="s">
        <v>69</v>
      </c>
      <c r="C178" s="345" t="s">
        <v>57</v>
      </c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4"/>
      <c r="P178" s="381">
        <f t="shared" si="139"/>
        <v>0</v>
      </c>
    </row>
    <row r="179" spans="1:16" x14ac:dyDescent="0.3">
      <c r="A179" s="476"/>
      <c r="B179" s="20" t="s">
        <v>68</v>
      </c>
      <c r="C179" s="345" t="s">
        <v>57</v>
      </c>
      <c r="D179" s="374"/>
      <c r="E179" s="374"/>
      <c r="F179" s="374"/>
      <c r="G179" s="374"/>
      <c r="H179" s="374"/>
      <c r="I179" s="374"/>
      <c r="J179" s="374"/>
      <c r="K179" s="374"/>
      <c r="L179" s="374"/>
      <c r="M179" s="374"/>
      <c r="N179" s="374"/>
      <c r="O179" s="374"/>
      <c r="P179" s="381">
        <f t="shared" si="139"/>
        <v>0</v>
      </c>
    </row>
    <row r="180" spans="1:16" x14ac:dyDescent="0.3">
      <c r="A180" s="476"/>
      <c r="B180" s="20" t="s">
        <v>67</v>
      </c>
      <c r="C180" s="345" t="s">
        <v>57</v>
      </c>
      <c r="D180" s="374"/>
      <c r="E180" s="374"/>
      <c r="F180" s="374"/>
      <c r="G180" s="374"/>
      <c r="H180" s="374"/>
      <c r="I180" s="374"/>
      <c r="J180" s="374"/>
      <c r="K180" s="374"/>
      <c r="L180" s="374"/>
      <c r="M180" s="374"/>
      <c r="N180" s="374"/>
      <c r="O180" s="374"/>
      <c r="P180" s="381">
        <f t="shared" si="139"/>
        <v>0</v>
      </c>
    </row>
    <row r="181" spans="1:16" x14ac:dyDescent="0.3">
      <c r="A181" s="476"/>
      <c r="B181" s="20" t="s">
        <v>66</v>
      </c>
      <c r="C181" s="345" t="s">
        <v>57</v>
      </c>
      <c r="D181" s="374"/>
      <c r="E181" s="374"/>
      <c r="F181" s="374"/>
      <c r="G181" s="374"/>
      <c r="H181" s="374"/>
      <c r="I181" s="374"/>
      <c r="J181" s="374"/>
      <c r="K181" s="374"/>
      <c r="L181" s="374"/>
      <c r="M181" s="374"/>
      <c r="N181" s="374"/>
      <c r="O181" s="374"/>
      <c r="P181" s="381">
        <f t="shared" si="139"/>
        <v>0</v>
      </c>
    </row>
    <row r="182" spans="1:16" x14ac:dyDescent="0.3">
      <c r="A182" s="477"/>
      <c r="B182" s="20" t="s">
        <v>65</v>
      </c>
      <c r="C182" s="345" t="s">
        <v>57</v>
      </c>
      <c r="D182" s="374"/>
      <c r="E182" s="374"/>
      <c r="F182" s="374"/>
      <c r="G182" s="374"/>
      <c r="H182" s="374"/>
      <c r="I182" s="374"/>
      <c r="J182" s="374"/>
      <c r="K182" s="374"/>
      <c r="L182" s="374"/>
      <c r="M182" s="374"/>
      <c r="N182" s="374"/>
      <c r="O182" s="374"/>
      <c r="P182" s="381">
        <f t="shared" si="139"/>
        <v>0</v>
      </c>
    </row>
    <row r="183" spans="1:16" x14ac:dyDescent="0.3">
      <c r="A183" s="475" t="s">
        <v>209</v>
      </c>
      <c r="B183" s="415" t="s">
        <v>63</v>
      </c>
      <c r="C183" s="345"/>
      <c r="D183" s="374"/>
      <c r="E183" s="374"/>
      <c r="F183" s="374"/>
      <c r="G183" s="374"/>
      <c r="H183" s="374"/>
      <c r="I183" s="374"/>
      <c r="J183" s="374"/>
      <c r="K183" s="374"/>
      <c r="L183" s="374"/>
      <c r="M183" s="374"/>
      <c r="N183" s="374"/>
      <c r="O183" s="374"/>
      <c r="P183" s="381"/>
    </row>
    <row r="184" spans="1:16" x14ac:dyDescent="0.3">
      <c r="A184" s="476"/>
      <c r="B184" s="20" t="s">
        <v>73</v>
      </c>
      <c r="C184" s="345"/>
      <c r="D184" s="374"/>
      <c r="E184" s="380"/>
      <c r="F184" s="380"/>
      <c r="G184" s="380"/>
      <c r="H184" s="380"/>
      <c r="I184" s="380"/>
      <c r="J184" s="380"/>
      <c r="K184" s="380"/>
      <c r="L184" s="374"/>
      <c r="M184" s="374"/>
      <c r="N184" s="374"/>
      <c r="O184" s="374"/>
      <c r="P184" s="381">
        <f>SUM(D184:O184)</f>
        <v>0</v>
      </c>
    </row>
    <row r="185" spans="1:16" x14ac:dyDescent="0.3">
      <c r="A185" s="476"/>
      <c r="B185" s="20" t="s">
        <v>72</v>
      </c>
      <c r="C185" s="345"/>
      <c r="D185" s="374"/>
      <c r="E185" s="380"/>
      <c r="F185" s="380"/>
      <c r="G185" s="380"/>
      <c r="H185" s="380"/>
      <c r="I185" s="380"/>
      <c r="J185" s="380"/>
      <c r="K185" s="380"/>
      <c r="L185" s="374"/>
      <c r="M185" s="374"/>
      <c r="N185" s="374"/>
      <c r="O185" s="374"/>
      <c r="P185" s="381">
        <f>SUM(D185:O185)</f>
        <v>0</v>
      </c>
    </row>
    <row r="186" spans="1:16" x14ac:dyDescent="0.3">
      <c r="A186" s="476"/>
      <c r="B186" s="20" t="s">
        <v>53</v>
      </c>
      <c r="C186" s="345"/>
      <c r="D186" s="374"/>
      <c r="E186" s="380"/>
      <c r="F186" s="380"/>
      <c r="G186" s="380"/>
      <c r="H186" s="380"/>
      <c r="I186" s="380"/>
      <c r="J186" s="380"/>
      <c r="K186" s="380"/>
      <c r="L186" s="374"/>
      <c r="M186" s="374"/>
      <c r="N186" s="374"/>
      <c r="O186" s="374"/>
      <c r="P186" s="381">
        <f>SUM(D186:O186)</f>
        <v>0</v>
      </c>
    </row>
    <row r="187" spans="1:16" x14ac:dyDescent="0.3">
      <c r="A187" s="477"/>
      <c r="B187" s="20" t="s">
        <v>52</v>
      </c>
      <c r="C187" s="345"/>
      <c r="D187" s="374"/>
      <c r="E187" s="380"/>
      <c r="F187" s="380"/>
      <c r="G187" s="380"/>
      <c r="H187" s="380"/>
      <c r="I187" s="380"/>
      <c r="J187" s="380"/>
      <c r="K187" s="380"/>
      <c r="L187" s="374"/>
      <c r="M187" s="374"/>
      <c r="N187" s="374"/>
      <c r="O187" s="374"/>
      <c r="P187" s="381">
        <f>SUM(D187:O187)</f>
        <v>0</v>
      </c>
    </row>
    <row r="188" spans="1:16" x14ac:dyDescent="0.3">
      <c r="A188" s="475" t="s">
        <v>64</v>
      </c>
      <c r="B188" s="415" t="s">
        <v>63</v>
      </c>
      <c r="C188" s="345"/>
      <c r="D188" s="374"/>
      <c r="E188" s="380"/>
      <c r="F188" s="380"/>
      <c r="G188" s="380"/>
      <c r="H188" s="380"/>
      <c r="I188" s="380"/>
      <c r="J188" s="380"/>
      <c r="K188" s="380"/>
      <c r="L188" s="374"/>
      <c r="M188" s="374"/>
      <c r="N188" s="374"/>
      <c r="O188" s="374"/>
      <c r="P188" s="381"/>
    </row>
    <row r="189" spans="1:16" x14ac:dyDescent="0.3">
      <c r="A189" s="476"/>
      <c r="B189" s="20" t="s">
        <v>52</v>
      </c>
      <c r="C189" s="345" t="s">
        <v>57</v>
      </c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4"/>
      <c r="P189" s="381">
        <f>SUM(D189:O189)</f>
        <v>0</v>
      </c>
    </row>
    <row r="190" spans="1:16" x14ac:dyDescent="0.3">
      <c r="A190" s="476"/>
      <c r="B190" s="20" t="s">
        <v>62</v>
      </c>
      <c r="C190" s="345" t="s">
        <v>57</v>
      </c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4"/>
      <c r="P190" s="381">
        <f>SUM(D190:O190)</f>
        <v>0</v>
      </c>
    </row>
    <row r="191" spans="1:16" x14ac:dyDescent="0.3">
      <c r="A191" s="476"/>
      <c r="B191" s="20" t="s">
        <v>61</v>
      </c>
      <c r="C191" s="345" t="s">
        <v>57</v>
      </c>
      <c r="D191" s="374"/>
      <c r="E191" s="374"/>
      <c r="F191" s="374"/>
      <c r="G191" s="374"/>
      <c r="H191" s="374"/>
      <c r="I191" s="374"/>
      <c r="J191" s="374"/>
      <c r="K191" s="374"/>
      <c r="L191" s="374"/>
      <c r="M191" s="374"/>
      <c r="N191" s="374"/>
      <c r="O191" s="374"/>
      <c r="P191" s="381">
        <f>SUM(D191:O191)</f>
        <v>0</v>
      </c>
    </row>
    <row r="192" spans="1:16" x14ac:dyDescent="0.3">
      <c r="A192" s="477"/>
      <c r="B192" s="20" t="s">
        <v>60</v>
      </c>
      <c r="C192" s="345" t="s">
        <v>57</v>
      </c>
      <c r="D192" s="374"/>
      <c r="E192" s="374"/>
      <c r="F192" s="374"/>
      <c r="G192" s="374"/>
      <c r="H192" s="374"/>
      <c r="I192" s="374"/>
      <c r="J192" s="374"/>
      <c r="K192" s="374"/>
      <c r="L192" s="374"/>
      <c r="M192" s="374"/>
      <c r="N192" s="374"/>
      <c r="O192" s="374"/>
      <c r="P192" s="381">
        <f>SUM(D192:O192)</f>
        <v>0</v>
      </c>
    </row>
    <row r="193" spans="1:16" x14ac:dyDescent="0.3">
      <c r="A193" s="416" t="s">
        <v>59</v>
      </c>
      <c r="B193" s="417"/>
      <c r="C193" s="345"/>
      <c r="D193" s="418">
        <f>SUM(D153:D192)</f>
        <v>300</v>
      </c>
      <c r="E193" s="418">
        <f t="shared" ref="E193:O193" si="140">SUM(E153:E192)</f>
        <v>319</v>
      </c>
      <c r="F193" s="418">
        <f t="shared" si="140"/>
        <v>356</v>
      </c>
      <c r="G193" s="418">
        <f t="shared" si="140"/>
        <v>342</v>
      </c>
      <c r="H193" s="418">
        <f t="shared" si="140"/>
        <v>377</v>
      </c>
      <c r="I193" s="418">
        <f t="shared" si="140"/>
        <v>341</v>
      </c>
      <c r="J193" s="418">
        <f t="shared" si="140"/>
        <v>345</v>
      </c>
      <c r="K193" s="418">
        <f t="shared" si="140"/>
        <v>340</v>
      </c>
      <c r="L193" s="418">
        <f t="shared" si="140"/>
        <v>308</v>
      </c>
      <c r="M193" s="418">
        <f t="shared" si="140"/>
        <v>309</v>
      </c>
      <c r="N193" s="418">
        <f t="shared" si="140"/>
        <v>292</v>
      </c>
      <c r="O193" s="418">
        <f t="shared" si="140"/>
        <v>262</v>
      </c>
      <c r="P193" s="375">
        <f t="shared" ref="P193" si="141">SUM(P153:P192)</f>
        <v>3891</v>
      </c>
    </row>
    <row r="194" spans="1:16" x14ac:dyDescent="0.3">
      <c r="A194" s="453" t="s">
        <v>58</v>
      </c>
      <c r="B194" s="478"/>
      <c r="C194" s="345" t="s">
        <v>57</v>
      </c>
      <c r="D194" s="374">
        <v>1</v>
      </c>
      <c r="E194" s="374">
        <v>1</v>
      </c>
      <c r="F194" s="374">
        <v>1</v>
      </c>
      <c r="G194" s="374">
        <v>1</v>
      </c>
      <c r="H194" s="374">
        <v>1</v>
      </c>
      <c r="I194" s="374">
        <v>1</v>
      </c>
      <c r="J194" s="374">
        <v>1</v>
      </c>
      <c r="K194" s="374">
        <v>1</v>
      </c>
      <c r="L194" s="374">
        <v>1</v>
      </c>
      <c r="M194" s="374">
        <v>1</v>
      </c>
      <c r="N194" s="374">
        <v>1</v>
      </c>
      <c r="O194" s="374">
        <v>1</v>
      </c>
      <c r="P194" s="372">
        <f>SUM(D194:O194)</f>
        <v>12</v>
      </c>
    </row>
    <row r="195" spans="1:16" x14ac:dyDescent="0.3">
      <c r="A195" s="455"/>
      <c r="B195" s="479"/>
      <c r="C195" s="419" t="s">
        <v>55</v>
      </c>
      <c r="D195" s="374">
        <v>720</v>
      </c>
      <c r="E195" s="374">
        <v>360</v>
      </c>
      <c r="F195" s="374">
        <v>360</v>
      </c>
      <c r="G195" s="374">
        <v>360</v>
      </c>
      <c r="H195" s="374">
        <v>360</v>
      </c>
      <c r="I195" s="374">
        <v>360</v>
      </c>
      <c r="J195" s="374">
        <v>194</v>
      </c>
      <c r="K195" s="374">
        <v>201</v>
      </c>
      <c r="L195" s="374">
        <v>189</v>
      </c>
      <c r="M195" s="374">
        <v>10</v>
      </c>
      <c r="N195" s="374">
        <v>20</v>
      </c>
      <c r="O195" s="374">
        <v>30</v>
      </c>
      <c r="P195" s="372">
        <f>SUM(D195:O195)</f>
        <v>3164</v>
      </c>
    </row>
    <row r="196" spans="1:16" x14ac:dyDescent="0.3">
      <c r="A196" s="420" t="s">
        <v>202</v>
      </c>
      <c r="B196" s="421"/>
      <c r="C196" s="419" t="s">
        <v>55</v>
      </c>
      <c r="D196" s="374">
        <v>600</v>
      </c>
      <c r="E196" s="374">
        <v>1200</v>
      </c>
      <c r="F196" s="374">
        <v>1200</v>
      </c>
      <c r="G196" s="374">
        <v>1200</v>
      </c>
      <c r="H196" s="374">
        <v>1200</v>
      </c>
      <c r="I196" s="374">
        <v>1200</v>
      </c>
      <c r="J196" s="374">
        <v>576</v>
      </c>
      <c r="K196" s="374">
        <v>600</v>
      </c>
      <c r="L196" s="374"/>
      <c r="M196" s="374">
        <v>648</v>
      </c>
      <c r="N196" s="374">
        <v>638</v>
      </c>
      <c r="O196" s="374">
        <v>576</v>
      </c>
      <c r="P196" s="372">
        <f>SUM(D196:O196)/12</f>
        <v>803.16666666666663</v>
      </c>
    </row>
    <row r="197" spans="1:16" x14ac:dyDescent="0.3">
      <c r="A197" s="449" t="s">
        <v>56</v>
      </c>
      <c r="B197" s="450"/>
      <c r="C197" s="419" t="s">
        <v>55</v>
      </c>
      <c r="D197" s="374">
        <v>12</v>
      </c>
      <c r="E197" s="374">
        <v>8</v>
      </c>
      <c r="F197" s="374">
        <v>5</v>
      </c>
      <c r="G197" s="374">
        <v>5</v>
      </c>
      <c r="H197" s="374">
        <v>3</v>
      </c>
      <c r="I197" s="374">
        <v>3</v>
      </c>
      <c r="J197" s="374">
        <v>5</v>
      </c>
      <c r="K197" s="374"/>
      <c r="L197" s="374"/>
      <c r="M197" s="374">
        <v>15</v>
      </c>
      <c r="N197" s="374">
        <v>15</v>
      </c>
      <c r="O197" s="374">
        <v>24</v>
      </c>
      <c r="P197" s="372">
        <f>SUM(D197:O197)</f>
        <v>95</v>
      </c>
    </row>
    <row r="198" spans="1:16" x14ac:dyDescent="0.3">
      <c r="A198" s="447" t="s">
        <v>203</v>
      </c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48"/>
      <c r="M198" s="448"/>
      <c r="N198" s="448"/>
      <c r="O198" s="448"/>
      <c r="P198" s="526"/>
    </row>
    <row r="199" spans="1:16" x14ac:dyDescent="0.3">
      <c r="A199" s="453" t="s">
        <v>54</v>
      </c>
      <c r="B199" s="354" t="s">
        <v>53</v>
      </c>
      <c r="C199" s="345" t="s">
        <v>47</v>
      </c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2">
        <f t="shared" ref="P199:P204" si="142">SUM(D199:O199)</f>
        <v>0</v>
      </c>
    </row>
    <row r="200" spans="1:16" x14ac:dyDescent="0.3">
      <c r="A200" s="454"/>
      <c r="B200" s="354" t="s">
        <v>52</v>
      </c>
      <c r="C200" s="345" t="s">
        <v>47</v>
      </c>
      <c r="D200" s="374"/>
      <c r="E200" s="374"/>
      <c r="F200" s="374"/>
      <c r="G200" s="374"/>
      <c r="H200" s="374"/>
      <c r="I200" s="374"/>
      <c r="J200" s="374"/>
      <c r="K200" s="374"/>
      <c r="L200" s="374"/>
      <c r="M200" s="374"/>
      <c r="N200" s="374"/>
      <c r="O200" s="374"/>
      <c r="P200" s="372">
        <f t="shared" si="142"/>
        <v>0</v>
      </c>
    </row>
    <row r="201" spans="1:16" x14ac:dyDescent="0.3">
      <c r="A201" s="454"/>
      <c r="B201" s="354" t="s">
        <v>51</v>
      </c>
      <c r="C201" s="345" t="s">
        <v>47</v>
      </c>
      <c r="D201" s="374"/>
      <c r="E201" s="374"/>
      <c r="F201" s="374"/>
      <c r="G201" s="374"/>
      <c r="H201" s="374"/>
      <c r="I201" s="374">
        <v>120</v>
      </c>
      <c r="J201" s="374"/>
      <c r="K201" s="374"/>
      <c r="L201" s="374"/>
      <c r="M201" s="374"/>
      <c r="N201" s="374"/>
      <c r="O201" s="374">
        <v>120</v>
      </c>
      <c r="P201" s="372">
        <f t="shared" si="142"/>
        <v>240</v>
      </c>
    </row>
    <row r="202" spans="1:16" x14ac:dyDescent="0.3">
      <c r="A202" s="454"/>
      <c r="B202" s="354" t="s">
        <v>50</v>
      </c>
      <c r="C202" s="345" t="s">
        <v>47</v>
      </c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2">
        <f t="shared" si="142"/>
        <v>0</v>
      </c>
    </row>
    <row r="203" spans="1:16" x14ac:dyDescent="0.3">
      <c r="A203" s="455"/>
      <c r="B203" s="354" t="s">
        <v>49</v>
      </c>
      <c r="C203" s="345" t="s">
        <v>47</v>
      </c>
      <c r="D203" s="374"/>
      <c r="E203" s="374"/>
      <c r="F203" s="374"/>
      <c r="G203" s="374"/>
      <c r="H203" s="374"/>
      <c r="I203" s="374"/>
      <c r="J203" s="374"/>
      <c r="K203" s="374"/>
      <c r="L203" s="374"/>
      <c r="M203" s="374"/>
      <c r="N203" s="374"/>
      <c r="O203" s="374"/>
      <c r="P203" s="372">
        <f t="shared" si="142"/>
        <v>0</v>
      </c>
    </row>
    <row r="204" spans="1:16" x14ac:dyDescent="0.3">
      <c r="A204" s="422" t="s">
        <v>48</v>
      </c>
      <c r="B204" s="354"/>
      <c r="C204" s="345" t="s">
        <v>47</v>
      </c>
      <c r="D204" s="369">
        <f t="shared" ref="D204:O204" si="143">SUM(D199:D203)</f>
        <v>0</v>
      </c>
      <c r="E204" s="369">
        <f t="shared" si="143"/>
        <v>0</v>
      </c>
      <c r="F204" s="369">
        <f t="shared" si="143"/>
        <v>0</v>
      </c>
      <c r="G204" s="369">
        <f t="shared" si="143"/>
        <v>0</v>
      </c>
      <c r="H204" s="369">
        <f t="shared" si="143"/>
        <v>0</v>
      </c>
      <c r="I204" s="369">
        <f t="shared" si="143"/>
        <v>120</v>
      </c>
      <c r="J204" s="369">
        <f t="shared" si="143"/>
        <v>0</v>
      </c>
      <c r="K204" s="369">
        <f t="shared" si="143"/>
        <v>0</v>
      </c>
      <c r="L204" s="369">
        <f t="shared" si="143"/>
        <v>0</v>
      </c>
      <c r="M204" s="369">
        <f t="shared" si="143"/>
        <v>0</v>
      </c>
      <c r="N204" s="369">
        <f t="shared" si="143"/>
        <v>0</v>
      </c>
      <c r="O204" s="369">
        <f t="shared" si="143"/>
        <v>120</v>
      </c>
      <c r="P204" s="423">
        <f t="shared" si="142"/>
        <v>240</v>
      </c>
    </row>
    <row r="205" spans="1:16" s="351" customFormat="1" x14ac:dyDescent="0.3">
      <c r="A205" s="447" t="s">
        <v>46</v>
      </c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48"/>
      <c r="M205" s="448"/>
      <c r="N205" s="448"/>
      <c r="O205" s="448"/>
      <c r="P205" s="526"/>
    </row>
    <row r="206" spans="1:16" x14ac:dyDescent="0.3">
      <c r="A206" s="449" t="s">
        <v>43</v>
      </c>
      <c r="B206" s="450"/>
      <c r="C206" s="345" t="s">
        <v>31</v>
      </c>
      <c r="D206" s="370">
        <v>10938101.460000001</v>
      </c>
      <c r="E206" s="370">
        <v>35348318.390000001</v>
      </c>
      <c r="F206" s="370">
        <v>18573619.120000001</v>
      </c>
      <c r="G206" s="370">
        <v>20846820.09</v>
      </c>
      <c r="H206" s="370">
        <v>25927476.690000001</v>
      </c>
      <c r="I206" s="370">
        <v>39472190.039999999</v>
      </c>
      <c r="J206" s="370">
        <v>19229044.069999997</v>
      </c>
      <c r="K206" s="370">
        <v>45351884.509999983</v>
      </c>
      <c r="L206" s="370">
        <v>13195286.800000001</v>
      </c>
      <c r="M206" s="370">
        <v>33117498.789999999</v>
      </c>
      <c r="N206" s="370">
        <v>20097540.329999998</v>
      </c>
      <c r="O206" s="370">
        <v>37051205.390000001</v>
      </c>
      <c r="P206" s="372">
        <f>SUM(D206:O206)</f>
        <v>319148985.67999995</v>
      </c>
    </row>
    <row r="207" spans="1:16" x14ac:dyDescent="0.3">
      <c r="A207" s="449" t="s">
        <v>42</v>
      </c>
      <c r="B207" s="450"/>
      <c r="C207" s="345" t="s">
        <v>31</v>
      </c>
      <c r="D207" s="370">
        <v>50000</v>
      </c>
      <c r="E207" s="370">
        <v>490500</v>
      </c>
      <c r="F207" s="370">
        <v>161742.93</v>
      </c>
      <c r="G207" s="370">
        <v>224500</v>
      </c>
      <c r="H207" s="370">
        <v>282200</v>
      </c>
      <c r="I207" s="370">
        <v>707542.93</v>
      </c>
      <c r="J207" s="370">
        <v>140300</v>
      </c>
      <c r="K207" s="370">
        <v>335000</v>
      </c>
      <c r="L207" s="370">
        <v>71000</v>
      </c>
      <c r="M207" s="370">
        <v>316500</v>
      </c>
      <c r="N207" s="370">
        <v>113600</v>
      </c>
      <c r="O207" s="370">
        <v>191600</v>
      </c>
      <c r="P207" s="372">
        <f>SUM(D207:O207)</f>
        <v>3084485.86</v>
      </c>
    </row>
    <row r="208" spans="1:16" x14ac:dyDescent="0.3">
      <c r="A208" s="456" t="s">
        <v>41</v>
      </c>
      <c r="B208" s="457"/>
      <c r="C208" s="345" t="s">
        <v>31</v>
      </c>
      <c r="D208" s="370">
        <v>3000</v>
      </c>
      <c r="E208" s="370">
        <v>223116.79999999999</v>
      </c>
      <c r="F208" s="370">
        <v>150950</v>
      </c>
      <c r="G208" s="370">
        <v>80100</v>
      </c>
      <c r="H208" s="370">
        <v>50000</v>
      </c>
      <c r="I208" s="370">
        <v>165150</v>
      </c>
      <c r="J208" s="370">
        <v>157520</v>
      </c>
      <c r="K208" s="370">
        <v>310142.93</v>
      </c>
      <c r="L208" s="370">
        <v>0</v>
      </c>
      <c r="M208" s="370">
        <v>1256069.3199999998</v>
      </c>
      <c r="N208" s="370">
        <v>117050</v>
      </c>
      <c r="O208" s="370">
        <v>176500</v>
      </c>
      <c r="P208" s="372">
        <f>SUM(D208:O208)</f>
        <v>2689599.05</v>
      </c>
    </row>
    <row r="209" spans="1:16" x14ac:dyDescent="0.3">
      <c r="A209" s="449" t="s">
        <v>40</v>
      </c>
      <c r="B209" s="450"/>
      <c r="C209" s="345" t="s">
        <v>31</v>
      </c>
      <c r="D209" s="370">
        <v>107828.62</v>
      </c>
      <c r="E209" s="370">
        <v>115600</v>
      </c>
      <c r="F209" s="370">
        <v>35000</v>
      </c>
      <c r="G209" s="370">
        <v>15000</v>
      </c>
      <c r="H209" s="370">
        <v>22000</v>
      </c>
      <c r="I209" s="370">
        <v>36700</v>
      </c>
      <c r="J209" s="370">
        <v>38450</v>
      </c>
      <c r="K209" s="370">
        <v>84000</v>
      </c>
      <c r="L209" s="370">
        <v>22000</v>
      </c>
      <c r="M209" s="370">
        <v>283066.55</v>
      </c>
      <c r="N209" s="370">
        <v>311700</v>
      </c>
      <c r="O209" s="370">
        <v>28000</v>
      </c>
      <c r="P209" s="372">
        <f>SUM(D209:O209)</f>
        <v>1099345.17</v>
      </c>
    </row>
    <row r="210" spans="1:16" x14ac:dyDescent="0.3">
      <c r="A210" s="451" t="s">
        <v>45</v>
      </c>
      <c r="B210" s="452"/>
      <c r="C210" s="345" t="s">
        <v>31</v>
      </c>
      <c r="D210" s="418">
        <f t="shared" ref="D210:O210" si="144">SUM(D206:D209)</f>
        <v>11098930.08</v>
      </c>
      <c r="E210" s="418">
        <f t="shared" si="144"/>
        <v>36177535.189999998</v>
      </c>
      <c r="F210" s="418">
        <f t="shared" si="144"/>
        <v>18921312.050000001</v>
      </c>
      <c r="G210" s="418">
        <f t="shared" si="144"/>
        <v>21166420.09</v>
      </c>
      <c r="H210" s="418">
        <f t="shared" si="144"/>
        <v>26281676.690000001</v>
      </c>
      <c r="I210" s="418">
        <f t="shared" si="144"/>
        <v>40381582.969999999</v>
      </c>
      <c r="J210" s="418">
        <f t="shared" si="144"/>
        <v>19565314.069999997</v>
      </c>
      <c r="K210" s="418">
        <f t="shared" si="144"/>
        <v>46081027.439999983</v>
      </c>
      <c r="L210" s="418">
        <f t="shared" si="144"/>
        <v>13288286.800000001</v>
      </c>
      <c r="M210" s="418">
        <f t="shared" si="144"/>
        <v>34973134.659999996</v>
      </c>
      <c r="N210" s="418">
        <f t="shared" si="144"/>
        <v>20639890.329999998</v>
      </c>
      <c r="O210" s="418">
        <f t="shared" si="144"/>
        <v>37447305.390000001</v>
      </c>
      <c r="P210" s="372">
        <f>SUM(D210:O210)</f>
        <v>326022415.75999999</v>
      </c>
    </row>
    <row r="211" spans="1:16" s="351" customFormat="1" x14ac:dyDescent="0.3">
      <c r="A211" s="447" t="s">
        <v>44</v>
      </c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48"/>
      <c r="M211" s="448"/>
      <c r="N211" s="448"/>
      <c r="O211" s="448"/>
      <c r="P211" s="526"/>
    </row>
    <row r="212" spans="1:16" x14ac:dyDescent="0.3">
      <c r="A212" s="449" t="s">
        <v>43</v>
      </c>
      <c r="B212" s="450"/>
      <c r="C212" s="345" t="s">
        <v>31</v>
      </c>
      <c r="D212" s="370">
        <v>8038260.2300000004</v>
      </c>
      <c r="E212" s="370">
        <v>8770412.5899999999</v>
      </c>
      <c r="F212" s="370">
        <v>9214852.0099999998</v>
      </c>
      <c r="G212" s="370">
        <v>9713100.5700000003</v>
      </c>
      <c r="H212" s="370">
        <v>14209886.16</v>
      </c>
      <c r="I212" s="370">
        <v>13412359.01</v>
      </c>
      <c r="J212" s="370">
        <v>13978088</v>
      </c>
      <c r="K212" s="370">
        <v>13306538.619999999</v>
      </c>
      <c r="L212" s="370">
        <v>15499241.219999999</v>
      </c>
      <c r="M212" s="370">
        <v>11661796.800000001</v>
      </c>
      <c r="N212" s="370">
        <v>24075722.73</v>
      </c>
      <c r="O212" s="370">
        <v>6190752.3600000003</v>
      </c>
      <c r="P212" s="372">
        <f>SUM(D212:O212)</f>
        <v>148071010.30000001</v>
      </c>
    </row>
    <row r="213" spans="1:16" x14ac:dyDescent="0.3">
      <c r="A213" s="449" t="s">
        <v>42</v>
      </c>
      <c r="B213" s="450"/>
      <c r="C213" s="345" t="s">
        <v>31</v>
      </c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>
        <v>2500</v>
      </c>
      <c r="P213" s="372">
        <f>SUM(D213:O213)</f>
        <v>2500</v>
      </c>
    </row>
    <row r="214" spans="1:16" x14ac:dyDescent="0.3">
      <c r="A214" s="456" t="s">
        <v>41</v>
      </c>
      <c r="B214" s="457"/>
      <c r="C214" s="345" t="s">
        <v>31</v>
      </c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>
        <v>1591500</v>
      </c>
      <c r="P214" s="372">
        <f>SUM(D214:O214)</f>
        <v>1591500</v>
      </c>
    </row>
    <row r="215" spans="1:16" x14ac:dyDescent="0.3">
      <c r="A215" s="449" t="s">
        <v>40</v>
      </c>
      <c r="B215" s="450"/>
      <c r="C215" s="345" t="s">
        <v>31</v>
      </c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>
        <v>1083163.0900000001</v>
      </c>
      <c r="P215" s="372">
        <f>SUM(D215:O215)</f>
        <v>1083163.0900000001</v>
      </c>
    </row>
    <row r="216" spans="1:16" x14ac:dyDescent="0.3">
      <c r="A216" s="451" t="s">
        <v>39</v>
      </c>
      <c r="B216" s="452"/>
      <c r="C216" s="345" t="s">
        <v>31</v>
      </c>
      <c r="D216" s="418">
        <f t="shared" ref="D216:O216" si="145">SUM(D212:D215)</f>
        <v>8038260.2300000004</v>
      </c>
      <c r="E216" s="418">
        <f t="shared" si="145"/>
        <v>8770412.5899999999</v>
      </c>
      <c r="F216" s="418">
        <f t="shared" si="145"/>
        <v>9214852.0099999998</v>
      </c>
      <c r="G216" s="418">
        <f t="shared" si="145"/>
        <v>9713100.5700000003</v>
      </c>
      <c r="H216" s="418">
        <f t="shared" si="145"/>
        <v>14209886.16</v>
      </c>
      <c r="I216" s="418">
        <f t="shared" si="145"/>
        <v>13412359.01</v>
      </c>
      <c r="J216" s="418">
        <f t="shared" si="145"/>
        <v>13978088</v>
      </c>
      <c r="K216" s="418">
        <f t="shared" si="145"/>
        <v>13306538.619999999</v>
      </c>
      <c r="L216" s="418">
        <f t="shared" si="145"/>
        <v>15499241.219999999</v>
      </c>
      <c r="M216" s="418">
        <f t="shared" si="145"/>
        <v>11661796.800000001</v>
      </c>
      <c r="N216" s="418">
        <f t="shared" si="145"/>
        <v>24075722.73</v>
      </c>
      <c r="O216" s="418">
        <f t="shared" si="145"/>
        <v>8867915.4500000011</v>
      </c>
      <c r="P216" s="372">
        <f>SUM(D216:O216)</f>
        <v>150748173.38999999</v>
      </c>
    </row>
    <row r="217" spans="1:16" s="351" customFormat="1" x14ac:dyDescent="0.3">
      <c r="A217" s="424" t="s">
        <v>38</v>
      </c>
      <c r="B217" s="425"/>
      <c r="C217" s="345" t="s">
        <v>31</v>
      </c>
      <c r="D217" s="418">
        <f>D210+D216</f>
        <v>19137190.310000002</v>
      </c>
      <c r="E217" s="418">
        <f t="shared" ref="E217:P217" si="146">E210+E216</f>
        <v>44947947.780000001</v>
      </c>
      <c r="F217" s="418">
        <f t="shared" si="146"/>
        <v>28136164.060000002</v>
      </c>
      <c r="G217" s="418">
        <f t="shared" si="146"/>
        <v>30879520.66</v>
      </c>
      <c r="H217" s="418">
        <f t="shared" si="146"/>
        <v>40491562.850000001</v>
      </c>
      <c r="I217" s="418">
        <f t="shared" si="146"/>
        <v>53793941.979999997</v>
      </c>
      <c r="J217" s="418">
        <f t="shared" si="146"/>
        <v>33543402.069999997</v>
      </c>
      <c r="K217" s="418">
        <f t="shared" si="146"/>
        <v>59387566.05999998</v>
      </c>
      <c r="L217" s="418">
        <f t="shared" si="146"/>
        <v>28787528.02</v>
      </c>
      <c r="M217" s="418">
        <f t="shared" si="146"/>
        <v>46634931.459999993</v>
      </c>
      <c r="N217" s="418">
        <f t="shared" si="146"/>
        <v>44715613.060000002</v>
      </c>
      <c r="O217" s="418">
        <f t="shared" si="146"/>
        <v>46315220.840000004</v>
      </c>
      <c r="P217" s="375">
        <f t="shared" si="146"/>
        <v>476770589.14999998</v>
      </c>
    </row>
    <row r="218" spans="1:16" s="351" customFormat="1" x14ac:dyDescent="0.3">
      <c r="A218" s="447" t="s">
        <v>37</v>
      </c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48"/>
      <c r="M218" s="448"/>
      <c r="N218" s="448"/>
      <c r="O218" s="448"/>
      <c r="P218" s="526"/>
    </row>
    <row r="219" spans="1:16" x14ac:dyDescent="0.3">
      <c r="A219" s="449" t="s">
        <v>35</v>
      </c>
      <c r="B219" s="450"/>
      <c r="C219" s="345" t="s">
        <v>31</v>
      </c>
      <c r="D219" s="370">
        <v>14061123.9</v>
      </c>
      <c r="E219" s="370">
        <v>23367047.219999999</v>
      </c>
      <c r="F219" s="370">
        <v>23743632.43</v>
      </c>
      <c r="G219" s="370">
        <v>22819198.690000001</v>
      </c>
      <c r="H219" s="370">
        <v>24672205.870000001</v>
      </c>
      <c r="I219" s="370">
        <v>27678799.559999999</v>
      </c>
      <c r="J219" s="370">
        <v>28362977.189999998</v>
      </c>
      <c r="K219" s="370">
        <v>31319482.579999998</v>
      </c>
      <c r="L219" s="370">
        <v>26450892.68</v>
      </c>
      <c r="M219" s="370">
        <v>29530881.430000398</v>
      </c>
      <c r="N219" s="370">
        <v>27017901.309999999</v>
      </c>
      <c r="O219" s="370">
        <v>25120185.489999998</v>
      </c>
      <c r="P219" s="372">
        <f>SUM(D219:O219)</f>
        <v>304144328.35000038</v>
      </c>
    </row>
    <row r="220" spans="1:16" x14ac:dyDescent="0.3">
      <c r="A220" s="449" t="s">
        <v>34</v>
      </c>
      <c r="B220" s="450"/>
      <c r="C220" s="345" t="s">
        <v>31</v>
      </c>
      <c r="D220" s="370">
        <v>179976.15</v>
      </c>
      <c r="E220" s="370">
        <v>173890</v>
      </c>
      <c r="F220" s="370">
        <v>205364.46</v>
      </c>
      <c r="G220" s="370">
        <v>182410.61</v>
      </c>
      <c r="H220" s="370">
        <v>218058.06</v>
      </c>
      <c r="I220" s="370">
        <v>213536.92</v>
      </c>
      <c r="J220" s="370">
        <v>230056.47</v>
      </c>
      <c r="K220" s="370">
        <v>220666.41</v>
      </c>
      <c r="L220" s="370">
        <v>203972.97</v>
      </c>
      <c r="M220" s="370">
        <v>180323.93</v>
      </c>
      <c r="N220" s="370">
        <v>220318.63</v>
      </c>
      <c r="O220" s="370">
        <v>146763.16</v>
      </c>
      <c r="P220" s="372">
        <f>SUM(D220:O220)</f>
        <v>2375337.77</v>
      </c>
    </row>
    <row r="221" spans="1:16" x14ac:dyDescent="0.3">
      <c r="A221" s="449" t="s">
        <v>33</v>
      </c>
      <c r="B221" s="450"/>
      <c r="C221" s="345" t="s">
        <v>31</v>
      </c>
      <c r="D221" s="370">
        <v>1123844.97</v>
      </c>
      <c r="E221" s="370">
        <v>564859.82999999996</v>
      </c>
      <c r="F221" s="370">
        <v>445777.61</v>
      </c>
      <c r="G221" s="370">
        <v>652175.30000000005</v>
      </c>
      <c r="H221" s="370">
        <v>846414.93</v>
      </c>
      <c r="I221" s="370">
        <v>1162608.25</v>
      </c>
      <c r="J221" s="370">
        <v>1261797.95</v>
      </c>
      <c r="K221" s="370">
        <v>616349.78</v>
      </c>
      <c r="L221" s="370">
        <v>548236.12</v>
      </c>
      <c r="M221" s="370">
        <v>1305584.7300000002</v>
      </c>
      <c r="N221" s="370">
        <v>437589.39</v>
      </c>
      <c r="O221" s="370">
        <v>474953.78</v>
      </c>
      <c r="P221" s="372">
        <f>SUM(D221:O221)</f>
        <v>9440192.6400000006</v>
      </c>
    </row>
    <row r="222" spans="1:16" x14ac:dyDescent="0.3">
      <c r="A222" s="449" t="s">
        <v>32</v>
      </c>
      <c r="B222" s="450"/>
      <c r="C222" s="345" t="s">
        <v>31</v>
      </c>
      <c r="D222" s="370">
        <v>103697.87</v>
      </c>
      <c r="E222" s="370">
        <v>151805.26</v>
      </c>
      <c r="F222" s="370">
        <v>150042.25</v>
      </c>
      <c r="G222" s="370">
        <v>127199.86</v>
      </c>
      <c r="H222" s="370">
        <v>555795.6</v>
      </c>
      <c r="I222" s="370">
        <v>558422.05000000005</v>
      </c>
      <c r="J222" s="370">
        <v>415454.74</v>
      </c>
      <c r="K222" s="370">
        <v>130277.71</v>
      </c>
      <c r="L222" s="370">
        <v>99499.21</v>
      </c>
      <c r="M222" s="370">
        <v>94930.7</v>
      </c>
      <c r="N222" s="370">
        <v>245048.69</v>
      </c>
      <c r="O222" s="370">
        <v>297954.53000000003</v>
      </c>
      <c r="P222" s="372">
        <f>SUM(D222:O222)</f>
        <v>2930128.4699999997</v>
      </c>
    </row>
    <row r="223" spans="1:16" x14ac:dyDescent="0.3">
      <c r="A223" s="451" t="s">
        <v>36</v>
      </c>
      <c r="B223" s="452"/>
      <c r="C223" s="345" t="s">
        <v>31</v>
      </c>
      <c r="D223" s="426">
        <f t="shared" ref="D223:O223" si="147">SUM(D219:D222)</f>
        <v>15468642.890000001</v>
      </c>
      <c r="E223" s="418">
        <f t="shared" si="147"/>
        <v>24257602.309999999</v>
      </c>
      <c r="F223" s="418">
        <f t="shared" si="147"/>
        <v>24544816.75</v>
      </c>
      <c r="G223" s="418">
        <f t="shared" si="147"/>
        <v>23780984.460000001</v>
      </c>
      <c r="H223" s="418">
        <f t="shared" si="147"/>
        <v>26292474.460000001</v>
      </c>
      <c r="I223" s="418">
        <f t="shared" si="147"/>
        <v>29613366.780000001</v>
      </c>
      <c r="J223" s="427">
        <f t="shared" si="147"/>
        <v>30270286.349999994</v>
      </c>
      <c r="K223" s="427">
        <f t="shared" si="147"/>
        <v>32286776.48</v>
      </c>
      <c r="L223" s="427">
        <f t="shared" si="147"/>
        <v>27302600.98</v>
      </c>
      <c r="M223" s="427">
        <f t="shared" si="147"/>
        <v>31111720.790000398</v>
      </c>
      <c r="N223" s="427">
        <f t="shared" si="147"/>
        <v>27920858.02</v>
      </c>
      <c r="O223" s="427">
        <f t="shared" si="147"/>
        <v>26039856.960000001</v>
      </c>
      <c r="P223" s="372">
        <f>SUM(D223:O223)</f>
        <v>318889987.23000038</v>
      </c>
    </row>
    <row r="224" spans="1:16" x14ac:dyDescent="0.3">
      <c r="A224" s="447" t="s">
        <v>211</v>
      </c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48"/>
      <c r="M224" s="448"/>
      <c r="N224" s="448"/>
      <c r="O224" s="448"/>
      <c r="P224" s="526"/>
    </row>
    <row r="225" spans="1:16" x14ac:dyDescent="0.3">
      <c r="A225" s="449" t="s">
        <v>35</v>
      </c>
      <c r="B225" s="450"/>
      <c r="C225" s="345" t="s">
        <v>31</v>
      </c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2">
        <f t="shared" ref="P225:P230" si="148">SUM(D225:O225)</f>
        <v>0</v>
      </c>
    </row>
    <row r="226" spans="1:16" x14ac:dyDescent="0.3">
      <c r="A226" s="449" t="s">
        <v>34</v>
      </c>
      <c r="B226" s="450"/>
      <c r="C226" s="345" t="s">
        <v>31</v>
      </c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2">
        <f t="shared" si="148"/>
        <v>0</v>
      </c>
    </row>
    <row r="227" spans="1:16" x14ac:dyDescent="0.3">
      <c r="A227" s="449" t="s">
        <v>33</v>
      </c>
      <c r="B227" s="450"/>
      <c r="C227" s="345" t="s">
        <v>31</v>
      </c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2">
        <f t="shared" si="148"/>
        <v>0</v>
      </c>
    </row>
    <row r="228" spans="1:16" x14ac:dyDescent="0.3">
      <c r="A228" s="449" t="s">
        <v>32</v>
      </c>
      <c r="B228" s="450"/>
      <c r="C228" s="345" t="s">
        <v>31</v>
      </c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2">
        <f t="shared" si="148"/>
        <v>0</v>
      </c>
    </row>
    <row r="229" spans="1:16" x14ac:dyDescent="0.3">
      <c r="A229" s="451" t="s">
        <v>212</v>
      </c>
      <c r="B229" s="452"/>
      <c r="C229" s="345" t="s">
        <v>31</v>
      </c>
      <c r="D229" s="426">
        <f t="shared" ref="D229:O229" si="149">SUM(D225:D228)</f>
        <v>0</v>
      </c>
      <c r="E229" s="418">
        <f t="shared" si="149"/>
        <v>0</v>
      </c>
      <c r="F229" s="418">
        <f t="shared" si="149"/>
        <v>0</v>
      </c>
      <c r="G229" s="418">
        <f t="shared" si="149"/>
        <v>0</v>
      </c>
      <c r="H229" s="418">
        <f t="shared" si="149"/>
        <v>0</v>
      </c>
      <c r="I229" s="418">
        <f t="shared" si="149"/>
        <v>0</v>
      </c>
      <c r="J229" s="427">
        <f t="shared" si="149"/>
        <v>0</v>
      </c>
      <c r="K229" s="427">
        <f t="shared" si="149"/>
        <v>0</v>
      </c>
      <c r="L229" s="427">
        <f t="shared" si="149"/>
        <v>0</v>
      </c>
      <c r="M229" s="427">
        <f t="shared" si="149"/>
        <v>0</v>
      </c>
      <c r="N229" s="427">
        <f t="shared" si="149"/>
        <v>0</v>
      </c>
      <c r="O229" s="427">
        <f t="shared" si="149"/>
        <v>0</v>
      </c>
      <c r="P229" s="372">
        <f t="shared" si="148"/>
        <v>0</v>
      </c>
    </row>
    <row r="230" spans="1:16" x14ac:dyDescent="0.3">
      <c r="A230" s="424" t="s">
        <v>213</v>
      </c>
      <c r="B230" s="428"/>
      <c r="C230" s="345" t="s">
        <v>31</v>
      </c>
      <c r="D230" s="426">
        <f>D223+D229</f>
        <v>15468642.890000001</v>
      </c>
      <c r="E230" s="426">
        <f t="shared" ref="E230:O230" si="150">E223+E229</f>
        <v>24257602.309999999</v>
      </c>
      <c r="F230" s="426">
        <f t="shared" si="150"/>
        <v>24544816.75</v>
      </c>
      <c r="G230" s="426">
        <f t="shared" si="150"/>
        <v>23780984.460000001</v>
      </c>
      <c r="H230" s="426">
        <f t="shared" si="150"/>
        <v>26292474.460000001</v>
      </c>
      <c r="I230" s="426">
        <f t="shared" si="150"/>
        <v>29613366.780000001</v>
      </c>
      <c r="J230" s="426">
        <f t="shared" si="150"/>
        <v>30270286.349999994</v>
      </c>
      <c r="K230" s="426">
        <f t="shared" si="150"/>
        <v>32286776.48</v>
      </c>
      <c r="L230" s="426">
        <f t="shared" si="150"/>
        <v>27302600.98</v>
      </c>
      <c r="M230" s="426">
        <f t="shared" si="150"/>
        <v>31111720.790000398</v>
      </c>
      <c r="N230" s="426">
        <f t="shared" si="150"/>
        <v>27920858.02</v>
      </c>
      <c r="O230" s="426">
        <f t="shared" si="150"/>
        <v>26039856.960000001</v>
      </c>
      <c r="P230" s="372">
        <f t="shared" si="148"/>
        <v>318889987.23000038</v>
      </c>
    </row>
    <row r="231" spans="1:16" x14ac:dyDescent="0.3">
      <c r="A231" s="447" t="s">
        <v>30</v>
      </c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48"/>
      <c r="M231" s="448"/>
      <c r="N231" s="448"/>
      <c r="O231" s="448"/>
      <c r="P231" s="526"/>
    </row>
    <row r="232" spans="1:16" x14ac:dyDescent="0.3">
      <c r="A232" s="449" t="s">
        <v>29</v>
      </c>
      <c r="B232" s="450"/>
      <c r="C232" s="345" t="s">
        <v>18</v>
      </c>
      <c r="D232" s="370">
        <v>1115703.8</v>
      </c>
      <c r="E232" s="370">
        <v>1687530.63</v>
      </c>
      <c r="F232" s="370">
        <v>1729486.98</v>
      </c>
      <c r="G232" s="370">
        <v>1768453.53</v>
      </c>
      <c r="H232" s="370">
        <v>1810212.39</v>
      </c>
      <c r="I232" s="370">
        <v>1808847.15</v>
      </c>
      <c r="J232" s="370">
        <v>1735843.23</v>
      </c>
      <c r="K232" s="370">
        <v>1748647.08</v>
      </c>
      <c r="L232" s="370">
        <v>1715115.6300000001</v>
      </c>
      <c r="M232" s="370">
        <v>1676131.5899999072</v>
      </c>
      <c r="N232" s="370">
        <v>1683171.33</v>
      </c>
      <c r="O232" s="370">
        <v>1741981.47</v>
      </c>
      <c r="P232" s="372">
        <f>SUM(D232:O232)</f>
        <v>20221124.809999906</v>
      </c>
    </row>
    <row r="233" spans="1:16" x14ac:dyDescent="0.3">
      <c r="A233" s="449" t="s">
        <v>28</v>
      </c>
      <c r="B233" s="450"/>
      <c r="C233" s="345" t="s">
        <v>18</v>
      </c>
      <c r="D233" s="370">
        <v>2434.46</v>
      </c>
      <c r="E233" s="370">
        <v>2434.46</v>
      </c>
      <c r="F233" s="370">
        <v>2434.46</v>
      </c>
      <c r="G233" s="370">
        <v>2434.46</v>
      </c>
      <c r="H233" s="370">
        <v>2608.35</v>
      </c>
      <c r="I233" s="370">
        <v>2260.5700000000002</v>
      </c>
      <c r="J233" s="370">
        <v>2086.6799999999998</v>
      </c>
      <c r="K233" s="370">
        <v>2086.6799999999998</v>
      </c>
      <c r="L233" s="370">
        <v>2260.5700000000002</v>
      </c>
      <c r="M233" s="370">
        <v>2260.5699999999993</v>
      </c>
      <c r="N233" s="370">
        <v>2260.5700000000002</v>
      </c>
      <c r="O233" s="370">
        <v>2260.5700000000002</v>
      </c>
      <c r="P233" s="372">
        <f>SUM(D233:O233)</f>
        <v>27822.399999999998</v>
      </c>
    </row>
    <row r="234" spans="1:16" x14ac:dyDescent="0.3">
      <c r="A234" s="449" t="s">
        <v>27</v>
      </c>
      <c r="B234" s="450"/>
      <c r="C234" s="345" t="s">
        <v>18</v>
      </c>
      <c r="D234" s="370">
        <v>28794.5</v>
      </c>
      <c r="E234" s="370">
        <v>46276.95</v>
      </c>
      <c r="F234" s="370">
        <v>49362.080000000002</v>
      </c>
      <c r="G234" s="370">
        <v>40106.69</v>
      </c>
      <c r="H234" s="370">
        <v>43191.82</v>
      </c>
      <c r="I234" s="370">
        <v>43191.82</v>
      </c>
      <c r="J234" s="370">
        <v>43191.82</v>
      </c>
      <c r="K234" s="370">
        <v>37021.56</v>
      </c>
      <c r="L234" s="370">
        <v>30851.3</v>
      </c>
      <c r="M234" s="370">
        <v>27766.170000000006</v>
      </c>
      <c r="N234" s="370">
        <v>33936.43</v>
      </c>
      <c r="O234" s="370">
        <v>43191.82</v>
      </c>
      <c r="P234" s="372">
        <f>SUM(D234:O234)</f>
        <v>466882.95999999996</v>
      </c>
    </row>
    <row r="235" spans="1:16" x14ac:dyDescent="0.3">
      <c r="A235" s="449" t="s">
        <v>26</v>
      </c>
      <c r="B235" s="450"/>
      <c r="C235" s="345" t="s">
        <v>18</v>
      </c>
      <c r="D235" s="370">
        <v>30915.61</v>
      </c>
      <c r="E235" s="370">
        <v>46373.47</v>
      </c>
      <c r="F235" s="370">
        <v>46373.47</v>
      </c>
      <c r="G235" s="370">
        <v>46373.47</v>
      </c>
      <c r="H235" s="370">
        <v>63236.55</v>
      </c>
      <c r="I235" s="370">
        <v>59020.78</v>
      </c>
      <c r="J235" s="370">
        <v>46373.47</v>
      </c>
      <c r="K235" s="370">
        <v>46373.47</v>
      </c>
      <c r="L235" s="370">
        <v>46373.47</v>
      </c>
      <c r="M235" s="370">
        <v>42157.700000000012</v>
      </c>
      <c r="N235" s="370">
        <v>54805.01</v>
      </c>
      <c r="O235" s="370">
        <v>54805.01</v>
      </c>
      <c r="P235" s="372">
        <f>SUM(D235:O235)</f>
        <v>583181.47999999986</v>
      </c>
    </row>
    <row r="236" spans="1:16" x14ac:dyDescent="0.3">
      <c r="A236" s="451" t="s">
        <v>25</v>
      </c>
      <c r="B236" s="452"/>
      <c r="C236" s="345" t="s">
        <v>18</v>
      </c>
      <c r="D236" s="426">
        <f t="shared" ref="D236:O236" si="151">SUM(D232:D235)</f>
        <v>1177848.3700000001</v>
      </c>
      <c r="E236" s="426">
        <f t="shared" si="151"/>
        <v>1782615.5099999998</v>
      </c>
      <c r="F236" s="426">
        <f t="shared" si="151"/>
        <v>1827656.99</v>
      </c>
      <c r="G236" s="426">
        <f t="shared" si="151"/>
        <v>1857368.15</v>
      </c>
      <c r="H236" s="426">
        <f t="shared" si="151"/>
        <v>1919249.11</v>
      </c>
      <c r="I236" s="426">
        <f t="shared" si="151"/>
        <v>1913320.32</v>
      </c>
      <c r="J236" s="426">
        <f t="shared" si="151"/>
        <v>1827495.2</v>
      </c>
      <c r="K236" s="426">
        <f t="shared" si="151"/>
        <v>1834128.79</v>
      </c>
      <c r="L236" s="426">
        <f t="shared" si="151"/>
        <v>1794600.9700000002</v>
      </c>
      <c r="M236" s="426">
        <f t="shared" si="151"/>
        <v>1748316.0299999071</v>
      </c>
      <c r="N236" s="426">
        <f t="shared" si="151"/>
        <v>1774173.34</v>
      </c>
      <c r="O236" s="426">
        <f t="shared" si="151"/>
        <v>1842238.87</v>
      </c>
      <c r="P236" s="375">
        <f t="shared" ref="P236" si="152">SUM(P232:P235)</f>
        <v>21299011.649999905</v>
      </c>
    </row>
    <row r="237" spans="1:16" x14ac:dyDescent="0.3">
      <c r="A237" s="447" t="s">
        <v>24</v>
      </c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48"/>
      <c r="M237" s="448"/>
      <c r="N237" s="448"/>
      <c r="O237" s="448"/>
      <c r="P237" s="526"/>
    </row>
    <row r="238" spans="1:16" x14ac:dyDescent="0.3">
      <c r="A238" s="449" t="s">
        <v>23</v>
      </c>
      <c r="B238" s="450"/>
      <c r="C238" s="345" t="s">
        <v>18</v>
      </c>
      <c r="D238" s="369">
        <v>3166578</v>
      </c>
      <c r="E238" s="370">
        <v>3192475</v>
      </c>
      <c r="F238" s="370">
        <v>3265701</v>
      </c>
      <c r="G238" s="370">
        <v>3333569</v>
      </c>
      <c r="H238" s="370">
        <v>3405902</v>
      </c>
      <c r="I238" s="370">
        <v>3395186</v>
      </c>
      <c r="J238" s="370">
        <v>3250520</v>
      </c>
      <c r="K238" s="370">
        <v>3269273</v>
      </c>
      <c r="L238" s="370">
        <v>3194261</v>
      </c>
      <c r="M238" s="370">
        <v>3119249</v>
      </c>
      <c r="N238" s="370">
        <v>3137109</v>
      </c>
      <c r="O238" s="370">
        <v>3241590</v>
      </c>
      <c r="P238" s="372">
        <f>SUM(D238:O238)</f>
        <v>38971413</v>
      </c>
    </row>
    <row r="239" spans="1:16" x14ac:dyDescent="0.3">
      <c r="A239" s="449" t="s">
        <v>22</v>
      </c>
      <c r="B239" s="450"/>
      <c r="C239" s="345" t="s">
        <v>18</v>
      </c>
      <c r="D239" s="369">
        <v>12502</v>
      </c>
      <c r="E239" s="369">
        <v>12502</v>
      </c>
      <c r="F239" s="369">
        <v>12502</v>
      </c>
      <c r="G239" s="369">
        <v>12502</v>
      </c>
      <c r="H239" s="369">
        <v>13395</v>
      </c>
      <c r="I239" s="369">
        <v>11609</v>
      </c>
      <c r="J239" s="369">
        <v>10716</v>
      </c>
      <c r="K239" s="369">
        <v>10716</v>
      </c>
      <c r="L239" s="369">
        <v>11609</v>
      </c>
      <c r="M239" s="369">
        <v>11609</v>
      </c>
      <c r="N239" s="369">
        <v>11609</v>
      </c>
      <c r="O239" s="369">
        <v>11609</v>
      </c>
      <c r="P239" s="372">
        <f>SUM(D239:O239)</f>
        <v>142880</v>
      </c>
    </row>
    <row r="240" spans="1:16" x14ac:dyDescent="0.3">
      <c r="A240" s="449" t="s">
        <v>21</v>
      </c>
      <c r="B240" s="450"/>
      <c r="C240" s="345" t="s">
        <v>18</v>
      </c>
      <c r="D240" s="369">
        <v>12502</v>
      </c>
      <c r="E240" s="369">
        <v>13395</v>
      </c>
      <c r="F240" s="369">
        <v>14288</v>
      </c>
      <c r="G240" s="369">
        <v>11609</v>
      </c>
      <c r="H240" s="369">
        <v>12502</v>
      </c>
      <c r="I240" s="369">
        <v>12502</v>
      </c>
      <c r="J240" s="369">
        <v>12502</v>
      </c>
      <c r="K240" s="369">
        <v>10716</v>
      </c>
      <c r="L240" s="369">
        <v>8930</v>
      </c>
      <c r="M240" s="369">
        <v>8037</v>
      </c>
      <c r="N240" s="369">
        <v>9823</v>
      </c>
      <c r="O240" s="369">
        <v>12502</v>
      </c>
      <c r="P240" s="372">
        <f>SUM(D240:O240)</f>
        <v>139308</v>
      </c>
    </row>
    <row r="241" spans="1:16" x14ac:dyDescent="0.3">
      <c r="A241" s="449" t="s">
        <v>20</v>
      </c>
      <c r="B241" s="450"/>
      <c r="C241" s="345" t="s">
        <v>18</v>
      </c>
      <c r="D241" s="370">
        <v>9823</v>
      </c>
      <c r="E241" s="369">
        <v>9823</v>
      </c>
      <c r="F241" s="369">
        <v>9823</v>
      </c>
      <c r="G241" s="369">
        <v>9823</v>
      </c>
      <c r="H241" s="369">
        <v>13395</v>
      </c>
      <c r="I241" s="369">
        <v>12502</v>
      </c>
      <c r="J241" s="369">
        <v>9823</v>
      </c>
      <c r="K241" s="369">
        <v>9823</v>
      </c>
      <c r="L241" s="369">
        <v>9823</v>
      </c>
      <c r="M241" s="369">
        <v>8930</v>
      </c>
      <c r="N241" s="369">
        <v>11609</v>
      </c>
      <c r="O241" s="369">
        <v>11609</v>
      </c>
      <c r="P241" s="372">
        <f>SUM(D241:O241)</f>
        <v>126806</v>
      </c>
    </row>
    <row r="242" spans="1:16" x14ac:dyDescent="0.3">
      <c r="A242" s="451" t="s">
        <v>19</v>
      </c>
      <c r="B242" s="452"/>
      <c r="C242" s="345" t="s">
        <v>18</v>
      </c>
      <c r="D242" s="426">
        <f t="shared" ref="D242:P242" si="153">SUM(D238:D241)</f>
        <v>3201405</v>
      </c>
      <c r="E242" s="426">
        <f t="shared" si="153"/>
        <v>3228195</v>
      </c>
      <c r="F242" s="426">
        <f t="shared" si="153"/>
        <v>3302314</v>
      </c>
      <c r="G242" s="426">
        <f t="shared" si="153"/>
        <v>3367503</v>
      </c>
      <c r="H242" s="426">
        <f t="shared" si="153"/>
        <v>3445194</v>
      </c>
      <c r="I242" s="418">
        <f t="shared" si="153"/>
        <v>3431799</v>
      </c>
      <c r="J242" s="426">
        <f t="shared" si="153"/>
        <v>3283561</v>
      </c>
      <c r="K242" s="426">
        <f t="shared" si="153"/>
        <v>3300528</v>
      </c>
      <c r="L242" s="426">
        <f t="shared" si="153"/>
        <v>3224623</v>
      </c>
      <c r="M242" s="426">
        <f t="shared" si="153"/>
        <v>3147825</v>
      </c>
      <c r="N242" s="426">
        <f t="shared" si="153"/>
        <v>3170150</v>
      </c>
      <c r="O242" s="426">
        <f t="shared" si="153"/>
        <v>3277310</v>
      </c>
      <c r="P242" s="375">
        <f t="shared" si="153"/>
        <v>39380407</v>
      </c>
    </row>
    <row r="243" spans="1:16" x14ac:dyDescent="0.3">
      <c r="A243" s="451" t="s">
        <v>214</v>
      </c>
      <c r="B243" s="452"/>
      <c r="C243" s="345" t="s">
        <v>18</v>
      </c>
      <c r="D243" s="418">
        <f>D230+D236+D242</f>
        <v>19847896.260000002</v>
      </c>
      <c r="E243" s="418">
        <f t="shared" ref="E243:O243" si="154">E230+E236+E242</f>
        <v>29268412.82</v>
      </c>
      <c r="F243" s="418">
        <f t="shared" si="154"/>
        <v>29674787.739999998</v>
      </c>
      <c r="G243" s="418">
        <f t="shared" si="154"/>
        <v>29005855.609999999</v>
      </c>
      <c r="H243" s="418">
        <f t="shared" si="154"/>
        <v>31656917.57</v>
      </c>
      <c r="I243" s="418">
        <f t="shared" si="154"/>
        <v>34958486.100000001</v>
      </c>
      <c r="J243" s="418">
        <f t="shared" si="154"/>
        <v>35381342.549999997</v>
      </c>
      <c r="K243" s="418">
        <f t="shared" si="154"/>
        <v>37421433.270000003</v>
      </c>
      <c r="L243" s="418">
        <f t="shared" si="154"/>
        <v>32321824.949999999</v>
      </c>
      <c r="M243" s="418">
        <f t="shared" si="154"/>
        <v>36007861.820000306</v>
      </c>
      <c r="N243" s="418">
        <f t="shared" si="154"/>
        <v>32865181.359999999</v>
      </c>
      <c r="O243" s="418">
        <f t="shared" si="154"/>
        <v>31159405.830000002</v>
      </c>
      <c r="P243" s="375">
        <f t="shared" ref="P243" si="155">P216+P223+P236+P242</f>
        <v>530317579.27000028</v>
      </c>
    </row>
    <row r="244" spans="1:16" x14ac:dyDescent="0.3">
      <c r="A244" s="447" t="s">
        <v>204</v>
      </c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48"/>
      <c r="M244" s="448"/>
      <c r="N244" s="448"/>
      <c r="O244" s="448"/>
      <c r="P244" s="526"/>
    </row>
    <row r="245" spans="1:16" x14ac:dyDescent="0.3">
      <c r="A245" s="469" t="s">
        <v>205</v>
      </c>
      <c r="B245" s="470"/>
      <c r="C245" s="345" t="s">
        <v>18</v>
      </c>
      <c r="D245" s="429">
        <v>291613846.04000002</v>
      </c>
      <c r="E245" s="429">
        <v>283025669.98000002</v>
      </c>
      <c r="F245" s="429">
        <v>292712722.19999999</v>
      </c>
      <c r="G245" s="429">
        <v>292759679.88999999</v>
      </c>
      <c r="H245" s="429">
        <v>319359712.02999997</v>
      </c>
      <c r="I245" s="429">
        <v>6144245.1699999999</v>
      </c>
      <c r="J245" s="429">
        <v>311964874.25</v>
      </c>
      <c r="K245" s="429">
        <v>307069610.80000001</v>
      </c>
      <c r="L245" s="429">
        <v>325465784.52999955</v>
      </c>
      <c r="M245" s="429">
        <v>325156553.39000052</v>
      </c>
      <c r="N245" s="429">
        <v>336846562.69999999</v>
      </c>
      <c r="O245" s="429"/>
      <c r="P245" s="430">
        <f>O245</f>
        <v>0</v>
      </c>
    </row>
    <row r="246" spans="1:16" x14ac:dyDescent="0.3">
      <c r="A246" s="469" t="s">
        <v>206</v>
      </c>
      <c r="B246" s="470"/>
      <c r="C246" s="345" t="s">
        <v>18</v>
      </c>
      <c r="D246" s="429">
        <v>6258526.2000000002</v>
      </c>
      <c r="E246" s="429">
        <v>5135145.78</v>
      </c>
      <c r="F246" s="429">
        <v>5563928.8799999999</v>
      </c>
      <c r="G246" s="429">
        <v>11277463.51</v>
      </c>
      <c r="H246" s="429">
        <v>5780395.0499999998</v>
      </c>
      <c r="I246" s="429">
        <v>307084783.61000001</v>
      </c>
      <c r="J246" s="429">
        <v>7203398.25</v>
      </c>
      <c r="K246" s="429">
        <v>7772153.3399999999</v>
      </c>
      <c r="L246" s="429">
        <v>8409517.7599999998</v>
      </c>
      <c r="M246" s="429">
        <v>9022674.6799999997</v>
      </c>
      <c r="N246" s="429">
        <v>9527956.4000000004</v>
      </c>
      <c r="O246" s="429"/>
      <c r="P246" s="430">
        <f>O246</f>
        <v>0</v>
      </c>
    </row>
    <row r="247" spans="1:16" x14ac:dyDescent="0.3">
      <c r="A247" s="467" t="s">
        <v>207</v>
      </c>
      <c r="B247" s="468"/>
      <c r="C247" s="345" t="s">
        <v>18</v>
      </c>
      <c r="D247" s="431">
        <f>D245+D246</f>
        <v>297872372.24000001</v>
      </c>
      <c r="E247" s="431">
        <f t="shared" ref="E247:P247" si="156">E245+E246</f>
        <v>288160815.75999999</v>
      </c>
      <c r="F247" s="431">
        <f t="shared" si="156"/>
        <v>298276651.07999998</v>
      </c>
      <c r="G247" s="431">
        <f t="shared" si="156"/>
        <v>304037143.39999998</v>
      </c>
      <c r="H247" s="431">
        <f t="shared" si="156"/>
        <v>325140107.07999998</v>
      </c>
      <c r="I247" s="431">
        <f t="shared" si="156"/>
        <v>313229028.78000003</v>
      </c>
      <c r="J247" s="431">
        <f t="shared" si="156"/>
        <v>319168272.5</v>
      </c>
      <c r="K247" s="431">
        <f t="shared" si="156"/>
        <v>314841764.13999999</v>
      </c>
      <c r="L247" s="431">
        <f t="shared" si="156"/>
        <v>333875302.28999954</v>
      </c>
      <c r="M247" s="431">
        <f t="shared" si="156"/>
        <v>334179228.07000053</v>
      </c>
      <c r="N247" s="432">
        <f t="shared" si="156"/>
        <v>346374519.09999996</v>
      </c>
      <c r="O247" s="432">
        <f t="shared" si="156"/>
        <v>0</v>
      </c>
      <c r="P247" s="430">
        <f t="shared" si="156"/>
        <v>0</v>
      </c>
    </row>
    <row r="248" spans="1:16" x14ac:dyDescent="0.3">
      <c r="A248" s="447" t="s">
        <v>17</v>
      </c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48"/>
      <c r="M248" s="448"/>
      <c r="N248" s="448"/>
      <c r="O248" s="448"/>
      <c r="P248" s="526"/>
    </row>
    <row r="249" spans="1:16" x14ac:dyDescent="0.3">
      <c r="A249" s="461" t="s">
        <v>16</v>
      </c>
      <c r="B249" s="462"/>
      <c r="C249" s="355" t="s">
        <v>6</v>
      </c>
      <c r="D249" s="433">
        <f>D58/D243</f>
        <v>0.67445826266123377</v>
      </c>
      <c r="E249" s="433">
        <f t="shared" ref="E249:O249" si="157">E58/E243</f>
        <v>0.60837107377522626</v>
      </c>
      <c r="F249" s="433">
        <f t="shared" si="157"/>
        <v>0.52408504439061576</v>
      </c>
      <c r="G249" s="433">
        <f t="shared" si="157"/>
        <v>0.54319913130119868</v>
      </c>
      <c r="H249" s="433">
        <f t="shared" si="157"/>
        <v>0.69267244138703421</v>
      </c>
      <c r="I249" s="433">
        <f t="shared" si="157"/>
        <v>0.75383716594924277</v>
      </c>
      <c r="J249" s="433">
        <f t="shared" si="157"/>
        <v>0.4883052240904861</v>
      </c>
      <c r="K249" s="433">
        <f t="shared" si="157"/>
        <v>0.63598765093478205</v>
      </c>
      <c r="L249" s="433">
        <f t="shared" si="157"/>
        <v>0.85601781962500223</v>
      </c>
      <c r="M249" s="433">
        <f t="shared" si="157"/>
        <v>0.55198245536923785</v>
      </c>
      <c r="N249" s="433">
        <f t="shared" si="157"/>
        <v>0.89945388270329629</v>
      </c>
      <c r="O249" s="433">
        <f t="shared" si="157"/>
        <v>1.0053329681864476</v>
      </c>
      <c r="P249" s="542">
        <f t="shared" ref="P249" si="158">P58/P243%</f>
        <v>49.081553185978706</v>
      </c>
    </row>
    <row r="250" spans="1:16" x14ac:dyDescent="0.3">
      <c r="A250" s="461" t="s">
        <v>208</v>
      </c>
      <c r="B250" s="462"/>
      <c r="C250" s="355" t="s">
        <v>6</v>
      </c>
      <c r="D250" s="409">
        <f>D210/(D223+D245)</f>
        <v>3.6143155276203397E-2</v>
      </c>
      <c r="E250" s="409">
        <f t="shared" ref="E250:O250" si="159">E210/(E223+E245)</f>
        <v>0.11773350016872146</v>
      </c>
      <c r="F250" s="409">
        <f t="shared" si="159"/>
        <v>5.9640228290940671E-2</v>
      </c>
      <c r="G250" s="409">
        <f t="shared" si="159"/>
        <v>6.6867933487990111E-2</v>
      </c>
      <c r="H250" s="409">
        <f t="shared" si="159"/>
        <v>7.6035036713879886E-2</v>
      </c>
      <c r="I250" s="409">
        <f t="shared" si="159"/>
        <v>1.1293143128927545</v>
      </c>
      <c r="J250" s="409">
        <f t="shared" si="159"/>
        <v>5.7169210889081265E-2</v>
      </c>
      <c r="K250" s="409">
        <f t="shared" si="159"/>
        <v>0.13578948022563347</v>
      </c>
      <c r="L250" s="409">
        <f t="shared" si="159"/>
        <v>3.7668587509022494E-2</v>
      </c>
      <c r="M250" s="409">
        <f t="shared" si="159"/>
        <v>9.8165167079486221E-2</v>
      </c>
      <c r="N250" s="409">
        <f t="shared" si="159"/>
        <v>5.6583700071842317E-2</v>
      </c>
      <c r="O250" s="409">
        <f t="shared" si="159"/>
        <v>1.4380764628439802</v>
      </c>
      <c r="P250" s="541">
        <f t="shared" ref="P250" si="160">P210/(P223+P245)%</f>
        <v>102.23664235806041</v>
      </c>
    </row>
    <row r="251" spans="1:16" ht="16.2" thickBot="1" x14ac:dyDescent="0.35">
      <c r="A251" s="471" t="s">
        <v>15</v>
      </c>
      <c r="B251" s="472"/>
      <c r="C251" s="355" t="s">
        <v>6</v>
      </c>
      <c r="D251" s="434">
        <f>D210/D223</f>
        <v>0.71751155928327204</v>
      </c>
      <c r="E251" s="434">
        <f t="shared" ref="E251:O251" si="161">E210/E223</f>
        <v>1.4913895746030144</v>
      </c>
      <c r="F251" s="434">
        <f t="shared" si="161"/>
        <v>0.77088829966514216</v>
      </c>
      <c r="G251" s="434">
        <f t="shared" si="161"/>
        <v>0.89005651240394446</v>
      </c>
      <c r="H251" s="434">
        <f t="shared" si="161"/>
        <v>0.99958932089041574</v>
      </c>
      <c r="I251" s="434">
        <f t="shared" si="161"/>
        <v>1.3636268807257854</v>
      </c>
      <c r="J251" s="434">
        <f t="shared" si="161"/>
        <v>0.64635378218019401</v>
      </c>
      <c r="K251" s="434">
        <f t="shared" si="161"/>
        <v>1.4272415045380826</v>
      </c>
      <c r="L251" s="434">
        <f t="shared" si="161"/>
        <v>0.48670406199519534</v>
      </c>
      <c r="M251" s="434">
        <f t="shared" si="161"/>
        <v>1.1241144421442832</v>
      </c>
      <c r="N251" s="434">
        <f t="shared" si="161"/>
        <v>0.73922836881357412</v>
      </c>
      <c r="O251" s="434">
        <f t="shared" si="161"/>
        <v>1.4380764628439802</v>
      </c>
      <c r="P251" s="543">
        <f t="shared" ref="P251" si="162">P210/P223%</f>
        <v>102.23664235806041</v>
      </c>
    </row>
    <row r="252" spans="1:16" x14ac:dyDescent="0.3">
      <c r="A252" s="473" t="s">
        <v>14</v>
      </c>
      <c r="B252" s="474"/>
      <c r="C252" s="474"/>
      <c r="D252" s="474"/>
      <c r="E252" s="474"/>
      <c r="F252" s="474"/>
      <c r="G252" s="474"/>
      <c r="H252" s="474"/>
      <c r="I252" s="474"/>
      <c r="J252" s="474"/>
      <c r="K252" s="474"/>
      <c r="L252" s="474"/>
      <c r="M252" s="474"/>
      <c r="N252" s="474"/>
      <c r="O252" s="474"/>
      <c r="P252" s="535"/>
    </row>
    <row r="253" spans="1:16" s="351" customFormat="1" ht="15" customHeight="1" x14ac:dyDescent="0.3">
      <c r="A253" s="461" t="s">
        <v>13</v>
      </c>
      <c r="B253" s="462"/>
      <c r="C253" s="355" t="s">
        <v>3</v>
      </c>
      <c r="D253" s="374">
        <v>11</v>
      </c>
      <c r="E253" s="374">
        <v>22</v>
      </c>
      <c r="F253" s="374">
        <v>35</v>
      </c>
      <c r="G253" s="374">
        <v>41</v>
      </c>
      <c r="H253" s="374">
        <v>70</v>
      </c>
      <c r="I253" s="374">
        <v>34</v>
      </c>
      <c r="J253" s="374">
        <v>31</v>
      </c>
      <c r="K253" s="374">
        <v>34</v>
      </c>
      <c r="L253" s="374">
        <v>21</v>
      </c>
      <c r="M253" s="374">
        <v>24</v>
      </c>
      <c r="N253" s="374">
        <v>58</v>
      </c>
      <c r="O253" s="374">
        <v>28</v>
      </c>
      <c r="P253" s="544">
        <f>SUM(D253:O253)</f>
        <v>409</v>
      </c>
    </row>
    <row r="254" spans="1:16" s="351" customFormat="1" x14ac:dyDescent="0.3">
      <c r="A254" s="461" t="s">
        <v>12</v>
      </c>
      <c r="B254" s="462"/>
      <c r="C254" s="355" t="s">
        <v>3</v>
      </c>
      <c r="D254" s="374">
        <v>1</v>
      </c>
      <c r="E254" s="374">
        <v>1</v>
      </c>
      <c r="F254" s="374">
        <v>1</v>
      </c>
      <c r="G254" s="374">
        <v>1</v>
      </c>
      <c r="H254" s="374">
        <v>1</v>
      </c>
      <c r="I254" s="374">
        <v>1</v>
      </c>
      <c r="J254" s="374">
        <v>1</v>
      </c>
      <c r="K254" s="374">
        <v>1</v>
      </c>
      <c r="L254" s="374">
        <v>1</v>
      </c>
      <c r="M254" s="374">
        <v>1</v>
      </c>
      <c r="N254" s="374">
        <v>1</v>
      </c>
      <c r="O254" s="374">
        <v>1</v>
      </c>
      <c r="P254" s="544">
        <f>SUM(D254:O254)</f>
        <v>12</v>
      </c>
    </row>
    <row r="255" spans="1:16" ht="15.75" customHeight="1" x14ac:dyDescent="0.3">
      <c r="A255" s="461" t="s">
        <v>11</v>
      </c>
      <c r="B255" s="462"/>
      <c r="C255" s="355" t="s">
        <v>3</v>
      </c>
      <c r="D255" s="374">
        <f t="shared" ref="D255:L255" si="163">D95</f>
        <v>421</v>
      </c>
      <c r="E255" s="374">
        <f t="shared" si="163"/>
        <v>426</v>
      </c>
      <c r="F255" s="374">
        <f t="shared" si="163"/>
        <v>420</v>
      </c>
      <c r="G255" s="374">
        <f t="shared" si="163"/>
        <v>435</v>
      </c>
      <c r="H255" s="374">
        <f t="shared" si="163"/>
        <v>442</v>
      </c>
      <c r="I255" s="374">
        <f t="shared" si="163"/>
        <v>442</v>
      </c>
      <c r="J255" s="374">
        <f t="shared" si="163"/>
        <v>420</v>
      </c>
      <c r="K255" s="374">
        <f t="shared" si="163"/>
        <v>417</v>
      </c>
      <c r="L255" s="374">
        <f t="shared" si="163"/>
        <v>408</v>
      </c>
      <c r="M255" s="374">
        <f t="shared" ref="M255:O255" si="164">M95</f>
        <v>407</v>
      </c>
      <c r="N255" s="374">
        <f t="shared" si="164"/>
        <v>423</v>
      </c>
      <c r="O255" s="374">
        <f t="shared" si="164"/>
        <v>441</v>
      </c>
      <c r="P255" s="544">
        <f>SUM(D255:O255)</f>
        <v>5102</v>
      </c>
    </row>
    <row r="256" spans="1:16" x14ac:dyDescent="0.3">
      <c r="A256" s="461" t="s">
        <v>10</v>
      </c>
      <c r="B256" s="462"/>
      <c r="C256" s="355" t="s">
        <v>3</v>
      </c>
      <c r="D256" s="374">
        <f t="shared" ref="D256:K256" si="165">D91</f>
        <v>11</v>
      </c>
      <c r="E256" s="374">
        <f t="shared" si="165"/>
        <v>27</v>
      </c>
      <c r="F256" s="374">
        <f t="shared" si="165"/>
        <v>35</v>
      </c>
      <c r="G256" s="374">
        <f t="shared" si="165"/>
        <v>41</v>
      </c>
      <c r="H256" s="374">
        <f t="shared" si="165"/>
        <v>70</v>
      </c>
      <c r="I256" s="374">
        <f t="shared" si="165"/>
        <v>34</v>
      </c>
      <c r="J256" s="374">
        <f t="shared" si="165"/>
        <v>31</v>
      </c>
      <c r="K256" s="374">
        <f t="shared" si="165"/>
        <v>34</v>
      </c>
      <c r="L256" s="374">
        <f t="shared" ref="L256:M256" si="166">L91</f>
        <v>21</v>
      </c>
      <c r="M256" s="374">
        <f t="shared" si="166"/>
        <v>24</v>
      </c>
      <c r="N256" s="374">
        <f t="shared" ref="N256:O256" si="167">N91</f>
        <v>58</v>
      </c>
      <c r="O256" s="374">
        <f t="shared" si="167"/>
        <v>28</v>
      </c>
      <c r="P256" s="544">
        <f>SUM(D256:O256)</f>
        <v>414</v>
      </c>
    </row>
    <row r="257" spans="1:16" ht="15.6" customHeight="1" x14ac:dyDescent="0.3">
      <c r="A257" s="461" t="s">
        <v>9</v>
      </c>
      <c r="B257" s="462"/>
      <c r="C257" s="355" t="s">
        <v>3</v>
      </c>
      <c r="D257" s="374">
        <v>20</v>
      </c>
      <c r="E257" s="374">
        <v>20</v>
      </c>
      <c r="F257" s="374">
        <v>60</v>
      </c>
      <c r="G257" s="374">
        <v>20</v>
      </c>
      <c r="H257" s="374">
        <v>15</v>
      </c>
      <c r="I257" s="374">
        <v>20</v>
      </c>
      <c r="J257" s="374">
        <v>20</v>
      </c>
      <c r="K257" s="374">
        <v>20</v>
      </c>
      <c r="L257" s="374">
        <v>20</v>
      </c>
      <c r="M257" s="374">
        <v>20</v>
      </c>
      <c r="N257" s="374">
        <v>20</v>
      </c>
      <c r="O257" s="374">
        <v>20</v>
      </c>
      <c r="P257" s="544">
        <f>SUM(D257:O257)</f>
        <v>275</v>
      </c>
    </row>
    <row r="258" spans="1:16" x14ac:dyDescent="0.3">
      <c r="A258" s="451" t="s">
        <v>8</v>
      </c>
      <c r="B258" s="452"/>
      <c r="C258" s="355" t="s">
        <v>3</v>
      </c>
      <c r="D258" s="435">
        <f t="shared" ref="D258:P258" si="168">D257/D256</f>
        <v>1.8181818181818181</v>
      </c>
      <c r="E258" s="435">
        <f t="shared" si="168"/>
        <v>0.7407407407407407</v>
      </c>
      <c r="F258" s="435">
        <f t="shared" si="168"/>
        <v>1.7142857142857142</v>
      </c>
      <c r="G258" s="373">
        <f t="shared" si="168"/>
        <v>0.48780487804878048</v>
      </c>
      <c r="H258" s="373">
        <f t="shared" si="168"/>
        <v>0.21428571428571427</v>
      </c>
      <c r="I258" s="435">
        <f t="shared" si="168"/>
        <v>0.58823529411764708</v>
      </c>
      <c r="J258" s="435">
        <f t="shared" si="168"/>
        <v>0.64516129032258063</v>
      </c>
      <c r="K258" s="435">
        <f t="shared" si="168"/>
        <v>0.58823529411764708</v>
      </c>
      <c r="L258" s="435">
        <f t="shared" si="168"/>
        <v>0.95238095238095233</v>
      </c>
      <c r="M258" s="435">
        <f t="shared" si="168"/>
        <v>0.83333333333333337</v>
      </c>
      <c r="N258" s="373">
        <f t="shared" si="168"/>
        <v>0.34482758620689657</v>
      </c>
      <c r="O258" s="373">
        <f t="shared" si="168"/>
        <v>0.7142857142857143</v>
      </c>
      <c r="P258" s="544">
        <f t="shared" si="168"/>
        <v>0.66425120772946855</v>
      </c>
    </row>
    <row r="259" spans="1:16" x14ac:dyDescent="0.3">
      <c r="A259" s="451" t="s">
        <v>7</v>
      </c>
      <c r="B259" s="452"/>
      <c r="C259" s="355" t="s">
        <v>6</v>
      </c>
      <c r="D259" s="435">
        <f t="shared" ref="D259:P259" si="169">D92/D255*100</f>
        <v>5.938242280285035</v>
      </c>
      <c r="E259" s="435">
        <f t="shared" si="169"/>
        <v>5.164319248826291</v>
      </c>
      <c r="F259" s="435">
        <f t="shared" si="169"/>
        <v>9.7619047619047628</v>
      </c>
      <c r="G259" s="436">
        <f t="shared" si="169"/>
        <v>5.9770114942528734</v>
      </c>
      <c r="H259" s="436">
        <f t="shared" si="169"/>
        <v>14.25339366515837</v>
      </c>
      <c r="I259" s="435">
        <f t="shared" si="169"/>
        <v>7.6923076923076925</v>
      </c>
      <c r="J259" s="435">
        <f t="shared" si="169"/>
        <v>12.619047619047619</v>
      </c>
      <c r="K259" s="435">
        <f t="shared" si="169"/>
        <v>8.8729016786570742</v>
      </c>
      <c r="L259" s="435">
        <f t="shared" si="169"/>
        <v>7.3529411764705888</v>
      </c>
      <c r="M259" s="435">
        <f t="shared" si="169"/>
        <v>6.1425061425061429</v>
      </c>
      <c r="N259" s="436">
        <f t="shared" si="169"/>
        <v>9.9290780141843982</v>
      </c>
      <c r="O259" s="437">
        <f t="shared" si="169"/>
        <v>2.2675736961451247</v>
      </c>
      <c r="P259" s="545">
        <f t="shared" si="169"/>
        <v>7.9968639749117996</v>
      </c>
    </row>
    <row r="260" spans="1:16" x14ac:dyDescent="0.3">
      <c r="A260" s="447" t="s">
        <v>5</v>
      </c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48"/>
      <c r="M260" s="448"/>
      <c r="N260" s="448"/>
      <c r="O260" s="448"/>
      <c r="P260" s="526"/>
    </row>
    <row r="261" spans="1:16" s="351" customFormat="1" ht="15" customHeight="1" x14ac:dyDescent="0.3">
      <c r="A261" s="461" t="s">
        <v>4</v>
      </c>
      <c r="B261" s="462"/>
      <c r="C261" s="355" t="s">
        <v>3</v>
      </c>
      <c r="D261" s="374">
        <v>12</v>
      </c>
      <c r="E261" s="374">
        <v>15</v>
      </c>
      <c r="F261" s="374">
        <v>17</v>
      </c>
      <c r="G261" s="374">
        <v>35</v>
      </c>
      <c r="H261" s="374">
        <v>20</v>
      </c>
      <c r="I261" s="374">
        <v>15</v>
      </c>
      <c r="J261" s="374">
        <v>16</v>
      </c>
      <c r="K261" s="374">
        <v>20</v>
      </c>
      <c r="L261" s="374">
        <v>13</v>
      </c>
      <c r="M261" s="374">
        <v>15</v>
      </c>
      <c r="N261" s="374">
        <v>12</v>
      </c>
      <c r="O261" s="374">
        <v>15</v>
      </c>
      <c r="P261" s="375">
        <f>SUM(D261:O261)</f>
        <v>205</v>
      </c>
    </row>
    <row r="262" spans="1:16" s="351" customFormat="1" ht="15.75" customHeight="1" x14ac:dyDescent="0.3">
      <c r="A262" s="461" t="s">
        <v>2</v>
      </c>
      <c r="B262" s="462"/>
      <c r="C262" s="355" t="s">
        <v>0</v>
      </c>
      <c r="D262" s="374">
        <v>9</v>
      </c>
      <c r="E262" s="374">
        <v>30</v>
      </c>
      <c r="F262" s="374">
        <v>30</v>
      </c>
      <c r="G262" s="374">
        <v>30</v>
      </c>
      <c r="H262" s="374">
        <v>30</v>
      </c>
      <c r="I262" s="374">
        <v>30</v>
      </c>
      <c r="J262" s="374">
        <v>30</v>
      </c>
      <c r="K262" s="374">
        <v>30</v>
      </c>
      <c r="L262" s="374">
        <v>30</v>
      </c>
      <c r="M262" s="374">
        <v>30</v>
      </c>
      <c r="N262" s="374">
        <v>30</v>
      </c>
      <c r="O262" s="374">
        <v>30</v>
      </c>
      <c r="P262" s="375">
        <f>SUM(D262:O262)</f>
        <v>339</v>
      </c>
    </row>
    <row r="263" spans="1:16" ht="16.2" thickBot="1" x14ac:dyDescent="0.35">
      <c r="A263" s="459" t="s">
        <v>1</v>
      </c>
      <c r="B263" s="460"/>
      <c r="C263" s="438" t="s">
        <v>0</v>
      </c>
      <c r="D263" s="439">
        <f>D261/D262</f>
        <v>1.3333333333333333</v>
      </c>
      <c r="E263" s="439">
        <f t="shared" ref="E263:P263" si="170">E261/E262</f>
        <v>0.5</v>
      </c>
      <c r="F263" s="439">
        <f t="shared" si="170"/>
        <v>0.56666666666666665</v>
      </c>
      <c r="G263" s="439">
        <f t="shared" si="170"/>
        <v>1.1666666666666667</v>
      </c>
      <c r="H263" s="439">
        <f t="shared" si="170"/>
        <v>0.66666666666666663</v>
      </c>
      <c r="I263" s="439">
        <f t="shared" si="170"/>
        <v>0.5</v>
      </c>
      <c r="J263" s="439">
        <f t="shared" si="170"/>
        <v>0.53333333333333333</v>
      </c>
      <c r="K263" s="439">
        <f t="shared" si="170"/>
        <v>0.66666666666666663</v>
      </c>
      <c r="L263" s="439">
        <f t="shared" si="170"/>
        <v>0.43333333333333335</v>
      </c>
      <c r="M263" s="439">
        <f t="shared" si="170"/>
        <v>0.5</v>
      </c>
      <c r="N263" s="439">
        <f t="shared" si="170"/>
        <v>0.4</v>
      </c>
      <c r="O263" s="439">
        <f t="shared" si="170"/>
        <v>0.5</v>
      </c>
      <c r="P263" s="523">
        <f t="shared" si="170"/>
        <v>0.60471976401179939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  <ignoredErrors>
    <ignoredError sqref="H4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9FDF-C1B4-42F6-A6C7-56BABCC5B542}">
  <sheetPr codeName="Sheet2"/>
  <dimension ref="A1:P263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E12" sqref="AE12"/>
    </sheetView>
  </sheetViews>
  <sheetFormatPr defaultRowHeight="15.6" x14ac:dyDescent="0.3"/>
  <cols>
    <col min="1" max="1" width="39" style="342" customWidth="1"/>
    <col min="2" max="2" width="16.88671875" style="342" customWidth="1"/>
    <col min="3" max="3" width="12.5546875" style="342" customWidth="1"/>
    <col min="4" max="10" width="19.109375" style="342" customWidth="1"/>
    <col min="11" max="11" width="23.109375" style="342" customWidth="1"/>
    <col min="12" max="12" width="22.6640625" style="342" customWidth="1"/>
    <col min="13" max="13" width="20.109375" style="342" bestFit="1" customWidth="1"/>
    <col min="14" max="15" width="19.109375" style="342" customWidth="1"/>
    <col min="16" max="16" width="18.44140625" style="546" customWidth="1"/>
    <col min="17" max="16384" width="8.88671875" style="342"/>
  </cols>
  <sheetData>
    <row r="1" spans="1:16" customFormat="1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customFormat="1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customFormat="1" ht="18" thickBot="1" x14ac:dyDescent="0.35">
      <c r="A3" s="317" t="s">
        <v>217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9"/>
    </row>
    <row r="4" spans="1:16" customFormat="1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customFormat="1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5"/>
    </row>
    <row r="6" spans="1:16" customFormat="1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445" t="s">
        <v>174</v>
      </c>
      <c r="B7" s="446"/>
      <c r="C7" s="339" t="s">
        <v>173</v>
      </c>
      <c r="D7" s="340" t="s">
        <v>163</v>
      </c>
      <c r="E7" s="340" t="s">
        <v>162</v>
      </c>
      <c r="F7" s="340" t="s">
        <v>161</v>
      </c>
      <c r="G7" s="340" t="s">
        <v>172</v>
      </c>
      <c r="H7" s="340" t="s">
        <v>171</v>
      </c>
      <c r="I7" s="340" t="s">
        <v>170</v>
      </c>
      <c r="J7" s="340" t="s">
        <v>169</v>
      </c>
      <c r="K7" s="340" t="s">
        <v>168</v>
      </c>
      <c r="L7" s="340" t="s">
        <v>167</v>
      </c>
      <c r="M7" s="340" t="s">
        <v>166</v>
      </c>
      <c r="N7" s="340" t="s">
        <v>165</v>
      </c>
      <c r="O7" s="340" t="s">
        <v>164</v>
      </c>
      <c r="P7" s="341" t="s">
        <v>160</v>
      </c>
    </row>
    <row r="8" spans="1:16" ht="16.2" thickBot="1" x14ac:dyDescent="0.35">
      <c r="A8" s="506" t="s">
        <v>159</v>
      </c>
      <c r="B8" s="507"/>
      <c r="C8" s="507"/>
      <c r="D8" s="507"/>
      <c r="E8" s="507"/>
      <c r="F8" s="507"/>
      <c r="G8" s="507"/>
      <c r="H8" s="507"/>
      <c r="I8" s="507"/>
      <c r="J8" s="507"/>
      <c r="K8" s="507"/>
      <c r="L8" s="507"/>
      <c r="M8" s="507"/>
      <c r="N8" s="507"/>
      <c r="O8" s="507"/>
      <c r="P8" s="524"/>
    </row>
    <row r="9" spans="1:16" x14ac:dyDescent="0.3">
      <c r="A9" s="508" t="s">
        <v>176</v>
      </c>
      <c r="B9" s="509"/>
      <c r="C9" s="343" t="s">
        <v>152</v>
      </c>
      <c r="D9" s="344">
        <v>60894</v>
      </c>
      <c r="E9" s="344">
        <v>61758</v>
      </c>
      <c r="F9" s="344">
        <v>58637</v>
      </c>
      <c r="G9" s="344">
        <v>62605</v>
      </c>
      <c r="H9" s="344">
        <v>63644</v>
      </c>
      <c r="I9" s="344">
        <v>71038</v>
      </c>
      <c r="J9" s="344">
        <v>75247</v>
      </c>
      <c r="K9" s="344">
        <v>71539</v>
      </c>
      <c r="L9" s="344">
        <v>71453.7</v>
      </c>
      <c r="M9" s="344">
        <v>74738</v>
      </c>
      <c r="N9" s="344">
        <v>63503</v>
      </c>
      <c r="O9" s="344">
        <v>53806</v>
      </c>
      <c r="P9" s="525">
        <f>SUM(D9:O9)</f>
        <v>788862.7</v>
      </c>
    </row>
    <row r="10" spans="1:16" x14ac:dyDescent="0.3">
      <c r="A10" s="447" t="s">
        <v>177</v>
      </c>
      <c r="B10" s="448"/>
      <c r="C10" s="448"/>
      <c r="D10" s="448"/>
      <c r="E10" s="448"/>
      <c r="F10" s="448"/>
      <c r="G10" s="448"/>
      <c r="H10" s="448"/>
      <c r="I10" s="448"/>
      <c r="J10" s="448"/>
      <c r="K10" s="448"/>
      <c r="L10" s="448"/>
      <c r="M10" s="448"/>
      <c r="N10" s="448"/>
      <c r="O10" s="448"/>
      <c r="P10" s="526"/>
    </row>
    <row r="11" spans="1:16" x14ac:dyDescent="0.3">
      <c r="A11" s="456" t="s">
        <v>157</v>
      </c>
      <c r="B11" s="457"/>
      <c r="C11" s="345" t="s">
        <v>152</v>
      </c>
      <c r="D11" s="346">
        <v>20785</v>
      </c>
      <c r="E11" s="346">
        <v>24461</v>
      </c>
      <c r="F11" s="346">
        <v>25377</v>
      </c>
      <c r="G11" s="346">
        <v>24942</v>
      </c>
      <c r="H11" s="346">
        <v>26711</v>
      </c>
      <c r="I11" s="346">
        <v>27302</v>
      </c>
      <c r="J11" s="346">
        <v>29478</v>
      </c>
      <c r="K11" s="346">
        <v>29318</v>
      </c>
      <c r="L11" s="346">
        <v>29302</v>
      </c>
      <c r="M11" s="346">
        <v>42884</v>
      </c>
      <c r="N11" s="346">
        <v>30836</v>
      </c>
      <c r="O11" s="346">
        <v>27911</v>
      </c>
      <c r="P11" s="347">
        <f>SUM(D11:O11)</f>
        <v>339307</v>
      </c>
    </row>
    <row r="12" spans="1:16" x14ac:dyDescent="0.3">
      <c r="A12" s="456" t="s">
        <v>156</v>
      </c>
      <c r="B12" s="457"/>
      <c r="C12" s="345" t="s">
        <v>152</v>
      </c>
      <c r="D12" s="346">
        <v>287</v>
      </c>
      <c r="E12" s="346">
        <v>438</v>
      </c>
      <c r="F12" s="346">
        <v>434</v>
      </c>
      <c r="G12" s="346">
        <v>428</v>
      </c>
      <c r="H12" s="346">
        <v>522</v>
      </c>
      <c r="I12" s="346">
        <v>498</v>
      </c>
      <c r="J12" s="346">
        <v>581</v>
      </c>
      <c r="K12" s="346">
        <v>426</v>
      </c>
      <c r="L12" s="346">
        <v>521</v>
      </c>
      <c r="M12" s="346">
        <v>455</v>
      </c>
      <c r="N12" s="346">
        <v>467</v>
      </c>
      <c r="O12" s="346">
        <v>478</v>
      </c>
      <c r="P12" s="347">
        <f>SUM(D12:O12)</f>
        <v>5535</v>
      </c>
    </row>
    <row r="13" spans="1:16" x14ac:dyDescent="0.3">
      <c r="A13" s="456" t="s">
        <v>155</v>
      </c>
      <c r="B13" s="457"/>
      <c r="C13" s="345" t="s">
        <v>152</v>
      </c>
      <c r="D13" s="346">
        <v>2010</v>
      </c>
      <c r="E13" s="346">
        <v>2233</v>
      </c>
      <c r="F13" s="346">
        <v>2451</v>
      </c>
      <c r="G13" s="346">
        <v>2340</v>
      </c>
      <c r="H13" s="346">
        <v>2297</v>
      </c>
      <c r="I13" s="346">
        <v>2337</v>
      </c>
      <c r="J13" s="346">
        <v>2422</v>
      </c>
      <c r="K13" s="346">
        <v>2635</v>
      </c>
      <c r="L13" s="346">
        <v>2709</v>
      </c>
      <c r="M13" s="346">
        <v>1068</v>
      </c>
      <c r="N13" s="346">
        <v>804</v>
      </c>
      <c r="O13" s="346">
        <v>850</v>
      </c>
      <c r="P13" s="347">
        <f>SUM(D13:O13)</f>
        <v>24156</v>
      </c>
    </row>
    <row r="14" spans="1:16" x14ac:dyDescent="0.3">
      <c r="A14" s="449" t="s">
        <v>154</v>
      </c>
      <c r="B14" s="450"/>
      <c r="C14" s="345" t="s">
        <v>152</v>
      </c>
      <c r="D14" s="346">
        <v>122</v>
      </c>
      <c r="E14" s="346">
        <v>144</v>
      </c>
      <c r="F14" s="346">
        <v>150</v>
      </c>
      <c r="G14" s="346">
        <v>189</v>
      </c>
      <c r="H14" s="346">
        <v>216</v>
      </c>
      <c r="I14" s="346">
        <v>223</v>
      </c>
      <c r="J14" s="346">
        <v>217</v>
      </c>
      <c r="K14" s="346">
        <v>238</v>
      </c>
      <c r="L14" s="346">
        <v>386</v>
      </c>
      <c r="M14" s="346">
        <v>211</v>
      </c>
      <c r="N14" s="346">
        <v>500</v>
      </c>
      <c r="O14" s="346">
        <v>554</v>
      </c>
      <c r="P14" s="347">
        <f>SUM(D14:O14)</f>
        <v>3150</v>
      </c>
    </row>
    <row r="15" spans="1:16" s="350" customFormat="1" x14ac:dyDescent="0.3">
      <c r="A15" s="465" t="s">
        <v>158</v>
      </c>
      <c r="B15" s="466"/>
      <c r="C15" s="348" t="s">
        <v>152</v>
      </c>
      <c r="D15" s="349">
        <f t="shared" ref="D15:P15" si="0">SUM(D11:D14)</f>
        <v>23204</v>
      </c>
      <c r="E15" s="349">
        <f t="shared" si="0"/>
        <v>27276</v>
      </c>
      <c r="F15" s="349">
        <f t="shared" si="0"/>
        <v>28412</v>
      </c>
      <c r="G15" s="349">
        <f t="shared" si="0"/>
        <v>27899</v>
      </c>
      <c r="H15" s="349">
        <f t="shared" si="0"/>
        <v>29746</v>
      </c>
      <c r="I15" s="349">
        <f t="shared" si="0"/>
        <v>30360</v>
      </c>
      <c r="J15" s="349">
        <f t="shared" si="0"/>
        <v>32698</v>
      </c>
      <c r="K15" s="349">
        <f t="shared" si="0"/>
        <v>32617</v>
      </c>
      <c r="L15" s="349">
        <f t="shared" si="0"/>
        <v>32918</v>
      </c>
      <c r="M15" s="349">
        <f t="shared" si="0"/>
        <v>44618</v>
      </c>
      <c r="N15" s="349">
        <f t="shared" si="0"/>
        <v>32607</v>
      </c>
      <c r="O15" s="349">
        <f t="shared" si="0"/>
        <v>29793</v>
      </c>
      <c r="P15" s="347">
        <f t="shared" si="0"/>
        <v>372148</v>
      </c>
    </row>
    <row r="16" spans="1:16" s="351" customFormat="1" x14ac:dyDescent="0.3">
      <c r="A16" s="447" t="s">
        <v>178</v>
      </c>
      <c r="B16" s="448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526"/>
    </row>
    <row r="17" spans="1:16" s="351" customFormat="1" x14ac:dyDescent="0.3">
      <c r="A17" s="456" t="s">
        <v>180</v>
      </c>
      <c r="B17" s="457"/>
      <c r="C17" s="345" t="s">
        <v>152</v>
      </c>
      <c r="D17" s="346">
        <v>10799</v>
      </c>
      <c r="E17" s="346">
        <v>11460</v>
      </c>
      <c r="F17" s="346">
        <v>8397.2999999999993</v>
      </c>
      <c r="G17" s="346">
        <v>9867.2000000000007</v>
      </c>
      <c r="H17" s="346">
        <v>8837</v>
      </c>
      <c r="I17" s="346">
        <v>9833.9</v>
      </c>
      <c r="J17" s="346">
        <v>13000</v>
      </c>
      <c r="K17" s="346">
        <v>9774.7000000000007</v>
      </c>
      <c r="L17" s="346">
        <v>10968.3</v>
      </c>
      <c r="M17" s="346">
        <v>9105</v>
      </c>
      <c r="N17" s="346">
        <v>12756</v>
      </c>
      <c r="O17" s="346">
        <v>9575.2999999999993</v>
      </c>
      <c r="P17" s="347">
        <f>SUM(D17:O17)</f>
        <v>124373.7</v>
      </c>
    </row>
    <row r="18" spans="1:16" s="351" customFormat="1" x14ac:dyDescent="0.3">
      <c r="A18" s="456" t="s">
        <v>181</v>
      </c>
      <c r="B18" s="457"/>
      <c r="C18" s="345" t="s">
        <v>152</v>
      </c>
      <c r="D18" s="346">
        <v>0</v>
      </c>
      <c r="E18" s="346">
        <v>0</v>
      </c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47">
        <f>SUM(D18:O18)</f>
        <v>0</v>
      </c>
    </row>
    <row r="19" spans="1:16" s="351" customFormat="1" x14ac:dyDescent="0.3">
      <c r="A19" s="456" t="s">
        <v>182</v>
      </c>
      <c r="B19" s="457"/>
      <c r="C19" s="345" t="s">
        <v>152</v>
      </c>
      <c r="D19" s="346">
        <v>0</v>
      </c>
      <c r="E19" s="346">
        <v>0</v>
      </c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7">
        <f>SUM(D19:O19)</f>
        <v>0</v>
      </c>
    </row>
    <row r="20" spans="1:16" s="351" customFormat="1" x14ac:dyDescent="0.3">
      <c r="A20" s="449" t="s">
        <v>183</v>
      </c>
      <c r="B20" s="450"/>
      <c r="C20" s="345" t="s">
        <v>152</v>
      </c>
      <c r="D20" s="346">
        <v>0</v>
      </c>
      <c r="E20" s="346">
        <v>0</v>
      </c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7">
        <f>SUM(D20:O20)</f>
        <v>0</v>
      </c>
    </row>
    <row r="21" spans="1:16" s="352" customFormat="1" x14ac:dyDescent="0.3">
      <c r="A21" s="465" t="s">
        <v>184</v>
      </c>
      <c r="B21" s="466"/>
      <c r="C21" s="348" t="s">
        <v>152</v>
      </c>
      <c r="D21" s="349">
        <f>SUM(D17:D20)</f>
        <v>10799</v>
      </c>
      <c r="E21" s="349">
        <f t="shared" ref="E21:P21" si="1">SUM(E17:E20)</f>
        <v>11460</v>
      </c>
      <c r="F21" s="349">
        <f t="shared" si="1"/>
        <v>8397.2999999999993</v>
      </c>
      <c r="G21" s="349">
        <f t="shared" si="1"/>
        <v>9867.2000000000007</v>
      </c>
      <c r="H21" s="349">
        <f t="shared" si="1"/>
        <v>8837</v>
      </c>
      <c r="I21" s="349">
        <f t="shared" si="1"/>
        <v>9833.9</v>
      </c>
      <c r="J21" s="349">
        <f t="shared" si="1"/>
        <v>13000</v>
      </c>
      <c r="K21" s="349">
        <f t="shared" si="1"/>
        <v>9774.7000000000007</v>
      </c>
      <c r="L21" s="349">
        <f t="shared" si="1"/>
        <v>10968.3</v>
      </c>
      <c r="M21" s="349">
        <f t="shared" si="1"/>
        <v>9105</v>
      </c>
      <c r="N21" s="349">
        <f t="shared" si="1"/>
        <v>12756</v>
      </c>
      <c r="O21" s="349">
        <f t="shared" si="1"/>
        <v>9575.2999999999993</v>
      </c>
      <c r="P21" s="347">
        <f t="shared" si="1"/>
        <v>124373.7</v>
      </c>
    </row>
    <row r="22" spans="1:16" s="351" customFormat="1" x14ac:dyDescent="0.3">
      <c r="A22" s="353" t="s">
        <v>185</v>
      </c>
      <c r="B22" s="354"/>
      <c r="C22" s="345" t="s">
        <v>152</v>
      </c>
      <c r="D22" s="349">
        <f>D21+D15</f>
        <v>34003</v>
      </c>
      <c r="E22" s="349">
        <f t="shared" ref="E22:P22" si="2">E21+E15</f>
        <v>38736</v>
      </c>
      <c r="F22" s="349">
        <f t="shared" si="2"/>
        <v>36809.300000000003</v>
      </c>
      <c r="G22" s="349">
        <f t="shared" si="2"/>
        <v>37766.199999999997</v>
      </c>
      <c r="H22" s="349">
        <f t="shared" si="2"/>
        <v>38583</v>
      </c>
      <c r="I22" s="349">
        <f t="shared" si="2"/>
        <v>40193.9</v>
      </c>
      <c r="J22" s="349">
        <f t="shared" si="2"/>
        <v>45698</v>
      </c>
      <c r="K22" s="349">
        <f t="shared" si="2"/>
        <v>42391.7</v>
      </c>
      <c r="L22" s="349">
        <f t="shared" si="2"/>
        <v>43886.3</v>
      </c>
      <c r="M22" s="349">
        <f t="shared" si="2"/>
        <v>53723</v>
      </c>
      <c r="N22" s="349">
        <f t="shared" si="2"/>
        <v>45363</v>
      </c>
      <c r="O22" s="349">
        <f t="shared" si="2"/>
        <v>39368.300000000003</v>
      </c>
      <c r="P22" s="347">
        <f t="shared" si="2"/>
        <v>496521.7</v>
      </c>
    </row>
    <row r="23" spans="1:16" x14ac:dyDescent="0.3">
      <c r="A23" s="502"/>
      <c r="B23" s="503"/>
      <c r="C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3"/>
      <c r="O23" s="503"/>
      <c r="P23" s="527"/>
    </row>
    <row r="24" spans="1:16" x14ac:dyDescent="0.3">
      <c r="A24" s="442" t="s">
        <v>179</v>
      </c>
      <c r="B24" s="355" t="s">
        <v>153</v>
      </c>
      <c r="C24" s="355" t="s">
        <v>152</v>
      </c>
      <c r="D24" s="356">
        <f>D9-D22</f>
        <v>26891</v>
      </c>
      <c r="E24" s="356">
        <f t="shared" ref="E24:P24" si="3">E9-E22</f>
        <v>23022</v>
      </c>
      <c r="F24" s="356">
        <f t="shared" si="3"/>
        <v>21827.699999999997</v>
      </c>
      <c r="G24" s="356">
        <f t="shared" si="3"/>
        <v>24838.800000000003</v>
      </c>
      <c r="H24" s="356">
        <f t="shared" si="3"/>
        <v>25061</v>
      </c>
      <c r="I24" s="356">
        <f t="shared" si="3"/>
        <v>30844.1</v>
      </c>
      <c r="J24" s="356">
        <f t="shared" si="3"/>
        <v>29549</v>
      </c>
      <c r="K24" s="356">
        <f t="shared" si="3"/>
        <v>29147.300000000003</v>
      </c>
      <c r="L24" s="356">
        <f t="shared" si="3"/>
        <v>27567.399999999994</v>
      </c>
      <c r="M24" s="356">
        <f t="shared" si="3"/>
        <v>21015</v>
      </c>
      <c r="N24" s="356">
        <f t="shared" si="3"/>
        <v>18140</v>
      </c>
      <c r="O24" s="356">
        <f t="shared" si="3"/>
        <v>14437.699999999997</v>
      </c>
      <c r="P24" s="536">
        <f t="shared" si="3"/>
        <v>292340.99999999994</v>
      </c>
    </row>
    <row r="25" spans="1:16" x14ac:dyDescent="0.3">
      <c r="A25" s="444"/>
      <c r="B25" s="368" t="s">
        <v>151</v>
      </c>
      <c r="C25" s="510" t="s">
        <v>6</v>
      </c>
      <c r="D25" s="511">
        <f t="shared" ref="D25:P25" si="4">D24/D9</f>
        <v>0.44160344204683549</v>
      </c>
      <c r="E25" s="511">
        <f t="shared" si="4"/>
        <v>0.37277761585543573</v>
      </c>
      <c r="F25" s="511">
        <f t="shared" si="4"/>
        <v>0.37225130890052349</v>
      </c>
      <c r="G25" s="511">
        <f t="shared" si="4"/>
        <v>0.39675425285520333</v>
      </c>
      <c r="H25" s="511">
        <f t="shared" si="4"/>
        <v>0.39376846207026583</v>
      </c>
      <c r="I25" s="511">
        <f t="shared" si="4"/>
        <v>0.43419155944705651</v>
      </c>
      <c r="J25" s="511">
        <f t="shared" si="4"/>
        <v>0.39269339641447498</v>
      </c>
      <c r="K25" s="511">
        <f t="shared" si="4"/>
        <v>0.40743230964928223</v>
      </c>
      <c r="L25" s="511">
        <f t="shared" si="4"/>
        <v>0.38580787279035228</v>
      </c>
      <c r="M25" s="511">
        <f t="shared" si="4"/>
        <v>0.28118226337338437</v>
      </c>
      <c r="N25" s="511">
        <f t="shared" si="4"/>
        <v>0.28565579578917533</v>
      </c>
      <c r="O25" s="511">
        <f t="shared" si="4"/>
        <v>0.26832881091328098</v>
      </c>
      <c r="P25" s="547">
        <f t="shared" si="4"/>
        <v>0.37058540098295933</v>
      </c>
    </row>
    <row r="26" spans="1:16" x14ac:dyDescent="0.3">
      <c r="A26" s="447" t="s">
        <v>150</v>
      </c>
      <c r="B26" s="448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526"/>
    </row>
    <row r="27" spans="1:16" x14ac:dyDescent="0.3">
      <c r="A27" s="440" t="s">
        <v>149</v>
      </c>
      <c r="B27" s="441"/>
      <c r="C27" s="441"/>
      <c r="D27" s="441"/>
      <c r="E27" s="441"/>
      <c r="F27" s="441"/>
      <c r="G27" s="441"/>
      <c r="H27" s="441"/>
      <c r="I27" s="441"/>
      <c r="J27" s="441"/>
      <c r="K27" s="441"/>
      <c r="L27" s="441"/>
      <c r="M27" s="441"/>
      <c r="N27" s="441"/>
      <c r="O27" s="441"/>
      <c r="P27" s="529"/>
    </row>
    <row r="28" spans="1:16" x14ac:dyDescent="0.3">
      <c r="A28" s="360" t="s">
        <v>148</v>
      </c>
      <c r="B28" s="361" t="s">
        <v>147</v>
      </c>
      <c r="C28" s="362"/>
      <c r="D28" s="363"/>
      <c r="E28" s="363"/>
      <c r="F28" s="363"/>
      <c r="G28" s="363"/>
      <c r="H28" s="363"/>
      <c r="I28" s="363"/>
      <c r="J28" s="364"/>
      <c r="K28" s="364"/>
      <c r="L28" s="364"/>
      <c r="M28" s="364"/>
      <c r="N28" s="364"/>
      <c r="O28" s="363"/>
      <c r="P28" s="365"/>
    </row>
    <row r="29" spans="1:16" x14ac:dyDescent="0.3">
      <c r="A29" s="249" t="s">
        <v>146</v>
      </c>
      <c r="B29" s="579">
        <f>176264.5/50</f>
        <v>3525.29</v>
      </c>
      <c r="C29" s="355" t="s">
        <v>140</v>
      </c>
      <c r="D29" s="366">
        <v>333</v>
      </c>
      <c r="E29" s="366">
        <v>480</v>
      </c>
      <c r="F29" s="366">
        <v>237</v>
      </c>
      <c r="G29" s="366">
        <v>283</v>
      </c>
      <c r="H29" s="366">
        <v>209</v>
      </c>
      <c r="I29" s="366">
        <v>341</v>
      </c>
      <c r="J29" s="366">
        <v>468</v>
      </c>
      <c r="K29" s="366">
        <v>377</v>
      </c>
      <c r="L29" s="366">
        <v>368</v>
      </c>
      <c r="M29" s="366">
        <v>372</v>
      </c>
      <c r="N29" s="366">
        <v>348</v>
      </c>
      <c r="O29" s="366">
        <v>372</v>
      </c>
      <c r="P29" s="367">
        <f>SUM(D29:O29)</f>
        <v>4188</v>
      </c>
    </row>
    <row r="30" spans="1:16" x14ac:dyDescent="0.3">
      <c r="A30" s="250"/>
      <c r="B30" s="579"/>
      <c r="C30" s="368" t="s">
        <v>139</v>
      </c>
      <c r="D30" s="369">
        <f t="shared" ref="D30:P30" si="5">D29/(D9/1000)</f>
        <v>5.4685190659178247</v>
      </c>
      <c r="E30" s="369">
        <f t="shared" si="5"/>
        <v>7.7722724181482556</v>
      </c>
      <c r="F30" s="369">
        <f t="shared" si="5"/>
        <v>4.0418166004399954</v>
      </c>
      <c r="G30" s="369">
        <f t="shared" si="5"/>
        <v>4.5204057183930999</v>
      </c>
      <c r="H30" s="369">
        <f t="shared" si="5"/>
        <v>3.2838916472880397</v>
      </c>
      <c r="I30" s="369">
        <f t="shared" si="5"/>
        <v>4.8002477547228244</v>
      </c>
      <c r="J30" s="369">
        <f t="shared" si="5"/>
        <v>6.2195170571584253</v>
      </c>
      <c r="K30" s="369">
        <f t="shared" si="5"/>
        <v>5.2698528075595128</v>
      </c>
      <c r="L30" s="369">
        <f t="shared" si="5"/>
        <v>5.1501881638039739</v>
      </c>
      <c r="M30" s="369">
        <f t="shared" si="5"/>
        <v>4.9773876742754686</v>
      </c>
      <c r="N30" s="369">
        <f t="shared" si="5"/>
        <v>5.4800560603436059</v>
      </c>
      <c r="O30" s="369">
        <f t="shared" si="5"/>
        <v>6.9137270936326809</v>
      </c>
      <c r="P30" s="375">
        <f t="shared" si="5"/>
        <v>5.3089086351782138</v>
      </c>
    </row>
    <row r="31" spans="1:16" x14ac:dyDescent="0.3">
      <c r="A31" s="249" t="s">
        <v>145</v>
      </c>
      <c r="B31" s="579">
        <f>53000.511/50</f>
        <v>1060.0102199999999</v>
      </c>
      <c r="C31" s="355" t="s">
        <v>140</v>
      </c>
      <c r="D31" s="366"/>
      <c r="E31" s="366"/>
      <c r="F31" s="366"/>
      <c r="G31" s="366"/>
      <c r="H31" s="366"/>
      <c r="I31" s="366"/>
      <c r="J31" s="366"/>
      <c r="K31" s="366"/>
      <c r="L31" s="366"/>
      <c r="M31" s="366"/>
      <c r="N31" s="366"/>
      <c r="O31" s="366"/>
      <c r="P31" s="367">
        <f>SUM(D31:O31)</f>
        <v>0</v>
      </c>
    </row>
    <row r="32" spans="1:16" x14ac:dyDescent="0.3">
      <c r="A32" s="250"/>
      <c r="B32" s="579"/>
      <c r="C32" s="368" t="s">
        <v>139</v>
      </c>
      <c r="D32" s="369">
        <f t="shared" ref="D32:P32" si="6">D31/(D9/1000)</f>
        <v>0</v>
      </c>
      <c r="E32" s="369">
        <f t="shared" si="6"/>
        <v>0</v>
      </c>
      <c r="F32" s="369">
        <f t="shared" si="6"/>
        <v>0</v>
      </c>
      <c r="G32" s="369">
        <f t="shared" si="6"/>
        <v>0</v>
      </c>
      <c r="H32" s="369">
        <f t="shared" si="6"/>
        <v>0</v>
      </c>
      <c r="I32" s="369">
        <f t="shared" si="6"/>
        <v>0</v>
      </c>
      <c r="J32" s="369">
        <f t="shared" si="6"/>
        <v>0</v>
      </c>
      <c r="K32" s="369">
        <f t="shared" si="6"/>
        <v>0</v>
      </c>
      <c r="L32" s="369">
        <f t="shared" si="6"/>
        <v>0</v>
      </c>
      <c r="M32" s="369">
        <f t="shared" si="6"/>
        <v>0</v>
      </c>
      <c r="N32" s="369">
        <f t="shared" si="6"/>
        <v>0</v>
      </c>
      <c r="O32" s="369">
        <f t="shared" si="6"/>
        <v>0</v>
      </c>
      <c r="P32" s="375">
        <f t="shared" si="6"/>
        <v>0</v>
      </c>
    </row>
    <row r="33" spans="1:16" x14ac:dyDescent="0.3">
      <c r="A33" s="249" t="s">
        <v>144</v>
      </c>
      <c r="B33" s="579">
        <f>61414.43/50</f>
        <v>1228.2886000000001</v>
      </c>
      <c r="C33" s="355" t="s">
        <v>140</v>
      </c>
      <c r="D33" s="366"/>
      <c r="E33" s="366"/>
      <c r="F33" s="366"/>
      <c r="G33" s="366"/>
      <c r="H33" s="366"/>
      <c r="I33" s="366"/>
      <c r="J33" s="366"/>
      <c r="K33" s="366"/>
      <c r="L33" s="366"/>
      <c r="M33" s="366"/>
      <c r="N33" s="366"/>
      <c r="O33" s="366"/>
      <c r="P33" s="367">
        <f>SUM(D33:O33)</f>
        <v>0</v>
      </c>
    </row>
    <row r="34" spans="1:16" x14ac:dyDescent="0.3">
      <c r="A34" s="250"/>
      <c r="B34" s="579"/>
      <c r="C34" s="368" t="s">
        <v>139</v>
      </c>
      <c r="D34" s="369">
        <f t="shared" ref="D34:P34" si="7">D33/(D9/1000)</f>
        <v>0</v>
      </c>
      <c r="E34" s="369">
        <f t="shared" si="7"/>
        <v>0</v>
      </c>
      <c r="F34" s="369">
        <f t="shared" si="7"/>
        <v>0</v>
      </c>
      <c r="G34" s="369">
        <f t="shared" si="7"/>
        <v>0</v>
      </c>
      <c r="H34" s="369">
        <f t="shared" si="7"/>
        <v>0</v>
      </c>
      <c r="I34" s="369">
        <f t="shared" si="7"/>
        <v>0</v>
      </c>
      <c r="J34" s="369">
        <f t="shared" si="7"/>
        <v>0</v>
      </c>
      <c r="K34" s="369">
        <f t="shared" si="7"/>
        <v>0</v>
      </c>
      <c r="L34" s="369">
        <f t="shared" si="7"/>
        <v>0</v>
      </c>
      <c r="M34" s="369">
        <f t="shared" si="7"/>
        <v>0</v>
      </c>
      <c r="N34" s="369">
        <f t="shared" si="7"/>
        <v>0</v>
      </c>
      <c r="O34" s="369">
        <f t="shared" si="7"/>
        <v>0</v>
      </c>
      <c r="P34" s="375">
        <f t="shared" si="7"/>
        <v>0</v>
      </c>
    </row>
    <row r="35" spans="1:16" x14ac:dyDescent="0.3">
      <c r="A35" s="249" t="s">
        <v>143</v>
      </c>
      <c r="B35" s="579">
        <f>745345.16/200</f>
        <v>3726.7258000000002</v>
      </c>
      <c r="C35" s="355" t="s">
        <v>126</v>
      </c>
      <c r="D35" s="370"/>
      <c r="E35" s="370">
        <v>248</v>
      </c>
      <c r="F35" s="370">
        <v>301</v>
      </c>
      <c r="G35" s="370">
        <v>224</v>
      </c>
      <c r="H35" s="370">
        <v>139</v>
      </c>
      <c r="I35" s="370">
        <v>155</v>
      </c>
      <c r="J35" s="370">
        <v>143</v>
      </c>
      <c r="K35" s="370">
        <v>110</v>
      </c>
      <c r="L35" s="370">
        <v>141</v>
      </c>
      <c r="M35" s="370">
        <v>473</v>
      </c>
      <c r="N35" s="370">
        <v>555</v>
      </c>
      <c r="O35" s="370">
        <v>465</v>
      </c>
      <c r="P35" s="375"/>
    </row>
    <row r="36" spans="1:16" x14ac:dyDescent="0.3">
      <c r="A36" s="250"/>
      <c r="B36" s="579"/>
      <c r="C36" s="355" t="s">
        <v>142</v>
      </c>
      <c r="D36" s="370">
        <f>D35/(D9/1000)</f>
        <v>0</v>
      </c>
      <c r="E36" s="370">
        <f>E35/(E9/1000)</f>
        <v>4.015674082709932</v>
      </c>
      <c r="F36" s="370">
        <f>F35/(F9/1000)</f>
        <v>5.1332776233436226</v>
      </c>
      <c r="G36" s="370">
        <f>G35/(G9/1000)</f>
        <v>3.577988978516093</v>
      </c>
      <c r="H36" s="370">
        <f t="shared" ref="H36:O36" si="8">H35/(H9/1000)</f>
        <v>2.1840236314499402</v>
      </c>
      <c r="I36" s="370">
        <f t="shared" si="8"/>
        <v>2.1819307976012841</v>
      </c>
      <c r="J36" s="370">
        <f t="shared" si="8"/>
        <v>1.9004079896872965</v>
      </c>
      <c r="K36" s="370">
        <f t="shared" si="8"/>
        <v>1.5376228350969401</v>
      </c>
      <c r="L36" s="370">
        <f t="shared" si="8"/>
        <v>1.9733057910227183</v>
      </c>
      <c r="M36" s="370">
        <f t="shared" si="8"/>
        <v>6.3287751879900451</v>
      </c>
      <c r="N36" s="370">
        <f t="shared" si="8"/>
        <v>8.7397445789962678</v>
      </c>
      <c r="O36" s="370">
        <f t="shared" si="8"/>
        <v>8.64215886704085</v>
      </c>
      <c r="P36" s="375"/>
    </row>
    <row r="37" spans="1:16" x14ac:dyDescent="0.3">
      <c r="A37" s="249" t="s">
        <v>186</v>
      </c>
      <c r="B37" s="579">
        <f>790318.72/200</f>
        <v>3951.5935999999997</v>
      </c>
      <c r="C37" s="355" t="s">
        <v>126</v>
      </c>
      <c r="D37" s="366">
        <v>0</v>
      </c>
      <c r="E37" s="366">
        <v>0</v>
      </c>
      <c r="F37" s="366">
        <v>0</v>
      </c>
      <c r="G37" s="366">
        <v>0</v>
      </c>
      <c r="H37" s="366">
        <v>0</v>
      </c>
      <c r="I37" s="366">
        <v>0</v>
      </c>
      <c r="J37" s="366">
        <v>0</v>
      </c>
      <c r="K37" s="366">
        <v>0</v>
      </c>
      <c r="L37" s="366">
        <v>0</v>
      </c>
      <c r="M37" s="366">
        <v>0</v>
      </c>
      <c r="N37" s="366">
        <v>0</v>
      </c>
      <c r="O37" s="366">
        <v>0</v>
      </c>
      <c r="P37" s="367">
        <f>SUM(D37:O37)</f>
        <v>0</v>
      </c>
    </row>
    <row r="38" spans="1:16" x14ac:dyDescent="0.3">
      <c r="A38" s="250"/>
      <c r="B38" s="579"/>
      <c r="C38" s="355" t="s">
        <v>142</v>
      </c>
      <c r="D38" s="369">
        <f t="shared" ref="D38:P38" si="9">D37/(D9/1000)</f>
        <v>0</v>
      </c>
      <c r="E38" s="369">
        <f t="shared" si="9"/>
        <v>0</v>
      </c>
      <c r="F38" s="369">
        <f t="shared" si="9"/>
        <v>0</v>
      </c>
      <c r="G38" s="369">
        <f t="shared" si="9"/>
        <v>0</v>
      </c>
      <c r="H38" s="369">
        <f t="shared" si="9"/>
        <v>0</v>
      </c>
      <c r="I38" s="369">
        <f t="shared" si="9"/>
        <v>0</v>
      </c>
      <c r="J38" s="369">
        <f t="shared" si="9"/>
        <v>0</v>
      </c>
      <c r="K38" s="369">
        <f t="shared" si="9"/>
        <v>0</v>
      </c>
      <c r="L38" s="369">
        <f t="shared" si="9"/>
        <v>0</v>
      </c>
      <c r="M38" s="369">
        <f t="shared" si="9"/>
        <v>0</v>
      </c>
      <c r="N38" s="369">
        <f t="shared" si="9"/>
        <v>0</v>
      </c>
      <c r="O38" s="369">
        <f t="shared" si="9"/>
        <v>0</v>
      </c>
      <c r="P38" s="375">
        <f t="shared" si="9"/>
        <v>0</v>
      </c>
    </row>
    <row r="39" spans="1:16" x14ac:dyDescent="0.3">
      <c r="A39" s="249" t="s">
        <v>141</v>
      </c>
      <c r="B39" s="579">
        <v>1950</v>
      </c>
      <c r="C39" s="355" t="s">
        <v>140</v>
      </c>
      <c r="D39" s="366">
        <v>0</v>
      </c>
      <c r="E39" s="366">
        <v>0</v>
      </c>
      <c r="F39" s="366">
        <v>0</v>
      </c>
      <c r="G39" s="366">
        <v>0</v>
      </c>
      <c r="H39" s="366">
        <v>0</v>
      </c>
      <c r="I39" s="366">
        <v>0</v>
      </c>
      <c r="J39" s="366">
        <v>0</v>
      </c>
      <c r="K39" s="366">
        <v>0</v>
      </c>
      <c r="L39" s="366">
        <v>0</v>
      </c>
      <c r="M39" s="366">
        <v>0</v>
      </c>
      <c r="N39" s="366">
        <v>0</v>
      </c>
      <c r="O39" s="366">
        <v>0</v>
      </c>
      <c r="P39" s="367">
        <f>SUM(D39:O39)</f>
        <v>0</v>
      </c>
    </row>
    <row r="40" spans="1:16" x14ac:dyDescent="0.3">
      <c r="A40" s="250"/>
      <c r="B40" s="579"/>
      <c r="C40" s="368" t="s">
        <v>139</v>
      </c>
      <c r="D40" s="369">
        <f t="shared" ref="D40:P40" si="10">D39/(D9/1000)</f>
        <v>0</v>
      </c>
      <c r="E40" s="369">
        <f t="shared" si="10"/>
        <v>0</v>
      </c>
      <c r="F40" s="369">
        <f t="shared" si="10"/>
        <v>0</v>
      </c>
      <c r="G40" s="369">
        <f t="shared" si="10"/>
        <v>0</v>
      </c>
      <c r="H40" s="369">
        <f t="shared" si="10"/>
        <v>0</v>
      </c>
      <c r="I40" s="369">
        <f t="shared" si="10"/>
        <v>0</v>
      </c>
      <c r="J40" s="369">
        <f t="shared" si="10"/>
        <v>0</v>
      </c>
      <c r="K40" s="369">
        <f t="shared" si="10"/>
        <v>0</v>
      </c>
      <c r="L40" s="369">
        <f t="shared" si="10"/>
        <v>0</v>
      </c>
      <c r="M40" s="369">
        <f t="shared" si="10"/>
        <v>0</v>
      </c>
      <c r="N40" s="369">
        <f t="shared" si="10"/>
        <v>0</v>
      </c>
      <c r="O40" s="369">
        <f t="shared" si="10"/>
        <v>0</v>
      </c>
      <c r="P40" s="375">
        <f t="shared" si="10"/>
        <v>0</v>
      </c>
    </row>
    <row r="41" spans="1:16" x14ac:dyDescent="0.3">
      <c r="A41" s="449" t="s">
        <v>138</v>
      </c>
      <c r="B41" s="450"/>
      <c r="C41" s="345" t="s">
        <v>31</v>
      </c>
      <c r="D41" s="371">
        <f>(D29*$B29)+(D31*$B31)+(D33*$B33)+(D35*$B35)+(D37*$B37)+(D39*$B39)</f>
        <v>1173921.57</v>
      </c>
      <c r="E41" s="371">
        <f t="shared" ref="E41:O41" si="11">(E29*$B29)+(E31*$B31)+(E33*$B33)+(E35*$B35)+(E37*$B37)+(E39*$B39)</f>
        <v>2616367.1984000001</v>
      </c>
      <c r="F41" s="371">
        <f t="shared" si="11"/>
        <v>1957238.1958000001</v>
      </c>
      <c r="G41" s="371">
        <f t="shared" si="11"/>
        <v>1832443.6491999999</v>
      </c>
      <c r="H41" s="371">
        <f t="shared" si="11"/>
        <v>1254800.4961999999</v>
      </c>
      <c r="I41" s="371">
        <f t="shared" si="11"/>
        <v>1779766.389</v>
      </c>
      <c r="J41" s="371">
        <f t="shared" si="11"/>
        <v>2182757.5093999999</v>
      </c>
      <c r="K41" s="371">
        <f t="shared" si="11"/>
        <v>1738974.1680000001</v>
      </c>
      <c r="L41" s="371">
        <f t="shared" si="11"/>
        <v>1822775.0578000001</v>
      </c>
      <c r="M41" s="371">
        <f t="shared" si="11"/>
        <v>3074149.1834</v>
      </c>
      <c r="N41" s="371">
        <f t="shared" si="11"/>
        <v>3295133.7390000001</v>
      </c>
      <c r="O41" s="371">
        <f t="shared" si="11"/>
        <v>3044335.3769999999</v>
      </c>
      <c r="P41" s="372">
        <f>SUM(D41:O41)</f>
        <v>25772662.533200003</v>
      </c>
    </row>
    <row r="42" spans="1:16" x14ac:dyDescent="0.3">
      <c r="A42" s="500" t="s">
        <v>137</v>
      </c>
      <c r="B42" s="501"/>
      <c r="C42" s="368" t="s">
        <v>115</v>
      </c>
      <c r="D42" s="369">
        <f t="shared" ref="D42:P42" si="12">D41/D9</f>
        <v>19.278115577889448</v>
      </c>
      <c r="E42" s="369">
        <f t="shared" si="12"/>
        <v>42.364830441400308</v>
      </c>
      <c r="F42" s="369">
        <f t="shared" si="12"/>
        <v>33.378893800842476</v>
      </c>
      <c r="G42" s="369">
        <f t="shared" si="12"/>
        <v>29.269924913345577</v>
      </c>
      <c r="H42" s="369">
        <f t="shared" si="12"/>
        <v>19.715927600402235</v>
      </c>
      <c r="I42" s="369">
        <f t="shared" si="12"/>
        <v>25.053723204482107</v>
      </c>
      <c r="J42" s="369">
        <f t="shared" si="12"/>
        <v>29.007900772123804</v>
      </c>
      <c r="K42" s="369">
        <f t="shared" si="12"/>
        <v>24.308058094186389</v>
      </c>
      <c r="L42" s="369">
        <f t="shared" si="12"/>
        <v>25.509876434670286</v>
      </c>
      <c r="M42" s="369">
        <f t="shared" si="12"/>
        <v>41.132344769728917</v>
      </c>
      <c r="N42" s="369">
        <f t="shared" si="12"/>
        <v>51.889418436924238</v>
      </c>
      <c r="O42" s="369">
        <f t="shared" si="12"/>
        <v>56.579849403412254</v>
      </c>
      <c r="P42" s="538">
        <f t="shared" si="12"/>
        <v>32.670656798958809</v>
      </c>
    </row>
    <row r="43" spans="1:16" x14ac:dyDescent="0.3">
      <c r="A43" s="490" t="s">
        <v>136</v>
      </c>
      <c r="B43" s="491"/>
      <c r="C43" s="491"/>
      <c r="D43" s="491"/>
      <c r="E43" s="491"/>
      <c r="F43" s="491"/>
      <c r="G43" s="491"/>
      <c r="H43" s="491"/>
      <c r="I43" s="491"/>
      <c r="J43" s="491"/>
      <c r="K43" s="491"/>
      <c r="L43" s="491"/>
      <c r="M43" s="491"/>
      <c r="N43" s="491"/>
      <c r="O43" s="491"/>
      <c r="P43" s="530"/>
    </row>
    <row r="44" spans="1:16" x14ac:dyDescent="0.3">
      <c r="A44" s="449" t="s">
        <v>135</v>
      </c>
      <c r="B44" s="450"/>
      <c r="C44" s="345" t="s">
        <v>134</v>
      </c>
      <c r="D44" s="366">
        <v>58220</v>
      </c>
      <c r="E44" s="366">
        <v>62314</v>
      </c>
      <c r="F44" s="366">
        <v>80016</v>
      </c>
      <c r="G44" s="366">
        <v>80016</v>
      </c>
      <c r="H44" s="366">
        <v>59746.460000000006</v>
      </c>
      <c r="I44" s="366">
        <v>75397.09</v>
      </c>
      <c r="J44" s="366">
        <v>79061.460000000006</v>
      </c>
      <c r="K44" s="366">
        <v>45632.799999999981</v>
      </c>
      <c r="L44" s="366">
        <v>91364.46</v>
      </c>
      <c r="M44" s="366">
        <v>89974.209999999905</v>
      </c>
      <c r="N44" s="366">
        <v>81920.69</v>
      </c>
      <c r="O44" s="366">
        <v>74974.770000000033</v>
      </c>
      <c r="P44" s="372">
        <f>SUM(D44:O44)</f>
        <v>878637.94</v>
      </c>
    </row>
    <row r="45" spans="1:16" x14ac:dyDescent="0.3">
      <c r="A45" s="500" t="s">
        <v>133</v>
      </c>
      <c r="B45" s="501"/>
      <c r="C45" s="368" t="s">
        <v>132</v>
      </c>
      <c r="D45" s="369">
        <f t="shared" ref="D45:P45" si="13">D44/D9</f>
        <v>0.95608762768088806</v>
      </c>
      <c r="E45" s="369">
        <f t="shared" si="13"/>
        <v>1.0090028822176884</v>
      </c>
      <c r="F45" s="369">
        <f t="shared" si="13"/>
        <v>1.3645991438852603</v>
      </c>
      <c r="G45" s="369">
        <f t="shared" si="13"/>
        <v>1.278108777254213</v>
      </c>
      <c r="H45" s="369">
        <f t="shared" si="13"/>
        <v>0.93876029162214825</v>
      </c>
      <c r="I45" s="369">
        <f t="shared" si="13"/>
        <v>1.061362791745263</v>
      </c>
      <c r="J45" s="369">
        <f t="shared" si="13"/>
        <v>1.0506925193030952</v>
      </c>
      <c r="K45" s="369">
        <f t="shared" si="13"/>
        <v>0.63787304826737834</v>
      </c>
      <c r="L45" s="369">
        <f t="shared" si="13"/>
        <v>1.2786526100117981</v>
      </c>
      <c r="M45" s="369">
        <f t="shared" si="13"/>
        <v>1.2038616232706241</v>
      </c>
      <c r="N45" s="369">
        <f t="shared" si="13"/>
        <v>1.2900286600633042</v>
      </c>
      <c r="O45" s="369">
        <f t="shared" si="13"/>
        <v>1.3934276846448357</v>
      </c>
      <c r="P45" s="375">
        <f t="shared" si="13"/>
        <v>1.113803377951575</v>
      </c>
    </row>
    <row r="46" spans="1:16" x14ac:dyDescent="0.3">
      <c r="A46" s="461" t="s">
        <v>131</v>
      </c>
      <c r="B46" s="462"/>
      <c r="C46" s="355" t="s">
        <v>31</v>
      </c>
      <c r="D46" s="373">
        <f>1.165*(14100+(D44*119.1))</f>
        <v>8094538.8300000001</v>
      </c>
      <c r="E46" s="373">
        <f t="shared" ref="E46:G46" si="14">1.165*(14100+(E44*119.1))</f>
        <v>8662587.470999999</v>
      </c>
      <c r="F46" s="373">
        <f t="shared" si="14"/>
        <v>11118766.524</v>
      </c>
      <c r="G46" s="373">
        <f t="shared" si="14"/>
        <v>11118766.524</v>
      </c>
      <c r="H46" s="373">
        <f t="shared" ref="H46:O46" si="15">1.165*(16600+(H44*143.5))</f>
        <v>10007602.816650001</v>
      </c>
      <c r="I46" s="373">
        <f t="shared" si="15"/>
        <v>12624036.013474999</v>
      </c>
      <c r="J46" s="373">
        <f t="shared" si="15"/>
        <v>13236636.229150003</v>
      </c>
      <c r="K46" s="373">
        <f t="shared" si="15"/>
        <v>7648116.4219999965</v>
      </c>
      <c r="L46" s="373">
        <f t="shared" si="15"/>
        <v>15293421.011650002</v>
      </c>
      <c r="M46" s="373">
        <f t="shared" si="15"/>
        <v>15061002.492274985</v>
      </c>
      <c r="N46" s="373">
        <f t="shared" si="15"/>
        <v>13714635.152475001</v>
      </c>
      <c r="O46" s="373">
        <f t="shared" si="15"/>
        <v>12553433.611675005</v>
      </c>
      <c r="P46" s="372">
        <f>SUM(D46:O46)</f>
        <v>139133543.09834999</v>
      </c>
    </row>
    <row r="47" spans="1:16" s="351" customFormat="1" x14ac:dyDescent="0.3">
      <c r="A47" s="449" t="s">
        <v>130</v>
      </c>
      <c r="B47" s="450"/>
      <c r="C47" s="345" t="s">
        <v>115</v>
      </c>
      <c r="D47" s="369">
        <f t="shared" ref="D47:P47" si="16">D46/D9</f>
        <v>132.92834811311459</v>
      </c>
      <c r="E47" s="369">
        <f t="shared" si="16"/>
        <v>140.2666451471874</v>
      </c>
      <c r="F47" s="369">
        <f t="shared" si="16"/>
        <v>189.62031693299454</v>
      </c>
      <c r="G47" s="369">
        <f t="shared" si="16"/>
        <v>177.60189320341826</v>
      </c>
      <c r="H47" s="369">
        <f t="shared" si="16"/>
        <v>157.2434607606373</v>
      </c>
      <c r="I47" s="369">
        <f t="shared" si="16"/>
        <v>177.70821269566991</v>
      </c>
      <c r="J47" s="369">
        <f t="shared" si="16"/>
        <v>175.90915556965729</v>
      </c>
      <c r="K47" s="369">
        <f t="shared" si="16"/>
        <v>106.9083495995191</v>
      </c>
      <c r="L47" s="369">
        <f t="shared" si="16"/>
        <v>214.03259749530119</v>
      </c>
      <c r="M47" s="369">
        <f t="shared" si="16"/>
        <v>201.51733378301512</v>
      </c>
      <c r="N47" s="369">
        <f t="shared" si="16"/>
        <v>215.96830311127036</v>
      </c>
      <c r="O47" s="369">
        <f t="shared" si="16"/>
        <v>233.30917763214148</v>
      </c>
      <c r="P47" s="375">
        <f t="shared" si="16"/>
        <v>176.37231814655453</v>
      </c>
    </row>
    <row r="48" spans="1:16" x14ac:dyDescent="0.3">
      <c r="A48" s="490" t="s">
        <v>129</v>
      </c>
      <c r="B48" s="491"/>
      <c r="C48" s="491"/>
      <c r="D48" s="491"/>
      <c r="E48" s="491"/>
      <c r="F48" s="491"/>
      <c r="G48" s="491"/>
      <c r="H48" s="491"/>
      <c r="I48" s="491"/>
      <c r="J48" s="491"/>
      <c r="K48" s="491"/>
      <c r="L48" s="491"/>
      <c r="M48" s="491"/>
      <c r="N48" s="491"/>
      <c r="O48" s="491"/>
      <c r="P48" s="530"/>
    </row>
    <row r="49" spans="1:16" x14ac:dyDescent="0.3">
      <c r="A49" s="449" t="s">
        <v>128</v>
      </c>
      <c r="B49" s="450"/>
      <c r="C49" s="355" t="s">
        <v>127</v>
      </c>
      <c r="D49" s="374">
        <v>2317</v>
      </c>
      <c r="E49" s="374">
        <v>2317</v>
      </c>
      <c r="F49" s="374">
        <v>2899</v>
      </c>
      <c r="G49" s="374">
        <v>3100</v>
      </c>
      <c r="H49" s="374">
        <v>2496</v>
      </c>
      <c r="I49" s="374">
        <v>2817</v>
      </c>
      <c r="J49" s="374">
        <v>2234</v>
      </c>
      <c r="K49" s="374">
        <v>2499</v>
      </c>
      <c r="L49" s="374">
        <v>3071</v>
      </c>
      <c r="M49" s="374">
        <v>1430</v>
      </c>
      <c r="N49" s="374">
        <v>1120</v>
      </c>
      <c r="O49" s="374">
        <v>3257</v>
      </c>
      <c r="P49" s="372">
        <f>SUM(D49:O49)</f>
        <v>29557</v>
      </c>
    </row>
    <row r="50" spans="1:16" x14ac:dyDescent="0.3">
      <c r="A50" s="449" t="s">
        <v>187</v>
      </c>
      <c r="B50" s="450"/>
      <c r="C50" s="355" t="s">
        <v>126</v>
      </c>
      <c r="D50" s="374">
        <v>287</v>
      </c>
      <c r="E50" s="374">
        <v>287</v>
      </c>
      <c r="F50" s="374">
        <v>189</v>
      </c>
      <c r="G50" s="374">
        <v>201</v>
      </c>
      <c r="H50" s="374">
        <v>213.86</v>
      </c>
      <c r="I50" s="374">
        <v>245</v>
      </c>
      <c r="J50" s="374">
        <v>136.69999999999999</v>
      </c>
      <c r="K50" s="374">
        <v>211</v>
      </c>
      <c r="L50" s="374">
        <v>278.33000000000004</v>
      </c>
      <c r="M50" s="374">
        <v>141</v>
      </c>
      <c r="N50" s="374">
        <v>98.29</v>
      </c>
      <c r="O50" s="374">
        <v>327</v>
      </c>
      <c r="P50" s="372">
        <f>SUM(D50:O50)</f>
        <v>2615.1800000000003</v>
      </c>
    </row>
    <row r="51" spans="1:16" x14ac:dyDescent="0.3">
      <c r="A51" s="461" t="s">
        <v>125</v>
      </c>
      <c r="B51" s="462"/>
      <c r="C51" s="355" t="s">
        <v>31</v>
      </c>
      <c r="D51" s="370">
        <v>551040</v>
      </c>
      <c r="E51" s="370">
        <v>551040</v>
      </c>
      <c r="F51" s="370">
        <v>362880</v>
      </c>
      <c r="G51" s="370">
        <v>385920</v>
      </c>
      <c r="H51" s="370">
        <v>410611.20000000001</v>
      </c>
      <c r="I51" s="370">
        <v>470400</v>
      </c>
      <c r="J51" s="370">
        <v>262464</v>
      </c>
      <c r="K51" s="370">
        <v>575561.68000000005</v>
      </c>
      <c r="L51" s="370">
        <v>1312320</v>
      </c>
      <c r="M51" s="370">
        <v>270720</v>
      </c>
      <c r="N51" s="370">
        <v>1438820</v>
      </c>
      <c r="O51" s="370">
        <v>627840</v>
      </c>
      <c r="P51" s="375">
        <f>SUM(D51:O51)</f>
        <v>7219616.8800000008</v>
      </c>
    </row>
    <row r="52" spans="1:16" x14ac:dyDescent="0.3">
      <c r="A52" s="449" t="s">
        <v>124</v>
      </c>
      <c r="B52" s="450"/>
      <c r="C52" s="355" t="s">
        <v>31</v>
      </c>
      <c r="D52" s="370">
        <v>0</v>
      </c>
      <c r="E52" s="370">
        <v>0</v>
      </c>
      <c r="F52" s="370">
        <v>0</v>
      </c>
      <c r="G52" s="370">
        <v>0</v>
      </c>
      <c r="H52" s="370">
        <v>0</v>
      </c>
      <c r="I52" s="370">
        <v>0</v>
      </c>
      <c r="J52" s="370">
        <v>0</v>
      </c>
      <c r="K52" s="370">
        <v>0</v>
      </c>
      <c r="L52" s="370">
        <v>0</v>
      </c>
      <c r="M52" s="370">
        <v>0</v>
      </c>
      <c r="N52" s="370">
        <v>0</v>
      </c>
      <c r="O52" s="370">
        <v>0</v>
      </c>
      <c r="P52" s="375">
        <f>SUM(D52:O52)</f>
        <v>0</v>
      </c>
    </row>
    <row r="53" spans="1:16" x14ac:dyDescent="0.3">
      <c r="A53" s="490" t="s">
        <v>123</v>
      </c>
      <c r="B53" s="491"/>
      <c r="C53" s="491"/>
      <c r="D53" s="491"/>
      <c r="E53" s="491"/>
      <c r="F53" s="491"/>
      <c r="G53" s="491"/>
      <c r="H53" s="491"/>
      <c r="I53" s="491"/>
      <c r="J53" s="491"/>
      <c r="K53" s="491"/>
      <c r="L53" s="491"/>
      <c r="M53" s="491"/>
      <c r="N53" s="491"/>
      <c r="O53" s="491"/>
      <c r="P53" s="530"/>
    </row>
    <row r="54" spans="1:16" x14ac:dyDescent="0.3">
      <c r="A54" s="449" t="s">
        <v>122</v>
      </c>
      <c r="B54" s="450"/>
      <c r="C54" s="345" t="s">
        <v>18</v>
      </c>
      <c r="D54" s="370">
        <v>7769395.8399999999</v>
      </c>
      <c r="E54" s="370">
        <v>9535795.8200000003</v>
      </c>
      <c r="F54" s="370">
        <v>9413858.4900000002</v>
      </c>
      <c r="G54" s="370">
        <v>9413858.4900000002</v>
      </c>
      <c r="H54" s="370">
        <v>8475099.7300000004</v>
      </c>
      <c r="I54" s="370">
        <v>8060789.8700000001</v>
      </c>
      <c r="J54" s="370">
        <v>8686302.5300000012</v>
      </c>
      <c r="K54" s="370">
        <v>8606302.5299999993</v>
      </c>
      <c r="L54" s="370">
        <v>11266593.609999999</v>
      </c>
      <c r="M54" s="370">
        <v>9781830.0099999998</v>
      </c>
      <c r="N54" s="370">
        <v>7879712.29</v>
      </c>
      <c r="O54" s="370">
        <v>17045056.620000001</v>
      </c>
      <c r="P54" s="372">
        <f>SUM(D54:O54)</f>
        <v>115934595.83000001</v>
      </c>
    </row>
    <row r="55" spans="1:16" x14ac:dyDescent="0.3">
      <c r="A55" s="376" t="s">
        <v>121</v>
      </c>
      <c r="B55" s="354"/>
      <c r="C55" s="345" t="s">
        <v>18</v>
      </c>
      <c r="D55" s="370">
        <v>4213745.21</v>
      </c>
      <c r="E55" s="370">
        <v>4056761.13</v>
      </c>
      <c r="F55" s="370">
        <v>4015255.35</v>
      </c>
      <c r="G55" s="370">
        <v>4015255.35</v>
      </c>
      <c r="H55" s="370">
        <v>1151550</v>
      </c>
      <c r="I55" s="370">
        <v>3699928.71</v>
      </c>
      <c r="J55" s="370">
        <v>3764540.47</v>
      </c>
      <c r="K55" s="370">
        <v>4067681.92</v>
      </c>
      <c r="L55" s="370">
        <v>3897829.32</v>
      </c>
      <c r="M55" s="370">
        <v>4276444.2300000004</v>
      </c>
      <c r="N55" s="370">
        <v>2614435.38</v>
      </c>
      <c r="O55" s="370">
        <v>4076960.59</v>
      </c>
      <c r="P55" s="372">
        <f>SUM(D55:O55)</f>
        <v>43850387.659999996</v>
      </c>
    </row>
    <row r="56" spans="1:16" x14ac:dyDescent="0.3">
      <c r="A56" s="449" t="s">
        <v>120</v>
      </c>
      <c r="B56" s="450"/>
      <c r="C56" s="355" t="s">
        <v>18</v>
      </c>
      <c r="D56" s="370">
        <v>129000</v>
      </c>
      <c r="E56" s="370">
        <v>1755122</v>
      </c>
      <c r="F56" s="370">
        <v>625000</v>
      </c>
      <c r="G56" s="370">
        <v>625000</v>
      </c>
      <c r="H56" s="370">
        <v>1903515</v>
      </c>
      <c r="I56" s="370">
        <v>6549300</v>
      </c>
      <c r="J56" s="370">
        <v>987000</v>
      </c>
      <c r="K56" s="370">
        <v>5184000</v>
      </c>
      <c r="L56" s="370">
        <v>3698661.53</v>
      </c>
      <c r="M56" s="370">
        <v>0</v>
      </c>
      <c r="N56" s="370">
        <v>2951890.72</v>
      </c>
      <c r="O56" s="370">
        <v>6297411.7400000002</v>
      </c>
      <c r="P56" s="372">
        <f>SUM(D56:O56)</f>
        <v>30705900.990000002</v>
      </c>
    </row>
    <row r="57" spans="1:16" x14ac:dyDescent="0.3">
      <c r="A57" s="490" t="s">
        <v>119</v>
      </c>
      <c r="B57" s="491"/>
      <c r="C57" s="491"/>
      <c r="D57" s="491"/>
      <c r="E57" s="491"/>
      <c r="F57" s="491"/>
      <c r="G57" s="491"/>
      <c r="H57" s="491"/>
      <c r="I57" s="491"/>
      <c r="J57" s="491"/>
      <c r="K57" s="491"/>
      <c r="L57" s="491"/>
      <c r="M57" s="491"/>
      <c r="N57" s="491"/>
      <c r="O57" s="491"/>
      <c r="P57" s="530"/>
    </row>
    <row r="58" spans="1:16" x14ac:dyDescent="0.3">
      <c r="A58" s="461" t="s">
        <v>118</v>
      </c>
      <c r="B58" s="462"/>
      <c r="C58" s="355" t="s">
        <v>18</v>
      </c>
      <c r="D58" s="370">
        <f>D41+D46+D51+D52+D54+D55+D56</f>
        <v>21931641.450000003</v>
      </c>
      <c r="E58" s="370">
        <f t="shared" ref="E58:O58" si="17">E41+E46+E51+E52+E54+E55+E56</f>
        <v>27177673.619399998</v>
      </c>
      <c r="F58" s="370">
        <f t="shared" si="17"/>
        <v>27492998.559800003</v>
      </c>
      <c r="G58" s="370">
        <f t="shared" si="17"/>
        <v>27391244.0132</v>
      </c>
      <c r="H58" s="370">
        <f t="shared" si="17"/>
        <v>23203179.242850002</v>
      </c>
      <c r="I58" s="370">
        <f t="shared" si="17"/>
        <v>33184220.982475001</v>
      </c>
      <c r="J58" s="370">
        <f t="shared" si="17"/>
        <v>29119700.738550004</v>
      </c>
      <c r="K58" s="370">
        <f t="shared" si="17"/>
        <v>27820636.719999999</v>
      </c>
      <c r="L58" s="370">
        <f t="shared" si="17"/>
        <v>37291600.529449999</v>
      </c>
      <c r="M58" s="370">
        <f t="shared" si="17"/>
        <v>32464145.915674988</v>
      </c>
      <c r="N58" s="370">
        <f t="shared" si="17"/>
        <v>31894627.281474996</v>
      </c>
      <c r="O58" s="370">
        <f t="shared" si="17"/>
        <v>43645037.938675009</v>
      </c>
      <c r="P58" s="372">
        <f>SUM(D58:O58)</f>
        <v>362616706.99155003</v>
      </c>
    </row>
    <row r="59" spans="1:16" x14ac:dyDescent="0.3">
      <c r="A59" s="461" t="s">
        <v>117</v>
      </c>
      <c r="B59" s="462"/>
      <c r="C59" s="355" t="s">
        <v>115</v>
      </c>
      <c r="D59" s="369">
        <f t="shared" ref="D59:P59" si="18">D58/D9</f>
        <v>360.16095920780378</v>
      </c>
      <c r="E59" s="369">
        <f t="shared" si="18"/>
        <v>440.06725637812104</v>
      </c>
      <c r="F59" s="369">
        <f t="shared" si="18"/>
        <v>468.86775516823855</v>
      </c>
      <c r="G59" s="369">
        <f t="shared" si="18"/>
        <v>437.52486244229692</v>
      </c>
      <c r="H59" s="369">
        <f t="shared" si="18"/>
        <v>364.57763878527436</v>
      </c>
      <c r="I59" s="369">
        <f t="shared" si="18"/>
        <v>467.13337907141249</v>
      </c>
      <c r="J59" s="369">
        <f t="shared" si="18"/>
        <v>386.98819539051397</v>
      </c>
      <c r="K59" s="369">
        <f t="shared" si="18"/>
        <v>388.88769370553121</v>
      </c>
      <c r="L59" s="369">
        <f t="shared" si="18"/>
        <v>521.8988034132592</v>
      </c>
      <c r="M59" s="369">
        <f t="shared" si="18"/>
        <v>434.37268746387366</v>
      </c>
      <c r="N59" s="369">
        <f t="shared" si="18"/>
        <v>502.25386645473435</v>
      </c>
      <c r="O59" s="369">
        <f t="shared" si="18"/>
        <v>811.15559489043994</v>
      </c>
      <c r="P59" s="375">
        <f t="shared" si="18"/>
        <v>459.67024045065136</v>
      </c>
    </row>
    <row r="60" spans="1:16" x14ac:dyDescent="0.3">
      <c r="A60" s="461" t="s">
        <v>116</v>
      </c>
      <c r="B60" s="462"/>
      <c r="C60" s="355" t="s">
        <v>115</v>
      </c>
      <c r="D60" s="369">
        <f>D58/D22</f>
        <v>644.9913669382114</v>
      </c>
      <c r="E60" s="369">
        <f t="shared" ref="E60:O60" si="19">E58/E22</f>
        <v>701.61280512701364</v>
      </c>
      <c r="F60" s="369">
        <f t="shared" si="19"/>
        <v>746.90359663997958</v>
      </c>
      <c r="G60" s="369">
        <f t="shared" si="19"/>
        <v>725.28461992999041</v>
      </c>
      <c r="H60" s="369">
        <f t="shared" si="19"/>
        <v>601.3834912487365</v>
      </c>
      <c r="I60" s="369">
        <f t="shared" si="19"/>
        <v>825.60341202209793</v>
      </c>
      <c r="J60" s="369">
        <f t="shared" si="19"/>
        <v>637.22046344588398</v>
      </c>
      <c r="K60" s="369">
        <f t="shared" si="19"/>
        <v>656.27556148963129</v>
      </c>
      <c r="L60" s="369">
        <f t="shared" si="19"/>
        <v>849.7321608212585</v>
      </c>
      <c r="M60" s="369">
        <f t="shared" si="19"/>
        <v>604.28765920881165</v>
      </c>
      <c r="N60" s="369">
        <f t="shared" si="19"/>
        <v>703.09783924068063</v>
      </c>
      <c r="O60" s="369">
        <f t="shared" si="19"/>
        <v>1108.6340517288022</v>
      </c>
      <c r="P60" s="539">
        <f>P58/P22</f>
        <v>730.3139157695424</v>
      </c>
    </row>
    <row r="61" spans="1:16" x14ac:dyDescent="0.3">
      <c r="A61" s="449" t="s">
        <v>114</v>
      </c>
      <c r="B61" s="450"/>
      <c r="C61" s="355" t="s">
        <v>3</v>
      </c>
      <c r="D61" s="374">
        <v>13</v>
      </c>
      <c r="E61" s="374">
        <v>13</v>
      </c>
      <c r="F61" s="374">
        <v>13</v>
      </c>
      <c r="G61" s="374">
        <v>13</v>
      </c>
      <c r="H61" s="374">
        <v>13</v>
      </c>
      <c r="I61" s="374">
        <v>13</v>
      </c>
      <c r="J61" s="374">
        <v>13</v>
      </c>
      <c r="K61" s="374">
        <v>13</v>
      </c>
      <c r="L61" s="374">
        <v>13</v>
      </c>
      <c r="M61" s="374">
        <v>13</v>
      </c>
      <c r="N61" s="374">
        <v>13</v>
      </c>
      <c r="O61" s="374">
        <v>13</v>
      </c>
      <c r="P61" s="372">
        <f>O61</f>
        <v>13</v>
      </c>
    </row>
    <row r="62" spans="1:16" ht="15.6" customHeight="1" x14ac:dyDescent="0.3">
      <c r="A62" s="461" t="s">
        <v>113</v>
      </c>
      <c r="B62" s="462"/>
      <c r="C62" s="355" t="s">
        <v>112</v>
      </c>
      <c r="D62" s="369">
        <f t="shared" ref="D62:P62" si="20">(D61*1000*31)/D9</f>
        <v>6.6180576083029523</v>
      </c>
      <c r="E62" s="369">
        <f t="shared" si="20"/>
        <v>6.5254703844036399</v>
      </c>
      <c r="F62" s="369">
        <f t="shared" si="20"/>
        <v>6.8727936285962787</v>
      </c>
      <c r="G62" s="369">
        <f t="shared" si="20"/>
        <v>6.4371855283124351</v>
      </c>
      <c r="H62" s="369">
        <f t="shared" si="20"/>
        <v>6.3320972911822011</v>
      </c>
      <c r="I62" s="369">
        <f t="shared" si="20"/>
        <v>5.6730200737633378</v>
      </c>
      <c r="J62" s="369">
        <f t="shared" si="20"/>
        <v>5.3556952436641989</v>
      </c>
      <c r="K62" s="369">
        <f t="shared" si="20"/>
        <v>5.6332909322187898</v>
      </c>
      <c r="L62" s="369">
        <f t="shared" si="20"/>
        <v>5.6400158424266342</v>
      </c>
      <c r="M62" s="369">
        <f t="shared" si="20"/>
        <v>5.3921699804650913</v>
      </c>
      <c r="N62" s="369">
        <f t="shared" si="20"/>
        <v>6.3461568744783712</v>
      </c>
      <c r="O62" s="369">
        <f t="shared" si="20"/>
        <v>7.48987101810207</v>
      </c>
      <c r="P62" s="375">
        <f t="shared" si="20"/>
        <v>0.51086202960287008</v>
      </c>
    </row>
    <row r="63" spans="1:16" x14ac:dyDescent="0.3">
      <c r="A63" s="486" t="s">
        <v>111</v>
      </c>
      <c r="B63" s="487"/>
      <c r="C63" s="377" t="s">
        <v>3</v>
      </c>
      <c r="D63" s="374">
        <v>19</v>
      </c>
      <c r="E63" s="374">
        <v>19</v>
      </c>
      <c r="F63" s="374">
        <v>19</v>
      </c>
      <c r="G63" s="374">
        <v>19</v>
      </c>
      <c r="H63" s="374">
        <v>19</v>
      </c>
      <c r="I63" s="374">
        <v>19</v>
      </c>
      <c r="J63" s="374">
        <v>19</v>
      </c>
      <c r="K63" s="374">
        <v>19</v>
      </c>
      <c r="L63" s="374">
        <v>19</v>
      </c>
      <c r="M63" s="374">
        <v>38</v>
      </c>
      <c r="N63" s="374">
        <v>38</v>
      </c>
      <c r="O63" s="374">
        <v>38</v>
      </c>
      <c r="P63" s="372">
        <f>SUM(D63:O63)</f>
        <v>285</v>
      </c>
    </row>
    <row r="64" spans="1:16" x14ac:dyDescent="0.3">
      <c r="A64" s="488"/>
      <c r="B64" s="489"/>
      <c r="C64" s="489"/>
      <c r="D64" s="489"/>
      <c r="E64" s="489"/>
      <c r="F64" s="489"/>
      <c r="G64" s="489"/>
      <c r="H64" s="489"/>
      <c r="I64" s="489"/>
      <c r="J64" s="489"/>
      <c r="K64" s="489"/>
      <c r="L64" s="489"/>
      <c r="M64" s="489"/>
      <c r="N64" s="489"/>
      <c r="O64" s="489"/>
      <c r="P64" s="531"/>
    </row>
    <row r="65" spans="1:16" ht="14.4" customHeight="1" x14ac:dyDescent="0.3">
      <c r="A65" s="490" t="s">
        <v>110</v>
      </c>
      <c r="B65" s="491"/>
      <c r="C65" s="491"/>
      <c r="D65" s="491"/>
      <c r="E65" s="491"/>
      <c r="F65" s="491"/>
      <c r="G65" s="491"/>
      <c r="H65" s="491"/>
      <c r="I65" s="491"/>
      <c r="J65" s="491"/>
      <c r="K65" s="491"/>
      <c r="L65" s="491"/>
      <c r="M65" s="491"/>
      <c r="N65" s="491"/>
      <c r="O65" s="491"/>
      <c r="P65" s="530"/>
    </row>
    <row r="66" spans="1:16" x14ac:dyDescent="0.3">
      <c r="A66" s="442" t="s">
        <v>109</v>
      </c>
      <c r="B66" s="355" t="s">
        <v>85</v>
      </c>
      <c r="C66" s="355" t="s">
        <v>3</v>
      </c>
      <c r="D66" s="378">
        <v>288</v>
      </c>
      <c r="E66" s="378">
        <v>305</v>
      </c>
      <c r="F66" s="378">
        <v>295</v>
      </c>
      <c r="G66" s="4">
        <f t="shared" ref="G66" si="21">F71</f>
        <v>319</v>
      </c>
      <c r="H66" s="378">
        <v>336</v>
      </c>
      <c r="I66" s="378">
        <v>348</v>
      </c>
      <c r="J66" s="378">
        <v>352</v>
      </c>
      <c r="K66" s="378">
        <v>349</v>
      </c>
      <c r="L66" s="378">
        <v>336</v>
      </c>
      <c r="M66" s="366">
        <v>339</v>
      </c>
      <c r="N66" s="366">
        <v>350</v>
      </c>
      <c r="O66" s="366">
        <v>341</v>
      </c>
      <c r="P66" s="379">
        <f>D66</f>
        <v>288</v>
      </c>
    </row>
    <row r="67" spans="1:16" x14ac:dyDescent="0.3">
      <c r="A67" s="443"/>
      <c r="B67" s="345" t="s">
        <v>104</v>
      </c>
      <c r="C67" s="355" t="s">
        <v>3</v>
      </c>
      <c r="D67" s="380">
        <v>24</v>
      </c>
      <c r="E67" s="380">
        <v>29</v>
      </c>
      <c r="F67" s="380">
        <v>59</v>
      </c>
      <c r="G67" s="522">
        <v>48</v>
      </c>
      <c r="H67" s="380">
        <v>51</v>
      </c>
      <c r="I67" s="380">
        <v>32</v>
      </c>
      <c r="J67" s="380">
        <v>38</v>
      </c>
      <c r="K67" s="380">
        <v>22</v>
      </c>
      <c r="L67" s="380">
        <v>40</v>
      </c>
      <c r="M67" s="380">
        <v>25</v>
      </c>
      <c r="N67" s="380">
        <v>21</v>
      </c>
      <c r="O67" s="380">
        <v>38</v>
      </c>
      <c r="P67" s="379">
        <f>SUM(D67:O67)</f>
        <v>427</v>
      </c>
    </row>
    <row r="68" spans="1:16" x14ac:dyDescent="0.3">
      <c r="A68" s="443"/>
      <c r="B68" s="345" t="s">
        <v>103</v>
      </c>
      <c r="C68" s="355" t="s">
        <v>3</v>
      </c>
      <c r="D68" s="380">
        <v>7</v>
      </c>
      <c r="E68" s="380">
        <v>16</v>
      </c>
      <c r="F68" s="380">
        <v>35</v>
      </c>
      <c r="G68" s="522">
        <v>31</v>
      </c>
      <c r="H68" s="380">
        <v>39</v>
      </c>
      <c r="I68" s="380">
        <v>28</v>
      </c>
      <c r="J68" s="380">
        <v>41</v>
      </c>
      <c r="K68" s="380">
        <v>35</v>
      </c>
      <c r="L68" s="380">
        <v>37</v>
      </c>
      <c r="M68" s="374">
        <v>14</v>
      </c>
      <c r="N68" s="374">
        <v>30</v>
      </c>
      <c r="O68" s="374">
        <v>25</v>
      </c>
      <c r="P68" s="379">
        <f t="shared" ref="P68:P69" si="22">SUM(D68:O68)</f>
        <v>338</v>
      </c>
    </row>
    <row r="69" spans="1:16" s="351" customFormat="1" x14ac:dyDescent="0.3">
      <c r="A69" s="443"/>
      <c r="B69" s="345" t="s">
        <v>102</v>
      </c>
      <c r="C69" s="345" t="s">
        <v>3</v>
      </c>
      <c r="D69" s="380">
        <v>0</v>
      </c>
      <c r="E69" s="380">
        <v>23</v>
      </c>
      <c r="F69" s="380">
        <v>0</v>
      </c>
      <c r="G69" s="522">
        <v>0</v>
      </c>
      <c r="H69" s="522">
        <v>0</v>
      </c>
      <c r="I69" s="522">
        <v>0</v>
      </c>
      <c r="J69" s="370">
        <v>0</v>
      </c>
      <c r="K69" s="370">
        <v>0</v>
      </c>
      <c r="L69" s="370">
        <v>0</v>
      </c>
      <c r="M69" s="370">
        <v>0</v>
      </c>
      <c r="N69" s="370">
        <v>0</v>
      </c>
      <c r="O69" s="370">
        <v>0</v>
      </c>
      <c r="P69" s="381">
        <f t="shared" si="22"/>
        <v>23</v>
      </c>
    </row>
    <row r="70" spans="1:16" s="351" customFormat="1" x14ac:dyDescent="0.3">
      <c r="A70" s="443"/>
      <c r="B70" s="345" t="s">
        <v>188</v>
      </c>
      <c r="C70" s="345" t="s">
        <v>3</v>
      </c>
      <c r="D70" s="380">
        <f>D68+D69</f>
        <v>7</v>
      </c>
      <c r="E70" s="380">
        <f t="shared" ref="E70:P70" si="23">E68+E69</f>
        <v>39</v>
      </c>
      <c r="F70" s="380">
        <f t="shared" si="23"/>
        <v>35</v>
      </c>
      <c r="G70" s="380">
        <f t="shared" si="23"/>
        <v>31</v>
      </c>
      <c r="H70" s="380">
        <f t="shared" ref="H70:I70" si="24">H68+H69</f>
        <v>39</v>
      </c>
      <c r="I70" s="380">
        <f t="shared" si="24"/>
        <v>28</v>
      </c>
      <c r="J70" s="380">
        <f t="shared" ref="J70:K70" si="25">J68+J69</f>
        <v>41</v>
      </c>
      <c r="K70" s="380">
        <f t="shared" si="25"/>
        <v>35</v>
      </c>
      <c r="L70" s="380">
        <f t="shared" ref="L70" si="26">L68+L69</f>
        <v>37</v>
      </c>
      <c r="M70" s="380">
        <f t="shared" si="23"/>
        <v>14</v>
      </c>
      <c r="N70" s="380">
        <f t="shared" si="23"/>
        <v>30</v>
      </c>
      <c r="O70" s="380">
        <f t="shared" si="23"/>
        <v>25</v>
      </c>
      <c r="P70" s="382">
        <f t="shared" si="23"/>
        <v>361</v>
      </c>
    </row>
    <row r="71" spans="1:16" x14ac:dyDescent="0.3">
      <c r="A71" s="444"/>
      <c r="B71" s="355" t="s">
        <v>81</v>
      </c>
      <c r="C71" s="355" t="s">
        <v>3</v>
      </c>
      <c r="D71" s="383">
        <f>D66+D67-D70</f>
        <v>305</v>
      </c>
      <c r="E71" s="383">
        <f t="shared" ref="E71" si="27">E66+E67-E70</f>
        <v>295</v>
      </c>
      <c r="F71" s="383">
        <f t="shared" ref="F71:G71" si="28">F66+F67-F70</f>
        <v>319</v>
      </c>
      <c r="G71" s="383">
        <f t="shared" si="28"/>
        <v>336</v>
      </c>
      <c r="H71" s="383">
        <f t="shared" ref="H71:I71" si="29">H66+H67-H70</f>
        <v>348</v>
      </c>
      <c r="I71" s="383">
        <f t="shared" si="29"/>
        <v>352</v>
      </c>
      <c r="J71" s="383">
        <f t="shared" ref="J71:K71" si="30">J66+J67-J70</f>
        <v>349</v>
      </c>
      <c r="K71" s="383">
        <f t="shared" si="30"/>
        <v>336</v>
      </c>
      <c r="L71" s="383">
        <f t="shared" ref="L71:O71" si="31">L66+L67-L70</f>
        <v>339</v>
      </c>
      <c r="M71" s="383">
        <f t="shared" si="31"/>
        <v>350</v>
      </c>
      <c r="N71" s="383">
        <f t="shared" si="31"/>
        <v>341</v>
      </c>
      <c r="O71" s="383">
        <f t="shared" si="31"/>
        <v>354</v>
      </c>
      <c r="P71" s="384">
        <f>P66+P67-P70</f>
        <v>354</v>
      </c>
    </row>
    <row r="72" spans="1:16" x14ac:dyDescent="0.3">
      <c r="A72" s="442" t="s">
        <v>108</v>
      </c>
      <c r="B72" s="355" t="s">
        <v>85</v>
      </c>
      <c r="C72" s="355" t="s">
        <v>3</v>
      </c>
      <c r="D72" s="378"/>
      <c r="E72" s="378"/>
      <c r="F72" s="378"/>
      <c r="G72" s="378"/>
      <c r="H72" s="378"/>
      <c r="I72" s="378"/>
      <c r="J72" s="378"/>
      <c r="K72" s="378"/>
      <c r="L72" s="378"/>
      <c r="M72" s="378"/>
      <c r="N72" s="378"/>
      <c r="O72" s="378"/>
      <c r="P72" s="379">
        <f>D72</f>
        <v>0</v>
      </c>
    </row>
    <row r="73" spans="1:16" x14ac:dyDescent="0.3">
      <c r="A73" s="443"/>
      <c r="B73" s="345" t="s">
        <v>104</v>
      </c>
      <c r="C73" s="355" t="s">
        <v>3</v>
      </c>
      <c r="D73" s="380"/>
      <c r="E73" s="380"/>
      <c r="F73" s="380"/>
      <c r="G73" s="380"/>
      <c r="H73" s="380"/>
      <c r="I73" s="380"/>
      <c r="J73" s="380"/>
      <c r="K73" s="380"/>
      <c r="L73" s="380"/>
      <c r="M73" s="380"/>
      <c r="N73" s="380"/>
      <c r="O73" s="380"/>
      <c r="P73" s="379">
        <f>SUM(D73:O73)</f>
        <v>0</v>
      </c>
    </row>
    <row r="74" spans="1:16" x14ac:dyDescent="0.3">
      <c r="A74" s="443"/>
      <c r="B74" s="345" t="s">
        <v>103</v>
      </c>
      <c r="C74" s="355" t="s">
        <v>3</v>
      </c>
      <c r="D74" s="380"/>
      <c r="E74" s="380"/>
      <c r="F74" s="380"/>
      <c r="G74" s="380"/>
      <c r="H74" s="380"/>
      <c r="I74" s="380"/>
      <c r="J74" s="380"/>
      <c r="K74" s="380"/>
      <c r="L74" s="380"/>
      <c r="M74" s="380"/>
      <c r="N74" s="380"/>
      <c r="O74" s="380"/>
      <c r="P74" s="379">
        <f>SUM(D74:O74)</f>
        <v>0</v>
      </c>
    </row>
    <row r="75" spans="1:16" s="351" customFormat="1" x14ac:dyDescent="0.3">
      <c r="A75" s="443"/>
      <c r="B75" s="345" t="s">
        <v>102</v>
      </c>
      <c r="C75" s="345" t="s">
        <v>3</v>
      </c>
      <c r="D75" s="380"/>
      <c r="E75" s="380"/>
      <c r="F75" s="380"/>
      <c r="G75" s="380"/>
      <c r="H75" s="380"/>
      <c r="I75" s="380"/>
      <c r="J75" s="380"/>
      <c r="K75" s="380"/>
      <c r="L75" s="380"/>
      <c r="M75" s="380"/>
      <c r="N75" s="380"/>
      <c r="O75" s="380"/>
      <c r="P75" s="379">
        <f>SUM(D75:O75)</f>
        <v>0</v>
      </c>
    </row>
    <row r="76" spans="1:16" s="351" customFormat="1" x14ac:dyDescent="0.3">
      <c r="A76" s="443"/>
      <c r="B76" s="345" t="s">
        <v>188</v>
      </c>
      <c r="C76" s="345" t="s">
        <v>3</v>
      </c>
      <c r="D76" s="380">
        <f>D74+D75</f>
        <v>0</v>
      </c>
      <c r="E76" s="380">
        <f t="shared" ref="E76:P76" si="32">E74+E75</f>
        <v>0</v>
      </c>
      <c r="F76" s="380">
        <f t="shared" si="32"/>
        <v>0</v>
      </c>
      <c r="G76" s="380">
        <f t="shared" si="32"/>
        <v>0</v>
      </c>
      <c r="H76" s="380">
        <f t="shared" ref="H76:I76" si="33">H74+H75</f>
        <v>0</v>
      </c>
      <c r="I76" s="380">
        <f t="shared" si="33"/>
        <v>0</v>
      </c>
      <c r="J76" s="380">
        <f t="shared" ref="J76:K76" si="34">J74+J75</f>
        <v>0</v>
      </c>
      <c r="K76" s="380">
        <f t="shared" si="34"/>
        <v>0</v>
      </c>
      <c r="L76" s="380">
        <f t="shared" ref="L76" si="35">L74+L75</f>
        <v>0</v>
      </c>
      <c r="M76" s="380">
        <f t="shared" si="32"/>
        <v>0</v>
      </c>
      <c r="N76" s="380">
        <f t="shared" si="32"/>
        <v>0</v>
      </c>
      <c r="O76" s="380">
        <f t="shared" si="32"/>
        <v>0</v>
      </c>
      <c r="P76" s="382">
        <f t="shared" si="32"/>
        <v>0</v>
      </c>
    </row>
    <row r="77" spans="1:16" x14ac:dyDescent="0.3">
      <c r="A77" s="444"/>
      <c r="B77" s="355" t="s">
        <v>81</v>
      </c>
      <c r="C77" s="355" t="s">
        <v>3</v>
      </c>
      <c r="D77" s="383">
        <f t="shared" ref="D77:I77" si="36">D72+D73-D76</f>
        <v>0</v>
      </c>
      <c r="E77" s="383">
        <f t="shared" si="36"/>
        <v>0</v>
      </c>
      <c r="F77" s="383">
        <f t="shared" si="36"/>
        <v>0</v>
      </c>
      <c r="G77" s="383">
        <f t="shared" si="36"/>
        <v>0</v>
      </c>
      <c r="H77" s="383">
        <f t="shared" si="36"/>
        <v>0</v>
      </c>
      <c r="I77" s="383">
        <f t="shared" si="36"/>
        <v>0</v>
      </c>
      <c r="J77" s="383">
        <f t="shared" ref="J77:P77" si="37">J72+J73-J76</f>
        <v>0</v>
      </c>
      <c r="K77" s="383">
        <f t="shared" si="37"/>
        <v>0</v>
      </c>
      <c r="L77" s="383">
        <f t="shared" si="37"/>
        <v>0</v>
      </c>
      <c r="M77" s="383">
        <f t="shared" si="37"/>
        <v>0</v>
      </c>
      <c r="N77" s="383">
        <f t="shared" si="37"/>
        <v>0</v>
      </c>
      <c r="O77" s="383">
        <f t="shared" si="37"/>
        <v>0</v>
      </c>
      <c r="P77" s="383">
        <f t="shared" si="37"/>
        <v>0</v>
      </c>
    </row>
    <row r="78" spans="1:16" ht="15.6" customHeight="1" x14ac:dyDescent="0.3">
      <c r="A78" s="442" t="s">
        <v>107</v>
      </c>
      <c r="B78" s="355" t="s">
        <v>85</v>
      </c>
      <c r="C78" s="355" t="s">
        <v>3</v>
      </c>
      <c r="D78" s="378"/>
      <c r="E78" s="378"/>
      <c r="F78" s="378"/>
      <c r="G78" s="378"/>
      <c r="H78" s="378"/>
      <c r="I78" s="378"/>
      <c r="J78" s="378"/>
      <c r="K78" s="378"/>
      <c r="L78" s="378"/>
      <c r="M78" s="378"/>
      <c r="N78" s="378"/>
      <c r="O78" s="378"/>
      <c r="P78" s="379">
        <f>D78</f>
        <v>0</v>
      </c>
    </row>
    <row r="79" spans="1:16" x14ac:dyDescent="0.3">
      <c r="A79" s="443"/>
      <c r="B79" s="345" t="s">
        <v>104</v>
      </c>
      <c r="C79" s="355" t="s">
        <v>3</v>
      </c>
      <c r="D79" s="380"/>
      <c r="E79" s="380"/>
      <c r="F79" s="380"/>
      <c r="G79" s="380"/>
      <c r="H79" s="380"/>
      <c r="I79" s="380"/>
      <c r="J79" s="380"/>
      <c r="K79" s="380"/>
      <c r="L79" s="380"/>
      <c r="M79" s="380"/>
      <c r="N79" s="380"/>
      <c r="O79" s="380"/>
      <c r="P79" s="379">
        <f>SUM(D79:O79)</f>
        <v>0</v>
      </c>
    </row>
    <row r="80" spans="1:16" x14ac:dyDescent="0.3">
      <c r="A80" s="443"/>
      <c r="B80" s="345" t="s">
        <v>103</v>
      </c>
      <c r="C80" s="355" t="s">
        <v>3</v>
      </c>
      <c r="D80" s="380"/>
      <c r="E80" s="380"/>
      <c r="F80" s="380"/>
      <c r="G80" s="380"/>
      <c r="H80" s="380"/>
      <c r="I80" s="380"/>
      <c r="J80" s="380"/>
      <c r="K80" s="380"/>
      <c r="L80" s="380"/>
      <c r="M80" s="380"/>
      <c r="N80" s="380"/>
      <c r="O80" s="380"/>
      <c r="P80" s="379">
        <f>SUM(D80:O80)</f>
        <v>0</v>
      </c>
    </row>
    <row r="81" spans="1:16" s="351" customFormat="1" x14ac:dyDescent="0.3">
      <c r="A81" s="443"/>
      <c r="B81" s="345" t="s">
        <v>102</v>
      </c>
      <c r="C81" s="345" t="s">
        <v>3</v>
      </c>
      <c r="D81" s="380"/>
      <c r="E81" s="380"/>
      <c r="F81" s="380"/>
      <c r="G81" s="380"/>
      <c r="H81" s="380"/>
      <c r="I81" s="380"/>
      <c r="J81" s="380"/>
      <c r="K81" s="380"/>
      <c r="L81" s="380"/>
      <c r="M81" s="380"/>
      <c r="N81" s="380"/>
      <c r="O81" s="380"/>
      <c r="P81" s="381">
        <f>SUM(D81:O81)</f>
        <v>0</v>
      </c>
    </row>
    <row r="82" spans="1:16" s="351" customFormat="1" x14ac:dyDescent="0.3">
      <c r="A82" s="443"/>
      <c r="B82" s="345" t="s">
        <v>188</v>
      </c>
      <c r="C82" s="345" t="s">
        <v>3</v>
      </c>
      <c r="D82" s="380">
        <f>D81+D80</f>
        <v>0</v>
      </c>
      <c r="E82" s="380">
        <f t="shared" ref="E82:P82" si="38">E81+E80</f>
        <v>0</v>
      </c>
      <c r="F82" s="380">
        <f t="shared" si="38"/>
        <v>0</v>
      </c>
      <c r="G82" s="380">
        <f t="shared" si="38"/>
        <v>0</v>
      </c>
      <c r="H82" s="380">
        <f t="shared" ref="H82:I82" si="39">H81+H80</f>
        <v>0</v>
      </c>
      <c r="I82" s="380">
        <f t="shared" si="39"/>
        <v>0</v>
      </c>
      <c r="J82" s="380">
        <f t="shared" ref="J82:K82" si="40">J81+J80</f>
        <v>0</v>
      </c>
      <c r="K82" s="380">
        <f t="shared" si="40"/>
        <v>0</v>
      </c>
      <c r="L82" s="380">
        <f t="shared" ref="L82" si="41">L81+L80</f>
        <v>0</v>
      </c>
      <c r="M82" s="380">
        <f t="shared" si="38"/>
        <v>0</v>
      </c>
      <c r="N82" s="380">
        <f t="shared" si="38"/>
        <v>0</v>
      </c>
      <c r="O82" s="380">
        <f t="shared" si="38"/>
        <v>0</v>
      </c>
      <c r="P82" s="382">
        <f t="shared" si="38"/>
        <v>0</v>
      </c>
    </row>
    <row r="83" spans="1:16" x14ac:dyDescent="0.3">
      <c r="A83" s="444"/>
      <c r="B83" s="355" t="s">
        <v>81</v>
      </c>
      <c r="C83" s="355" t="s">
        <v>3</v>
      </c>
      <c r="D83" s="383">
        <f t="shared" ref="D83:I83" si="42">D78+D79-D82</f>
        <v>0</v>
      </c>
      <c r="E83" s="383">
        <f t="shared" si="42"/>
        <v>0</v>
      </c>
      <c r="F83" s="383">
        <f t="shared" si="42"/>
        <v>0</v>
      </c>
      <c r="G83" s="383">
        <f t="shared" si="42"/>
        <v>0</v>
      </c>
      <c r="H83" s="383">
        <f t="shared" si="42"/>
        <v>0</v>
      </c>
      <c r="I83" s="383">
        <f t="shared" si="42"/>
        <v>0</v>
      </c>
      <c r="J83" s="383">
        <f t="shared" ref="J83:O83" si="43">J78+J79-J82</f>
        <v>0</v>
      </c>
      <c r="K83" s="383">
        <f t="shared" si="43"/>
        <v>0</v>
      </c>
      <c r="L83" s="383">
        <f t="shared" si="43"/>
        <v>0</v>
      </c>
      <c r="M83" s="383">
        <f t="shared" si="43"/>
        <v>0</v>
      </c>
      <c r="N83" s="383">
        <f t="shared" si="43"/>
        <v>0</v>
      </c>
      <c r="O83" s="383">
        <f t="shared" si="43"/>
        <v>0</v>
      </c>
      <c r="P83" s="384">
        <f t="shared" ref="P83" si="44">P78+P79-P82</f>
        <v>0</v>
      </c>
    </row>
    <row r="84" spans="1:16" x14ac:dyDescent="0.3">
      <c r="A84" s="492" t="s">
        <v>106</v>
      </c>
      <c r="B84" s="355" t="s">
        <v>85</v>
      </c>
      <c r="C84" s="355" t="s">
        <v>3</v>
      </c>
      <c r="D84" s="378">
        <v>0</v>
      </c>
      <c r="E84" s="378">
        <v>0</v>
      </c>
      <c r="F84" s="378">
        <v>0</v>
      </c>
      <c r="G84" s="378"/>
      <c r="H84" s="378"/>
      <c r="I84" s="378"/>
      <c r="J84" s="378"/>
      <c r="K84" s="378"/>
      <c r="L84" s="378"/>
      <c r="M84" s="378"/>
      <c r="N84" s="378"/>
      <c r="O84" s="378"/>
      <c r="P84" s="379">
        <f>D84</f>
        <v>0</v>
      </c>
    </row>
    <row r="85" spans="1:16" x14ac:dyDescent="0.3">
      <c r="A85" s="493"/>
      <c r="B85" s="355" t="s">
        <v>104</v>
      </c>
      <c r="C85" s="355" t="s">
        <v>3</v>
      </c>
      <c r="D85" s="380">
        <v>0</v>
      </c>
      <c r="E85" s="380">
        <v>0</v>
      </c>
      <c r="F85" s="380">
        <v>0</v>
      </c>
      <c r="G85" s="380"/>
      <c r="H85" s="380"/>
      <c r="I85" s="380"/>
      <c r="J85" s="380"/>
      <c r="K85" s="380"/>
      <c r="L85" s="380"/>
      <c r="M85" s="380"/>
      <c r="N85" s="380"/>
      <c r="O85" s="380"/>
      <c r="P85" s="379">
        <f>SUM(D85:O85)</f>
        <v>0</v>
      </c>
    </row>
    <row r="86" spans="1:16" x14ac:dyDescent="0.3">
      <c r="A86" s="493"/>
      <c r="B86" s="355" t="s">
        <v>103</v>
      </c>
      <c r="C86" s="355" t="s">
        <v>3</v>
      </c>
      <c r="D86" s="380">
        <v>0</v>
      </c>
      <c r="E86" s="380">
        <v>0</v>
      </c>
      <c r="F86" s="380">
        <v>0</v>
      </c>
      <c r="G86" s="380"/>
      <c r="H86" s="380"/>
      <c r="I86" s="380"/>
      <c r="J86" s="380"/>
      <c r="K86" s="380"/>
      <c r="L86" s="380"/>
      <c r="M86" s="380"/>
      <c r="N86" s="380"/>
      <c r="O86" s="380"/>
      <c r="P86" s="379">
        <f>SUM(D86:O86)</f>
        <v>0</v>
      </c>
    </row>
    <row r="87" spans="1:16" s="351" customFormat="1" x14ac:dyDescent="0.3">
      <c r="A87" s="493"/>
      <c r="B87" s="345" t="s">
        <v>102</v>
      </c>
      <c r="C87" s="345" t="s">
        <v>3</v>
      </c>
      <c r="D87" s="380">
        <v>0</v>
      </c>
      <c r="E87" s="380">
        <v>0</v>
      </c>
      <c r="F87" s="380">
        <v>0</v>
      </c>
      <c r="G87" s="380"/>
      <c r="H87" s="380"/>
      <c r="I87" s="380"/>
      <c r="J87" s="380"/>
      <c r="K87" s="380"/>
      <c r="L87" s="380"/>
      <c r="M87" s="380"/>
      <c r="N87" s="380"/>
      <c r="O87" s="380"/>
      <c r="P87" s="381">
        <f>SUM(D87:O87)</f>
        <v>0</v>
      </c>
    </row>
    <row r="88" spans="1:16" s="351" customFormat="1" x14ac:dyDescent="0.3">
      <c r="A88" s="493"/>
      <c r="B88" s="345" t="s">
        <v>188</v>
      </c>
      <c r="C88" s="345" t="s">
        <v>3</v>
      </c>
      <c r="D88" s="380">
        <f>D87+D86</f>
        <v>0</v>
      </c>
      <c r="E88" s="380">
        <f t="shared" ref="E88:G88" si="45">E87+E86</f>
        <v>0</v>
      </c>
      <c r="F88" s="380">
        <f t="shared" si="45"/>
        <v>0</v>
      </c>
      <c r="G88" s="380">
        <f t="shared" si="45"/>
        <v>0</v>
      </c>
      <c r="H88" s="380">
        <f t="shared" ref="H88:I88" si="46">H87+H86</f>
        <v>0</v>
      </c>
      <c r="I88" s="380">
        <f t="shared" si="46"/>
        <v>0</v>
      </c>
      <c r="J88" s="380">
        <f t="shared" ref="J88:K88" si="47">J87+J86</f>
        <v>0</v>
      </c>
      <c r="K88" s="380">
        <f t="shared" si="47"/>
        <v>0</v>
      </c>
      <c r="L88" s="380">
        <f t="shared" ref="L88:O88" si="48">L87+L86</f>
        <v>0</v>
      </c>
      <c r="M88" s="380">
        <f t="shared" si="48"/>
        <v>0</v>
      </c>
      <c r="N88" s="380">
        <f t="shared" si="48"/>
        <v>0</v>
      </c>
      <c r="O88" s="380">
        <f t="shared" si="48"/>
        <v>0</v>
      </c>
      <c r="P88" s="381">
        <f>SUM(D88:O88)</f>
        <v>0</v>
      </c>
    </row>
    <row r="89" spans="1:16" x14ac:dyDescent="0.3">
      <c r="A89" s="494"/>
      <c r="B89" s="385" t="s">
        <v>81</v>
      </c>
      <c r="C89" s="355" t="s">
        <v>3</v>
      </c>
      <c r="D89" s="383">
        <f t="shared" ref="D89:I89" si="49">D84+D85-D88</f>
        <v>0</v>
      </c>
      <c r="E89" s="383">
        <f t="shared" si="49"/>
        <v>0</v>
      </c>
      <c r="F89" s="383">
        <f t="shared" si="49"/>
        <v>0</v>
      </c>
      <c r="G89" s="383">
        <f t="shared" si="49"/>
        <v>0</v>
      </c>
      <c r="H89" s="383">
        <f t="shared" si="49"/>
        <v>0</v>
      </c>
      <c r="I89" s="383">
        <f t="shared" si="49"/>
        <v>0</v>
      </c>
      <c r="J89" s="383">
        <f t="shared" ref="J89:O89" si="50">J84+J85-J88</f>
        <v>0</v>
      </c>
      <c r="K89" s="383">
        <f t="shared" si="50"/>
        <v>0</v>
      </c>
      <c r="L89" s="383">
        <f t="shared" si="50"/>
        <v>0</v>
      </c>
      <c r="M89" s="383">
        <f t="shared" si="50"/>
        <v>0</v>
      </c>
      <c r="N89" s="383">
        <f t="shared" si="50"/>
        <v>0</v>
      </c>
      <c r="O89" s="383">
        <f t="shared" si="50"/>
        <v>0</v>
      </c>
      <c r="P89" s="384">
        <f t="shared" ref="P89" si="51">P84+P85-P86-P87</f>
        <v>0</v>
      </c>
    </row>
    <row r="90" spans="1:16" x14ac:dyDescent="0.3">
      <c r="A90" s="495" t="s">
        <v>105</v>
      </c>
      <c r="B90" s="345" t="s">
        <v>85</v>
      </c>
      <c r="C90" s="345" t="s">
        <v>3</v>
      </c>
      <c r="D90" s="386">
        <f t="shared" ref="D90:I90" si="52">D66+D72+D78+D84</f>
        <v>288</v>
      </c>
      <c r="E90" s="386">
        <f t="shared" si="52"/>
        <v>305</v>
      </c>
      <c r="F90" s="386">
        <f t="shared" si="52"/>
        <v>295</v>
      </c>
      <c r="G90" s="386">
        <f t="shared" si="52"/>
        <v>319</v>
      </c>
      <c r="H90" s="386">
        <f t="shared" si="52"/>
        <v>336</v>
      </c>
      <c r="I90" s="386">
        <f t="shared" si="52"/>
        <v>348</v>
      </c>
      <c r="J90" s="386">
        <f t="shared" ref="J90:K90" si="53">J66+J72+J78+J84</f>
        <v>352</v>
      </c>
      <c r="K90" s="386">
        <f t="shared" si="53"/>
        <v>349</v>
      </c>
      <c r="L90" s="386">
        <f t="shared" ref="L90:O90" si="54">L66+L72+L78+L84</f>
        <v>336</v>
      </c>
      <c r="M90" s="386">
        <f t="shared" si="54"/>
        <v>339</v>
      </c>
      <c r="N90" s="386">
        <f t="shared" si="54"/>
        <v>350</v>
      </c>
      <c r="O90" s="386">
        <f t="shared" si="54"/>
        <v>341</v>
      </c>
      <c r="P90" s="379">
        <f>D90</f>
        <v>288</v>
      </c>
    </row>
    <row r="91" spans="1:16" x14ac:dyDescent="0.3">
      <c r="A91" s="496"/>
      <c r="B91" s="345" t="s">
        <v>104</v>
      </c>
      <c r="C91" s="345" t="s">
        <v>3</v>
      </c>
      <c r="D91" s="386">
        <f t="shared" ref="D91:E93" si="55">D67+D73+D79+D85</f>
        <v>24</v>
      </c>
      <c r="E91" s="386">
        <f t="shared" si="55"/>
        <v>29</v>
      </c>
      <c r="F91" s="386">
        <f t="shared" ref="F91:G91" si="56">F67+F73+F79+F85</f>
        <v>59</v>
      </c>
      <c r="G91" s="386">
        <f t="shared" si="56"/>
        <v>48</v>
      </c>
      <c r="H91" s="386">
        <f t="shared" ref="H91:I91" si="57">H67+H73+H79+H85</f>
        <v>51</v>
      </c>
      <c r="I91" s="386">
        <f t="shared" si="57"/>
        <v>32</v>
      </c>
      <c r="J91" s="386">
        <f t="shared" ref="J91:K91" si="58">J67+J73+J79+J85</f>
        <v>38</v>
      </c>
      <c r="K91" s="386">
        <f t="shared" si="58"/>
        <v>22</v>
      </c>
      <c r="L91" s="386">
        <f t="shared" ref="L91:O91" si="59">L67+L73+L79+L85</f>
        <v>40</v>
      </c>
      <c r="M91" s="386">
        <f t="shared" si="59"/>
        <v>25</v>
      </c>
      <c r="N91" s="386">
        <f t="shared" si="59"/>
        <v>21</v>
      </c>
      <c r="O91" s="386">
        <f t="shared" si="59"/>
        <v>38</v>
      </c>
      <c r="P91" s="379">
        <f>SUM(D91:O91)</f>
        <v>427</v>
      </c>
    </row>
    <row r="92" spans="1:16" x14ac:dyDescent="0.3">
      <c r="A92" s="496"/>
      <c r="B92" s="345" t="s">
        <v>103</v>
      </c>
      <c r="C92" s="345" t="s">
        <v>3</v>
      </c>
      <c r="D92" s="386">
        <f t="shared" si="55"/>
        <v>7</v>
      </c>
      <c r="E92" s="386">
        <f t="shared" si="55"/>
        <v>16</v>
      </c>
      <c r="F92" s="386">
        <f t="shared" ref="F92:G92" si="60">F68+F74+F80+F86</f>
        <v>35</v>
      </c>
      <c r="G92" s="386">
        <f t="shared" si="60"/>
        <v>31</v>
      </c>
      <c r="H92" s="386">
        <f t="shared" ref="H92:I92" si="61">H68+H74+H80+H86</f>
        <v>39</v>
      </c>
      <c r="I92" s="386">
        <f t="shared" si="61"/>
        <v>28</v>
      </c>
      <c r="J92" s="386">
        <f t="shared" ref="J92:K92" si="62">J68+J74+J80+J86</f>
        <v>41</v>
      </c>
      <c r="K92" s="386">
        <f t="shared" si="62"/>
        <v>35</v>
      </c>
      <c r="L92" s="386">
        <f t="shared" ref="L92:O92" si="63">L68+L74+L80+L86</f>
        <v>37</v>
      </c>
      <c r="M92" s="386">
        <f t="shared" si="63"/>
        <v>14</v>
      </c>
      <c r="N92" s="386">
        <f t="shared" si="63"/>
        <v>30</v>
      </c>
      <c r="O92" s="386">
        <f t="shared" si="63"/>
        <v>25</v>
      </c>
      <c r="P92" s="379">
        <f>SUM(D92:O92)</f>
        <v>338</v>
      </c>
    </row>
    <row r="93" spans="1:16" s="351" customFormat="1" x14ac:dyDescent="0.3">
      <c r="A93" s="496"/>
      <c r="B93" s="345" t="s">
        <v>102</v>
      </c>
      <c r="C93" s="345"/>
      <c r="D93" s="386">
        <f t="shared" si="55"/>
        <v>0</v>
      </c>
      <c r="E93" s="386">
        <f t="shared" si="55"/>
        <v>23</v>
      </c>
      <c r="F93" s="386">
        <f t="shared" ref="F93:G93" si="64">F69+F75+F81+F87</f>
        <v>0</v>
      </c>
      <c r="G93" s="386">
        <f t="shared" si="64"/>
        <v>0</v>
      </c>
      <c r="H93" s="386">
        <f t="shared" ref="H93:I93" si="65">H69+H75+H81+H87</f>
        <v>0</v>
      </c>
      <c r="I93" s="386">
        <f t="shared" si="65"/>
        <v>0</v>
      </c>
      <c r="J93" s="386">
        <f t="shared" ref="J93:K93" si="66">J69+J75+J81+J87</f>
        <v>0</v>
      </c>
      <c r="K93" s="386">
        <f t="shared" si="66"/>
        <v>0</v>
      </c>
      <c r="L93" s="386">
        <f t="shared" ref="L93:O93" si="67">L69+L75+L81+L87</f>
        <v>0</v>
      </c>
      <c r="M93" s="386">
        <f t="shared" si="67"/>
        <v>0</v>
      </c>
      <c r="N93" s="386">
        <f t="shared" si="67"/>
        <v>0</v>
      </c>
      <c r="O93" s="386">
        <f t="shared" si="67"/>
        <v>0</v>
      </c>
      <c r="P93" s="379">
        <f>SUM(D93:O93)</f>
        <v>23</v>
      </c>
    </row>
    <row r="94" spans="1:16" s="351" customFormat="1" x14ac:dyDescent="0.3">
      <c r="A94" s="496"/>
      <c r="B94" s="345" t="s">
        <v>188</v>
      </c>
      <c r="C94" s="345" t="s">
        <v>3</v>
      </c>
      <c r="D94" s="388">
        <f>D93+D92</f>
        <v>7</v>
      </c>
      <c r="E94" s="388">
        <f t="shared" ref="E94:P94" si="68">E93+E92</f>
        <v>39</v>
      </c>
      <c r="F94" s="388">
        <f t="shared" si="68"/>
        <v>35</v>
      </c>
      <c r="G94" s="388">
        <f t="shared" ref="G94:H94" si="69">G93+G92</f>
        <v>31</v>
      </c>
      <c r="H94" s="388">
        <f t="shared" si="69"/>
        <v>39</v>
      </c>
      <c r="I94" s="388">
        <f t="shared" ref="I94:J94" si="70">I93+I92</f>
        <v>28</v>
      </c>
      <c r="J94" s="388">
        <f t="shared" si="70"/>
        <v>41</v>
      </c>
      <c r="K94" s="388">
        <f t="shared" ref="K94" si="71">K93+K92</f>
        <v>35</v>
      </c>
      <c r="L94" s="388">
        <f t="shared" ref="L94:O94" si="72">L93+L92</f>
        <v>37</v>
      </c>
      <c r="M94" s="388">
        <f t="shared" si="72"/>
        <v>14</v>
      </c>
      <c r="N94" s="388">
        <f t="shared" si="72"/>
        <v>30</v>
      </c>
      <c r="O94" s="388">
        <f t="shared" si="72"/>
        <v>25</v>
      </c>
      <c r="P94" s="390">
        <f t="shared" si="68"/>
        <v>361</v>
      </c>
    </row>
    <row r="95" spans="1:16" ht="16.2" thickBot="1" x14ac:dyDescent="0.35">
      <c r="A95" s="497"/>
      <c r="B95" s="345" t="s">
        <v>81</v>
      </c>
      <c r="C95" s="345" t="s">
        <v>3</v>
      </c>
      <c r="D95" s="391">
        <f>D90+D91-D94</f>
        <v>305</v>
      </c>
      <c r="E95" s="391">
        <f t="shared" ref="E95:P95" si="73">E90+E91-E94</f>
        <v>295</v>
      </c>
      <c r="F95" s="391">
        <f t="shared" si="73"/>
        <v>319</v>
      </c>
      <c r="G95" s="391">
        <f t="shared" ref="G95:H95" si="74">G90+G91-G94</f>
        <v>336</v>
      </c>
      <c r="H95" s="391">
        <f t="shared" si="74"/>
        <v>348</v>
      </c>
      <c r="I95" s="391">
        <f t="shared" ref="I95:J95" si="75">I90+I91-I94</f>
        <v>352</v>
      </c>
      <c r="J95" s="391">
        <f t="shared" si="75"/>
        <v>349</v>
      </c>
      <c r="K95" s="391">
        <f t="shared" ref="K95" si="76">K90+K91-K94</f>
        <v>336</v>
      </c>
      <c r="L95" s="391">
        <f t="shared" ref="L95:O95" si="77">L90+L91-L94</f>
        <v>339</v>
      </c>
      <c r="M95" s="391">
        <f t="shared" si="77"/>
        <v>350</v>
      </c>
      <c r="N95" s="391">
        <f t="shared" si="77"/>
        <v>341</v>
      </c>
      <c r="O95" s="391">
        <f t="shared" si="77"/>
        <v>354</v>
      </c>
      <c r="P95" s="392">
        <f t="shared" si="73"/>
        <v>354</v>
      </c>
    </row>
    <row r="96" spans="1:16" ht="16.2" thickBot="1" x14ac:dyDescent="0.35">
      <c r="A96" s="393"/>
      <c r="B96" s="394"/>
      <c r="C96" s="394"/>
      <c r="D96" s="389"/>
      <c r="E96" s="389"/>
      <c r="F96" s="389"/>
      <c r="G96" s="389"/>
      <c r="H96" s="389"/>
      <c r="I96" s="389"/>
      <c r="J96" s="395"/>
      <c r="K96" s="395"/>
      <c r="L96" s="395"/>
      <c r="M96" s="395"/>
      <c r="N96" s="395"/>
      <c r="O96" s="395"/>
      <c r="P96" s="390"/>
    </row>
    <row r="97" spans="1:16" s="351" customFormat="1" ht="15.75" customHeight="1" thickBot="1" x14ac:dyDescent="0.35">
      <c r="A97" s="463" t="s">
        <v>189</v>
      </c>
      <c r="B97" s="464"/>
      <c r="C97" s="464"/>
      <c r="D97" s="464"/>
      <c r="E97" s="464"/>
      <c r="F97" s="464"/>
      <c r="G97" s="464"/>
      <c r="H97" s="464"/>
      <c r="I97" s="464"/>
      <c r="J97" s="464"/>
      <c r="K97" s="464"/>
      <c r="L97" s="464"/>
      <c r="M97" s="464"/>
      <c r="N97" s="464"/>
      <c r="O97" s="464"/>
      <c r="P97" s="532"/>
    </row>
    <row r="98" spans="1:16" x14ac:dyDescent="0.3">
      <c r="A98" s="396" t="s">
        <v>190</v>
      </c>
      <c r="B98" s="397"/>
      <c r="C98" s="345" t="s">
        <v>3</v>
      </c>
      <c r="D98" s="399">
        <v>696</v>
      </c>
      <c r="E98" s="399">
        <v>719</v>
      </c>
      <c r="F98" s="399">
        <v>719</v>
      </c>
      <c r="G98" s="399">
        <v>719</v>
      </c>
      <c r="H98" s="399">
        <v>719</v>
      </c>
      <c r="I98" s="399">
        <v>719</v>
      </c>
      <c r="J98" s="400">
        <v>719</v>
      </c>
      <c r="K98" s="400">
        <v>719</v>
      </c>
      <c r="L98" s="400">
        <v>719</v>
      </c>
      <c r="M98" s="400">
        <v>719</v>
      </c>
      <c r="N98" s="400">
        <v>719</v>
      </c>
      <c r="O98" s="400">
        <v>719</v>
      </c>
      <c r="P98" s="540">
        <f>SUM(D98:O98)</f>
        <v>8605</v>
      </c>
    </row>
    <row r="99" spans="1:16" x14ac:dyDescent="0.3">
      <c r="A99" s="396"/>
      <c r="B99" s="345"/>
      <c r="C99" s="345"/>
      <c r="D99" s="389"/>
      <c r="E99" s="389"/>
      <c r="F99" s="389"/>
      <c r="G99" s="389"/>
      <c r="H99" s="389"/>
      <c r="I99" s="389"/>
      <c r="J99" s="395"/>
      <c r="K99" s="395"/>
      <c r="L99" s="395"/>
      <c r="M99" s="395"/>
      <c r="N99" s="395"/>
      <c r="O99" s="395"/>
      <c r="P99" s="390"/>
    </row>
    <row r="100" spans="1:16" s="351" customFormat="1" x14ac:dyDescent="0.3">
      <c r="A100" s="484" t="s">
        <v>101</v>
      </c>
      <c r="B100" s="485"/>
      <c r="C100" s="485"/>
      <c r="D100" s="485"/>
      <c r="E100" s="485"/>
      <c r="F100" s="485"/>
      <c r="G100" s="485"/>
      <c r="H100" s="485"/>
      <c r="I100" s="485"/>
      <c r="J100" s="485"/>
      <c r="K100" s="485"/>
      <c r="L100" s="485"/>
      <c r="M100" s="485"/>
      <c r="N100" s="485"/>
      <c r="O100" s="485"/>
      <c r="P100" s="533"/>
    </row>
    <row r="101" spans="1:16" x14ac:dyDescent="0.3">
      <c r="A101" s="449" t="s">
        <v>100</v>
      </c>
      <c r="B101" s="450"/>
      <c r="C101" s="345" t="s">
        <v>3</v>
      </c>
      <c r="D101" s="374">
        <v>2188</v>
      </c>
      <c r="E101" s="374">
        <v>1307</v>
      </c>
      <c r="F101" s="374">
        <v>1307</v>
      </c>
      <c r="G101" s="374">
        <v>1296</v>
      </c>
      <c r="H101" s="374">
        <v>1255</v>
      </c>
      <c r="I101" s="374">
        <v>1329</v>
      </c>
      <c r="J101" s="374">
        <v>1352</v>
      </c>
      <c r="K101" s="374">
        <v>1412</v>
      </c>
      <c r="L101" s="374">
        <v>1398</v>
      </c>
      <c r="M101" s="374">
        <v>1443</v>
      </c>
      <c r="N101" s="374">
        <v>1409</v>
      </c>
      <c r="O101" s="374">
        <v>1388</v>
      </c>
      <c r="P101" s="401">
        <f t="shared" ref="P101:P116" si="78">O101</f>
        <v>1388</v>
      </c>
    </row>
    <row r="102" spans="1:16" x14ac:dyDescent="0.3">
      <c r="A102" s="449" t="s">
        <v>99</v>
      </c>
      <c r="B102" s="450"/>
      <c r="C102" s="345" t="s">
        <v>3</v>
      </c>
      <c r="D102" s="374">
        <v>119</v>
      </c>
      <c r="E102" s="374">
        <v>40</v>
      </c>
      <c r="F102" s="374">
        <v>40</v>
      </c>
      <c r="G102" s="374">
        <v>42</v>
      </c>
      <c r="H102" s="374">
        <v>41</v>
      </c>
      <c r="I102" s="374">
        <v>43</v>
      </c>
      <c r="J102" s="374">
        <v>42</v>
      </c>
      <c r="K102" s="374">
        <v>42</v>
      </c>
      <c r="L102" s="374">
        <v>40</v>
      </c>
      <c r="M102" s="374">
        <v>39</v>
      </c>
      <c r="N102" s="374">
        <v>39</v>
      </c>
      <c r="O102" s="374">
        <v>39</v>
      </c>
      <c r="P102" s="401">
        <f t="shared" si="78"/>
        <v>39</v>
      </c>
    </row>
    <row r="103" spans="1:16" ht="15.6" customHeight="1" x14ac:dyDescent="0.3">
      <c r="A103" s="456" t="s">
        <v>98</v>
      </c>
      <c r="B103" s="457"/>
      <c r="C103" s="345" t="s">
        <v>3</v>
      </c>
      <c r="D103" s="374">
        <v>253</v>
      </c>
      <c r="E103" s="374">
        <v>65</v>
      </c>
      <c r="F103" s="374">
        <v>65</v>
      </c>
      <c r="G103" s="374">
        <v>62</v>
      </c>
      <c r="H103" s="374">
        <v>61</v>
      </c>
      <c r="I103" s="374">
        <v>64</v>
      </c>
      <c r="J103" s="374">
        <v>68</v>
      </c>
      <c r="K103" s="374">
        <v>66</v>
      </c>
      <c r="L103" s="374">
        <v>67</v>
      </c>
      <c r="M103" s="374">
        <v>73</v>
      </c>
      <c r="N103" s="374">
        <v>69</v>
      </c>
      <c r="O103" s="374">
        <v>66</v>
      </c>
      <c r="P103" s="401">
        <f t="shared" si="78"/>
        <v>66</v>
      </c>
    </row>
    <row r="104" spans="1:16" x14ac:dyDescent="0.3">
      <c r="A104" s="456" t="s">
        <v>97</v>
      </c>
      <c r="B104" s="457"/>
      <c r="C104" s="345" t="s">
        <v>3</v>
      </c>
      <c r="D104" s="374">
        <v>15</v>
      </c>
      <c r="E104" s="374">
        <v>15</v>
      </c>
      <c r="F104" s="374">
        <v>15</v>
      </c>
      <c r="G104" s="374">
        <v>15</v>
      </c>
      <c r="H104" s="374">
        <v>15</v>
      </c>
      <c r="I104" s="374">
        <v>15</v>
      </c>
      <c r="J104" s="374">
        <v>15</v>
      </c>
      <c r="K104" s="374">
        <v>15</v>
      </c>
      <c r="L104" s="374">
        <v>15</v>
      </c>
      <c r="M104" s="374">
        <v>15</v>
      </c>
      <c r="N104" s="374">
        <v>15</v>
      </c>
      <c r="O104" s="374">
        <v>15</v>
      </c>
      <c r="P104" s="401">
        <f t="shared" si="78"/>
        <v>15</v>
      </c>
    </row>
    <row r="105" spans="1:16" x14ac:dyDescent="0.3">
      <c r="A105" s="498" t="s">
        <v>96</v>
      </c>
      <c r="B105" s="499"/>
      <c r="C105" s="345" t="s">
        <v>3</v>
      </c>
      <c r="D105" s="402">
        <f>SUM(D101:D104)</f>
        <v>2575</v>
      </c>
      <c r="E105" s="402">
        <f t="shared" ref="E105:O105" si="79">SUM(E101:E104)</f>
        <v>1427</v>
      </c>
      <c r="F105" s="402">
        <f t="shared" si="79"/>
        <v>1427</v>
      </c>
      <c r="G105" s="402">
        <f t="shared" si="79"/>
        <v>1415</v>
      </c>
      <c r="H105" s="402">
        <f t="shared" si="79"/>
        <v>1372</v>
      </c>
      <c r="I105" s="402">
        <f t="shared" si="79"/>
        <v>1451</v>
      </c>
      <c r="J105" s="402">
        <f t="shared" si="79"/>
        <v>1477</v>
      </c>
      <c r="K105" s="402">
        <f t="shared" si="79"/>
        <v>1535</v>
      </c>
      <c r="L105" s="402">
        <f t="shared" si="79"/>
        <v>1520</v>
      </c>
      <c r="M105" s="402">
        <f t="shared" si="79"/>
        <v>1570</v>
      </c>
      <c r="N105" s="402">
        <f t="shared" si="79"/>
        <v>1532</v>
      </c>
      <c r="O105" s="402">
        <f t="shared" si="79"/>
        <v>1508</v>
      </c>
      <c r="P105" s="401">
        <f t="shared" si="78"/>
        <v>1508</v>
      </c>
    </row>
    <row r="106" spans="1:16" s="351" customFormat="1" ht="15.6" customHeight="1" x14ac:dyDescent="0.3">
      <c r="A106" s="482" t="s">
        <v>210</v>
      </c>
      <c r="B106" s="483"/>
      <c r="C106" s="483"/>
      <c r="D106" s="483"/>
      <c r="E106" s="483"/>
      <c r="F106" s="483"/>
      <c r="G106" s="483"/>
      <c r="H106" s="483"/>
      <c r="I106" s="483"/>
      <c r="J106" s="483"/>
      <c r="K106" s="483"/>
      <c r="L106" s="483"/>
      <c r="M106" s="483"/>
      <c r="N106" s="483"/>
      <c r="O106" s="483"/>
      <c r="P106" s="534"/>
    </row>
    <row r="107" spans="1:16" x14ac:dyDescent="0.3">
      <c r="A107" s="449" t="s">
        <v>193</v>
      </c>
      <c r="B107" s="450"/>
      <c r="C107" s="345" t="s">
        <v>3</v>
      </c>
      <c r="D107" s="374">
        <v>2779</v>
      </c>
      <c r="E107" s="374">
        <v>2790</v>
      </c>
      <c r="F107" s="374">
        <v>2801</v>
      </c>
      <c r="G107" s="374">
        <v>2843</v>
      </c>
      <c r="H107" s="374">
        <v>2888</v>
      </c>
      <c r="I107" s="374">
        <v>2848</v>
      </c>
      <c r="J107" s="374">
        <v>2827</v>
      </c>
      <c r="K107" s="374">
        <v>2779</v>
      </c>
      <c r="L107" s="374">
        <v>2872</v>
      </c>
      <c r="M107" s="374">
        <v>2840</v>
      </c>
      <c r="N107" s="374">
        <v>2880</v>
      </c>
      <c r="O107" s="374">
        <v>2912</v>
      </c>
      <c r="P107" s="401">
        <f t="shared" si="78"/>
        <v>2912</v>
      </c>
    </row>
    <row r="108" spans="1:16" x14ac:dyDescent="0.3">
      <c r="A108" s="449" t="s">
        <v>194</v>
      </c>
      <c r="B108" s="450"/>
      <c r="C108" s="345" t="s">
        <v>3</v>
      </c>
      <c r="D108" s="374">
        <v>11</v>
      </c>
      <c r="E108" s="374">
        <v>13</v>
      </c>
      <c r="F108" s="374">
        <v>13</v>
      </c>
      <c r="G108" s="374">
        <v>11</v>
      </c>
      <c r="H108" s="374">
        <v>12</v>
      </c>
      <c r="I108" s="374">
        <v>10</v>
      </c>
      <c r="J108" s="374">
        <v>11</v>
      </c>
      <c r="K108" s="374">
        <v>11</v>
      </c>
      <c r="L108" s="374">
        <v>13</v>
      </c>
      <c r="M108" s="374">
        <v>14</v>
      </c>
      <c r="N108" s="374">
        <v>14</v>
      </c>
      <c r="O108" s="374">
        <v>14</v>
      </c>
      <c r="P108" s="401">
        <f t="shared" si="78"/>
        <v>14</v>
      </c>
    </row>
    <row r="109" spans="1:16" x14ac:dyDescent="0.3">
      <c r="A109" s="449" t="s">
        <v>195</v>
      </c>
      <c r="B109" s="450"/>
      <c r="C109" s="345" t="s">
        <v>3</v>
      </c>
      <c r="D109" s="374">
        <v>21</v>
      </c>
      <c r="E109" s="374">
        <v>23</v>
      </c>
      <c r="F109" s="374">
        <v>23</v>
      </c>
      <c r="G109" s="374">
        <v>26</v>
      </c>
      <c r="H109" s="374">
        <v>26</v>
      </c>
      <c r="I109" s="374">
        <v>23</v>
      </c>
      <c r="J109" s="374">
        <v>19</v>
      </c>
      <c r="K109" s="374">
        <v>21</v>
      </c>
      <c r="L109" s="374">
        <v>20</v>
      </c>
      <c r="M109" s="374">
        <v>14</v>
      </c>
      <c r="N109" s="374">
        <v>18</v>
      </c>
      <c r="O109" s="374">
        <v>21</v>
      </c>
      <c r="P109" s="401">
        <f t="shared" si="78"/>
        <v>21</v>
      </c>
    </row>
    <row r="110" spans="1:16" x14ac:dyDescent="0.3">
      <c r="A110" s="449" t="s">
        <v>196</v>
      </c>
      <c r="B110" s="450"/>
      <c r="C110" s="345" t="s">
        <v>3</v>
      </c>
      <c r="D110" s="374">
        <v>13</v>
      </c>
      <c r="E110" s="374">
        <v>13</v>
      </c>
      <c r="F110" s="374">
        <v>13</v>
      </c>
      <c r="G110" s="374">
        <v>13</v>
      </c>
      <c r="H110" s="374">
        <v>13</v>
      </c>
      <c r="I110" s="374">
        <v>13</v>
      </c>
      <c r="J110" s="374">
        <v>13</v>
      </c>
      <c r="K110" s="374">
        <v>13</v>
      </c>
      <c r="L110" s="374">
        <v>13</v>
      </c>
      <c r="M110" s="374">
        <v>13</v>
      </c>
      <c r="N110" s="374">
        <v>13</v>
      </c>
      <c r="O110" s="374">
        <v>13</v>
      </c>
      <c r="P110" s="401">
        <f t="shared" si="78"/>
        <v>13</v>
      </c>
    </row>
    <row r="111" spans="1:16" x14ac:dyDescent="0.3">
      <c r="A111" s="465" t="s">
        <v>95</v>
      </c>
      <c r="B111" s="466"/>
      <c r="C111" s="345" t="s">
        <v>3</v>
      </c>
      <c r="D111" s="402">
        <f>SUM(D107:D110)</f>
        <v>2824</v>
      </c>
      <c r="E111" s="402">
        <f t="shared" ref="E111:O111" si="80">SUM(E107:E110)</f>
        <v>2839</v>
      </c>
      <c r="F111" s="402">
        <f t="shared" si="80"/>
        <v>2850</v>
      </c>
      <c r="G111" s="402">
        <f t="shared" si="80"/>
        <v>2893</v>
      </c>
      <c r="H111" s="402">
        <f t="shared" si="80"/>
        <v>2939</v>
      </c>
      <c r="I111" s="402">
        <f t="shared" si="80"/>
        <v>2894</v>
      </c>
      <c r="J111" s="402">
        <f t="shared" si="80"/>
        <v>2870</v>
      </c>
      <c r="K111" s="402">
        <f t="shared" si="80"/>
        <v>2824</v>
      </c>
      <c r="L111" s="402">
        <f t="shared" si="80"/>
        <v>2918</v>
      </c>
      <c r="M111" s="402">
        <f t="shared" si="80"/>
        <v>2881</v>
      </c>
      <c r="N111" s="402">
        <f t="shared" si="80"/>
        <v>2925</v>
      </c>
      <c r="O111" s="402">
        <f t="shared" si="80"/>
        <v>2960</v>
      </c>
      <c r="P111" s="401">
        <f t="shared" si="78"/>
        <v>2960</v>
      </c>
    </row>
    <row r="112" spans="1:16" s="351" customFormat="1" ht="15.6" customHeight="1" x14ac:dyDescent="0.3">
      <c r="A112" s="484" t="s">
        <v>216</v>
      </c>
      <c r="B112" s="485"/>
      <c r="C112" s="485"/>
      <c r="D112" s="485"/>
      <c r="E112" s="485"/>
      <c r="F112" s="485"/>
      <c r="G112" s="485"/>
      <c r="H112" s="485"/>
      <c r="I112" s="485"/>
      <c r="J112" s="485"/>
      <c r="K112" s="485"/>
      <c r="L112" s="485"/>
      <c r="M112" s="485"/>
      <c r="N112" s="485"/>
      <c r="O112" s="485"/>
      <c r="P112" s="533"/>
    </row>
    <row r="113" spans="1:16" x14ac:dyDescent="0.3">
      <c r="A113" s="449" t="s">
        <v>197</v>
      </c>
      <c r="B113" s="450"/>
      <c r="C113" s="345" t="s">
        <v>3</v>
      </c>
      <c r="D113" s="403"/>
      <c r="E113" s="403">
        <v>887</v>
      </c>
      <c r="F113" s="403">
        <v>887</v>
      </c>
      <c r="G113" s="403">
        <v>887</v>
      </c>
      <c r="H113" s="403">
        <v>887</v>
      </c>
      <c r="I113" s="403">
        <v>887</v>
      </c>
      <c r="J113" s="403">
        <v>887</v>
      </c>
      <c r="K113" s="403">
        <v>887</v>
      </c>
      <c r="L113" s="403">
        <v>887</v>
      </c>
      <c r="M113" s="403">
        <v>887</v>
      </c>
      <c r="N113" s="403">
        <v>887</v>
      </c>
      <c r="O113" s="403">
        <v>887</v>
      </c>
      <c r="P113" s="401">
        <f t="shared" si="78"/>
        <v>887</v>
      </c>
    </row>
    <row r="114" spans="1:16" x14ac:dyDescent="0.3">
      <c r="A114" s="449" t="s">
        <v>198</v>
      </c>
      <c r="B114" s="450"/>
      <c r="C114" s="345" t="s">
        <v>3</v>
      </c>
      <c r="D114" s="403"/>
      <c r="E114" s="403">
        <v>77</v>
      </c>
      <c r="F114" s="403">
        <v>77</v>
      </c>
      <c r="G114" s="403">
        <v>77</v>
      </c>
      <c r="H114" s="403">
        <v>77</v>
      </c>
      <c r="I114" s="403">
        <v>77</v>
      </c>
      <c r="J114" s="403">
        <v>77</v>
      </c>
      <c r="K114" s="403">
        <v>77</v>
      </c>
      <c r="L114" s="403">
        <v>77</v>
      </c>
      <c r="M114" s="403">
        <v>77</v>
      </c>
      <c r="N114" s="403">
        <v>77</v>
      </c>
      <c r="O114" s="403">
        <v>77</v>
      </c>
      <c r="P114" s="401">
        <f t="shared" si="78"/>
        <v>77</v>
      </c>
    </row>
    <row r="115" spans="1:16" x14ac:dyDescent="0.3">
      <c r="A115" s="449" t="s">
        <v>199</v>
      </c>
      <c r="B115" s="450"/>
      <c r="C115" s="345" t="s">
        <v>3</v>
      </c>
      <c r="D115" s="403"/>
      <c r="E115" s="403">
        <v>186</v>
      </c>
      <c r="F115" s="403">
        <v>186</v>
      </c>
      <c r="G115" s="403">
        <v>186</v>
      </c>
      <c r="H115" s="403">
        <v>186</v>
      </c>
      <c r="I115" s="403">
        <v>186</v>
      </c>
      <c r="J115" s="403">
        <v>186</v>
      </c>
      <c r="K115" s="403">
        <v>186</v>
      </c>
      <c r="L115" s="403">
        <v>186</v>
      </c>
      <c r="M115" s="403">
        <v>186</v>
      </c>
      <c r="N115" s="403">
        <v>186</v>
      </c>
      <c r="O115" s="403">
        <v>186</v>
      </c>
      <c r="P115" s="401">
        <f t="shared" si="78"/>
        <v>186</v>
      </c>
    </row>
    <row r="116" spans="1:16" x14ac:dyDescent="0.3">
      <c r="A116" s="449" t="s">
        <v>200</v>
      </c>
      <c r="B116" s="450"/>
      <c r="C116" s="345" t="s">
        <v>3</v>
      </c>
      <c r="D116" s="403"/>
      <c r="E116" s="403">
        <v>0</v>
      </c>
      <c r="F116" s="403">
        <v>0</v>
      </c>
      <c r="G116" s="403">
        <v>0</v>
      </c>
      <c r="H116" s="403">
        <v>0</v>
      </c>
      <c r="I116" s="403">
        <v>0</v>
      </c>
      <c r="J116" s="403">
        <v>0</v>
      </c>
      <c r="K116" s="403">
        <v>0</v>
      </c>
      <c r="L116" s="403">
        <v>0</v>
      </c>
      <c r="M116" s="403">
        <v>0</v>
      </c>
      <c r="N116" s="403">
        <v>0</v>
      </c>
      <c r="O116" s="403">
        <v>0</v>
      </c>
      <c r="P116" s="401">
        <f t="shared" si="78"/>
        <v>0</v>
      </c>
    </row>
    <row r="117" spans="1:16" x14ac:dyDescent="0.3">
      <c r="A117" s="465" t="s">
        <v>94</v>
      </c>
      <c r="B117" s="466"/>
      <c r="C117" s="345" t="s">
        <v>3</v>
      </c>
      <c r="D117" s="402">
        <f>SUM(D113:D116)</f>
        <v>0</v>
      </c>
      <c r="E117" s="402">
        <f t="shared" ref="E117:P117" si="81">SUM(E113:E116)</f>
        <v>1150</v>
      </c>
      <c r="F117" s="402">
        <f t="shared" si="81"/>
        <v>1150</v>
      </c>
      <c r="G117" s="402">
        <f t="shared" si="81"/>
        <v>1150</v>
      </c>
      <c r="H117" s="402">
        <f t="shared" ref="H117:I117" si="82">SUM(H113:H116)</f>
        <v>1150</v>
      </c>
      <c r="I117" s="402">
        <f t="shared" si="82"/>
        <v>1150</v>
      </c>
      <c r="J117" s="402">
        <f t="shared" ref="J117:K117" si="83">SUM(J113:J116)</f>
        <v>1150</v>
      </c>
      <c r="K117" s="402">
        <f t="shared" si="83"/>
        <v>1150</v>
      </c>
      <c r="L117" s="402">
        <f t="shared" si="81"/>
        <v>1150</v>
      </c>
      <c r="M117" s="402">
        <f t="shared" ref="M117" si="84">SUM(M113:M116)</f>
        <v>1150</v>
      </c>
      <c r="N117" s="402">
        <f t="shared" si="81"/>
        <v>1150</v>
      </c>
      <c r="O117" s="402">
        <f t="shared" si="81"/>
        <v>1150</v>
      </c>
      <c r="P117" s="347">
        <f t="shared" si="81"/>
        <v>1150</v>
      </c>
    </row>
    <row r="118" spans="1:16" s="351" customFormat="1" x14ac:dyDescent="0.3">
      <c r="A118" s="404" t="s">
        <v>191</v>
      </c>
      <c r="B118" s="405"/>
      <c r="C118" s="345" t="s">
        <v>3</v>
      </c>
      <c r="D118" s="402">
        <f t="shared" ref="D118:I118" si="85">D111+D117</f>
        <v>2824</v>
      </c>
      <c r="E118" s="402">
        <f t="shared" si="85"/>
        <v>3989</v>
      </c>
      <c r="F118" s="402">
        <f t="shared" si="85"/>
        <v>4000</v>
      </c>
      <c r="G118" s="402">
        <f t="shared" si="85"/>
        <v>4043</v>
      </c>
      <c r="H118" s="402">
        <f t="shared" si="85"/>
        <v>4089</v>
      </c>
      <c r="I118" s="402">
        <f t="shared" si="85"/>
        <v>4044</v>
      </c>
      <c r="J118" s="402">
        <f t="shared" ref="J118:K118" si="86">J111+J117</f>
        <v>4020</v>
      </c>
      <c r="K118" s="402">
        <f t="shared" si="86"/>
        <v>3974</v>
      </c>
      <c r="L118" s="402">
        <f t="shared" ref="L118:M118" si="87">L111+L117</f>
        <v>4068</v>
      </c>
      <c r="M118" s="402">
        <f t="shared" si="87"/>
        <v>4031</v>
      </c>
      <c r="N118" s="402">
        <f t="shared" ref="N118:P118" si="88">N111+N117</f>
        <v>4075</v>
      </c>
      <c r="O118" s="402">
        <f t="shared" si="88"/>
        <v>4110</v>
      </c>
      <c r="P118" s="402">
        <f t="shared" si="88"/>
        <v>4110</v>
      </c>
    </row>
    <row r="119" spans="1:16" x14ac:dyDescent="0.3">
      <c r="A119" s="465" t="s">
        <v>192</v>
      </c>
      <c r="B119" s="466"/>
      <c r="C119" s="345" t="s">
        <v>3</v>
      </c>
      <c r="D119" s="402">
        <f t="shared" ref="D119:I119" si="89">D105+D118</f>
        <v>5399</v>
      </c>
      <c r="E119" s="402">
        <f t="shared" si="89"/>
        <v>5416</v>
      </c>
      <c r="F119" s="402">
        <f t="shared" si="89"/>
        <v>5427</v>
      </c>
      <c r="G119" s="402">
        <f t="shared" si="89"/>
        <v>5458</v>
      </c>
      <c r="H119" s="402">
        <f t="shared" si="89"/>
        <v>5461</v>
      </c>
      <c r="I119" s="402">
        <f t="shared" si="89"/>
        <v>5495</v>
      </c>
      <c r="J119" s="402">
        <f t="shared" ref="J119:K119" si="90">J105+J118</f>
        <v>5497</v>
      </c>
      <c r="K119" s="402">
        <f t="shared" si="90"/>
        <v>5509</v>
      </c>
      <c r="L119" s="402">
        <f t="shared" ref="L119:M119" si="91">L105+L118</f>
        <v>5588</v>
      </c>
      <c r="M119" s="402">
        <f t="shared" si="91"/>
        <v>5601</v>
      </c>
      <c r="N119" s="402">
        <f t="shared" ref="N119:P119" si="92">N105+N118</f>
        <v>5607</v>
      </c>
      <c r="O119" s="402">
        <f t="shared" si="92"/>
        <v>5618</v>
      </c>
      <c r="P119" s="402">
        <f t="shared" si="92"/>
        <v>5618</v>
      </c>
    </row>
    <row r="120" spans="1:16" x14ac:dyDescent="0.3">
      <c r="A120" s="447" t="s">
        <v>201</v>
      </c>
      <c r="B120" s="448"/>
      <c r="C120" s="448"/>
      <c r="D120" s="448"/>
      <c r="E120" s="448"/>
      <c r="F120" s="448"/>
      <c r="G120" s="448"/>
      <c r="H120" s="448"/>
      <c r="I120" s="448"/>
      <c r="J120" s="448"/>
      <c r="K120" s="448"/>
      <c r="L120" s="448"/>
      <c r="M120" s="448"/>
      <c r="N120" s="448"/>
      <c r="O120" s="448"/>
      <c r="P120" s="526"/>
    </row>
    <row r="121" spans="1:16" x14ac:dyDescent="0.3">
      <c r="A121" s="449" t="s">
        <v>93</v>
      </c>
      <c r="B121" s="450"/>
      <c r="C121" s="355" t="s">
        <v>3</v>
      </c>
      <c r="D121" s="406">
        <v>33685</v>
      </c>
      <c r="E121" s="406">
        <v>33706</v>
      </c>
      <c r="F121" s="406">
        <v>33727</v>
      </c>
      <c r="G121" s="406">
        <v>33748</v>
      </c>
      <c r="H121" s="406">
        <v>33769</v>
      </c>
      <c r="I121" s="406">
        <v>33790</v>
      </c>
      <c r="J121" s="406">
        <v>33811</v>
      </c>
      <c r="K121" s="406">
        <v>33832</v>
      </c>
      <c r="L121" s="406">
        <v>33853</v>
      </c>
      <c r="M121" s="406">
        <v>33874</v>
      </c>
      <c r="N121" s="406">
        <v>33895</v>
      </c>
      <c r="O121" s="406">
        <v>33916</v>
      </c>
      <c r="P121" s="407">
        <f>O121</f>
        <v>33916</v>
      </c>
    </row>
    <row r="122" spans="1:16" x14ac:dyDescent="0.3">
      <c r="A122" s="449" t="s">
        <v>92</v>
      </c>
      <c r="B122" s="450"/>
      <c r="C122" s="355" t="s">
        <v>3</v>
      </c>
      <c r="D122" s="406">
        <v>29887.5</v>
      </c>
      <c r="E122" s="406">
        <v>30063</v>
      </c>
      <c r="F122" s="406">
        <v>30265</v>
      </c>
      <c r="G122" s="406">
        <v>30360</v>
      </c>
      <c r="H122" s="406">
        <v>27305</v>
      </c>
      <c r="I122" s="406">
        <v>30661.5</v>
      </c>
      <c r="J122" s="406">
        <v>30846</v>
      </c>
      <c r="K122" s="406">
        <v>31003.5</v>
      </c>
      <c r="L122" s="406">
        <v>31170</v>
      </c>
      <c r="M122" s="406">
        <v>31233</v>
      </c>
      <c r="N122" s="406">
        <v>28035</v>
      </c>
      <c r="O122" s="406">
        <v>28090</v>
      </c>
      <c r="P122" s="407">
        <f>O122</f>
        <v>28090</v>
      </c>
    </row>
    <row r="123" spans="1:16" x14ac:dyDescent="0.3">
      <c r="A123" s="480" t="s">
        <v>91</v>
      </c>
      <c r="B123" s="481"/>
      <c r="C123" s="408" t="s">
        <v>6</v>
      </c>
      <c r="D123" s="409">
        <f t="shared" ref="D123:P123" si="93">D122/D121</f>
        <v>0.88726436099153927</v>
      </c>
      <c r="E123" s="409">
        <f t="shared" si="93"/>
        <v>0.89191835281552245</v>
      </c>
      <c r="F123" s="409">
        <f t="shared" si="93"/>
        <v>0.89735226969490323</v>
      </c>
      <c r="G123" s="409">
        <f t="shared" si="93"/>
        <v>0.89960886571056065</v>
      </c>
      <c r="H123" s="409">
        <f t="shared" si="93"/>
        <v>0.8085818354111759</v>
      </c>
      <c r="I123" s="409">
        <f t="shared" si="93"/>
        <v>0.90741343592778934</v>
      </c>
      <c r="J123" s="409">
        <f t="shared" si="93"/>
        <v>0.91230664576617082</v>
      </c>
      <c r="K123" s="409">
        <f t="shared" si="93"/>
        <v>0.91639572002837555</v>
      </c>
      <c r="L123" s="409">
        <f t="shared" si="93"/>
        <v>0.92074557646294275</v>
      </c>
      <c r="M123" s="409">
        <f t="shared" si="93"/>
        <v>0.92203459880734484</v>
      </c>
      <c r="N123" s="409">
        <f t="shared" si="93"/>
        <v>0.82711314353149434</v>
      </c>
      <c r="O123" s="409">
        <f t="shared" si="93"/>
        <v>0.82822266776742537</v>
      </c>
      <c r="P123" s="541">
        <f t="shared" si="93"/>
        <v>0.82822266776742537</v>
      </c>
    </row>
    <row r="124" spans="1:16" x14ac:dyDescent="0.3">
      <c r="A124" s="473" t="s">
        <v>90</v>
      </c>
      <c r="B124" s="474"/>
      <c r="C124" s="474"/>
      <c r="D124" s="474"/>
      <c r="E124" s="474"/>
      <c r="F124" s="474"/>
      <c r="G124" s="474"/>
      <c r="H124" s="474"/>
      <c r="I124" s="474"/>
      <c r="J124" s="474"/>
      <c r="K124" s="474"/>
      <c r="L124" s="474"/>
      <c r="M124" s="474"/>
      <c r="N124" s="474"/>
      <c r="O124" s="474"/>
      <c r="P124" s="535"/>
    </row>
    <row r="125" spans="1:16" x14ac:dyDescent="0.3">
      <c r="A125" s="249" t="s">
        <v>235</v>
      </c>
      <c r="B125" s="345" t="s">
        <v>85</v>
      </c>
      <c r="C125" s="345" t="s">
        <v>3</v>
      </c>
      <c r="D125" s="406"/>
      <c r="E125" s="378"/>
      <c r="F125" s="378"/>
      <c r="G125" s="378"/>
      <c r="H125" s="378"/>
      <c r="I125" s="378"/>
      <c r="J125" s="378"/>
      <c r="K125" s="378"/>
      <c r="L125" s="378"/>
      <c r="M125" s="378"/>
      <c r="N125" s="378"/>
      <c r="O125" s="378"/>
      <c r="P125" s="379">
        <f>D125</f>
        <v>0</v>
      </c>
    </row>
    <row r="126" spans="1:16" x14ac:dyDescent="0.3">
      <c r="A126" s="458"/>
      <c r="B126" s="345" t="s">
        <v>84</v>
      </c>
      <c r="C126" s="345" t="s">
        <v>3</v>
      </c>
      <c r="D126" s="406"/>
      <c r="E126" s="380"/>
      <c r="F126" s="380"/>
      <c r="G126" s="380"/>
      <c r="H126" s="380"/>
      <c r="I126" s="380"/>
      <c r="J126" s="380"/>
      <c r="K126" s="380"/>
      <c r="L126" s="380"/>
      <c r="M126" s="380"/>
      <c r="N126" s="380"/>
      <c r="O126" s="380"/>
      <c r="P126" s="381">
        <f>SUM(D126:O126)</f>
        <v>0</v>
      </c>
    </row>
    <row r="127" spans="1:16" x14ac:dyDescent="0.3">
      <c r="A127" s="458"/>
      <c r="B127" s="410" t="s">
        <v>88</v>
      </c>
      <c r="C127" s="345" t="s">
        <v>3</v>
      </c>
      <c r="D127" s="380"/>
      <c r="E127" s="380"/>
      <c r="F127" s="380"/>
      <c r="G127" s="380"/>
      <c r="H127" s="380"/>
      <c r="I127" s="380"/>
      <c r="J127" s="380"/>
      <c r="K127" s="380"/>
      <c r="L127" s="380"/>
      <c r="M127" s="380"/>
      <c r="N127" s="380"/>
      <c r="O127" s="380"/>
      <c r="P127" s="381">
        <f>SUM(D127:O127)</f>
        <v>0</v>
      </c>
    </row>
    <row r="128" spans="1:16" x14ac:dyDescent="0.3">
      <c r="A128" s="458"/>
      <c r="B128" s="345" t="s">
        <v>82</v>
      </c>
      <c r="C128" s="345" t="s">
        <v>3</v>
      </c>
      <c r="D128" s="380"/>
      <c r="E128" s="380"/>
      <c r="F128" s="380"/>
      <c r="G128" s="380"/>
      <c r="H128" s="380"/>
      <c r="I128" s="380"/>
      <c r="J128" s="380"/>
      <c r="K128" s="380"/>
      <c r="L128" s="380"/>
      <c r="M128" s="380"/>
      <c r="N128" s="380"/>
      <c r="O128" s="380"/>
      <c r="P128" s="381">
        <f>SUM(D128:O128)</f>
        <v>0</v>
      </c>
    </row>
    <row r="129" spans="1:16" x14ac:dyDescent="0.3">
      <c r="A129" s="250"/>
      <c r="B129" s="345" t="s">
        <v>81</v>
      </c>
      <c r="C129" s="345" t="s">
        <v>3</v>
      </c>
      <c r="D129" s="378">
        <f t="shared" ref="D129:I129" si="94">D125+D126-D127-D128</f>
        <v>0</v>
      </c>
      <c r="E129" s="378">
        <f t="shared" si="94"/>
        <v>0</v>
      </c>
      <c r="F129" s="378">
        <f t="shared" si="94"/>
        <v>0</v>
      </c>
      <c r="G129" s="378">
        <f t="shared" si="94"/>
        <v>0</v>
      </c>
      <c r="H129" s="378">
        <f t="shared" si="94"/>
        <v>0</v>
      </c>
      <c r="I129" s="378">
        <f t="shared" si="94"/>
        <v>0</v>
      </c>
      <c r="J129" s="378">
        <f t="shared" ref="J129:K129" si="95">J125+J126-J127-J128</f>
        <v>0</v>
      </c>
      <c r="K129" s="378">
        <f t="shared" si="95"/>
        <v>0</v>
      </c>
      <c r="L129" s="378">
        <f t="shared" ref="L129:M129" si="96">L125+L126-L127-L128</f>
        <v>0</v>
      </c>
      <c r="M129" s="378">
        <f t="shared" si="96"/>
        <v>0</v>
      </c>
      <c r="N129" s="378">
        <f t="shared" ref="N129:O129" si="97">N125+N126-N127-N128</f>
        <v>0</v>
      </c>
      <c r="O129" s="378">
        <f t="shared" si="97"/>
        <v>0</v>
      </c>
      <c r="P129" s="379">
        <f>P125+P126-P127-P128</f>
        <v>0</v>
      </c>
    </row>
    <row r="130" spans="1:16" x14ac:dyDescent="0.3">
      <c r="A130" s="249" t="s">
        <v>236</v>
      </c>
      <c r="B130" s="411" t="s">
        <v>85</v>
      </c>
      <c r="C130" s="411" t="s">
        <v>3</v>
      </c>
      <c r="D130" s="378"/>
      <c r="E130" s="378"/>
      <c r="F130" s="378"/>
      <c r="G130" s="378"/>
      <c r="H130" s="378"/>
      <c r="I130" s="378"/>
      <c r="J130" s="378"/>
      <c r="K130" s="378"/>
      <c r="L130" s="378"/>
      <c r="M130" s="378"/>
      <c r="N130" s="378"/>
      <c r="O130" s="378"/>
      <c r="P130" s="379">
        <f>D130</f>
        <v>0</v>
      </c>
    </row>
    <row r="131" spans="1:16" x14ac:dyDescent="0.3">
      <c r="A131" s="458"/>
      <c r="B131" s="345" t="s">
        <v>84</v>
      </c>
      <c r="C131" s="345" t="s">
        <v>3</v>
      </c>
      <c r="D131" s="380"/>
      <c r="E131" s="380"/>
      <c r="F131" s="380"/>
      <c r="G131" s="380"/>
      <c r="H131" s="380"/>
      <c r="I131" s="380"/>
      <c r="J131" s="380"/>
      <c r="K131" s="380"/>
      <c r="L131" s="380"/>
      <c r="M131" s="380"/>
      <c r="N131" s="380"/>
      <c r="O131" s="380"/>
      <c r="P131" s="381">
        <f>SUM(D131:O131)</f>
        <v>0</v>
      </c>
    </row>
    <row r="132" spans="1:16" x14ac:dyDescent="0.3">
      <c r="A132" s="458"/>
      <c r="B132" s="410" t="s">
        <v>88</v>
      </c>
      <c r="C132" s="345" t="s">
        <v>3</v>
      </c>
      <c r="D132" s="380"/>
      <c r="E132" s="380"/>
      <c r="F132" s="380"/>
      <c r="G132" s="380"/>
      <c r="H132" s="380"/>
      <c r="I132" s="380"/>
      <c r="J132" s="380"/>
      <c r="K132" s="380"/>
      <c r="L132" s="380"/>
      <c r="M132" s="380"/>
      <c r="N132" s="380"/>
      <c r="O132" s="380"/>
      <c r="P132" s="381">
        <f>SUM(D132:O132)</f>
        <v>0</v>
      </c>
    </row>
    <row r="133" spans="1:16" x14ac:dyDescent="0.3">
      <c r="A133" s="458"/>
      <c r="B133" s="345" t="s">
        <v>82</v>
      </c>
      <c r="C133" s="345" t="s">
        <v>3</v>
      </c>
      <c r="D133" s="380"/>
      <c r="E133" s="380"/>
      <c r="F133" s="380"/>
      <c r="G133" s="380"/>
      <c r="H133" s="380"/>
      <c r="I133" s="380"/>
      <c r="J133" s="380"/>
      <c r="K133" s="380"/>
      <c r="L133" s="380"/>
      <c r="M133" s="380"/>
      <c r="N133" s="380"/>
      <c r="O133" s="380"/>
      <c r="P133" s="381">
        <f>SUM(D133:O133)</f>
        <v>0</v>
      </c>
    </row>
    <row r="134" spans="1:16" x14ac:dyDescent="0.3">
      <c r="A134" s="250"/>
      <c r="B134" s="345" t="s">
        <v>81</v>
      </c>
      <c r="C134" s="345" t="s">
        <v>3</v>
      </c>
      <c r="D134" s="378">
        <f t="shared" ref="D134:I134" si="98">D130+D131-D132-D133</f>
        <v>0</v>
      </c>
      <c r="E134" s="378">
        <f t="shared" si="98"/>
        <v>0</v>
      </c>
      <c r="F134" s="378">
        <f t="shared" si="98"/>
        <v>0</v>
      </c>
      <c r="G134" s="378">
        <f t="shared" si="98"/>
        <v>0</v>
      </c>
      <c r="H134" s="378">
        <f t="shared" si="98"/>
        <v>0</v>
      </c>
      <c r="I134" s="378">
        <f t="shared" si="98"/>
        <v>0</v>
      </c>
      <c r="J134" s="378">
        <f t="shared" ref="J134:K134" si="99">J130+J131-J132-J133</f>
        <v>0</v>
      </c>
      <c r="K134" s="378">
        <f t="shared" si="99"/>
        <v>0</v>
      </c>
      <c r="L134" s="378">
        <f t="shared" ref="L134:M134" si="100">L130+L131-L132-L133</f>
        <v>0</v>
      </c>
      <c r="M134" s="378">
        <f t="shared" si="100"/>
        <v>0</v>
      </c>
      <c r="N134" s="378">
        <f t="shared" ref="N134:O134" si="101">N130+N131-N132-N133</f>
        <v>0</v>
      </c>
      <c r="O134" s="378">
        <f t="shared" si="101"/>
        <v>0</v>
      </c>
      <c r="P134" s="379">
        <f>P130+P131-P132-P133</f>
        <v>0</v>
      </c>
    </row>
    <row r="135" spans="1:16" x14ac:dyDescent="0.3">
      <c r="A135" s="249" t="s">
        <v>89</v>
      </c>
      <c r="B135" s="345" t="s">
        <v>85</v>
      </c>
      <c r="C135" s="345" t="s">
        <v>3</v>
      </c>
      <c r="D135" s="378"/>
      <c r="E135" s="378"/>
      <c r="F135" s="378"/>
      <c r="G135" s="378"/>
      <c r="H135" s="378"/>
      <c r="I135" s="378"/>
      <c r="J135" s="378"/>
      <c r="K135" s="378"/>
      <c r="L135" s="378"/>
      <c r="M135" s="378"/>
      <c r="N135" s="378"/>
      <c r="O135" s="378"/>
      <c r="P135" s="379">
        <f>D135</f>
        <v>0</v>
      </c>
    </row>
    <row r="136" spans="1:16" x14ac:dyDescent="0.3">
      <c r="A136" s="458"/>
      <c r="B136" s="345" t="s">
        <v>84</v>
      </c>
      <c r="C136" s="345" t="s">
        <v>3</v>
      </c>
      <c r="D136" s="380"/>
      <c r="E136" s="380"/>
      <c r="F136" s="380"/>
      <c r="G136" s="380"/>
      <c r="H136" s="380"/>
      <c r="I136" s="380"/>
      <c r="J136" s="380"/>
      <c r="K136" s="380"/>
      <c r="L136" s="380"/>
      <c r="M136" s="380"/>
      <c r="N136" s="380"/>
      <c r="O136" s="380"/>
      <c r="P136" s="381">
        <f>SUM(D136:O136)</f>
        <v>0</v>
      </c>
    </row>
    <row r="137" spans="1:16" x14ac:dyDescent="0.3">
      <c r="A137" s="458"/>
      <c r="B137" s="410" t="s">
        <v>88</v>
      </c>
      <c r="C137" s="345" t="s">
        <v>3</v>
      </c>
      <c r="D137" s="380"/>
      <c r="E137" s="380"/>
      <c r="F137" s="380"/>
      <c r="G137" s="380"/>
      <c r="H137" s="380"/>
      <c r="I137" s="380"/>
      <c r="J137" s="380"/>
      <c r="K137" s="380"/>
      <c r="L137" s="380"/>
      <c r="M137" s="380"/>
      <c r="N137" s="380"/>
      <c r="O137" s="380"/>
      <c r="P137" s="381">
        <f>SUM(D137:O137)</f>
        <v>0</v>
      </c>
    </row>
    <row r="138" spans="1:16" x14ac:dyDescent="0.3">
      <c r="A138" s="458"/>
      <c r="B138" s="345" t="s">
        <v>82</v>
      </c>
      <c r="C138" s="345" t="s">
        <v>3</v>
      </c>
      <c r="D138" s="380"/>
      <c r="E138" s="380"/>
      <c r="F138" s="380"/>
      <c r="G138" s="380"/>
      <c r="H138" s="380"/>
      <c r="I138" s="380"/>
      <c r="J138" s="380"/>
      <c r="K138" s="380"/>
      <c r="L138" s="380"/>
      <c r="M138" s="380"/>
      <c r="N138" s="380"/>
      <c r="O138" s="380"/>
      <c r="P138" s="381">
        <f>SUM(D138:O138)</f>
        <v>0</v>
      </c>
    </row>
    <row r="139" spans="1:16" x14ac:dyDescent="0.3">
      <c r="A139" s="250"/>
      <c r="B139" s="345" t="s">
        <v>81</v>
      </c>
      <c r="C139" s="345" t="s">
        <v>3</v>
      </c>
      <c r="D139" s="378">
        <f t="shared" ref="D139:I139" si="102">D135+D136-D137-D138</f>
        <v>0</v>
      </c>
      <c r="E139" s="378">
        <f t="shared" si="102"/>
        <v>0</v>
      </c>
      <c r="F139" s="378">
        <f t="shared" si="102"/>
        <v>0</v>
      </c>
      <c r="G139" s="378">
        <f t="shared" si="102"/>
        <v>0</v>
      </c>
      <c r="H139" s="378">
        <f t="shared" si="102"/>
        <v>0</v>
      </c>
      <c r="I139" s="378">
        <f t="shared" si="102"/>
        <v>0</v>
      </c>
      <c r="J139" s="378">
        <f t="shared" ref="J139:K139" si="103">J135+J136-J137-J138</f>
        <v>0</v>
      </c>
      <c r="K139" s="378">
        <f t="shared" si="103"/>
        <v>0</v>
      </c>
      <c r="L139" s="378">
        <f t="shared" ref="L139:M139" si="104">L135+L136-L137-L138</f>
        <v>0</v>
      </c>
      <c r="M139" s="378">
        <f t="shared" si="104"/>
        <v>0</v>
      </c>
      <c r="N139" s="378">
        <f t="shared" ref="N139:O139" si="105">N135+N136-N137-N138</f>
        <v>0</v>
      </c>
      <c r="O139" s="378">
        <f t="shared" si="105"/>
        <v>0</v>
      </c>
      <c r="P139" s="379">
        <f>P135+P136-P137-P138</f>
        <v>0</v>
      </c>
    </row>
    <row r="140" spans="1:16" x14ac:dyDescent="0.3">
      <c r="A140" s="249" t="s">
        <v>87</v>
      </c>
      <c r="B140" s="345" t="s">
        <v>85</v>
      </c>
      <c r="C140" s="345" t="s">
        <v>3</v>
      </c>
      <c r="D140" s="378">
        <v>658</v>
      </c>
      <c r="E140" s="378">
        <v>734</v>
      </c>
      <c r="F140" s="378">
        <v>721</v>
      </c>
      <c r="G140" s="378">
        <v>705</v>
      </c>
      <c r="H140" s="378">
        <v>701</v>
      </c>
      <c r="I140" s="378">
        <v>678</v>
      </c>
      <c r="J140" s="378">
        <v>637</v>
      </c>
      <c r="K140" s="378">
        <v>639</v>
      </c>
      <c r="L140" s="378">
        <v>632</v>
      </c>
      <c r="M140" s="378">
        <v>656</v>
      </c>
      <c r="N140" s="378">
        <v>234</v>
      </c>
      <c r="O140" s="378">
        <v>120</v>
      </c>
      <c r="P140" s="379">
        <f>D140</f>
        <v>658</v>
      </c>
    </row>
    <row r="141" spans="1:16" x14ac:dyDescent="0.3">
      <c r="A141" s="458"/>
      <c r="B141" s="345" t="s">
        <v>84</v>
      </c>
      <c r="C141" s="345" t="s">
        <v>3</v>
      </c>
      <c r="D141" s="380">
        <v>147</v>
      </c>
      <c r="E141" s="380">
        <v>65</v>
      </c>
      <c r="F141" s="380">
        <v>37</v>
      </c>
      <c r="G141" s="380">
        <v>68</v>
      </c>
      <c r="H141" s="380">
        <v>53</v>
      </c>
      <c r="I141" s="380">
        <v>68</v>
      </c>
      <c r="J141" s="380">
        <v>48</v>
      </c>
      <c r="K141" s="380">
        <v>51</v>
      </c>
      <c r="L141" s="380">
        <v>63</v>
      </c>
      <c r="M141" s="380">
        <v>230</v>
      </c>
      <c r="N141" s="380">
        <v>0</v>
      </c>
      <c r="O141" s="380">
        <v>38</v>
      </c>
      <c r="P141" s="381">
        <f>SUM(D141:O141)</f>
        <v>868</v>
      </c>
    </row>
    <row r="142" spans="1:16" x14ac:dyDescent="0.3">
      <c r="A142" s="458"/>
      <c r="B142" s="345" t="s">
        <v>83</v>
      </c>
      <c r="C142" s="345" t="s">
        <v>3</v>
      </c>
      <c r="D142" s="380">
        <v>41</v>
      </c>
      <c r="E142" s="380">
        <v>69</v>
      </c>
      <c r="F142" s="380">
        <v>30</v>
      </c>
      <c r="G142" s="380">
        <v>58</v>
      </c>
      <c r="H142" s="380">
        <v>52</v>
      </c>
      <c r="I142" s="380">
        <v>33</v>
      </c>
      <c r="J142" s="380">
        <v>30</v>
      </c>
      <c r="K142" s="380">
        <v>33</v>
      </c>
      <c r="L142" s="380">
        <v>1</v>
      </c>
      <c r="M142" s="380">
        <v>37</v>
      </c>
      <c r="N142" s="380">
        <v>85</v>
      </c>
      <c r="O142" s="380">
        <v>4</v>
      </c>
      <c r="P142" s="381">
        <f>SUM(D142:O142)</f>
        <v>473</v>
      </c>
    </row>
    <row r="143" spans="1:16" x14ac:dyDescent="0.3">
      <c r="A143" s="458"/>
      <c r="B143" s="345" t="s">
        <v>82</v>
      </c>
      <c r="C143" s="345" t="s">
        <v>3</v>
      </c>
      <c r="D143" s="380">
        <v>30</v>
      </c>
      <c r="E143" s="380">
        <v>9</v>
      </c>
      <c r="F143" s="380">
        <v>23</v>
      </c>
      <c r="G143" s="380">
        <v>14</v>
      </c>
      <c r="H143" s="380">
        <v>24</v>
      </c>
      <c r="I143" s="380">
        <v>76</v>
      </c>
      <c r="J143" s="380">
        <v>16</v>
      </c>
      <c r="K143" s="380">
        <v>25</v>
      </c>
      <c r="L143" s="380">
        <v>38</v>
      </c>
      <c r="M143" s="380">
        <v>615</v>
      </c>
      <c r="N143" s="380">
        <v>29</v>
      </c>
      <c r="O143" s="380">
        <v>6</v>
      </c>
      <c r="P143" s="381">
        <f>SUM(D143:O143)</f>
        <v>905</v>
      </c>
    </row>
    <row r="144" spans="1:16" x14ac:dyDescent="0.3">
      <c r="A144" s="250"/>
      <c r="B144" s="345" t="s">
        <v>81</v>
      </c>
      <c r="C144" s="345" t="s">
        <v>3</v>
      </c>
      <c r="D144" s="378">
        <f t="shared" ref="D144:I144" si="106">D140+D141-D142-D143</f>
        <v>734</v>
      </c>
      <c r="E144" s="378">
        <f t="shared" si="106"/>
        <v>721</v>
      </c>
      <c r="F144" s="378">
        <f t="shared" si="106"/>
        <v>705</v>
      </c>
      <c r="G144" s="378">
        <f t="shared" si="106"/>
        <v>701</v>
      </c>
      <c r="H144" s="378">
        <v>678</v>
      </c>
      <c r="I144" s="378">
        <f t="shared" si="106"/>
        <v>637</v>
      </c>
      <c r="J144" s="378">
        <f t="shared" ref="J144:K144" si="107">J140+J141-J142-J143</f>
        <v>639</v>
      </c>
      <c r="K144" s="378">
        <f t="shared" si="107"/>
        <v>632</v>
      </c>
      <c r="L144" s="378">
        <f t="shared" ref="L144:M144" si="108">L140+L141-L142-L143</f>
        <v>656</v>
      </c>
      <c r="M144" s="378">
        <f t="shared" si="108"/>
        <v>234</v>
      </c>
      <c r="N144" s="378">
        <f t="shared" ref="N144:O144" si="109">N140+N141-N142-N143</f>
        <v>120</v>
      </c>
      <c r="O144" s="378">
        <f t="shared" si="109"/>
        <v>148</v>
      </c>
      <c r="P144" s="379">
        <f>P140+P141-P142-P143</f>
        <v>148</v>
      </c>
    </row>
    <row r="145" spans="1:16" s="351" customFormat="1" x14ac:dyDescent="0.3">
      <c r="A145" s="249" t="s">
        <v>86</v>
      </c>
      <c r="B145" s="345" t="s">
        <v>85</v>
      </c>
      <c r="C145" s="345" t="s">
        <v>3</v>
      </c>
      <c r="D145" s="383">
        <f t="shared" ref="D145:I145" si="110">D125+D130+D135+D140</f>
        <v>658</v>
      </c>
      <c r="E145" s="383">
        <f t="shared" si="110"/>
        <v>734</v>
      </c>
      <c r="F145" s="383">
        <f t="shared" si="110"/>
        <v>721</v>
      </c>
      <c r="G145" s="383">
        <f t="shared" si="110"/>
        <v>705</v>
      </c>
      <c r="H145" s="383">
        <f t="shared" si="110"/>
        <v>701</v>
      </c>
      <c r="I145" s="383">
        <f t="shared" si="110"/>
        <v>678</v>
      </c>
      <c r="J145" s="383">
        <f t="shared" ref="J145:K145" si="111">J125+J130+J135+J140</f>
        <v>637</v>
      </c>
      <c r="K145" s="383">
        <f t="shared" si="111"/>
        <v>639</v>
      </c>
      <c r="L145" s="383">
        <f t="shared" ref="L145:M145" si="112">L125+L130+L135+L140</f>
        <v>632</v>
      </c>
      <c r="M145" s="383">
        <f t="shared" si="112"/>
        <v>656</v>
      </c>
      <c r="N145" s="383">
        <f t="shared" ref="N145:O145" si="113">N125+N130+N135+N140</f>
        <v>234</v>
      </c>
      <c r="O145" s="383">
        <f t="shared" si="113"/>
        <v>120</v>
      </c>
      <c r="P145" s="412">
        <f t="shared" ref="P145:P149" si="114">P125+P130+P135+P140</f>
        <v>658</v>
      </c>
    </row>
    <row r="146" spans="1:16" x14ac:dyDescent="0.3">
      <c r="A146" s="458"/>
      <c r="B146" s="345" t="s">
        <v>84</v>
      </c>
      <c r="C146" s="345" t="s">
        <v>3</v>
      </c>
      <c r="D146" s="383">
        <f t="shared" ref="D146:E148" si="115">D126+D131+D136+D141</f>
        <v>147</v>
      </c>
      <c r="E146" s="383">
        <f t="shared" si="115"/>
        <v>65</v>
      </c>
      <c r="F146" s="383">
        <f t="shared" ref="F146:G146" si="116">F126+F131+F136+F141</f>
        <v>37</v>
      </c>
      <c r="G146" s="383">
        <f t="shared" si="116"/>
        <v>68</v>
      </c>
      <c r="H146" s="383">
        <f t="shared" ref="H146:I146" si="117">H126+H131+H136+H141</f>
        <v>53</v>
      </c>
      <c r="I146" s="383">
        <f t="shared" si="117"/>
        <v>68</v>
      </c>
      <c r="J146" s="383">
        <f t="shared" ref="J146:K146" si="118">J126+J131+J136+J141</f>
        <v>48</v>
      </c>
      <c r="K146" s="383">
        <f t="shared" si="118"/>
        <v>51</v>
      </c>
      <c r="L146" s="383">
        <f t="shared" ref="L146:M146" si="119">L126+L131+L136+L141</f>
        <v>63</v>
      </c>
      <c r="M146" s="383">
        <f t="shared" si="119"/>
        <v>230</v>
      </c>
      <c r="N146" s="383">
        <f t="shared" ref="N146:O146" si="120">N126+N131+N136+N141</f>
        <v>0</v>
      </c>
      <c r="O146" s="383">
        <f t="shared" si="120"/>
        <v>38</v>
      </c>
      <c r="P146" s="412">
        <f t="shared" si="114"/>
        <v>868</v>
      </c>
    </row>
    <row r="147" spans="1:16" x14ac:dyDescent="0.3">
      <c r="A147" s="458"/>
      <c r="B147" s="345" t="s">
        <v>83</v>
      </c>
      <c r="C147" s="345" t="s">
        <v>3</v>
      </c>
      <c r="D147" s="383">
        <f t="shared" si="115"/>
        <v>41</v>
      </c>
      <c r="E147" s="383">
        <f t="shared" si="115"/>
        <v>69</v>
      </c>
      <c r="F147" s="383">
        <f t="shared" ref="F147:G147" si="121">F127+F132+F137+F142</f>
        <v>30</v>
      </c>
      <c r="G147" s="383">
        <f t="shared" si="121"/>
        <v>58</v>
      </c>
      <c r="H147" s="383">
        <f t="shared" ref="H147:I147" si="122">H127+H132+H137+H142</f>
        <v>52</v>
      </c>
      <c r="I147" s="383">
        <f t="shared" si="122"/>
        <v>33</v>
      </c>
      <c r="J147" s="383">
        <f t="shared" ref="J147:K147" si="123">J127+J132+J137+J142</f>
        <v>30</v>
      </c>
      <c r="K147" s="383">
        <f t="shared" si="123"/>
        <v>33</v>
      </c>
      <c r="L147" s="383">
        <f t="shared" ref="L147:M147" si="124">L127+L132+L137+L142</f>
        <v>1</v>
      </c>
      <c r="M147" s="383">
        <f t="shared" si="124"/>
        <v>37</v>
      </c>
      <c r="N147" s="383">
        <f t="shared" ref="N147:O147" si="125">N127+N132+N137+N142</f>
        <v>85</v>
      </c>
      <c r="O147" s="383">
        <f t="shared" si="125"/>
        <v>4</v>
      </c>
      <c r="P147" s="412">
        <f t="shared" si="114"/>
        <v>473</v>
      </c>
    </row>
    <row r="148" spans="1:16" x14ac:dyDescent="0.3">
      <c r="A148" s="458"/>
      <c r="B148" s="345" t="s">
        <v>82</v>
      </c>
      <c r="C148" s="345" t="s">
        <v>3</v>
      </c>
      <c r="D148" s="383">
        <f t="shared" si="115"/>
        <v>30</v>
      </c>
      <c r="E148" s="383">
        <f t="shared" si="115"/>
        <v>9</v>
      </c>
      <c r="F148" s="383">
        <f t="shared" ref="F148:G148" si="126">F128+F133+F138+F143</f>
        <v>23</v>
      </c>
      <c r="G148" s="383">
        <f t="shared" si="126"/>
        <v>14</v>
      </c>
      <c r="H148" s="383">
        <f t="shared" ref="H148:I148" si="127">H128+H133+H138+H143</f>
        <v>24</v>
      </c>
      <c r="I148" s="383">
        <f t="shared" si="127"/>
        <v>76</v>
      </c>
      <c r="J148" s="383">
        <f t="shared" ref="J148:K148" si="128">J128+J133+J138+J143</f>
        <v>16</v>
      </c>
      <c r="K148" s="383">
        <f t="shared" si="128"/>
        <v>25</v>
      </c>
      <c r="L148" s="383">
        <f t="shared" ref="L148:M148" si="129">L128+L133+L138+L143</f>
        <v>38</v>
      </c>
      <c r="M148" s="383">
        <f t="shared" si="129"/>
        <v>615</v>
      </c>
      <c r="N148" s="383">
        <f t="shared" ref="N148:O148" si="130">N128+N133+N138+N143</f>
        <v>29</v>
      </c>
      <c r="O148" s="383">
        <f t="shared" si="130"/>
        <v>6</v>
      </c>
      <c r="P148" s="412">
        <f t="shared" si="114"/>
        <v>905</v>
      </c>
    </row>
    <row r="149" spans="1:16" x14ac:dyDescent="0.3">
      <c r="A149" s="250"/>
      <c r="B149" s="345" t="s">
        <v>81</v>
      </c>
      <c r="C149" s="345" t="s">
        <v>3</v>
      </c>
      <c r="D149" s="378">
        <f t="shared" ref="D149:I149" si="131">D145+D146-D147-D148</f>
        <v>734</v>
      </c>
      <c r="E149" s="378">
        <f t="shared" si="131"/>
        <v>721</v>
      </c>
      <c r="F149" s="378">
        <f t="shared" si="131"/>
        <v>705</v>
      </c>
      <c r="G149" s="378">
        <f t="shared" si="131"/>
        <v>701</v>
      </c>
      <c r="H149" s="378">
        <f t="shared" si="131"/>
        <v>678</v>
      </c>
      <c r="I149" s="378">
        <f t="shared" si="131"/>
        <v>637</v>
      </c>
      <c r="J149" s="378">
        <f t="shared" ref="J149:K149" si="132">J145+J146-J147-J148</f>
        <v>639</v>
      </c>
      <c r="K149" s="378">
        <f t="shared" si="132"/>
        <v>632</v>
      </c>
      <c r="L149" s="378">
        <f t="shared" ref="L149:M149" si="133">L145+L146-L147-L148</f>
        <v>656</v>
      </c>
      <c r="M149" s="378">
        <f t="shared" si="133"/>
        <v>234</v>
      </c>
      <c r="N149" s="378">
        <f t="shared" ref="N149:O149" si="134">N145+N146-N147-N148</f>
        <v>120</v>
      </c>
      <c r="O149" s="378">
        <f t="shared" si="134"/>
        <v>148</v>
      </c>
      <c r="P149" s="412">
        <f t="shared" si="114"/>
        <v>148</v>
      </c>
    </row>
    <row r="150" spans="1:16" x14ac:dyDescent="0.3">
      <c r="A150" s="447" t="s">
        <v>80</v>
      </c>
      <c r="B150" s="448"/>
      <c r="C150" s="448"/>
      <c r="D150" s="448"/>
      <c r="E150" s="448"/>
      <c r="F150" s="448"/>
      <c r="G150" s="448"/>
      <c r="H150" s="448"/>
      <c r="I150" s="448"/>
      <c r="J150" s="448"/>
      <c r="K150" s="448"/>
      <c r="L150" s="448"/>
      <c r="M150" s="448"/>
      <c r="N150" s="448"/>
      <c r="O150" s="448"/>
      <c r="P150" s="526"/>
    </row>
    <row r="151" spans="1:16" x14ac:dyDescent="0.3">
      <c r="A151" s="449" t="s">
        <v>79</v>
      </c>
      <c r="B151" s="450"/>
      <c r="C151" s="345"/>
      <c r="D151" s="369"/>
      <c r="E151" s="369"/>
      <c r="F151" s="369"/>
      <c r="G151" s="369"/>
      <c r="H151" s="369"/>
      <c r="I151" s="369"/>
      <c r="J151" s="413"/>
      <c r="K151" s="413"/>
      <c r="L151" s="413"/>
      <c r="M151" s="413"/>
      <c r="N151" s="413"/>
      <c r="O151" s="413"/>
      <c r="P151" s="372"/>
    </row>
    <row r="152" spans="1:16" x14ac:dyDescent="0.3">
      <c r="A152" s="475" t="s">
        <v>78</v>
      </c>
      <c r="B152" s="414" t="s">
        <v>63</v>
      </c>
      <c r="C152" s="345"/>
      <c r="D152" s="369"/>
      <c r="E152" s="369"/>
      <c r="F152" s="369"/>
      <c r="G152" s="369"/>
      <c r="H152" s="369"/>
      <c r="I152" s="369"/>
      <c r="J152" s="413"/>
      <c r="K152" s="413"/>
      <c r="L152" s="413"/>
      <c r="M152" s="413"/>
      <c r="N152" s="413"/>
      <c r="O152" s="413"/>
      <c r="P152" s="372"/>
    </row>
    <row r="153" spans="1:16" x14ac:dyDescent="0.3">
      <c r="A153" s="476"/>
      <c r="B153" s="20" t="s">
        <v>73</v>
      </c>
      <c r="C153" s="345" t="s">
        <v>57</v>
      </c>
      <c r="D153" s="380">
        <v>71</v>
      </c>
      <c r="E153" s="380">
        <v>83</v>
      </c>
      <c r="F153" s="380">
        <v>140</v>
      </c>
      <c r="G153" s="380">
        <v>121</v>
      </c>
      <c r="H153" s="380">
        <v>176</v>
      </c>
      <c r="I153" s="380">
        <v>151</v>
      </c>
      <c r="J153" s="380">
        <v>148</v>
      </c>
      <c r="K153" s="380">
        <v>132</v>
      </c>
      <c r="L153" s="380">
        <v>136</v>
      </c>
      <c r="M153" s="380">
        <v>135</v>
      </c>
      <c r="N153" s="380">
        <v>145</v>
      </c>
      <c r="O153" s="380">
        <v>110</v>
      </c>
      <c r="P153" s="381">
        <f t="shared" ref="P153:P165" si="135">SUM(D153:O153)</f>
        <v>1548</v>
      </c>
    </row>
    <row r="154" spans="1:16" x14ac:dyDescent="0.3">
      <c r="A154" s="476"/>
      <c r="B154" s="20" t="s">
        <v>72</v>
      </c>
      <c r="C154" s="345" t="s">
        <v>57</v>
      </c>
      <c r="D154" s="380">
        <v>42</v>
      </c>
      <c r="E154" s="380">
        <v>60</v>
      </c>
      <c r="F154" s="380">
        <v>72</v>
      </c>
      <c r="G154" s="380">
        <v>86</v>
      </c>
      <c r="H154" s="380">
        <v>93</v>
      </c>
      <c r="I154" s="380">
        <v>102</v>
      </c>
      <c r="J154" s="380">
        <v>94</v>
      </c>
      <c r="K154" s="380">
        <v>68</v>
      </c>
      <c r="L154" s="380">
        <v>67</v>
      </c>
      <c r="M154" s="380">
        <v>87</v>
      </c>
      <c r="N154" s="380">
        <v>63</v>
      </c>
      <c r="O154" s="380">
        <v>47</v>
      </c>
      <c r="P154" s="381">
        <f t="shared" si="135"/>
        <v>881</v>
      </c>
    </row>
    <row r="155" spans="1:16" x14ac:dyDescent="0.3">
      <c r="A155" s="476"/>
      <c r="B155" s="20" t="s">
        <v>53</v>
      </c>
      <c r="C155" s="345" t="s">
        <v>57</v>
      </c>
      <c r="D155" s="380">
        <v>18</v>
      </c>
      <c r="E155" s="380">
        <v>21</v>
      </c>
      <c r="F155" s="380">
        <v>18</v>
      </c>
      <c r="G155" s="380">
        <v>16</v>
      </c>
      <c r="H155" s="380">
        <v>26</v>
      </c>
      <c r="I155" s="380">
        <v>43</v>
      </c>
      <c r="J155" s="380">
        <v>11</v>
      </c>
      <c r="K155" s="380">
        <v>19</v>
      </c>
      <c r="L155" s="380">
        <v>17</v>
      </c>
      <c r="M155" s="380">
        <v>27</v>
      </c>
      <c r="N155" s="380">
        <v>24</v>
      </c>
      <c r="O155" s="380">
        <v>20</v>
      </c>
      <c r="P155" s="381">
        <f t="shared" si="135"/>
        <v>260</v>
      </c>
    </row>
    <row r="156" spans="1:16" x14ac:dyDescent="0.3">
      <c r="A156" s="476"/>
      <c r="B156" s="20" t="s">
        <v>71</v>
      </c>
      <c r="C156" s="345" t="s">
        <v>57</v>
      </c>
      <c r="D156" s="380">
        <v>1</v>
      </c>
      <c r="E156" s="380">
        <v>3</v>
      </c>
      <c r="F156" s="380">
        <v>10</v>
      </c>
      <c r="G156" s="380">
        <v>6</v>
      </c>
      <c r="H156" s="380">
        <v>8</v>
      </c>
      <c r="I156" s="380">
        <v>2</v>
      </c>
      <c r="J156" s="380">
        <v>4</v>
      </c>
      <c r="K156" s="380">
        <v>3</v>
      </c>
      <c r="L156" s="380">
        <v>0</v>
      </c>
      <c r="M156" s="380">
        <v>6</v>
      </c>
      <c r="N156" s="380">
        <v>5</v>
      </c>
      <c r="O156" s="380">
        <v>2</v>
      </c>
      <c r="P156" s="381">
        <f t="shared" si="135"/>
        <v>50</v>
      </c>
    </row>
    <row r="157" spans="1:16" x14ac:dyDescent="0.3">
      <c r="A157" s="476"/>
      <c r="B157" s="20" t="s">
        <v>52</v>
      </c>
      <c r="C157" s="345" t="s">
        <v>57</v>
      </c>
      <c r="D157" s="380">
        <v>6</v>
      </c>
      <c r="E157" s="380">
        <v>3</v>
      </c>
      <c r="F157" s="380">
        <v>10</v>
      </c>
      <c r="G157" s="380">
        <v>9</v>
      </c>
      <c r="H157" s="380">
        <v>4</v>
      </c>
      <c r="I157" s="380">
        <v>7</v>
      </c>
      <c r="J157" s="380">
        <v>10</v>
      </c>
      <c r="K157" s="380">
        <v>9</v>
      </c>
      <c r="L157" s="380">
        <v>5</v>
      </c>
      <c r="M157" s="380">
        <v>15</v>
      </c>
      <c r="N157" s="380">
        <v>11</v>
      </c>
      <c r="O157" s="380">
        <v>11</v>
      </c>
      <c r="P157" s="381">
        <f t="shared" si="135"/>
        <v>100</v>
      </c>
    </row>
    <row r="158" spans="1:16" x14ac:dyDescent="0.3">
      <c r="A158" s="476"/>
      <c r="B158" s="20" t="s">
        <v>51</v>
      </c>
      <c r="C158" s="345" t="s">
        <v>57</v>
      </c>
      <c r="D158" s="380">
        <v>11</v>
      </c>
      <c r="E158" s="380">
        <v>10</v>
      </c>
      <c r="F158" s="380">
        <v>18</v>
      </c>
      <c r="G158" s="380">
        <v>24</v>
      </c>
      <c r="H158" s="380">
        <v>6</v>
      </c>
      <c r="I158" s="380">
        <v>4</v>
      </c>
      <c r="J158" s="380">
        <v>7</v>
      </c>
      <c r="K158" s="380">
        <v>4</v>
      </c>
      <c r="L158" s="380">
        <v>10</v>
      </c>
      <c r="M158" s="380">
        <v>9</v>
      </c>
      <c r="N158" s="380">
        <v>16</v>
      </c>
      <c r="O158" s="380">
        <v>8</v>
      </c>
      <c r="P158" s="381">
        <f t="shared" si="135"/>
        <v>127</v>
      </c>
    </row>
    <row r="159" spans="1:16" x14ac:dyDescent="0.3">
      <c r="A159" s="476"/>
      <c r="B159" s="20" t="s">
        <v>62</v>
      </c>
      <c r="C159" s="345" t="s">
        <v>57</v>
      </c>
      <c r="D159" s="380">
        <v>0</v>
      </c>
      <c r="E159" s="380">
        <v>0</v>
      </c>
      <c r="F159" s="380">
        <v>2</v>
      </c>
      <c r="G159" s="380">
        <v>1</v>
      </c>
      <c r="H159" s="380">
        <v>0</v>
      </c>
      <c r="I159" s="380">
        <v>0</v>
      </c>
      <c r="J159" s="380">
        <v>0</v>
      </c>
      <c r="K159" s="380">
        <v>0</v>
      </c>
      <c r="L159" s="380">
        <v>0</v>
      </c>
      <c r="M159" s="380">
        <v>1</v>
      </c>
      <c r="N159" s="380">
        <v>1</v>
      </c>
      <c r="O159" s="380">
        <v>0</v>
      </c>
      <c r="P159" s="381">
        <f t="shared" si="135"/>
        <v>5</v>
      </c>
    </row>
    <row r="160" spans="1:16" x14ac:dyDescent="0.3">
      <c r="A160" s="476"/>
      <c r="B160" s="20" t="s">
        <v>50</v>
      </c>
      <c r="C160" s="345" t="s">
        <v>57</v>
      </c>
      <c r="D160" s="380">
        <v>8</v>
      </c>
      <c r="E160" s="380">
        <v>4</v>
      </c>
      <c r="F160" s="380">
        <v>7</v>
      </c>
      <c r="G160" s="380">
        <v>2</v>
      </c>
      <c r="H160" s="380">
        <v>3</v>
      </c>
      <c r="I160" s="380">
        <v>5</v>
      </c>
      <c r="J160" s="380">
        <v>2</v>
      </c>
      <c r="K160" s="380">
        <v>3</v>
      </c>
      <c r="L160" s="380">
        <v>0</v>
      </c>
      <c r="M160" s="380">
        <v>0</v>
      </c>
      <c r="N160" s="380">
        <v>2</v>
      </c>
      <c r="O160" s="380">
        <v>5</v>
      </c>
      <c r="P160" s="381">
        <f t="shared" si="135"/>
        <v>41</v>
      </c>
    </row>
    <row r="161" spans="1:16" x14ac:dyDescent="0.3">
      <c r="A161" s="476"/>
      <c r="B161" s="20" t="s">
        <v>49</v>
      </c>
      <c r="C161" s="345" t="s">
        <v>57</v>
      </c>
      <c r="D161" s="380">
        <v>1</v>
      </c>
      <c r="E161" s="380">
        <v>4</v>
      </c>
      <c r="F161" s="380">
        <v>11</v>
      </c>
      <c r="G161" s="380">
        <v>2</v>
      </c>
      <c r="H161" s="380">
        <v>4</v>
      </c>
      <c r="I161" s="380">
        <v>2</v>
      </c>
      <c r="J161" s="380">
        <v>4</v>
      </c>
      <c r="K161" s="380">
        <v>0</v>
      </c>
      <c r="L161" s="380">
        <v>8</v>
      </c>
      <c r="M161" s="380">
        <v>10</v>
      </c>
      <c r="N161" s="380">
        <v>12</v>
      </c>
      <c r="O161" s="380">
        <v>10</v>
      </c>
      <c r="P161" s="381">
        <f t="shared" si="135"/>
        <v>68</v>
      </c>
    </row>
    <row r="162" spans="1:16" x14ac:dyDescent="0.3">
      <c r="A162" s="476"/>
      <c r="B162" s="20" t="s">
        <v>77</v>
      </c>
      <c r="C162" s="345" t="s">
        <v>57</v>
      </c>
      <c r="D162" s="380">
        <v>2</v>
      </c>
      <c r="E162" s="380">
        <v>3</v>
      </c>
      <c r="F162" s="380">
        <v>6</v>
      </c>
      <c r="G162" s="380">
        <v>0</v>
      </c>
      <c r="H162" s="380">
        <v>1</v>
      </c>
      <c r="I162" s="380">
        <v>2</v>
      </c>
      <c r="J162" s="380">
        <v>0</v>
      </c>
      <c r="K162" s="380">
        <v>0</v>
      </c>
      <c r="L162" s="380">
        <v>3</v>
      </c>
      <c r="M162" s="380">
        <v>1</v>
      </c>
      <c r="N162" s="380">
        <v>5</v>
      </c>
      <c r="O162" s="380">
        <v>2</v>
      </c>
      <c r="P162" s="381">
        <f t="shared" si="135"/>
        <v>25</v>
      </c>
    </row>
    <row r="163" spans="1:16" x14ac:dyDescent="0.3">
      <c r="A163" s="476"/>
      <c r="B163" s="20" t="s">
        <v>69</v>
      </c>
      <c r="C163" s="345" t="s">
        <v>57</v>
      </c>
      <c r="D163" s="380">
        <v>0</v>
      </c>
      <c r="E163" s="380">
        <v>1</v>
      </c>
      <c r="F163" s="380">
        <v>1</v>
      </c>
      <c r="G163" s="380">
        <v>1</v>
      </c>
      <c r="H163" s="380">
        <v>4</v>
      </c>
      <c r="I163" s="380">
        <v>0</v>
      </c>
      <c r="J163" s="380">
        <v>0</v>
      </c>
      <c r="K163" s="380">
        <v>1</v>
      </c>
      <c r="L163" s="380"/>
      <c r="M163" s="380">
        <v>0</v>
      </c>
      <c r="N163" s="380">
        <v>0</v>
      </c>
      <c r="O163" s="380"/>
      <c r="P163" s="381">
        <f t="shared" si="135"/>
        <v>8</v>
      </c>
    </row>
    <row r="164" spans="1:16" x14ac:dyDescent="0.3">
      <c r="A164" s="476"/>
      <c r="B164" s="20" t="s">
        <v>68</v>
      </c>
      <c r="C164" s="345" t="s">
        <v>57</v>
      </c>
      <c r="D164" s="380">
        <v>1</v>
      </c>
      <c r="E164" s="380">
        <v>0</v>
      </c>
      <c r="F164" s="380">
        <v>2</v>
      </c>
      <c r="G164" s="380">
        <v>0</v>
      </c>
      <c r="H164" s="380">
        <v>0</v>
      </c>
      <c r="I164" s="380">
        <v>0</v>
      </c>
      <c r="J164" s="380">
        <v>0</v>
      </c>
      <c r="K164" s="380"/>
      <c r="L164" s="380"/>
      <c r="M164" s="380">
        <v>1</v>
      </c>
      <c r="N164" s="380">
        <v>2</v>
      </c>
      <c r="O164" s="380"/>
      <c r="P164" s="381">
        <f t="shared" si="135"/>
        <v>6</v>
      </c>
    </row>
    <row r="165" spans="1:16" x14ac:dyDescent="0.3">
      <c r="A165" s="477"/>
      <c r="B165" s="20" t="s">
        <v>76</v>
      </c>
      <c r="C165" s="345" t="s">
        <v>57</v>
      </c>
      <c r="D165" s="380"/>
      <c r="E165" s="380"/>
      <c r="F165" s="380">
        <v>0</v>
      </c>
      <c r="G165" s="380">
        <v>0</v>
      </c>
      <c r="H165" s="380">
        <v>0</v>
      </c>
      <c r="I165" s="380">
        <v>0</v>
      </c>
      <c r="J165" s="380">
        <v>0</v>
      </c>
      <c r="K165" s="380"/>
      <c r="L165" s="380"/>
      <c r="M165" s="380"/>
      <c r="N165" s="380"/>
      <c r="O165" s="380"/>
      <c r="P165" s="381">
        <f t="shared" si="135"/>
        <v>0</v>
      </c>
    </row>
    <row r="166" spans="1:16" x14ac:dyDescent="0.3">
      <c r="A166" s="475" t="s">
        <v>75</v>
      </c>
      <c r="B166" s="415" t="s">
        <v>63</v>
      </c>
      <c r="C166" s="345"/>
      <c r="D166" s="380"/>
      <c r="E166" s="380"/>
      <c r="F166" s="380"/>
      <c r="G166" s="380"/>
      <c r="H166" s="380"/>
      <c r="I166" s="380"/>
      <c r="J166" s="380"/>
      <c r="K166" s="380"/>
      <c r="L166" s="380"/>
      <c r="M166" s="380"/>
      <c r="N166" s="380"/>
      <c r="O166" s="380"/>
      <c r="P166" s="381"/>
    </row>
    <row r="167" spans="1:16" x14ac:dyDescent="0.3">
      <c r="A167" s="476"/>
      <c r="B167" s="20" t="s">
        <v>74</v>
      </c>
      <c r="C167" s="345" t="s">
        <v>57</v>
      </c>
      <c r="D167" s="380">
        <v>2</v>
      </c>
      <c r="E167" s="380">
        <v>1</v>
      </c>
      <c r="F167" s="380">
        <v>15</v>
      </c>
      <c r="G167" s="380">
        <v>0</v>
      </c>
      <c r="H167" s="380">
        <v>1</v>
      </c>
      <c r="I167" s="380">
        <v>1</v>
      </c>
      <c r="J167" s="380">
        <v>2</v>
      </c>
      <c r="K167" s="380"/>
      <c r="L167" s="380">
        <v>4</v>
      </c>
      <c r="M167" s="380">
        <v>10</v>
      </c>
      <c r="N167" s="380">
        <v>2</v>
      </c>
      <c r="O167" s="380"/>
      <c r="P167" s="381">
        <f t="shared" ref="P167:P175" si="136">SUM(D167:O167)</f>
        <v>38</v>
      </c>
    </row>
    <row r="168" spans="1:16" x14ac:dyDescent="0.3">
      <c r="A168" s="476"/>
      <c r="B168" s="20" t="s">
        <v>73</v>
      </c>
      <c r="C168" s="345" t="s">
        <v>57</v>
      </c>
      <c r="D168" s="380">
        <v>0</v>
      </c>
      <c r="E168" s="380"/>
      <c r="F168" s="380">
        <v>5</v>
      </c>
      <c r="G168" s="380">
        <v>0</v>
      </c>
      <c r="H168" s="380">
        <v>0</v>
      </c>
      <c r="I168" s="380"/>
      <c r="J168" s="380">
        <v>2</v>
      </c>
      <c r="K168" s="380"/>
      <c r="L168" s="380"/>
      <c r="M168" s="380"/>
      <c r="N168" s="380"/>
      <c r="O168" s="380"/>
      <c r="P168" s="381">
        <f t="shared" si="136"/>
        <v>7</v>
      </c>
    </row>
    <row r="169" spans="1:16" x14ac:dyDescent="0.3">
      <c r="A169" s="476"/>
      <c r="B169" s="20" t="s">
        <v>72</v>
      </c>
      <c r="C169" s="345" t="s">
        <v>57</v>
      </c>
      <c r="D169" s="380"/>
      <c r="E169" s="380"/>
      <c r="F169" s="380">
        <v>2</v>
      </c>
      <c r="G169" s="380">
        <v>0</v>
      </c>
      <c r="H169" s="380">
        <v>0</v>
      </c>
      <c r="I169" s="380"/>
      <c r="J169" s="380">
        <v>0</v>
      </c>
      <c r="K169" s="380"/>
      <c r="L169" s="380"/>
      <c r="M169" s="380"/>
      <c r="N169" s="380"/>
      <c r="O169" s="380"/>
      <c r="P169" s="381">
        <f t="shared" si="136"/>
        <v>2</v>
      </c>
    </row>
    <row r="170" spans="1:16" x14ac:dyDescent="0.3">
      <c r="A170" s="476"/>
      <c r="B170" s="20" t="s">
        <v>71</v>
      </c>
      <c r="C170" s="345" t="s">
        <v>57</v>
      </c>
      <c r="D170" s="380"/>
      <c r="E170" s="380"/>
      <c r="F170" s="380">
        <v>1</v>
      </c>
      <c r="G170" s="380">
        <v>0</v>
      </c>
      <c r="H170" s="380">
        <v>0</v>
      </c>
      <c r="I170" s="380"/>
      <c r="J170" s="380">
        <v>0</v>
      </c>
      <c r="K170" s="380"/>
      <c r="L170" s="380"/>
      <c r="M170" s="380"/>
      <c r="N170" s="380"/>
      <c r="O170" s="380"/>
      <c r="P170" s="381">
        <f t="shared" si="136"/>
        <v>1</v>
      </c>
    </row>
    <row r="171" spans="1:16" x14ac:dyDescent="0.3">
      <c r="A171" s="476"/>
      <c r="B171" s="20" t="s">
        <v>52</v>
      </c>
      <c r="C171" s="345" t="s">
        <v>57</v>
      </c>
      <c r="D171" s="380"/>
      <c r="E171" s="380"/>
      <c r="F171" s="380"/>
      <c r="G171" s="380"/>
      <c r="H171" s="380">
        <v>0</v>
      </c>
      <c r="I171" s="380"/>
      <c r="J171" s="380">
        <v>0</v>
      </c>
      <c r="K171" s="380"/>
      <c r="L171" s="380"/>
      <c r="M171" s="380"/>
      <c r="N171" s="380"/>
      <c r="O171" s="380"/>
      <c r="P171" s="381">
        <f t="shared" si="136"/>
        <v>0</v>
      </c>
    </row>
    <row r="172" spans="1:16" x14ac:dyDescent="0.3">
      <c r="A172" s="476"/>
      <c r="B172" s="20" t="s">
        <v>62</v>
      </c>
      <c r="C172" s="345" t="s">
        <v>57</v>
      </c>
      <c r="D172" s="380"/>
      <c r="E172" s="380"/>
      <c r="F172" s="380"/>
      <c r="G172" s="380"/>
      <c r="H172" s="380"/>
      <c r="I172" s="380"/>
      <c r="J172" s="380">
        <v>0</v>
      </c>
      <c r="K172" s="380"/>
      <c r="L172" s="380"/>
      <c r="M172" s="380"/>
      <c r="N172" s="380"/>
      <c r="O172" s="380"/>
      <c r="P172" s="381">
        <f t="shared" si="136"/>
        <v>0</v>
      </c>
    </row>
    <row r="173" spans="1:16" x14ac:dyDescent="0.3">
      <c r="A173" s="476"/>
      <c r="B173" s="20" t="s">
        <v>61</v>
      </c>
      <c r="C173" s="345" t="s">
        <v>57</v>
      </c>
      <c r="D173" s="380">
        <v>0</v>
      </c>
      <c r="E173" s="380"/>
      <c r="F173" s="380"/>
      <c r="G173" s="380">
        <v>0</v>
      </c>
      <c r="H173" s="380"/>
      <c r="I173" s="380"/>
      <c r="J173" s="380">
        <v>0</v>
      </c>
      <c r="K173" s="380"/>
      <c r="L173" s="380">
        <v>0</v>
      </c>
      <c r="M173" s="380"/>
      <c r="N173" s="380"/>
      <c r="O173" s="380"/>
      <c r="P173" s="381">
        <f t="shared" si="136"/>
        <v>0</v>
      </c>
    </row>
    <row r="174" spans="1:16" x14ac:dyDescent="0.3">
      <c r="A174" s="476"/>
      <c r="B174" s="20" t="s">
        <v>60</v>
      </c>
      <c r="C174" s="345" t="s">
        <v>57</v>
      </c>
      <c r="D174" s="380">
        <v>0</v>
      </c>
      <c r="E174" s="380"/>
      <c r="F174" s="380"/>
      <c r="G174" s="380">
        <v>0</v>
      </c>
      <c r="H174" s="380"/>
      <c r="I174" s="380"/>
      <c r="J174" s="380"/>
      <c r="K174" s="380"/>
      <c r="L174" s="380">
        <v>0</v>
      </c>
      <c r="M174" s="380"/>
      <c r="N174" s="380"/>
      <c r="O174" s="380"/>
      <c r="P174" s="381">
        <f t="shared" si="136"/>
        <v>0</v>
      </c>
    </row>
    <row r="175" spans="1:16" x14ac:dyDescent="0.3">
      <c r="A175" s="477"/>
      <c r="B175" s="20" t="s">
        <v>69</v>
      </c>
      <c r="C175" s="345" t="s">
        <v>57</v>
      </c>
      <c r="D175" s="380">
        <v>0</v>
      </c>
      <c r="E175" s="380"/>
      <c r="F175" s="380"/>
      <c r="G175" s="380">
        <v>0</v>
      </c>
      <c r="H175" s="380"/>
      <c r="I175" s="380"/>
      <c r="J175" s="380"/>
      <c r="K175" s="380"/>
      <c r="L175" s="380">
        <v>0</v>
      </c>
      <c r="M175" s="380"/>
      <c r="N175" s="380"/>
      <c r="O175" s="380"/>
      <c r="P175" s="381">
        <f t="shared" si="136"/>
        <v>0</v>
      </c>
    </row>
    <row r="176" spans="1:16" x14ac:dyDescent="0.3">
      <c r="A176" s="475" t="s">
        <v>70</v>
      </c>
      <c r="B176" s="415" t="s">
        <v>63</v>
      </c>
      <c r="C176" s="345"/>
      <c r="D176" s="380"/>
      <c r="E176" s="380"/>
      <c r="F176" s="380"/>
      <c r="G176" s="380"/>
      <c r="H176" s="380"/>
      <c r="I176" s="380"/>
      <c r="J176" s="380"/>
      <c r="K176" s="380"/>
      <c r="L176" s="380"/>
      <c r="M176" s="380"/>
      <c r="N176" s="380"/>
      <c r="O176" s="380"/>
      <c r="P176" s="381"/>
    </row>
    <row r="177" spans="1:16" x14ac:dyDescent="0.3">
      <c r="A177" s="476"/>
      <c r="B177" s="20" t="s">
        <v>60</v>
      </c>
      <c r="C177" s="345" t="s">
        <v>57</v>
      </c>
      <c r="D177" s="380"/>
      <c r="E177" s="380"/>
      <c r="F177" s="380"/>
      <c r="G177" s="380">
        <v>0</v>
      </c>
      <c r="H177" s="380"/>
      <c r="I177" s="380"/>
      <c r="J177" s="380"/>
      <c r="K177" s="380"/>
      <c r="L177" s="380"/>
      <c r="M177" s="380"/>
      <c r="N177" s="380"/>
      <c r="O177" s="380"/>
      <c r="P177" s="381">
        <f t="shared" ref="P177:P182" si="137">SUM(D177:O177)</f>
        <v>0</v>
      </c>
    </row>
    <row r="178" spans="1:16" x14ac:dyDescent="0.3">
      <c r="A178" s="476"/>
      <c r="B178" s="20" t="s">
        <v>69</v>
      </c>
      <c r="C178" s="345" t="s">
        <v>57</v>
      </c>
      <c r="D178" s="380"/>
      <c r="E178" s="380"/>
      <c r="F178" s="380"/>
      <c r="G178" s="380">
        <v>0</v>
      </c>
      <c r="H178" s="380"/>
      <c r="I178" s="380"/>
      <c r="J178" s="380"/>
      <c r="K178" s="380"/>
      <c r="L178" s="380"/>
      <c r="M178" s="380"/>
      <c r="N178" s="380"/>
      <c r="O178" s="380"/>
      <c r="P178" s="381">
        <f t="shared" si="137"/>
        <v>0</v>
      </c>
    </row>
    <row r="179" spans="1:16" x14ac:dyDescent="0.3">
      <c r="A179" s="476"/>
      <c r="B179" s="20" t="s">
        <v>68</v>
      </c>
      <c r="C179" s="345" t="s">
        <v>57</v>
      </c>
      <c r="D179" s="380"/>
      <c r="E179" s="380"/>
      <c r="F179" s="380"/>
      <c r="G179" s="380">
        <v>0</v>
      </c>
      <c r="H179" s="380"/>
      <c r="I179" s="380"/>
      <c r="J179" s="380"/>
      <c r="K179" s="380"/>
      <c r="L179" s="380"/>
      <c r="M179" s="380"/>
      <c r="N179" s="380"/>
      <c r="O179" s="380"/>
      <c r="P179" s="381">
        <f t="shared" si="137"/>
        <v>0</v>
      </c>
    </row>
    <row r="180" spans="1:16" x14ac:dyDescent="0.3">
      <c r="A180" s="476"/>
      <c r="B180" s="20" t="s">
        <v>67</v>
      </c>
      <c r="C180" s="345" t="s">
        <v>57</v>
      </c>
      <c r="D180" s="380"/>
      <c r="E180" s="380"/>
      <c r="F180" s="380"/>
      <c r="G180" s="380">
        <v>0</v>
      </c>
      <c r="H180" s="380"/>
      <c r="I180" s="380"/>
      <c r="J180" s="380"/>
      <c r="K180" s="380"/>
      <c r="L180" s="380"/>
      <c r="M180" s="380"/>
      <c r="N180" s="380"/>
      <c r="O180" s="380"/>
      <c r="P180" s="381">
        <f t="shared" si="137"/>
        <v>0</v>
      </c>
    </row>
    <row r="181" spans="1:16" x14ac:dyDescent="0.3">
      <c r="A181" s="476"/>
      <c r="B181" s="20" t="s">
        <v>66</v>
      </c>
      <c r="C181" s="345" t="s">
        <v>57</v>
      </c>
      <c r="D181" s="380"/>
      <c r="E181" s="380"/>
      <c r="F181" s="380"/>
      <c r="G181" s="380"/>
      <c r="H181" s="380"/>
      <c r="I181" s="380"/>
      <c r="J181" s="380"/>
      <c r="K181" s="380"/>
      <c r="L181" s="380"/>
      <c r="M181" s="380"/>
      <c r="N181" s="380"/>
      <c r="O181" s="380"/>
      <c r="P181" s="381">
        <f t="shared" si="137"/>
        <v>0</v>
      </c>
    </row>
    <row r="182" spans="1:16" x14ac:dyDescent="0.3">
      <c r="A182" s="477"/>
      <c r="B182" s="20" t="s">
        <v>65</v>
      </c>
      <c r="C182" s="345" t="s">
        <v>57</v>
      </c>
      <c r="D182" s="380"/>
      <c r="E182" s="380"/>
      <c r="F182" s="380"/>
      <c r="G182" s="380"/>
      <c r="H182" s="380"/>
      <c r="I182" s="380"/>
      <c r="J182" s="380"/>
      <c r="K182" s="380"/>
      <c r="L182" s="380"/>
      <c r="M182" s="380"/>
      <c r="N182" s="380"/>
      <c r="O182" s="380"/>
      <c r="P182" s="381">
        <f t="shared" si="137"/>
        <v>0</v>
      </c>
    </row>
    <row r="183" spans="1:16" x14ac:dyDescent="0.3">
      <c r="A183" s="475" t="s">
        <v>209</v>
      </c>
      <c r="B183" s="415" t="s">
        <v>63</v>
      </c>
      <c r="C183" s="345"/>
      <c r="D183" s="380"/>
      <c r="E183" s="380"/>
      <c r="F183" s="380"/>
      <c r="G183" s="380"/>
      <c r="H183" s="380"/>
      <c r="I183" s="380"/>
      <c r="J183" s="380"/>
      <c r="K183" s="380"/>
      <c r="L183" s="380"/>
      <c r="M183" s="380"/>
      <c r="N183" s="380"/>
      <c r="O183" s="380"/>
      <c r="P183" s="381"/>
    </row>
    <row r="184" spans="1:16" x14ac:dyDescent="0.3">
      <c r="A184" s="476"/>
      <c r="B184" s="20" t="s">
        <v>73</v>
      </c>
      <c r="C184" s="345"/>
      <c r="D184" s="380"/>
      <c r="E184" s="380"/>
      <c r="F184" s="380"/>
      <c r="G184" s="380"/>
      <c r="H184" s="380"/>
      <c r="I184" s="380"/>
      <c r="J184" s="380"/>
      <c r="K184" s="380"/>
      <c r="L184" s="380"/>
      <c r="M184" s="380"/>
      <c r="N184" s="380"/>
      <c r="O184" s="380"/>
      <c r="P184" s="381">
        <f>SUM(D184:O184)</f>
        <v>0</v>
      </c>
    </row>
    <row r="185" spans="1:16" x14ac:dyDescent="0.3">
      <c r="A185" s="476"/>
      <c r="B185" s="20" t="s">
        <v>72</v>
      </c>
      <c r="C185" s="345"/>
      <c r="D185" s="380"/>
      <c r="E185" s="380"/>
      <c r="F185" s="380"/>
      <c r="G185" s="380"/>
      <c r="H185" s="380"/>
      <c r="I185" s="380"/>
      <c r="J185" s="380"/>
      <c r="K185" s="380"/>
      <c r="L185" s="380"/>
      <c r="M185" s="380"/>
      <c r="N185" s="380"/>
      <c r="O185" s="380"/>
      <c r="P185" s="381">
        <f>SUM(D185:O185)</f>
        <v>0</v>
      </c>
    </row>
    <row r="186" spans="1:16" x14ac:dyDescent="0.3">
      <c r="A186" s="476"/>
      <c r="B186" s="20" t="s">
        <v>53</v>
      </c>
      <c r="C186" s="345"/>
      <c r="D186" s="380"/>
      <c r="E186" s="380"/>
      <c r="F186" s="380"/>
      <c r="G186" s="380"/>
      <c r="H186" s="380"/>
      <c r="I186" s="380"/>
      <c r="J186" s="380"/>
      <c r="K186" s="380"/>
      <c r="L186" s="380"/>
      <c r="M186" s="380"/>
      <c r="N186" s="380"/>
      <c r="O186" s="380"/>
      <c r="P186" s="381">
        <f>SUM(D186:O186)</f>
        <v>0</v>
      </c>
    </row>
    <row r="187" spans="1:16" x14ac:dyDescent="0.3">
      <c r="A187" s="477"/>
      <c r="B187" s="20" t="s">
        <v>52</v>
      </c>
      <c r="C187" s="345"/>
      <c r="D187" s="380"/>
      <c r="E187" s="380"/>
      <c r="F187" s="380"/>
      <c r="G187" s="380"/>
      <c r="H187" s="380"/>
      <c r="I187" s="380"/>
      <c r="J187" s="380"/>
      <c r="K187" s="380"/>
      <c r="L187" s="380"/>
      <c r="M187" s="380"/>
      <c r="N187" s="380"/>
      <c r="O187" s="380"/>
      <c r="P187" s="381">
        <f>SUM(D187:O187)</f>
        <v>0</v>
      </c>
    </row>
    <row r="188" spans="1:16" x14ac:dyDescent="0.3">
      <c r="A188" s="475" t="s">
        <v>64</v>
      </c>
      <c r="B188" s="415" t="s">
        <v>63</v>
      </c>
      <c r="C188" s="345"/>
      <c r="D188" s="380"/>
      <c r="E188" s="380"/>
      <c r="F188" s="380"/>
      <c r="G188" s="380"/>
      <c r="H188" s="380"/>
      <c r="I188" s="380"/>
      <c r="J188" s="380"/>
      <c r="K188" s="380"/>
      <c r="L188" s="380"/>
      <c r="M188" s="380"/>
      <c r="N188" s="380"/>
      <c r="O188" s="380"/>
      <c r="P188" s="381"/>
    </row>
    <row r="189" spans="1:16" x14ac:dyDescent="0.3">
      <c r="A189" s="476"/>
      <c r="B189" s="20" t="s">
        <v>52</v>
      </c>
      <c r="C189" s="345" t="s">
        <v>57</v>
      </c>
      <c r="D189" s="380"/>
      <c r="E189" s="380"/>
      <c r="F189" s="380"/>
      <c r="G189" s="380"/>
      <c r="H189" s="380"/>
      <c r="I189" s="380"/>
      <c r="J189" s="380"/>
      <c r="K189" s="380"/>
      <c r="L189" s="380"/>
      <c r="M189" s="380"/>
      <c r="N189" s="380"/>
      <c r="O189" s="380"/>
      <c r="P189" s="381">
        <f>SUM(D189:O189)</f>
        <v>0</v>
      </c>
    </row>
    <row r="190" spans="1:16" x14ac:dyDescent="0.3">
      <c r="A190" s="476"/>
      <c r="B190" s="20" t="s">
        <v>62</v>
      </c>
      <c r="C190" s="345" t="s">
        <v>57</v>
      </c>
      <c r="D190" s="380"/>
      <c r="E190" s="380"/>
      <c r="F190" s="380"/>
      <c r="G190" s="380"/>
      <c r="H190" s="380"/>
      <c r="I190" s="380"/>
      <c r="J190" s="380"/>
      <c r="K190" s="380"/>
      <c r="L190" s="380"/>
      <c r="M190" s="380"/>
      <c r="N190" s="380"/>
      <c r="O190" s="380"/>
      <c r="P190" s="381">
        <f>SUM(D190:O190)</f>
        <v>0</v>
      </c>
    </row>
    <row r="191" spans="1:16" x14ac:dyDescent="0.3">
      <c r="A191" s="476"/>
      <c r="B191" s="20" t="s">
        <v>61</v>
      </c>
      <c r="C191" s="345" t="s">
        <v>57</v>
      </c>
      <c r="D191" s="380"/>
      <c r="E191" s="380"/>
      <c r="F191" s="380"/>
      <c r="G191" s="380"/>
      <c r="H191" s="380"/>
      <c r="I191" s="380"/>
      <c r="J191" s="380"/>
      <c r="K191" s="380"/>
      <c r="L191" s="380"/>
      <c r="M191" s="380"/>
      <c r="N191" s="380"/>
      <c r="O191" s="380"/>
      <c r="P191" s="381">
        <f>SUM(D191:O191)</f>
        <v>0</v>
      </c>
    </row>
    <row r="192" spans="1:16" x14ac:dyDescent="0.3">
      <c r="A192" s="477"/>
      <c r="B192" s="20" t="s">
        <v>60</v>
      </c>
      <c r="C192" s="345" t="s">
        <v>57</v>
      </c>
      <c r="D192" s="380"/>
      <c r="E192" s="380"/>
      <c r="F192" s="380"/>
      <c r="G192" s="380"/>
      <c r="H192" s="380"/>
      <c r="I192" s="380"/>
      <c r="J192" s="380"/>
      <c r="K192" s="380"/>
      <c r="L192" s="380"/>
      <c r="M192" s="380"/>
      <c r="N192" s="380"/>
      <c r="O192" s="380"/>
      <c r="P192" s="381">
        <f>SUM(D192:O192)</f>
        <v>0</v>
      </c>
    </row>
    <row r="193" spans="1:16" x14ac:dyDescent="0.3">
      <c r="A193" s="416" t="s">
        <v>59</v>
      </c>
      <c r="B193" s="417"/>
      <c r="C193" s="345"/>
      <c r="D193" s="383">
        <f>SUM(D153:D192)</f>
        <v>163</v>
      </c>
      <c r="E193" s="383">
        <f t="shared" ref="E193:F193" si="138">SUM(E153:E192)</f>
        <v>193</v>
      </c>
      <c r="F193" s="383">
        <f t="shared" si="138"/>
        <v>320</v>
      </c>
      <c r="G193" s="383">
        <f t="shared" ref="G193" si="139">SUM(G153:G192)</f>
        <v>268</v>
      </c>
      <c r="H193" s="383">
        <f t="shared" ref="H193" si="140">SUM(H153:H192)</f>
        <v>326</v>
      </c>
      <c r="I193" s="383">
        <f t="shared" ref="I193" si="141">SUM(I153:I192)</f>
        <v>319</v>
      </c>
      <c r="J193" s="383">
        <f t="shared" ref="J193" si="142">SUM(J153:J192)</f>
        <v>284</v>
      </c>
      <c r="K193" s="383">
        <f t="shared" ref="K193" si="143">SUM(K153:K192)</f>
        <v>239</v>
      </c>
      <c r="L193" s="383">
        <f t="shared" ref="L193" si="144">SUM(L153:L192)</f>
        <v>250</v>
      </c>
      <c r="M193" s="383">
        <f t="shared" ref="M193" si="145">SUM(M153:M192)</f>
        <v>302</v>
      </c>
      <c r="N193" s="383">
        <f t="shared" ref="N193" si="146">SUM(N153:N192)</f>
        <v>288</v>
      </c>
      <c r="O193" s="383">
        <f t="shared" ref="O193" si="147">SUM(O153:O192)</f>
        <v>215</v>
      </c>
      <c r="P193" s="375">
        <f t="shared" ref="P193" si="148">SUM(P153:P192)</f>
        <v>3167</v>
      </c>
    </row>
    <row r="194" spans="1:16" x14ac:dyDescent="0.3">
      <c r="A194" s="453" t="s">
        <v>58</v>
      </c>
      <c r="B194" s="478"/>
      <c r="C194" s="345" t="s">
        <v>57</v>
      </c>
      <c r="D194" s="374">
        <v>1</v>
      </c>
      <c r="E194" s="374">
        <v>1</v>
      </c>
      <c r="F194" s="374">
        <v>0</v>
      </c>
      <c r="G194" s="374">
        <v>0</v>
      </c>
      <c r="H194" s="374">
        <v>0</v>
      </c>
      <c r="I194" s="374">
        <v>0</v>
      </c>
      <c r="J194" s="374">
        <v>0</v>
      </c>
      <c r="K194" s="374">
        <v>0</v>
      </c>
      <c r="L194" s="374">
        <v>0</v>
      </c>
      <c r="M194" s="374">
        <v>0</v>
      </c>
      <c r="N194" s="374">
        <v>0</v>
      </c>
      <c r="O194" s="374">
        <v>0</v>
      </c>
      <c r="P194" s="372">
        <f>SUM(D194:O194)</f>
        <v>2</v>
      </c>
    </row>
    <row r="195" spans="1:16" x14ac:dyDescent="0.3">
      <c r="A195" s="455"/>
      <c r="B195" s="479"/>
      <c r="C195" s="419" t="s">
        <v>55</v>
      </c>
      <c r="D195" s="374">
        <v>744</v>
      </c>
      <c r="E195" s="374">
        <v>144</v>
      </c>
      <c r="F195" s="374">
        <v>0</v>
      </c>
      <c r="G195" s="374">
        <v>0</v>
      </c>
      <c r="H195" s="374">
        <v>0</v>
      </c>
      <c r="I195" s="374">
        <v>0</v>
      </c>
      <c r="J195" s="374">
        <v>0</v>
      </c>
      <c r="K195" s="374">
        <v>0</v>
      </c>
      <c r="L195" s="374">
        <v>0</v>
      </c>
      <c r="M195" s="374">
        <v>0</v>
      </c>
      <c r="N195" s="374">
        <v>0</v>
      </c>
      <c r="O195" s="374">
        <v>0</v>
      </c>
      <c r="P195" s="372">
        <f>SUM(D195:O195)</f>
        <v>888</v>
      </c>
    </row>
    <row r="196" spans="1:16" x14ac:dyDescent="0.3">
      <c r="A196" s="420" t="s">
        <v>202</v>
      </c>
      <c r="B196" s="421"/>
      <c r="C196" s="419" t="s">
        <v>55</v>
      </c>
      <c r="D196" s="374">
        <v>622</v>
      </c>
      <c r="E196" s="374">
        <v>672</v>
      </c>
      <c r="F196" s="374">
        <v>648</v>
      </c>
      <c r="G196" s="374">
        <v>659</v>
      </c>
      <c r="H196" s="374">
        <v>705</v>
      </c>
      <c r="I196" s="374">
        <v>720</v>
      </c>
      <c r="J196" s="374">
        <v>744</v>
      </c>
      <c r="K196" s="374">
        <v>720</v>
      </c>
      <c r="L196" s="374">
        <v>744</v>
      </c>
      <c r="M196" s="374">
        <v>744</v>
      </c>
      <c r="N196" s="374">
        <v>696</v>
      </c>
      <c r="O196" s="374">
        <v>744</v>
      </c>
      <c r="P196" s="372">
        <f>SUM(D196:O196)/12</f>
        <v>701.5</v>
      </c>
    </row>
    <row r="197" spans="1:16" x14ac:dyDescent="0.3">
      <c r="A197" s="449" t="s">
        <v>56</v>
      </c>
      <c r="B197" s="450"/>
      <c r="C197" s="419" t="s">
        <v>55</v>
      </c>
      <c r="D197" s="374">
        <v>122</v>
      </c>
      <c r="E197" s="374">
        <v>96</v>
      </c>
      <c r="F197" s="374">
        <v>72</v>
      </c>
      <c r="G197" s="374">
        <v>85</v>
      </c>
      <c r="H197" s="374">
        <v>39</v>
      </c>
      <c r="I197" s="374">
        <v>18</v>
      </c>
      <c r="J197" s="374">
        <v>13</v>
      </c>
      <c r="K197" s="374">
        <v>53.5</v>
      </c>
      <c r="L197" s="374">
        <v>87.5</v>
      </c>
      <c r="M197" s="374">
        <v>58</v>
      </c>
      <c r="N197" s="374">
        <v>36</v>
      </c>
      <c r="O197" s="374">
        <v>207</v>
      </c>
      <c r="P197" s="372">
        <f>SUM(D197:O197)</f>
        <v>887</v>
      </c>
    </row>
    <row r="198" spans="1:16" x14ac:dyDescent="0.3">
      <c r="A198" s="447" t="s">
        <v>203</v>
      </c>
      <c r="B198" s="448"/>
      <c r="C198" s="448"/>
      <c r="D198" s="448"/>
      <c r="E198" s="448"/>
      <c r="F198" s="448"/>
      <c r="G198" s="448"/>
      <c r="H198" s="448"/>
      <c r="I198" s="448"/>
      <c r="J198" s="448"/>
      <c r="K198" s="448"/>
      <c r="L198" s="448"/>
      <c r="M198" s="448"/>
      <c r="N198" s="448"/>
      <c r="O198" s="448"/>
      <c r="P198" s="526"/>
    </row>
    <row r="199" spans="1:16" x14ac:dyDescent="0.3">
      <c r="A199" s="453" t="s">
        <v>54</v>
      </c>
      <c r="B199" s="354" t="s">
        <v>53</v>
      </c>
      <c r="C199" s="345" t="s">
        <v>47</v>
      </c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4"/>
      <c r="P199" s="372">
        <f t="shared" ref="P199:P204" si="149">SUM(D199:O199)</f>
        <v>0</v>
      </c>
    </row>
    <row r="200" spans="1:16" x14ac:dyDescent="0.3">
      <c r="A200" s="454"/>
      <c r="B200" s="354" t="s">
        <v>52</v>
      </c>
      <c r="C200" s="345" t="s">
        <v>47</v>
      </c>
      <c r="D200" s="374"/>
      <c r="E200" s="374"/>
      <c r="F200" s="374"/>
      <c r="G200" s="374"/>
      <c r="H200" s="374"/>
      <c r="I200" s="374"/>
      <c r="J200" s="374"/>
      <c r="K200" s="374">
        <v>300</v>
      </c>
      <c r="L200" s="374">
        <v>210</v>
      </c>
      <c r="M200" s="374"/>
      <c r="N200" s="374"/>
      <c r="O200" s="374"/>
      <c r="P200" s="372">
        <f t="shared" si="149"/>
        <v>510</v>
      </c>
    </row>
    <row r="201" spans="1:16" x14ac:dyDescent="0.3">
      <c r="A201" s="454"/>
      <c r="B201" s="354" t="s">
        <v>51</v>
      </c>
      <c r="C201" s="345" t="s">
        <v>47</v>
      </c>
      <c r="D201" s="374"/>
      <c r="E201" s="374"/>
      <c r="F201" s="374">
        <v>300</v>
      </c>
      <c r="G201" s="374"/>
      <c r="H201" s="374">
        <v>150</v>
      </c>
      <c r="I201" s="374"/>
      <c r="J201" s="374"/>
      <c r="K201" s="374">
        <v>900</v>
      </c>
      <c r="L201" s="575"/>
      <c r="M201" s="374"/>
      <c r="N201" s="374"/>
      <c r="O201" s="374"/>
      <c r="P201" s="372">
        <f t="shared" si="149"/>
        <v>1350</v>
      </c>
    </row>
    <row r="202" spans="1:16" x14ac:dyDescent="0.3">
      <c r="A202" s="454"/>
      <c r="B202" s="354" t="s">
        <v>50</v>
      </c>
      <c r="C202" s="345" t="s">
        <v>47</v>
      </c>
      <c r="D202" s="374"/>
      <c r="E202" s="374"/>
      <c r="F202" s="374"/>
      <c r="G202" s="374"/>
      <c r="H202" s="374"/>
      <c r="I202" s="374"/>
      <c r="J202" s="374"/>
      <c r="K202" s="374"/>
      <c r="L202" s="374"/>
      <c r="M202" s="374"/>
      <c r="N202" s="374"/>
      <c r="O202" s="374"/>
      <c r="P202" s="372">
        <f t="shared" si="149"/>
        <v>0</v>
      </c>
    </row>
    <row r="203" spans="1:16" x14ac:dyDescent="0.3">
      <c r="A203" s="455"/>
      <c r="B203" s="354" t="s">
        <v>49</v>
      </c>
      <c r="C203" s="345" t="s">
        <v>47</v>
      </c>
      <c r="D203" s="374"/>
      <c r="E203" s="374"/>
      <c r="F203" s="374"/>
      <c r="G203" s="374"/>
      <c r="H203" s="374">
        <v>120</v>
      </c>
      <c r="I203" s="374"/>
      <c r="J203" s="374"/>
      <c r="K203" s="374"/>
      <c r="L203" s="374"/>
      <c r="M203" s="374"/>
      <c r="N203" s="374"/>
      <c r="O203" s="374"/>
      <c r="P203" s="372">
        <f t="shared" si="149"/>
        <v>120</v>
      </c>
    </row>
    <row r="204" spans="1:16" x14ac:dyDescent="0.3">
      <c r="A204" s="422" t="s">
        <v>48</v>
      </c>
      <c r="B204" s="354"/>
      <c r="C204" s="345" t="s">
        <v>47</v>
      </c>
      <c r="D204" s="369">
        <f t="shared" ref="D204:O204" si="150">SUM(D199:D203)</f>
        <v>0</v>
      </c>
      <c r="E204" s="369">
        <f t="shared" si="150"/>
        <v>0</v>
      </c>
      <c r="F204" s="369">
        <f t="shared" si="150"/>
        <v>300</v>
      </c>
      <c r="G204" s="369">
        <f t="shared" si="150"/>
        <v>0</v>
      </c>
      <c r="H204" s="369">
        <f t="shared" si="150"/>
        <v>270</v>
      </c>
      <c r="I204" s="369">
        <f t="shared" si="150"/>
        <v>0</v>
      </c>
      <c r="J204" s="369">
        <f t="shared" si="150"/>
        <v>0</v>
      </c>
      <c r="K204" s="346">
        <f t="shared" si="150"/>
        <v>1200</v>
      </c>
      <c r="L204" s="346">
        <f t="shared" si="150"/>
        <v>210</v>
      </c>
      <c r="M204" s="369">
        <f t="shared" si="150"/>
        <v>0</v>
      </c>
      <c r="N204" s="369">
        <f t="shared" si="150"/>
        <v>0</v>
      </c>
      <c r="O204" s="369">
        <f t="shared" si="150"/>
        <v>0</v>
      </c>
      <c r="P204" s="423">
        <f t="shared" si="149"/>
        <v>1980</v>
      </c>
    </row>
    <row r="205" spans="1:16" s="351" customFormat="1" x14ac:dyDescent="0.3">
      <c r="A205" s="447" t="s">
        <v>46</v>
      </c>
      <c r="B205" s="448"/>
      <c r="C205" s="448"/>
      <c r="D205" s="448"/>
      <c r="E205" s="448"/>
      <c r="F205" s="448"/>
      <c r="G205" s="448"/>
      <c r="H205" s="448"/>
      <c r="I205" s="448"/>
      <c r="J205" s="448"/>
      <c r="K205" s="448"/>
      <c r="L205" s="448"/>
      <c r="M205" s="448"/>
      <c r="N205" s="448"/>
      <c r="O205" s="448"/>
      <c r="P205" s="526"/>
    </row>
    <row r="206" spans="1:16" x14ac:dyDescent="0.3">
      <c r="A206" s="449" t="s">
        <v>43</v>
      </c>
      <c r="B206" s="450"/>
      <c r="C206" s="345" t="s">
        <v>31</v>
      </c>
      <c r="D206" s="370">
        <v>9554964</v>
      </c>
      <c r="E206" s="370">
        <v>23991862</v>
      </c>
      <c r="F206" s="370">
        <v>16250429</v>
      </c>
      <c r="G206" s="370">
        <v>18401398</v>
      </c>
      <c r="H206" s="370">
        <v>34560296</v>
      </c>
      <c r="I206" s="370">
        <v>40662886</v>
      </c>
      <c r="J206" s="370">
        <v>24143113</v>
      </c>
      <c r="K206" s="370">
        <v>41138162</v>
      </c>
      <c r="L206" s="370">
        <v>10935995</v>
      </c>
      <c r="M206" s="370">
        <v>25865894</v>
      </c>
      <c r="N206" s="370">
        <v>21314133</v>
      </c>
      <c r="O206" s="370">
        <v>41303195</v>
      </c>
      <c r="P206" s="372">
        <f>SUM(D206:O206)</f>
        <v>308122327</v>
      </c>
    </row>
    <row r="207" spans="1:16" x14ac:dyDescent="0.3">
      <c r="A207" s="449" t="s">
        <v>42</v>
      </c>
      <c r="B207" s="450"/>
      <c r="C207" s="345" t="s">
        <v>31</v>
      </c>
      <c r="D207" s="370">
        <v>29600</v>
      </c>
      <c r="E207" s="370">
        <v>128800</v>
      </c>
      <c r="F207" s="370">
        <v>103700</v>
      </c>
      <c r="G207" s="370">
        <v>92200</v>
      </c>
      <c r="H207" s="370">
        <v>93800</v>
      </c>
      <c r="I207" s="370">
        <v>171500</v>
      </c>
      <c r="J207" s="370">
        <v>89800</v>
      </c>
      <c r="K207" s="370">
        <v>142500</v>
      </c>
      <c r="L207" s="370">
        <v>60000</v>
      </c>
      <c r="M207" s="370">
        <v>84100</v>
      </c>
      <c r="N207" s="370">
        <v>48600</v>
      </c>
      <c r="O207" s="370">
        <v>151200</v>
      </c>
      <c r="P207" s="372">
        <f>SUM(D207:O207)</f>
        <v>1195800</v>
      </c>
    </row>
    <row r="208" spans="1:16" x14ac:dyDescent="0.3">
      <c r="A208" s="456" t="s">
        <v>41</v>
      </c>
      <c r="B208" s="457"/>
      <c r="C208" s="345" t="s">
        <v>31</v>
      </c>
      <c r="D208" s="370">
        <v>77018</v>
      </c>
      <c r="E208" s="370">
        <v>392929</v>
      </c>
      <c r="F208" s="370">
        <v>217800</v>
      </c>
      <c r="G208" s="370">
        <v>145350</v>
      </c>
      <c r="H208" s="370">
        <v>972751</v>
      </c>
      <c r="I208" s="370">
        <v>405100</v>
      </c>
      <c r="J208" s="370">
        <v>108000</v>
      </c>
      <c r="K208" s="370">
        <v>810878</v>
      </c>
      <c r="L208" s="370">
        <v>1278232</v>
      </c>
      <c r="M208" s="370">
        <v>653736</v>
      </c>
      <c r="N208" s="370">
        <v>480100</v>
      </c>
      <c r="O208" s="370">
        <v>2179350</v>
      </c>
      <c r="P208" s="372">
        <f>SUM(D208:O208)</f>
        <v>7721244</v>
      </c>
    </row>
    <row r="209" spans="1:16" x14ac:dyDescent="0.3">
      <c r="A209" s="449" t="s">
        <v>40</v>
      </c>
      <c r="B209" s="450"/>
      <c r="C209" s="345" t="s">
        <v>31</v>
      </c>
      <c r="D209" s="370">
        <v>10000</v>
      </c>
      <c r="E209" s="370">
        <v>3167585</v>
      </c>
      <c r="F209" s="370">
        <v>10000</v>
      </c>
      <c r="G209" s="370">
        <v>10000</v>
      </c>
      <c r="H209" s="370">
        <v>3431392</v>
      </c>
      <c r="I209" s="370">
        <v>0</v>
      </c>
      <c r="J209" s="370">
        <v>114243</v>
      </c>
      <c r="K209" s="370">
        <v>589479</v>
      </c>
      <c r="L209" s="370">
        <v>10000</v>
      </c>
      <c r="M209" s="370">
        <v>2203575</v>
      </c>
      <c r="N209" s="370">
        <v>134000</v>
      </c>
      <c r="O209" s="370">
        <v>63000</v>
      </c>
      <c r="P209" s="372">
        <f>SUM(D209:O209)</f>
        <v>9743274</v>
      </c>
    </row>
    <row r="210" spans="1:16" x14ac:dyDescent="0.3">
      <c r="A210" s="451" t="s">
        <v>45</v>
      </c>
      <c r="B210" s="452"/>
      <c r="C210" s="345" t="s">
        <v>31</v>
      </c>
      <c r="D210" s="418">
        <f t="shared" ref="D210:O210" si="151">SUM(D206:D209)</f>
        <v>9671582</v>
      </c>
      <c r="E210" s="418">
        <f t="shared" si="151"/>
        <v>27681176</v>
      </c>
      <c r="F210" s="418">
        <f t="shared" si="151"/>
        <v>16581929</v>
      </c>
      <c r="G210" s="418">
        <f t="shared" si="151"/>
        <v>18648948</v>
      </c>
      <c r="H210" s="418">
        <f t="shared" si="151"/>
        <v>39058239</v>
      </c>
      <c r="I210" s="418">
        <f t="shared" si="151"/>
        <v>41239486</v>
      </c>
      <c r="J210" s="418">
        <f t="shared" si="151"/>
        <v>24455156</v>
      </c>
      <c r="K210" s="418">
        <f t="shared" si="151"/>
        <v>42681019</v>
      </c>
      <c r="L210" s="418">
        <f t="shared" si="151"/>
        <v>12284227</v>
      </c>
      <c r="M210" s="418">
        <f t="shared" si="151"/>
        <v>28807305</v>
      </c>
      <c r="N210" s="418">
        <f t="shared" si="151"/>
        <v>21976833</v>
      </c>
      <c r="O210" s="418">
        <f t="shared" si="151"/>
        <v>43696745</v>
      </c>
      <c r="P210" s="372">
        <f>SUM(D210:O210)</f>
        <v>326782645</v>
      </c>
    </row>
    <row r="211" spans="1:16" s="351" customFormat="1" x14ac:dyDescent="0.3">
      <c r="A211" s="447" t="s">
        <v>44</v>
      </c>
      <c r="B211" s="448"/>
      <c r="C211" s="448"/>
      <c r="D211" s="448"/>
      <c r="E211" s="448"/>
      <c r="F211" s="448"/>
      <c r="G211" s="448"/>
      <c r="H211" s="448"/>
      <c r="I211" s="448"/>
      <c r="J211" s="448"/>
      <c r="K211" s="448"/>
      <c r="L211" s="448"/>
      <c r="M211" s="448"/>
      <c r="N211" s="448"/>
      <c r="O211" s="448"/>
      <c r="P211" s="526"/>
    </row>
    <row r="212" spans="1:16" x14ac:dyDescent="0.3">
      <c r="A212" s="449" t="s">
        <v>43</v>
      </c>
      <c r="B212" s="450"/>
      <c r="C212" s="345" t="s">
        <v>31</v>
      </c>
      <c r="D212" s="370">
        <v>16016189.720000001</v>
      </c>
      <c r="E212" s="370">
        <v>15814649.66</v>
      </c>
      <c r="F212" s="370">
        <v>10954709.390000001</v>
      </c>
      <c r="G212" s="370">
        <v>18583882.239999998</v>
      </c>
      <c r="H212" s="370">
        <v>15766904.65</v>
      </c>
      <c r="I212" s="370">
        <v>17022542.190000001</v>
      </c>
      <c r="J212" s="370">
        <v>16099307.09</v>
      </c>
      <c r="K212" s="370">
        <v>16516726.449999999</v>
      </c>
      <c r="L212" s="370">
        <v>19953799.530000001</v>
      </c>
      <c r="M212" s="370">
        <v>16503153.76</v>
      </c>
      <c r="N212" s="370">
        <v>24501857.920000002</v>
      </c>
      <c r="O212" s="370">
        <v>19942146.530000001</v>
      </c>
      <c r="P212" s="372">
        <f>SUM(D212:O212)</f>
        <v>207675869.13000003</v>
      </c>
    </row>
    <row r="213" spans="1:16" x14ac:dyDescent="0.3">
      <c r="A213" s="449" t="s">
        <v>42</v>
      </c>
      <c r="B213" s="450"/>
      <c r="C213" s="345" t="s">
        <v>31</v>
      </c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2">
        <f>SUM(D213:O213)</f>
        <v>0</v>
      </c>
    </row>
    <row r="214" spans="1:16" x14ac:dyDescent="0.3">
      <c r="A214" s="456" t="s">
        <v>41</v>
      </c>
      <c r="B214" s="457"/>
      <c r="C214" s="345" t="s">
        <v>31</v>
      </c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2">
        <f>SUM(D214:O214)</f>
        <v>0</v>
      </c>
    </row>
    <row r="215" spans="1:16" x14ac:dyDescent="0.3">
      <c r="A215" s="449" t="s">
        <v>40</v>
      </c>
      <c r="B215" s="450"/>
      <c r="C215" s="345" t="s">
        <v>31</v>
      </c>
      <c r="D215" s="370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2">
        <f>SUM(D215:O215)</f>
        <v>0</v>
      </c>
    </row>
    <row r="216" spans="1:16" x14ac:dyDescent="0.3">
      <c r="A216" s="451" t="s">
        <v>39</v>
      </c>
      <c r="B216" s="452"/>
      <c r="C216" s="345" t="s">
        <v>31</v>
      </c>
      <c r="D216" s="418">
        <f t="shared" ref="D216:O216" si="152">SUM(D212:D215)</f>
        <v>16016189.720000001</v>
      </c>
      <c r="E216" s="418">
        <f t="shared" si="152"/>
        <v>15814649.66</v>
      </c>
      <c r="F216" s="418">
        <f t="shared" si="152"/>
        <v>10954709.390000001</v>
      </c>
      <c r="G216" s="418">
        <f t="shared" si="152"/>
        <v>18583882.239999998</v>
      </c>
      <c r="H216" s="418">
        <f t="shared" si="152"/>
        <v>15766904.65</v>
      </c>
      <c r="I216" s="418">
        <f t="shared" si="152"/>
        <v>17022542.190000001</v>
      </c>
      <c r="J216" s="418">
        <f t="shared" si="152"/>
        <v>16099307.09</v>
      </c>
      <c r="K216" s="418">
        <f t="shared" si="152"/>
        <v>16516726.449999999</v>
      </c>
      <c r="L216" s="418">
        <f t="shared" si="152"/>
        <v>19953799.530000001</v>
      </c>
      <c r="M216" s="418">
        <f t="shared" si="152"/>
        <v>16503153.76</v>
      </c>
      <c r="N216" s="418">
        <f t="shared" si="152"/>
        <v>24501857.920000002</v>
      </c>
      <c r="O216" s="418">
        <f t="shared" si="152"/>
        <v>19942146.530000001</v>
      </c>
      <c r="P216" s="372">
        <f>SUM(D216:O216)</f>
        <v>207675869.13000003</v>
      </c>
    </row>
    <row r="217" spans="1:16" s="351" customFormat="1" x14ac:dyDescent="0.3">
      <c r="A217" s="424" t="s">
        <v>38</v>
      </c>
      <c r="B217" s="425"/>
      <c r="C217" s="345" t="s">
        <v>31</v>
      </c>
      <c r="D217" s="418">
        <f>D210+D216</f>
        <v>25687771.719999999</v>
      </c>
      <c r="E217" s="418">
        <f t="shared" ref="E217:P217" si="153">E210+E216</f>
        <v>43495825.659999996</v>
      </c>
      <c r="F217" s="418">
        <f t="shared" si="153"/>
        <v>27536638.390000001</v>
      </c>
      <c r="G217" s="418">
        <f t="shared" si="153"/>
        <v>37232830.239999995</v>
      </c>
      <c r="H217" s="418">
        <f t="shared" si="153"/>
        <v>54825143.649999999</v>
      </c>
      <c r="I217" s="418">
        <f t="shared" si="153"/>
        <v>58262028.189999998</v>
      </c>
      <c r="J217" s="418">
        <f t="shared" si="153"/>
        <v>40554463.090000004</v>
      </c>
      <c r="K217" s="418">
        <f t="shared" si="153"/>
        <v>59197745.450000003</v>
      </c>
      <c r="L217" s="418">
        <f t="shared" si="153"/>
        <v>32238026.530000001</v>
      </c>
      <c r="M217" s="418">
        <f t="shared" si="153"/>
        <v>45310458.759999998</v>
      </c>
      <c r="N217" s="418">
        <f t="shared" si="153"/>
        <v>46478690.920000002</v>
      </c>
      <c r="O217" s="418">
        <f t="shared" si="153"/>
        <v>63638891.530000001</v>
      </c>
      <c r="P217" s="375">
        <f t="shared" si="153"/>
        <v>534458514.13</v>
      </c>
    </row>
    <row r="218" spans="1:16" s="351" customFormat="1" x14ac:dyDescent="0.3">
      <c r="A218" s="447" t="s">
        <v>37</v>
      </c>
      <c r="B218" s="448"/>
      <c r="C218" s="448"/>
      <c r="D218" s="448"/>
      <c r="E218" s="448"/>
      <c r="F218" s="448"/>
      <c r="G218" s="448"/>
      <c r="H218" s="448"/>
      <c r="I218" s="448"/>
      <c r="J218" s="448"/>
      <c r="K218" s="448"/>
      <c r="L218" s="448"/>
      <c r="M218" s="448"/>
      <c r="N218" s="448"/>
      <c r="O218" s="448"/>
      <c r="P218" s="526"/>
    </row>
    <row r="219" spans="1:16" x14ac:dyDescent="0.3">
      <c r="A219" s="449" t="s">
        <v>35</v>
      </c>
      <c r="B219" s="450"/>
      <c r="C219" s="345" t="s">
        <v>31</v>
      </c>
      <c r="D219" s="370">
        <v>12015269</v>
      </c>
      <c r="E219" s="370">
        <v>21043496</v>
      </c>
      <c r="F219" s="370">
        <v>21827602</v>
      </c>
      <c r="G219" s="370">
        <v>21543689</v>
      </c>
      <c r="H219" s="370">
        <v>22905690</v>
      </c>
      <c r="I219" s="370">
        <v>23436780</v>
      </c>
      <c r="J219" s="370">
        <v>25067012</v>
      </c>
      <c r="K219" s="370">
        <v>25141600</v>
      </c>
      <c r="L219" s="370">
        <v>24933109</v>
      </c>
      <c r="M219" s="370">
        <v>36652643</v>
      </c>
      <c r="N219" s="370">
        <v>25923341</v>
      </c>
      <c r="O219" s="370">
        <v>23730172</v>
      </c>
      <c r="P219" s="372">
        <f>SUM(D219:O219)</f>
        <v>284220403</v>
      </c>
    </row>
    <row r="220" spans="1:16" x14ac:dyDescent="0.3">
      <c r="A220" s="449" t="s">
        <v>34</v>
      </c>
      <c r="B220" s="450"/>
      <c r="C220" s="345" t="s">
        <v>31</v>
      </c>
      <c r="D220" s="370">
        <v>49906</v>
      </c>
      <c r="E220" s="370">
        <v>76164</v>
      </c>
      <c r="F220" s="370">
        <v>75468</v>
      </c>
      <c r="G220" s="370">
        <v>74425</v>
      </c>
      <c r="H220" s="370">
        <v>90771</v>
      </c>
      <c r="I220" s="370">
        <v>86597</v>
      </c>
      <c r="J220" s="370">
        <v>101030</v>
      </c>
      <c r="K220" s="370">
        <v>74077</v>
      </c>
      <c r="L220" s="370">
        <v>90597</v>
      </c>
      <c r="M220" s="370">
        <v>79120</v>
      </c>
      <c r="N220" s="370">
        <v>81207</v>
      </c>
      <c r="O220" s="370">
        <v>83119</v>
      </c>
      <c r="P220" s="372">
        <f>SUM(D220:O220)</f>
        <v>962481</v>
      </c>
    </row>
    <row r="221" spans="1:16" x14ac:dyDescent="0.3">
      <c r="A221" s="449" t="s">
        <v>33</v>
      </c>
      <c r="B221" s="450"/>
      <c r="C221" s="345" t="s">
        <v>31</v>
      </c>
      <c r="D221" s="370">
        <v>4190775</v>
      </c>
      <c r="E221" s="370">
        <v>6978140</v>
      </c>
      <c r="F221" s="370">
        <v>7659807</v>
      </c>
      <c r="G221" s="370">
        <v>7312419</v>
      </c>
      <c r="H221" s="370">
        <v>7171047</v>
      </c>
      <c r="I221" s="370">
        <v>7314208</v>
      </c>
      <c r="J221" s="370">
        <v>7573698</v>
      </c>
      <c r="K221" s="370">
        <v>8245291</v>
      </c>
      <c r="L221" s="370">
        <v>8429232</v>
      </c>
      <c r="M221" s="370">
        <v>3262155</v>
      </c>
      <c r="N221" s="370">
        <v>2427532</v>
      </c>
      <c r="O221" s="370">
        <v>2574156</v>
      </c>
      <c r="P221" s="372">
        <f>SUM(D221:O221)</f>
        <v>73138460</v>
      </c>
    </row>
    <row r="222" spans="1:16" x14ac:dyDescent="0.3">
      <c r="A222" s="449" t="s">
        <v>32</v>
      </c>
      <c r="B222" s="450"/>
      <c r="C222" s="345" t="s">
        <v>31</v>
      </c>
      <c r="D222" s="370">
        <v>277252</v>
      </c>
      <c r="E222" s="370">
        <v>476570</v>
      </c>
      <c r="F222" s="370">
        <v>492833</v>
      </c>
      <c r="G222" s="370">
        <v>639257</v>
      </c>
      <c r="H222" s="370">
        <v>764735</v>
      </c>
      <c r="I222" s="370">
        <v>824175</v>
      </c>
      <c r="J222" s="370">
        <v>796956</v>
      </c>
      <c r="K222" s="370">
        <v>876957</v>
      </c>
      <c r="L222" s="370">
        <v>1562044</v>
      </c>
      <c r="M222" s="370">
        <v>789840</v>
      </c>
      <c r="N222" s="370">
        <v>1946782</v>
      </c>
      <c r="O222" s="370">
        <v>2150725</v>
      </c>
      <c r="P222" s="372">
        <f>SUM(D222:O222)</f>
        <v>11598126</v>
      </c>
    </row>
    <row r="223" spans="1:16" x14ac:dyDescent="0.3">
      <c r="A223" s="451" t="s">
        <v>36</v>
      </c>
      <c r="B223" s="452"/>
      <c r="C223" s="345" t="s">
        <v>31</v>
      </c>
      <c r="D223" s="426">
        <f t="shared" ref="D223:O223" si="154">SUM(D219:D222)</f>
        <v>16533202</v>
      </c>
      <c r="E223" s="418">
        <f t="shared" si="154"/>
        <v>28574370</v>
      </c>
      <c r="F223" s="418">
        <f t="shared" si="154"/>
        <v>30055710</v>
      </c>
      <c r="G223" s="418">
        <f t="shared" si="154"/>
        <v>29569790</v>
      </c>
      <c r="H223" s="418">
        <f t="shared" si="154"/>
        <v>30932243</v>
      </c>
      <c r="I223" s="418">
        <f t="shared" si="154"/>
        <v>31661760</v>
      </c>
      <c r="J223" s="427">
        <f t="shared" si="154"/>
        <v>33538696</v>
      </c>
      <c r="K223" s="427">
        <f t="shared" si="154"/>
        <v>34337925</v>
      </c>
      <c r="L223" s="427">
        <f t="shared" si="154"/>
        <v>35014982</v>
      </c>
      <c r="M223" s="427">
        <f t="shared" si="154"/>
        <v>40783758</v>
      </c>
      <c r="N223" s="427">
        <f t="shared" si="154"/>
        <v>30378862</v>
      </c>
      <c r="O223" s="427">
        <f t="shared" si="154"/>
        <v>28538172</v>
      </c>
      <c r="P223" s="372">
        <f>SUM(D223:O223)</f>
        <v>369919470</v>
      </c>
    </row>
    <row r="224" spans="1:16" x14ac:dyDescent="0.3">
      <c r="A224" s="447" t="s">
        <v>211</v>
      </c>
      <c r="B224" s="448"/>
      <c r="C224" s="448"/>
      <c r="D224" s="448"/>
      <c r="E224" s="448"/>
      <c r="F224" s="448"/>
      <c r="G224" s="448"/>
      <c r="H224" s="448"/>
      <c r="I224" s="448"/>
      <c r="J224" s="448"/>
      <c r="K224" s="448"/>
      <c r="L224" s="448"/>
      <c r="M224" s="448"/>
      <c r="N224" s="448"/>
      <c r="O224" s="448"/>
      <c r="P224" s="526"/>
    </row>
    <row r="225" spans="1:16" x14ac:dyDescent="0.3">
      <c r="A225" s="449" t="s">
        <v>35</v>
      </c>
      <c r="B225" s="450"/>
      <c r="C225" s="345" t="s">
        <v>31</v>
      </c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2">
        <f t="shared" ref="P225:P230" si="155">SUM(D225:O225)</f>
        <v>0</v>
      </c>
    </row>
    <row r="226" spans="1:16" x14ac:dyDescent="0.3">
      <c r="A226" s="449" t="s">
        <v>34</v>
      </c>
      <c r="B226" s="450"/>
      <c r="C226" s="345" t="s">
        <v>31</v>
      </c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2">
        <f t="shared" si="155"/>
        <v>0</v>
      </c>
    </row>
    <row r="227" spans="1:16" x14ac:dyDescent="0.3">
      <c r="A227" s="449" t="s">
        <v>33</v>
      </c>
      <c r="B227" s="450"/>
      <c r="C227" s="345" t="s">
        <v>31</v>
      </c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2">
        <f t="shared" si="155"/>
        <v>0</v>
      </c>
    </row>
    <row r="228" spans="1:16" x14ac:dyDescent="0.3">
      <c r="A228" s="449" t="s">
        <v>32</v>
      </c>
      <c r="B228" s="450"/>
      <c r="C228" s="345" t="s">
        <v>31</v>
      </c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2">
        <f t="shared" si="155"/>
        <v>0</v>
      </c>
    </row>
    <row r="229" spans="1:16" x14ac:dyDescent="0.3">
      <c r="A229" s="451" t="s">
        <v>212</v>
      </c>
      <c r="B229" s="452"/>
      <c r="C229" s="345" t="s">
        <v>31</v>
      </c>
      <c r="D229" s="426">
        <f t="shared" ref="D229:O229" si="156">SUM(D225:D228)</f>
        <v>0</v>
      </c>
      <c r="E229" s="418">
        <f t="shared" si="156"/>
        <v>0</v>
      </c>
      <c r="F229" s="418">
        <f t="shared" si="156"/>
        <v>0</v>
      </c>
      <c r="G229" s="418">
        <f t="shared" si="156"/>
        <v>0</v>
      </c>
      <c r="H229" s="418">
        <f t="shared" si="156"/>
        <v>0</v>
      </c>
      <c r="I229" s="418">
        <f t="shared" si="156"/>
        <v>0</v>
      </c>
      <c r="J229" s="427">
        <f t="shared" si="156"/>
        <v>0</v>
      </c>
      <c r="K229" s="427">
        <f t="shared" si="156"/>
        <v>0</v>
      </c>
      <c r="L229" s="427">
        <f t="shared" si="156"/>
        <v>0</v>
      </c>
      <c r="M229" s="427">
        <f t="shared" si="156"/>
        <v>0</v>
      </c>
      <c r="N229" s="427">
        <f t="shared" si="156"/>
        <v>0</v>
      </c>
      <c r="O229" s="427">
        <f t="shared" si="156"/>
        <v>0</v>
      </c>
      <c r="P229" s="372">
        <f t="shared" si="155"/>
        <v>0</v>
      </c>
    </row>
    <row r="230" spans="1:16" x14ac:dyDescent="0.3">
      <c r="A230" s="424" t="s">
        <v>213</v>
      </c>
      <c r="B230" s="428"/>
      <c r="C230" s="345" t="s">
        <v>31</v>
      </c>
      <c r="D230" s="426">
        <f>D223+D229</f>
        <v>16533202</v>
      </c>
      <c r="E230" s="426">
        <f t="shared" ref="E230:O230" si="157">E223+E229</f>
        <v>28574370</v>
      </c>
      <c r="F230" s="426">
        <f t="shared" si="157"/>
        <v>30055710</v>
      </c>
      <c r="G230" s="426">
        <f t="shared" si="157"/>
        <v>29569790</v>
      </c>
      <c r="H230" s="426">
        <f t="shared" si="157"/>
        <v>30932243</v>
      </c>
      <c r="I230" s="426">
        <f t="shared" si="157"/>
        <v>31661760</v>
      </c>
      <c r="J230" s="426">
        <f t="shared" si="157"/>
        <v>33538696</v>
      </c>
      <c r="K230" s="426">
        <f t="shared" si="157"/>
        <v>34337925</v>
      </c>
      <c r="L230" s="426">
        <f t="shared" si="157"/>
        <v>35014982</v>
      </c>
      <c r="M230" s="426">
        <f t="shared" si="157"/>
        <v>40783758</v>
      </c>
      <c r="N230" s="426">
        <f t="shared" si="157"/>
        <v>30378862</v>
      </c>
      <c r="O230" s="426">
        <f t="shared" si="157"/>
        <v>28538172</v>
      </c>
      <c r="P230" s="372">
        <f t="shared" si="155"/>
        <v>369919470</v>
      </c>
    </row>
    <row r="231" spans="1:16" x14ac:dyDescent="0.3">
      <c r="A231" s="447" t="s">
        <v>30</v>
      </c>
      <c r="B231" s="448"/>
      <c r="C231" s="448"/>
      <c r="D231" s="448"/>
      <c r="E231" s="448"/>
      <c r="F231" s="448"/>
      <c r="G231" s="448"/>
      <c r="H231" s="448"/>
      <c r="I231" s="448"/>
      <c r="J231" s="448"/>
      <c r="K231" s="448"/>
      <c r="L231" s="448"/>
      <c r="M231" s="448"/>
      <c r="N231" s="448"/>
      <c r="O231" s="448"/>
      <c r="P231" s="526"/>
    </row>
    <row r="232" spans="1:16" x14ac:dyDescent="0.3">
      <c r="A232" s="449" t="s">
        <v>29</v>
      </c>
      <c r="B232" s="450"/>
      <c r="C232" s="345" t="s">
        <v>18</v>
      </c>
      <c r="D232" s="370">
        <v>899153</v>
      </c>
      <c r="E232" s="370">
        <v>1354271</v>
      </c>
      <c r="F232" s="370">
        <v>1359671</v>
      </c>
      <c r="G232" s="370">
        <v>1379374</v>
      </c>
      <c r="H232" s="370">
        <v>1401237</v>
      </c>
      <c r="I232" s="370">
        <v>1382391</v>
      </c>
      <c r="J232" s="370">
        <v>1373180</v>
      </c>
      <c r="K232" s="370">
        <v>1410302</v>
      </c>
      <c r="L232" s="370">
        <v>1397111</v>
      </c>
      <c r="M232" s="370">
        <v>1381615</v>
      </c>
      <c r="N232" s="370">
        <v>1401018</v>
      </c>
      <c r="O232" s="370">
        <v>1416573</v>
      </c>
      <c r="P232" s="372">
        <f>SUM(D232:O232)</f>
        <v>16155896</v>
      </c>
    </row>
    <row r="233" spans="1:16" x14ac:dyDescent="0.3">
      <c r="A233" s="449" t="s">
        <v>28</v>
      </c>
      <c r="B233" s="450"/>
      <c r="C233" s="345" t="s">
        <v>18</v>
      </c>
      <c r="D233" s="370">
        <v>2261</v>
      </c>
      <c r="E233" s="370">
        <v>2261</v>
      </c>
      <c r="F233" s="370">
        <v>2261</v>
      </c>
      <c r="G233" s="370">
        <v>2261</v>
      </c>
      <c r="H233" s="370">
        <v>2261</v>
      </c>
      <c r="I233" s="370">
        <v>2261</v>
      </c>
      <c r="J233" s="370">
        <v>2261</v>
      </c>
      <c r="K233" s="370">
        <v>2261</v>
      </c>
      <c r="L233" s="370">
        <v>2261</v>
      </c>
      <c r="M233" s="370">
        <v>2261</v>
      </c>
      <c r="N233" s="370">
        <v>2261</v>
      </c>
      <c r="O233" s="370">
        <v>2261</v>
      </c>
      <c r="P233" s="372">
        <f>SUM(D233:O233)</f>
        <v>27132</v>
      </c>
    </row>
    <row r="234" spans="1:16" x14ac:dyDescent="0.3">
      <c r="A234" s="449" t="s">
        <v>27</v>
      </c>
      <c r="B234" s="450"/>
      <c r="C234" s="345" t="s">
        <v>18</v>
      </c>
      <c r="D234" s="370">
        <v>22624</v>
      </c>
      <c r="E234" s="370">
        <v>40107</v>
      </c>
      <c r="F234" s="370">
        <v>40107</v>
      </c>
      <c r="G234" s="370">
        <v>33936</v>
      </c>
      <c r="H234" s="370">
        <v>37022</v>
      </c>
      <c r="I234" s="370">
        <v>30851</v>
      </c>
      <c r="J234" s="370">
        <v>33936</v>
      </c>
      <c r="K234" s="370">
        <v>37022</v>
      </c>
      <c r="L234" s="370">
        <v>40107</v>
      </c>
      <c r="M234" s="370">
        <v>43192</v>
      </c>
      <c r="N234" s="370">
        <v>43192</v>
      </c>
      <c r="O234" s="370">
        <v>43192</v>
      </c>
      <c r="P234" s="372">
        <f>SUM(D234:O234)</f>
        <v>445288</v>
      </c>
    </row>
    <row r="235" spans="1:16" x14ac:dyDescent="0.3">
      <c r="A235" s="449" t="s">
        <v>26</v>
      </c>
      <c r="B235" s="450"/>
      <c r="C235" s="345" t="s">
        <v>18</v>
      </c>
      <c r="D235" s="370">
        <v>59021</v>
      </c>
      <c r="E235" s="370">
        <v>96963</v>
      </c>
      <c r="F235" s="370">
        <v>96963</v>
      </c>
      <c r="G235" s="370">
        <v>109610</v>
      </c>
      <c r="H235" s="370">
        <v>109610</v>
      </c>
      <c r="I235" s="370">
        <v>96963</v>
      </c>
      <c r="J235" s="370">
        <v>80100</v>
      </c>
      <c r="K235" s="370">
        <v>84315</v>
      </c>
      <c r="L235" s="370">
        <v>84315</v>
      </c>
      <c r="M235" s="370">
        <v>59021</v>
      </c>
      <c r="N235" s="370">
        <v>75884</v>
      </c>
      <c r="O235" s="370">
        <v>88531</v>
      </c>
      <c r="P235" s="372">
        <f>SUM(D235:O235)</f>
        <v>1041296</v>
      </c>
    </row>
    <row r="236" spans="1:16" x14ac:dyDescent="0.3">
      <c r="A236" s="451" t="s">
        <v>25</v>
      </c>
      <c r="B236" s="452"/>
      <c r="C236" s="345" t="s">
        <v>18</v>
      </c>
      <c r="D236" s="426">
        <f t="shared" ref="D236:O236" si="158">SUM(D232:D235)</f>
        <v>983059</v>
      </c>
      <c r="E236" s="426">
        <f t="shared" si="158"/>
        <v>1493602</v>
      </c>
      <c r="F236" s="426">
        <f t="shared" si="158"/>
        <v>1499002</v>
      </c>
      <c r="G236" s="426">
        <f t="shared" si="158"/>
        <v>1525181</v>
      </c>
      <c r="H236" s="426">
        <f t="shared" si="158"/>
        <v>1550130</v>
      </c>
      <c r="I236" s="426">
        <f t="shared" si="158"/>
        <v>1512466</v>
      </c>
      <c r="J236" s="426">
        <f t="shared" si="158"/>
        <v>1489477</v>
      </c>
      <c r="K236" s="426">
        <f t="shared" si="158"/>
        <v>1533900</v>
      </c>
      <c r="L236" s="426">
        <f t="shared" si="158"/>
        <v>1523794</v>
      </c>
      <c r="M236" s="426">
        <f t="shared" si="158"/>
        <v>1486089</v>
      </c>
      <c r="N236" s="426">
        <f t="shared" si="158"/>
        <v>1522355</v>
      </c>
      <c r="O236" s="426">
        <f t="shared" si="158"/>
        <v>1550557</v>
      </c>
      <c r="P236" s="375">
        <f t="shared" ref="P236" si="159">SUM(P232:P235)</f>
        <v>17669612</v>
      </c>
    </row>
    <row r="237" spans="1:16" x14ac:dyDescent="0.3">
      <c r="A237" s="447" t="s">
        <v>24</v>
      </c>
      <c r="B237" s="448"/>
      <c r="C237" s="448"/>
      <c r="D237" s="448"/>
      <c r="E237" s="448"/>
      <c r="F237" s="448"/>
      <c r="G237" s="448"/>
      <c r="H237" s="448"/>
      <c r="I237" s="448"/>
      <c r="J237" s="448"/>
      <c r="K237" s="448"/>
      <c r="L237" s="448"/>
      <c r="M237" s="448"/>
      <c r="N237" s="448"/>
      <c r="O237" s="448"/>
      <c r="P237" s="526"/>
    </row>
    <row r="238" spans="1:16" x14ac:dyDescent="0.3">
      <c r="A238" s="449" t="s">
        <v>23</v>
      </c>
      <c r="B238" s="450"/>
      <c r="C238" s="345" t="s">
        <v>18</v>
      </c>
      <c r="D238" s="370">
        <v>2481647</v>
      </c>
      <c r="E238" s="370">
        <v>2491470</v>
      </c>
      <c r="F238" s="370">
        <v>2501293</v>
      </c>
      <c r="G238" s="370">
        <v>2538799</v>
      </c>
      <c r="H238" s="370">
        <v>2578984</v>
      </c>
      <c r="I238" s="370">
        <v>2543264</v>
      </c>
      <c r="J238" s="370">
        <v>2524511</v>
      </c>
      <c r="K238" s="370">
        <v>2590593</v>
      </c>
      <c r="L238" s="370">
        <v>2564696</v>
      </c>
      <c r="M238" s="370">
        <v>2536120</v>
      </c>
      <c r="N238" s="370">
        <v>2571840</v>
      </c>
      <c r="O238" s="370">
        <v>2600416</v>
      </c>
      <c r="P238" s="372">
        <f>SUM(D238:O238)</f>
        <v>30523633</v>
      </c>
    </row>
    <row r="239" spans="1:16" x14ac:dyDescent="0.3">
      <c r="A239" s="449" t="s">
        <v>22</v>
      </c>
      <c r="B239" s="450"/>
      <c r="C239" s="345" t="s">
        <v>18</v>
      </c>
      <c r="D239" s="369">
        <v>11609</v>
      </c>
      <c r="E239" s="369">
        <v>11609</v>
      </c>
      <c r="F239" s="369">
        <v>11609</v>
      </c>
      <c r="G239" s="369">
        <v>11609</v>
      </c>
      <c r="H239" s="369">
        <v>11609</v>
      </c>
      <c r="I239" s="369">
        <v>11609</v>
      </c>
      <c r="J239" s="369">
        <v>11609</v>
      </c>
      <c r="K239" s="369">
        <v>11609</v>
      </c>
      <c r="L239" s="369">
        <v>11609</v>
      </c>
      <c r="M239" s="369">
        <v>11609</v>
      </c>
      <c r="N239" s="369">
        <v>11609</v>
      </c>
      <c r="O239" s="369">
        <v>11609</v>
      </c>
      <c r="P239" s="372">
        <f>SUM(D239:O239)</f>
        <v>139308</v>
      </c>
    </row>
    <row r="240" spans="1:16" x14ac:dyDescent="0.3">
      <c r="A240" s="449" t="s">
        <v>21</v>
      </c>
      <c r="B240" s="450"/>
      <c r="C240" s="345" t="s">
        <v>18</v>
      </c>
      <c r="D240" s="369">
        <v>9823</v>
      </c>
      <c r="E240" s="369">
        <v>11609</v>
      </c>
      <c r="F240" s="369">
        <v>11609</v>
      </c>
      <c r="G240" s="369">
        <v>9823</v>
      </c>
      <c r="H240" s="369">
        <v>10716</v>
      </c>
      <c r="I240" s="369">
        <v>8930</v>
      </c>
      <c r="J240" s="369">
        <v>9823</v>
      </c>
      <c r="K240" s="369">
        <v>10716</v>
      </c>
      <c r="L240" s="369">
        <v>11609</v>
      </c>
      <c r="M240" s="369">
        <v>12502</v>
      </c>
      <c r="N240" s="369">
        <v>12502</v>
      </c>
      <c r="O240" s="369">
        <v>12502</v>
      </c>
      <c r="P240" s="372">
        <f>SUM(D240:O240)</f>
        <v>132164</v>
      </c>
    </row>
    <row r="241" spans="1:16" x14ac:dyDescent="0.3">
      <c r="A241" s="449" t="s">
        <v>20</v>
      </c>
      <c r="B241" s="450"/>
      <c r="C241" s="345" t="s">
        <v>18</v>
      </c>
      <c r="D241" s="369">
        <v>18753</v>
      </c>
      <c r="E241" s="369">
        <v>20539</v>
      </c>
      <c r="F241" s="369">
        <v>20539</v>
      </c>
      <c r="G241" s="369">
        <v>23218</v>
      </c>
      <c r="H241" s="369">
        <v>23218</v>
      </c>
      <c r="I241" s="369">
        <v>20539</v>
      </c>
      <c r="J241" s="369">
        <v>16967</v>
      </c>
      <c r="K241" s="369">
        <v>17860</v>
      </c>
      <c r="L241" s="369">
        <v>17860</v>
      </c>
      <c r="M241" s="369">
        <v>12502</v>
      </c>
      <c r="N241" s="369">
        <v>16074</v>
      </c>
      <c r="O241" s="369">
        <v>18753</v>
      </c>
      <c r="P241" s="372">
        <f>SUM(D241:O241)</f>
        <v>226822</v>
      </c>
    </row>
    <row r="242" spans="1:16" x14ac:dyDescent="0.3">
      <c r="A242" s="451" t="s">
        <v>19</v>
      </c>
      <c r="B242" s="452"/>
      <c r="C242" s="345" t="s">
        <v>18</v>
      </c>
      <c r="D242" s="426">
        <f t="shared" ref="D242:P242" si="160">SUM(D238:D241)</f>
        <v>2521832</v>
      </c>
      <c r="E242" s="426">
        <f t="shared" si="160"/>
        <v>2535227</v>
      </c>
      <c r="F242" s="426">
        <f t="shared" si="160"/>
        <v>2545050</v>
      </c>
      <c r="G242" s="426">
        <f t="shared" si="160"/>
        <v>2583449</v>
      </c>
      <c r="H242" s="426">
        <f t="shared" si="160"/>
        <v>2624527</v>
      </c>
      <c r="I242" s="426">
        <f t="shared" si="160"/>
        <v>2584342</v>
      </c>
      <c r="J242" s="426">
        <f t="shared" si="160"/>
        <v>2562910</v>
      </c>
      <c r="K242" s="426">
        <f t="shared" si="160"/>
        <v>2630778</v>
      </c>
      <c r="L242" s="426">
        <f t="shared" si="160"/>
        <v>2605774</v>
      </c>
      <c r="M242" s="426">
        <f t="shared" si="160"/>
        <v>2572733</v>
      </c>
      <c r="N242" s="426">
        <f t="shared" si="160"/>
        <v>2612025</v>
      </c>
      <c r="O242" s="426">
        <f t="shared" si="160"/>
        <v>2643280</v>
      </c>
      <c r="P242" s="375">
        <f t="shared" si="160"/>
        <v>31021927</v>
      </c>
    </row>
    <row r="243" spans="1:16" x14ac:dyDescent="0.3">
      <c r="A243" s="451" t="s">
        <v>214</v>
      </c>
      <c r="B243" s="452"/>
      <c r="C243" s="345" t="s">
        <v>18</v>
      </c>
      <c r="D243" s="418">
        <f>D230+D236+D242</f>
        <v>20038093</v>
      </c>
      <c r="E243" s="418">
        <f t="shared" ref="E243:O243" si="161">E230+E236+E242</f>
        <v>32603199</v>
      </c>
      <c r="F243" s="418">
        <f t="shared" si="161"/>
        <v>34099762</v>
      </c>
      <c r="G243" s="418">
        <f t="shared" si="161"/>
        <v>33678420</v>
      </c>
      <c r="H243" s="418">
        <f t="shared" si="161"/>
        <v>35106900</v>
      </c>
      <c r="I243" s="418">
        <f t="shared" si="161"/>
        <v>35758568</v>
      </c>
      <c r="J243" s="418">
        <f t="shared" si="161"/>
        <v>37591083</v>
      </c>
      <c r="K243" s="418">
        <f t="shared" si="161"/>
        <v>38502603</v>
      </c>
      <c r="L243" s="418">
        <f t="shared" si="161"/>
        <v>39144550</v>
      </c>
      <c r="M243" s="418">
        <f t="shared" si="161"/>
        <v>44842580</v>
      </c>
      <c r="N243" s="418">
        <f t="shared" si="161"/>
        <v>34513242</v>
      </c>
      <c r="O243" s="418">
        <f t="shared" si="161"/>
        <v>32732009</v>
      </c>
      <c r="P243" s="375">
        <f t="shared" ref="P243" si="162">P216+P223+P236+P242</f>
        <v>626286878.13</v>
      </c>
    </row>
    <row r="244" spans="1:16" x14ac:dyDescent="0.3">
      <c r="A244" s="447" t="s">
        <v>204</v>
      </c>
      <c r="B244" s="448"/>
      <c r="C244" s="448"/>
      <c r="D244" s="448"/>
      <c r="E244" s="448"/>
      <c r="F244" s="448"/>
      <c r="G244" s="448"/>
      <c r="H244" s="448"/>
      <c r="I244" s="448"/>
      <c r="J244" s="448"/>
      <c r="K244" s="448"/>
      <c r="L244" s="448"/>
      <c r="M244" s="448"/>
      <c r="N244" s="448"/>
      <c r="O244" s="448"/>
      <c r="P244" s="526"/>
    </row>
    <row r="245" spans="1:16" x14ac:dyDescent="0.3">
      <c r="A245" s="469" t="s">
        <v>205</v>
      </c>
      <c r="B245" s="470"/>
      <c r="C245" s="345" t="s">
        <v>18</v>
      </c>
      <c r="D245" s="429">
        <v>226373184.86000001</v>
      </c>
      <c r="E245" s="429">
        <v>227036179.65000001</v>
      </c>
      <c r="F245" s="429">
        <v>236195126.25</v>
      </c>
      <c r="G245" s="429">
        <v>237371127.03</v>
      </c>
      <c r="H245" s="429">
        <v>259543515.81</v>
      </c>
      <c r="I245" s="429">
        <v>25193761.16</v>
      </c>
      <c r="J245" s="429">
        <v>238516596.97999999</v>
      </c>
      <c r="K245" s="429">
        <v>41270935.390000001</v>
      </c>
      <c r="L245" s="429">
        <v>246833445.66999704</v>
      </c>
      <c r="M245" s="429">
        <v>261912897.81999788</v>
      </c>
      <c r="N245" s="429">
        <v>271856425.95999801</v>
      </c>
      <c r="O245" s="429"/>
      <c r="P245" s="430">
        <f>O245</f>
        <v>0</v>
      </c>
    </row>
    <row r="246" spans="1:16" x14ac:dyDescent="0.3">
      <c r="A246" s="469" t="s">
        <v>206</v>
      </c>
      <c r="B246" s="470"/>
      <c r="C246" s="345" t="s">
        <v>18</v>
      </c>
      <c r="D246" s="429">
        <v>29088289.579999998</v>
      </c>
      <c r="E246" s="429">
        <v>25175523.059999999</v>
      </c>
      <c r="F246" s="429">
        <v>32995508.390000001</v>
      </c>
      <c r="G246" s="429">
        <v>26196115.620000001</v>
      </c>
      <c r="H246" s="429">
        <v>23788080.530000001</v>
      </c>
      <c r="I246" s="429">
        <v>241161270.41999999</v>
      </c>
      <c r="J246" s="429">
        <v>32964699.449999999</v>
      </c>
      <c r="K246" s="429">
        <v>228477953.28999999</v>
      </c>
      <c r="L246" s="429">
        <v>49775765.759999998</v>
      </c>
      <c r="M246" s="429">
        <v>50689366.339999996</v>
      </c>
      <c r="N246" s="429">
        <v>53312247.030000001</v>
      </c>
      <c r="O246" s="429"/>
      <c r="P246" s="430">
        <f>O246</f>
        <v>0</v>
      </c>
    </row>
    <row r="247" spans="1:16" x14ac:dyDescent="0.3">
      <c r="A247" s="467" t="s">
        <v>207</v>
      </c>
      <c r="B247" s="468"/>
      <c r="C247" s="345" t="s">
        <v>18</v>
      </c>
      <c r="D247" s="431">
        <f>D245+D246</f>
        <v>255461474.44</v>
      </c>
      <c r="E247" s="431">
        <f t="shared" ref="E247:G247" si="163">E245+E246</f>
        <v>252211702.71000001</v>
      </c>
      <c r="F247" s="431">
        <f t="shared" si="163"/>
        <v>269190634.63999999</v>
      </c>
      <c r="G247" s="431">
        <f t="shared" si="163"/>
        <v>263567242.65000001</v>
      </c>
      <c r="H247" s="431">
        <f t="shared" ref="H247:P247" si="164">H245+H246</f>
        <v>283331596.34000003</v>
      </c>
      <c r="I247" s="431">
        <f t="shared" si="164"/>
        <v>266355031.57999998</v>
      </c>
      <c r="J247" s="431">
        <f t="shared" si="164"/>
        <v>271481296.43000001</v>
      </c>
      <c r="K247" s="431">
        <f t="shared" si="164"/>
        <v>269748888.68000001</v>
      </c>
      <c r="L247" s="431">
        <f t="shared" si="164"/>
        <v>296609211.42999703</v>
      </c>
      <c r="M247" s="431">
        <f t="shared" si="164"/>
        <v>312602264.15999788</v>
      </c>
      <c r="N247" s="432">
        <f t="shared" si="164"/>
        <v>325168672.98999798</v>
      </c>
      <c r="O247" s="432">
        <f t="shared" si="164"/>
        <v>0</v>
      </c>
      <c r="P247" s="430">
        <f t="shared" si="164"/>
        <v>0</v>
      </c>
    </row>
    <row r="248" spans="1:16" x14ac:dyDescent="0.3">
      <c r="A248" s="447" t="s">
        <v>17</v>
      </c>
      <c r="B248" s="448"/>
      <c r="C248" s="448"/>
      <c r="D248" s="448"/>
      <c r="E248" s="448"/>
      <c r="F248" s="448"/>
      <c r="G248" s="448"/>
      <c r="H248" s="448"/>
      <c r="I248" s="448"/>
      <c r="J248" s="448"/>
      <c r="K248" s="448"/>
      <c r="L248" s="448"/>
      <c r="M248" s="448"/>
      <c r="N248" s="448"/>
      <c r="O248" s="448"/>
      <c r="P248" s="526"/>
    </row>
    <row r="249" spans="1:16" x14ac:dyDescent="0.3">
      <c r="A249" s="461" t="s">
        <v>16</v>
      </c>
      <c r="B249" s="462"/>
      <c r="C249" s="355" t="s">
        <v>6</v>
      </c>
      <c r="D249" s="433">
        <f>D58/D243</f>
        <v>1.0944974379547996</v>
      </c>
      <c r="E249" s="433">
        <f t="shared" ref="E249:O249" si="165">E58/E243</f>
        <v>0.83358917078658445</v>
      </c>
      <c r="F249" s="433">
        <f t="shared" si="165"/>
        <v>0.80625191928905549</v>
      </c>
      <c r="G249" s="433">
        <f t="shared" si="165"/>
        <v>0.81331737098118018</v>
      </c>
      <c r="H249" s="433">
        <f t="shared" si="165"/>
        <v>0.66092931141314104</v>
      </c>
      <c r="I249" s="433">
        <f t="shared" si="165"/>
        <v>0.92800754723944767</v>
      </c>
      <c r="J249" s="433">
        <f t="shared" si="165"/>
        <v>0.77464383610735565</v>
      </c>
      <c r="K249" s="433">
        <f t="shared" si="165"/>
        <v>0.72256508787211082</v>
      </c>
      <c r="L249" s="433">
        <f t="shared" si="165"/>
        <v>0.95266392203895556</v>
      </c>
      <c r="M249" s="433">
        <f t="shared" si="165"/>
        <v>0.72395803086430321</v>
      </c>
      <c r="N249" s="433">
        <f t="shared" si="165"/>
        <v>0.92412724604298246</v>
      </c>
      <c r="O249" s="433">
        <f t="shared" si="165"/>
        <v>1.3334054117691037</v>
      </c>
      <c r="P249" s="542">
        <f t="shared" ref="P249" si="166">P58/P243%</f>
        <v>57.899457844984695</v>
      </c>
    </row>
    <row r="250" spans="1:16" x14ac:dyDescent="0.3">
      <c r="A250" s="461" t="s">
        <v>208</v>
      </c>
      <c r="B250" s="462"/>
      <c r="C250" s="355" t="s">
        <v>6</v>
      </c>
      <c r="D250" s="409">
        <f>D210/(D223+D245)</f>
        <v>3.9816087691322222E-2</v>
      </c>
      <c r="E250" s="409">
        <f t="shared" ref="E250:O250" si="167">E210/(E223+E245)</f>
        <v>0.10829434089439195</v>
      </c>
      <c r="F250" s="409">
        <f t="shared" si="167"/>
        <v>6.2279349930116884E-2</v>
      </c>
      <c r="G250" s="409">
        <f t="shared" si="167"/>
        <v>6.9861706506028631E-2</v>
      </c>
      <c r="H250" s="409">
        <f t="shared" si="167"/>
        <v>0.13446298982059968</v>
      </c>
      <c r="I250" s="409">
        <f t="shared" si="167"/>
        <v>0.72533828128926792</v>
      </c>
      <c r="J250" s="409">
        <f t="shared" si="167"/>
        <v>8.9890388575523159E-2</v>
      </c>
      <c r="K250" s="409">
        <f t="shared" si="167"/>
        <v>0.5644975837467453</v>
      </c>
      <c r="L250" s="409">
        <f t="shared" si="167"/>
        <v>4.3584514916588497E-2</v>
      </c>
      <c r="M250" s="409">
        <f t="shared" si="167"/>
        <v>9.5168890855307636E-2</v>
      </c>
      <c r="N250" s="409">
        <f t="shared" si="167"/>
        <v>7.2714318530894773E-2</v>
      </c>
      <c r="O250" s="409">
        <f t="shared" si="167"/>
        <v>1.5311683243061258</v>
      </c>
      <c r="P250" s="541">
        <f t="shared" ref="P250" si="168">P210/(P223+P245)%</f>
        <v>88.338860617420323</v>
      </c>
    </row>
    <row r="251" spans="1:16" ht="16.2" thickBot="1" x14ac:dyDescent="0.35">
      <c r="A251" s="471" t="s">
        <v>15</v>
      </c>
      <c r="B251" s="472"/>
      <c r="C251" s="355" t="s">
        <v>6</v>
      </c>
      <c r="D251" s="434">
        <f>D210/D223</f>
        <v>0.58497936455382327</v>
      </c>
      <c r="E251" s="434">
        <f t="shared" ref="E251:O251" si="169">E210/E223</f>
        <v>0.9687414280699802</v>
      </c>
      <c r="F251" s="434">
        <f t="shared" si="169"/>
        <v>0.55170644779311484</v>
      </c>
      <c r="G251" s="434">
        <f t="shared" si="169"/>
        <v>0.63067569975978865</v>
      </c>
      <c r="H251" s="434">
        <f t="shared" si="169"/>
        <v>1.2627030959248575</v>
      </c>
      <c r="I251" s="434">
        <f t="shared" si="169"/>
        <v>1.3025013770554763</v>
      </c>
      <c r="J251" s="434">
        <f t="shared" si="169"/>
        <v>0.72916239796562154</v>
      </c>
      <c r="K251" s="434">
        <f t="shared" si="169"/>
        <v>1.2429702435426719</v>
      </c>
      <c r="L251" s="434">
        <f t="shared" si="169"/>
        <v>0.35082773996570954</v>
      </c>
      <c r="M251" s="434">
        <f t="shared" si="169"/>
        <v>0.70634258373149428</v>
      </c>
      <c r="N251" s="434">
        <f t="shared" si="169"/>
        <v>0.72342515661054063</v>
      </c>
      <c r="O251" s="434">
        <f t="shared" si="169"/>
        <v>1.5311683243061258</v>
      </c>
      <c r="P251" s="543">
        <f t="shared" ref="P251" si="170">P210/P223%</f>
        <v>88.338860617420323</v>
      </c>
    </row>
    <row r="252" spans="1:16" x14ac:dyDescent="0.3">
      <c r="A252" s="473" t="s">
        <v>14</v>
      </c>
      <c r="B252" s="474"/>
      <c r="C252" s="474"/>
      <c r="D252" s="474"/>
      <c r="E252" s="474"/>
      <c r="F252" s="474"/>
      <c r="G252" s="474"/>
      <c r="H252" s="474"/>
      <c r="I252" s="474"/>
      <c r="J252" s="474"/>
      <c r="K252" s="474"/>
      <c r="L252" s="474"/>
      <c r="M252" s="474"/>
      <c r="N252" s="474"/>
      <c r="O252" s="474"/>
      <c r="P252" s="535"/>
    </row>
    <row r="253" spans="1:16" s="351" customFormat="1" ht="15" customHeight="1" x14ac:dyDescent="0.3">
      <c r="A253" s="461" t="s">
        <v>13</v>
      </c>
      <c r="B253" s="462"/>
      <c r="C253" s="355" t="s">
        <v>3</v>
      </c>
      <c r="D253" s="374">
        <v>28</v>
      </c>
      <c r="E253" s="374">
        <v>34</v>
      </c>
      <c r="F253" s="374">
        <v>59</v>
      </c>
      <c r="G253" s="374">
        <v>53</v>
      </c>
      <c r="H253" s="374">
        <v>61</v>
      </c>
      <c r="I253" s="374">
        <v>34</v>
      </c>
      <c r="J253" s="374">
        <v>38</v>
      </c>
      <c r="K253" s="374">
        <v>35</v>
      </c>
      <c r="L253" s="374">
        <v>40</v>
      </c>
      <c r="M253" s="374">
        <v>25</v>
      </c>
      <c r="N253" s="374"/>
      <c r="O253" s="374">
        <v>28</v>
      </c>
      <c r="P253" s="544">
        <f>SUM(D253:O253)</f>
        <v>435</v>
      </c>
    </row>
    <row r="254" spans="1:16" s="351" customFormat="1" x14ac:dyDescent="0.3">
      <c r="A254" s="461" t="s">
        <v>12</v>
      </c>
      <c r="B254" s="462"/>
      <c r="C254" s="355" t="s">
        <v>3</v>
      </c>
      <c r="D254" s="374">
        <v>1</v>
      </c>
      <c r="E254" s="374">
        <v>1</v>
      </c>
      <c r="F254" s="374">
        <v>1</v>
      </c>
      <c r="G254" s="374">
        <v>1</v>
      </c>
      <c r="H254" s="374">
        <v>1</v>
      </c>
      <c r="I254" s="374">
        <v>1</v>
      </c>
      <c r="J254" s="374">
        <v>1</v>
      </c>
      <c r="K254" s="374">
        <v>1</v>
      </c>
      <c r="L254" s="374">
        <v>1</v>
      </c>
      <c r="M254" s="374">
        <v>1</v>
      </c>
      <c r="N254" s="374"/>
      <c r="O254" s="374">
        <v>1</v>
      </c>
      <c r="P254" s="544">
        <f>SUM(D254:O254)</f>
        <v>11</v>
      </c>
    </row>
    <row r="255" spans="1:16" ht="15.75" customHeight="1" x14ac:dyDescent="0.3">
      <c r="A255" s="461" t="s">
        <v>11</v>
      </c>
      <c r="B255" s="462"/>
      <c r="C255" s="355" t="s">
        <v>3</v>
      </c>
      <c r="D255" s="374">
        <f t="shared" ref="D255:K255" si="171">D95</f>
        <v>305</v>
      </c>
      <c r="E255" s="374">
        <f t="shared" si="171"/>
        <v>295</v>
      </c>
      <c r="F255" s="374">
        <f t="shared" si="171"/>
        <v>319</v>
      </c>
      <c r="G255" s="374">
        <f t="shared" si="171"/>
        <v>336</v>
      </c>
      <c r="H255" s="374">
        <f t="shared" si="171"/>
        <v>348</v>
      </c>
      <c r="I255" s="374">
        <f t="shared" si="171"/>
        <v>352</v>
      </c>
      <c r="J255" s="374">
        <f t="shared" si="171"/>
        <v>349</v>
      </c>
      <c r="K255" s="374">
        <f t="shared" si="171"/>
        <v>336</v>
      </c>
      <c r="L255" s="374">
        <f t="shared" ref="L255:M255" si="172">L95</f>
        <v>339</v>
      </c>
      <c r="M255" s="374">
        <f t="shared" si="172"/>
        <v>350</v>
      </c>
      <c r="N255" s="374">
        <f t="shared" ref="N255:O255" si="173">N95</f>
        <v>341</v>
      </c>
      <c r="O255" s="374">
        <f t="shared" si="173"/>
        <v>354</v>
      </c>
      <c r="P255" s="544">
        <f>SUM(D255:O255)</f>
        <v>4024</v>
      </c>
    </row>
    <row r="256" spans="1:16" x14ac:dyDescent="0.3">
      <c r="A256" s="461" t="s">
        <v>10</v>
      </c>
      <c r="B256" s="462"/>
      <c r="C256" s="355" t="s">
        <v>3</v>
      </c>
      <c r="D256" s="374">
        <f t="shared" ref="D256:K256" si="174">D91</f>
        <v>24</v>
      </c>
      <c r="E256" s="374">
        <f t="shared" si="174"/>
        <v>29</v>
      </c>
      <c r="F256" s="374">
        <f t="shared" si="174"/>
        <v>59</v>
      </c>
      <c r="G256" s="374">
        <f t="shared" si="174"/>
        <v>48</v>
      </c>
      <c r="H256" s="374">
        <f t="shared" si="174"/>
        <v>51</v>
      </c>
      <c r="I256" s="374">
        <f t="shared" si="174"/>
        <v>32</v>
      </c>
      <c r="J256" s="374">
        <f t="shared" si="174"/>
        <v>38</v>
      </c>
      <c r="K256" s="374">
        <f t="shared" si="174"/>
        <v>22</v>
      </c>
      <c r="L256" s="374">
        <f t="shared" ref="L256:M256" si="175">L91</f>
        <v>40</v>
      </c>
      <c r="M256" s="374">
        <f t="shared" si="175"/>
        <v>25</v>
      </c>
      <c r="N256" s="374">
        <f t="shared" ref="N256:O256" si="176">N91</f>
        <v>21</v>
      </c>
      <c r="O256" s="374">
        <f t="shared" si="176"/>
        <v>38</v>
      </c>
      <c r="P256" s="544">
        <f>SUM(D256:O256)</f>
        <v>427</v>
      </c>
    </row>
    <row r="257" spans="1:16" ht="15.6" customHeight="1" x14ac:dyDescent="0.3">
      <c r="A257" s="461" t="s">
        <v>9</v>
      </c>
      <c r="B257" s="462"/>
      <c r="C257" s="355" t="s">
        <v>3</v>
      </c>
      <c r="D257" s="374">
        <v>90</v>
      </c>
      <c r="E257" s="374">
        <v>60</v>
      </c>
      <c r="F257" s="374">
        <v>45</v>
      </c>
      <c r="G257" s="374">
        <v>60</v>
      </c>
      <c r="H257" s="374">
        <v>30</v>
      </c>
      <c r="I257" s="374">
        <v>30</v>
      </c>
      <c r="J257" s="374">
        <v>30</v>
      </c>
      <c r="K257" s="374">
        <v>30</v>
      </c>
      <c r="L257" s="374">
        <v>30</v>
      </c>
      <c r="M257" s="374">
        <v>30</v>
      </c>
      <c r="N257" s="374"/>
      <c r="O257" s="374">
        <v>30</v>
      </c>
      <c r="P257" s="544">
        <f>SUM(D257:O257)</f>
        <v>465</v>
      </c>
    </row>
    <row r="258" spans="1:16" x14ac:dyDescent="0.3">
      <c r="A258" s="451" t="s">
        <v>8</v>
      </c>
      <c r="B258" s="452"/>
      <c r="C258" s="355" t="s">
        <v>3</v>
      </c>
      <c r="D258" s="435">
        <f t="shared" ref="D258:P258" si="177">D257/D256</f>
        <v>3.75</v>
      </c>
      <c r="E258" s="435">
        <f t="shared" si="177"/>
        <v>2.0689655172413794</v>
      </c>
      <c r="F258" s="435">
        <f t="shared" si="177"/>
        <v>0.76271186440677963</v>
      </c>
      <c r="G258" s="435">
        <f t="shared" si="177"/>
        <v>1.25</v>
      </c>
      <c r="H258" s="435">
        <f t="shared" si="177"/>
        <v>0.58823529411764708</v>
      </c>
      <c r="I258" s="373">
        <f t="shared" si="177"/>
        <v>0.9375</v>
      </c>
      <c r="J258" s="373">
        <f t="shared" si="177"/>
        <v>0.78947368421052633</v>
      </c>
      <c r="K258" s="373">
        <f t="shared" si="177"/>
        <v>1.3636363636363635</v>
      </c>
      <c r="L258" s="373">
        <f t="shared" si="177"/>
        <v>0.75</v>
      </c>
      <c r="M258" s="373">
        <f t="shared" si="177"/>
        <v>1.2</v>
      </c>
      <c r="N258" s="373">
        <f t="shared" si="177"/>
        <v>0</v>
      </c>
      <c r="O258" s="373">
        <f t="shared" si="177"/>
        <v>0.78947368421052633</v>
      </c>
      <c r="P258" s="544">
        <f t="shared" si="177"/>
        <v>1.088992974238876</v>
      </c>
    </row>
    <row r="259" spans="1:16" x14ac:dyDescent="0.3">
      <c r="A259" s="451" t="s">
        <v>7</v>
      </c>
      <c r="B259" s="452"/>
      <c r="C259" s="355" t="s">
        <v>6</v>
      </c>
      <c r="D259" s="435">
        <f t="shared" ref="D259:P259" si="178">D92/D255*100</f>
        <v>2.2950819672131146</v>
      </c>
      <c r="E259" s="435">
        <f t="shared" si="178"/>
        <v>5.4237288135593218</v>
      </c>
      <c r="F259" s="435">
        <f t="shared" si="178"/>
        <v>10.9717868338558</v>
      </c>
      <c r="G259" s="436">
        <f t="shared" si="178"/>
        <v>9.2261904761904763</v>
      </c>
      <c r="H259" s="436">
        <f t="shared" si="178"/>
        <v>11.206896551724139</v>
      </c>
      <c r="I259" s="436">
        <f t="shared" si="178"/>
        <v>7.9545454545454541</v>
      </c>
      <c r="J259" s="436">
        <f t="shared" si="178"/>
        <v>11.74785100286533</v>
      </c>
      <c r="K259" s="436">
        <f t="shared" si="178"/>
        <v>10.416666666666668</v>
      </c>
      <c r="L259" s="436">
        <f t="shared" si="178"/>
        <v>10.914454277286136</v>
      </c>
      <c r="M259" s="512">
        <f t="shared" si="178"/>
        <v>4</v>
      </c>
      <c r="N259" s="436">
        <f t="shared" si="178"/>
        <v>8.7976539589442826</v>
      </c>
      <c r="O259" s="512">
        <f t="shared" si="178"/>
        <v>7.0621468926553677</v>
      </c>
      <c r="P259" s="548">
        <f t="shared" si="178"/>
        <v>8.3996023856858848</v>
      </c>
    </row>
    <row r="260" spans="1:16" x14ac:dyDescent="0.3">
      <c r="A260" s="447" t="s">
        <v>5</v>
      </c>
      <c r="B260" s="448"/>
      <c r="C260" s="448"/>
      <c r="D260" s="448"/>
      <c r="E260" s="448"/>
      <c r="F260" s="448"/>
      <c r="G260" s="448"/>
      <c r="H260" s="448"/>
      <c r="I260" s="448"/>
      <c r="J260" s="448"/>
      <c r="K260" s="448"/>
      <c r="L260" s="448"/>
      <c r="M260" s="448"/>
      <c r="N260" s="448"/>
      <c r="O260" s="448"/>
      <c r="P260" s="526"/>
    </row>
    <row r="261" spans="1:16" s="351" customFormat="1" ht="15" customHeight="1" x14ac:dyDescent="0.3">
      <c r="A261" s="461" t="s">
        <v>4</v>
      </c>
      <c r="B261" s="462"/>
      <c r="C261" s="355" t="s">
        <v>3</v>
      </c>
      <c r="D261" s="374">
        <v>32</v>
      </c>
      <c r="E261" s="374">
        <v>22</v>
      </c>
      <c r="F261" s="374">
        <v>36</v>
      </c>
      <c r="G261" s="374">
        <v>12</v>
      </c>
      <c r="H261" s="374">
        <v>36</v>
      </c>
      <c r="I261" s="374">
        <v>41</v>
      </c>
      <c r="J261" s="374">
        <v>62</v>
      </c>
      <c r="K261" s="374">
        <v>49</v>
      </c>
      <c r="L261" s="374">
        <v>58</v>
      </c>
      <c r="M261" s="374">
        <v>31</v>
      </c>
      <c r="N261" s="374"/>
      <c r="O261" s="374">
        <v>26</v>
      </c>
      <c r="P261" s="375">
        <f>SUM(D261:O261)</f>
        <v>405</v>
      </c>
    </row>
    <row r="262" spans="1:16" s="351" customFormat="1" ht="15.75" customHeight="1" x14ac:dyDescent="0.3">
      <c r="A262" s="461" t="s">
        <v>2</v>
      </c>
      <c r="B262" s="462"/>
      <c r="C262" s="355" t="s">
        <v>0</v>
      </c>
      <c r="D262" s="374">
        <v>14</v>
      </c>
      <c r="E262" s="374">
        <v>14</v>
      </c>
      <c r="F262" s="374">
        <v>14</v>
      </c>
      <c r="G262" s="374">
        <v>14</v>
      </c>
      <c r="H262" s="374">
        <v>14</v>
      </c>
      <c r="I262" s="374">
        <v>20</v>
      </c>
      <c r="J262" s="374">
        <v>14</v>
      </c>
      <c r="K262" s="374">
        <v>14</v>
      </c>
      <c r="L262" s="374">
        <v>14</v>
      </c>
      <c r="M262" s="374">
        <v>14</v>
      </c>
      <c r="N262" s="374"/>
      <c r="O262" s="374">
        <v>14</v>
      </c>
      <c r="P262" s="375">
        <f>SUM(D262:O262)</f>
        <v>160</v>
      </c>
    </row>
    <row r="263" spans="1:16" ht="16.2" thickBot="1" x14ac:dyDescent="0.35">
      <c r="A263" s="459" t="s">
        <v>1</v>
      </c>
      <c r="B263" s="460"/>
      <c r="C263" s="438" t="s">
        <v>0</v>
      </c>
      <c r="D263" s="439">
        <f t="shared" ref="D263:J263" si="179">D261/D262</f>
        <v>2.2857142857142856</v>
      </c>
      <c r="E263" s="439">
        <f t="shared" si="179"/>
        <v>1.5714285714285714</v>
      </c>
      <c r="F263" s="439">
        <f t="shared" si="179"/>
        <v>2.5714285714285716</v>
      </c>
      <c r="G263" s="439">
        <f t="shared" si="179"/>
        <v>0.8571428571428571</v>
      </c>
      <c r="H263" s="439">
        <f t="shared" si="179"/>
        <v>2.5714285714285716</v>
      </c>
      <c r="I263" s="439">
        <f t="shared" si="179"/>
        <v>2.0499999999999998</v>
      </c>
      <c r="J263" s="439">
        <f t="shared" si="179"/>
        <v>4.4285714285714288</v>
      </c>
      <c r="K263" s="439">
        <f t="shared" ref="K263:N263" si="180">K261/K262</f>
        <v>3.5</v>
      </c>
      <c r="L263" s="439">
        <f t="shared" si="180"/>
        <v>4.1428571428571432</v>
      </c>
      <c r="M263" s="439">
        <f t="shared" si="180"/>
        <v>2.2142857142857144</v>
      </c>
      <c r="N263" s="439" t="e">
        <f t="shared" si="180"/>
        <v>#DIV/0!</v>
      </c>
      <c r="O263" s="439">
        <f t="shared" ref="O263" si="181">O261/O262</f>
        <v>1.8571428571428572</v>
      </c>
      <c r="P263" s="523">
        <f t="shared" ref="P263" si="182">P261/P262</f>
        <v>2.53125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  <ignoredErrors>
    <ignoredError sqref="H4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010C-DBD4-409E-A3FE-FDFF136270F0}">
  <sheetPr codeName="Sheet3"/>
  <dimension ref="A1:AC263"/>
  <sheetViews>
    <sheetView workbookViewId="0">
      <pane xSplit="2" ySplit="8" topLeftCell="P9" activePane="bottomRight" state="frozen"/>
      <selection pane="topRight" activeCell="C1" sqref="C1"/>
      <selection pane="bottomLeft" activeCell="A9" sqref="A9"/>
      <selection pane="bottomRight" activeCell="Q9" sqref="Q9:AC15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style="521" customWidth="1"/>
  </cols>
  <sheetData>
    <row r="1" spans="1:29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29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29" ht="18" thickBot="1" x14ac:dyDescent="0.35">
      <c r="A3" s="317" t="s">
        <v>217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9"/>
    </row>
    <row r="4" spans="1:29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29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5"/>
    </row>
    <row r="6" spans="1:29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29" ht="16.2" thickBot="1" x14ac:dyDescent="0.35">
      <c r="A7" s="580" t="s">
        <v>174</v>
      </c>
      <c r="B7" s="58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29" ht="15" thickBot="1" x14ac:dyDescent="0.35">
      <c r="A8" s="591" t="s">
        <v>159</v>
      </c>
      <c r="B8" s="592"/>
      <c r="C8" s="592"/>
      <c r="D8" s="592"/>
      <c r="E8" s="592"/>
      <c r="F8" s="592"/>
      <c r="G8" s="592"/>
      <c r="H8" s="592"/>
      <c r="I8" s="592"/>
      <c r="J8" s="592"/>
      <c r="K8" s="592"/>
      <c r="L8" s="592"/>
      <c r="M8" s="592"/>
      <c r="N8" s="592"/>
      <c r="O8" s="592"/>
      <c r="P8" s="593"/>
      <c r="Q8" t="s">
        <v>223</v>
      </c>
      <c r="R8" t="s">
        <v>162</v>
      </c>
      <c r="S8" t="s">
        <v>224</v>
      </c>
      <c r="T8" t="s">
        <v>225</v>
      </c>
      <c r="U8" t="s">
        <v>226</v>
      </c>
      <c r="V8" t="s">
        <v>227</v>
      </c>
      <c r="W8" t="s">
        <v>228</v>
      </c>
      <c r="X8" t="s">
        <v>229</v>
      </c>
      <c r="Y8" t="s">
        <v>230</v>
      </c>
      <c r="Z8" t="s">
        <v>231</v>
      </c>
      <c r="AA8" t="s">
        <v>232</v>
      </c>
      <c r="AB8" t="s">
        <v>233</v>
      </c>
      <c r="AC8" t="s">
        <v>234</v>
      </c>
    </row>
    <row r="9" spans="1:29" x14ac:dyDescent="0.3">
      <c r="A9" s="594" t="s">
        <v>176</v>
      </c>
      <c r="B9" s="595"/>
      <c r="C9" s="58" t="s">
        <v>152</v>
      </c>
      <c r="D9" s="57">
        <v>3300</v>
      </c>
      <c r="E9" s="57">
        <v>3402</v>
      </c>
      <c r="F9" s="57">
        <v>3360</v>
      </c>
      <c r="G9" s="57">
        <v>3075</v>
      </c>
      <c r="H9" s="57">
        <v>2765</v>
      </c>
      <c r="I9" s="57">
        <v>3240</v>
      </c>
      <c r="J9" s="57">
        <v>3348</v>
      </c>
      <c r="K9" s="57">
        <v>3075</v>
      </c>
      <c r="L9" s="57">
        <v>2911</v>
      </c>
      <c r="M9" s="57">
        <v>2816</v>
      </c>
      <c r="N9" s="57">
        <v>3190</v>
      </c>
      <c r="O9" s="57">
        <v>2809</v>
      </c>
      <c r="P9" s="153">
        <f>SUM(D9:O9)</f>
        <v>37291</v>
      </c>
      <c r="Q9" s="577">
        <v>0</v>
      </c>
      <c r="R9" s="577">
        <v>0</v>
      </c>
      <c r="S9" s="577">
        <v>0</v>
      </c>
      <c r="T9" s="577">
        <v>0</v>
      </c>
      <c r="U9" s="577">
        <v>0</v>
      </c>
      <c r="V9" s="577">
        <v>0</v>
      </c>
      <c r="W9" s="577">
        <v>0</v>
      </c>
      <c r="X9" s="577">
        <v>0</v>
      </c>
      <c r="Y9" s="577">
        <v>0</v>
      </c>
      <c r="Z9" s="577">
        <v>0</v>
      </c>
      <c r="AA9" s="577">
        <v>0</v>
      </c>
      <c r="AB9" s="577">
        <v>0</v>
      </c>
      <c r="AC9" s="577">
        <v>0</v>
      </c>
    </row>
    <row r="10" spans="1:29" ht="14.4" x14ac:dyDescent="0.3">
      <c r="A10" s="586" t="s">
        <v>177</v>
      </c>
      <c r="B10" s="587"/>
      <c r="C10" s="587"/>
      <c r="D10" s="587"/>
      <c r="E10" s="587"/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588"/>
      <c r="Q10" s="577">
        <v>0</v>
      </c>
      <c r="R10" s="577">
        <v>0</v>
      </c>
      <c r="S10" s="577">
        <v>0</v>
      </c>
      <c r="T10" s="577">
        <v>0</v>
      </c>
      <c r="U10" s="577">
        <v>0</v>
      </c>
      <c r="V10" s="577">
        <v>0</v>
      </c>
      <c r="W10" s="577">
        <v>0</v>
      </c>
      <c r="X10" s="577">
        <v>0</v>
      </c>
      <c r="Y10" s="577">
        <v>0</v>
      </c>
      <c r="Z10" s="577">
        <v>0</v>
      </c>
      <c r="AA10" s="577">
        <v>0</v>
      </c>
      <c r="AB10" s="577">
        <v>0</v>
      </c>
      <c r="AC10" s="577">
        <v>0</v>
      </c>
    </row>
    <row r="11" spans="1:29" x14ac:dyDescent="0.3">
      <c r="A11" s="589" t="s">
        <v>157</v>
      </c>
      <c r="B11" s="590"/>
      <c r="C11" s="11" t="s">
        <v>152</v>
      </c>
      <c r="D11" s="26">
        <v>2555</v>
      </c>
      <c r="E11" s="26">
        <v>804</v>
      </c>
      <c r="F11" s="26">
        <v>1009</v>
      </c>
      <c r="G11" s="26">
        <v>796</v>
      </c>
      <c r="H11" s="26">
        <v>952</v>
      </c>
      <c r="I11" s="26">
        <v>1247</v>
      </c>
      <c r="J11" s="26">
        <v>1176</v>
      </c>
      <c r="K11" s="26">
        <v>1197</v>
      </c>
      <c r="L11" s="26">
        <v>1036</v>
      </c>
      <c r="M11" s="26">
        <v>994</v>
      </c>
      <c r="N11" s="26">
        <v>932</v>
      </c>
      <c r="O11" s="26">
        <v>902</v>
      </c>
      <c r="P11" s="55">
        <f>SUM(D11:O11)</f>
        <v>13600</v>
      </c>
      <c r="Q11" s="577">
        <v>0</v>
      </c>
      <c r="R11" s="577">
        <v>0</v>
      </c>
      <c r="S11" s="577">
        <v>0</v>
      </c>
      <c r="T11" s="577">
        <v>0</v>
      </c>
      <c r="U11" s="577">
        <v>0</v>
      </c>
      <c r="V11" s="577">
        <v>0</v>
      </c>
      <c r="W11" s="577">
        <v>0</v>
      </c>
      <c r="X11" s="577">
        <v>0</v>
      </c>
      <c r="Y11" s="577">
        <v>0</v>
      </c>
      <c r="Z11" s="577">
        <v>0</v>
      </c>
      <c r="AA11" s="577">
        <v>0</v>
      </c>
      <c r="AB11" s="577">
        <v>0</v>
      </c>
      <c r="AC11" s="577">
        <v>0</v>
      </c>
    </row>
    <row r="12" spans="1:29" x14ac:dyDescent="0.3">
      <c r="A12" s="589" t="s">
        <v>156</v>
      </c>
      <c r="B12" s="590"/>
      <c r="C12" s="11" t="s">
        <v>152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55">
        <f>SUM(D12:O12)</f>
        <v>0</v>
      </c>
      <c r="Q12" s="577">
        <v>0</v>
      </c>
      <c r="R12" s="577">
        <v>0</v>
      </c>
      <c r="S12" s="577">
        <v>0</v>
      </c>
      <c r="T12" s="577">
        <v>0</v>
      </c>
      <c r="U12" s="577">
        <v>0</v>
      </c>
      <c r="V12" s="577">
        <v>0</v>
      </c>
      <c r="W12" s="577">
        <v>0</v>
      </c>
      <c r="X12" s="577">
        <v>0</v>
      </c>
      <c r="Y12" s="577">
        <v>0</v>
      </c>
      <c r="Z12" s="577">
        <v>0</v>
      </c>
      <c r="AA12" s="577">
        <v>0</v>
      </c>
      <c r="AB12" s="577">
        <v>0</v>
      </c>
      <c r="AC12" s="577">
        <v>0</v>
      </c>
    </row>
    <row r="13" spans="1:29" x14ac:dyDescent="0.3">
      <c r="A13" s="589" t="s">
        <v>155</v>
      </c>
      <c r="B13" s="590"/>
      <c r="C13" s="11" t="s">
        <v>152</v>
      </c>
      <c r="D13" s="26"/>
      <c r="E13" s="26">
        <v>1676</v>
      </c>
      <c r="F13" s="26">
        <v>41</v>
      </c>
      <c r="G13" s="26">
        <v>43</v>
      </c>
      <c r="H13" s="26">
        <v>52</v>
      </c>
      <c r="I13" s="26">
        <v>44</v>
      </c>
      <c r="J13" s="26">
        <v>30</v>
      </c>
      <c r="K13" s="26">
        <v>38</v>
      </c>
      <c r="L13" s="26">
        <v>40</v>
      </c>
      <c r="M13" s="26">
        <v>29</v>
      </c>
      <c r="N13" s="26">
        <v>19</v>
      </c>
      <c r="O13" s="26">
        <v>33</v>
      </c>
      <c r="P13" s="55">
        <f>SUM(D13:O13)</f>
        <v>2045</v>
      </c>
      <c r="Q13" s="577">
        <v>0</v>
      </c>
      <c r="R13" s="577">
        <v>0</v>
      </c>
      <c r="S13" s="577">
        <v>0</v>
      </c>
      <c r="T13" s="577">
        <v>0</v>
      </c>
      <c r="U13" s="577">
        <v>0</v>
      </c>
      <c r="V13" s="577">
        <v>0</v>
      </c>
      <c r="W13" s="577">
        <v>0</v>
      </c>
      <c r="X13" s="577">
        <v>0</v>
      </c>
      <c r="Y13" s="577">
        <v>0</v>
      </c>
      <c r="Z13" s="577">
        <v>0</v>
      </c>
      <c r="AA13" s="577">
        <v>0</v>
      </c>
      <c r="AB13" s="577">
        <v>0</v>
      </c>
      <c r="AC13" s="577">
        <v>0</v>
      </c>
    </row>
    <row r="14" spans="1:29" x14ac:dyDescent="0.3">
      <c r="A14" s="582" t="s">
        <v>154</v>
      </c>
      <c r="B14" s="583"/>
      <c r="C14" s="11" t="s">
        <v>152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55">
        <f>SUM(D14:O14)</f>
        <v>0</v>
      </c>
      <c r="Q14" s="577">
        <v>0</v>
      </c>
      <c r="R14" s="577">
        <v>0</v>
      </c>
      <c r="S14" s="577">
        <v>0</v>
      </c>
      <c r="T14" s="577">
        <v>0</v>
      </c>
      <c r="U14" s="577">
        <v>0</v>
      </c>
      <c r="V14" s="577">
        <v>0</v>
      </c>
      <c r="W14" s="577">
        <v>0</v>
      </c>
      <c r="X14" s="577">
        <v>0</v>
      </c>
      <c r="Y14" s="577">
        <v>0</v>
      </c>
      <c r="Z14" s="577">
        <v>0</v>
      </c>
      <c r="AA14" s="577">
        <v>0</v>
      </c>
      <c r="AB14" s="577">
        <v>0</v>
      </c>
      <c r="AC14" s="577">
        <v>0</v>
      </c>
    </row>
    <row r="15" spans="1:29" s="63" customFormat="1" x14ac:dyDescent="0.3">
      <c r="A15" s="584" t="s">
        <v>158</v>
      </c>
      <c r="B15" s="585"/>
      <c r="C15" s="62" t="s">
        <v>152</v>
      </c>
      <c r="D15" s="34">
        <f t="shared" ref="D15:P15" si="0">SUM(D11:D14)</f>
        <v>2555</v>
      </c>
      <c r="E15" s="34">
        <f t="shared" si="0"/>
        <v>2480</v>
      </c>
      <c r="F15" s="34">
        <f t="shared" si="0"/>
        <v>1050</v>
      </c>
      <c r="G15" s="34">
        <f t="shared" si="0"/>
        <v>839</v>
      </c>
      <c r="H15" s="34">
        <f t="shared" si="0"/>
        <v>1004</v>
      </c>
      <c r="I15" s="34">
        <f t="shared" si="0"/>
        <v>1291</v>
      </c>
      <c r="J15" s="34">
        <f t="shared" si="0"/>
        <v>1206</v>
      </c>
      <c r="K15" s="34">
        <f t="shared" si="0"/>
        <v>1235</v>
      </c>
      <c r="L15" s="34">
        <f t="shared" si="0"/>
        <v>1076</v>
      </c>
      <c r="M15" s="34">
        <f t="shared" si="0"/>
        <v>1023</v>
      </c>
      <c r="N15" s="34">
        <f t="shared" si="0"/>
        <v>951</v>
      </c>
      <c r="O15" s="34">
        <f t="shared" si="0"/>
        <v>935</v>
      </c>
      <c r="P15" s="55">
        <f t="shared" si="0"/>
        <v>15645</v>
      </c>
      <c r="Q15" s="577">
        <v>0</v>
      </c>
      <c r="R15" s="577">
        <v>0</v>
      </c>
      <c r="S15" s="577">
        <v>0</v>
      </c>
      <c r="T15" s="577">
        <v>0</v>
      </c>
      <c r="U15" s="577">
        <v>0</v>
      </c>
      <c r="V15" s="577">
        <v>0</v>
      </c>
      <c r="W15" s="577">
        <v>0</v>
      </c>
      <c r="X15" s="577">
        <v>0</v>
      </c>
      <c r="Y15" s="577">
        <v>0</v>
      </c>
      <c r="Z15" s="577">
        <v>0</v>
      </c>
      <c r="AA15" s="577">
        <v>0</v>
      </c>
      <c r="AB15" s="577">
        <v>0</v>
      </c>
      <c r="AC15" s="577">
        <v>0</v>
      </c>
    </row>
    <row r="16" spans="1:29" s="2" customFormat="1" ht="14.4" x14ac:dyDescent="0.3">
      <c r="A16" s="586" t="s">
        <v>178</v>
      </c>
      <c r="B16" s="587"/>
      <c r="C16" s="587"/>
      <c r="D16" s="587"/>
      <c r="E16" s="587"/>
      <c r="F16" s="587"/>
      <c r="G16" s="587"/>
      <c r="H16" s="587"/>
      <c r="I16" s="587"/>
      <c r="J16" s="587"/>
      <c r="K16" s="587"/>
      <c r="L16" s="587"/>
      <c r="M16" s="587"/>
      <c r="N16" s="587"/>
      <c r="O16" s="587"/>
      <c r="P16" s="588"/>
    </row>
    <row r="17" spans="1:17" s="2" customFormat="1" x14ac:dyDescent="0.3">
      <c r="A17" s="589" t="s">
        <v>180</v>
      </c>
      <c r="B17" s="590"/>
      <c r="C17" s="11" t="s">
        <v>152</v>
      </c>
      <c r="D17" s="26"/>
      <c r="E17" s="26">
        <v>901</v>
      </c>
      <c r="F17" s="26">
        <v>1670.2</v>
      </c>
      <c r="G17" s="26">
        <v>1542.6</v>
      </c>
      <c r="H17" s="26">
        <v>1742</v>
      </c>
      <c r="I17" s="26">
        <v>1492</v>
      </c>
      <c r="J17" s="26">
        <v>1575</v>
      </c>
      <c r="K17" s="26">
        <v>1517</v>
      </c>
      <c r="L17" s="26">
        <v>1537.3</v>
      </c>
      <c r="M17" s="26">
        <v>1467</v>
      </c>
      <c r="N17" s="26">
        <v>2066.88</v>
      </c>
      <c r="O17" s="26">
        <v>1602</v>
      </c>
      <c r="P17" s="55">
        <f>SUM(D17:O17)</f>
        <v>17112.98</v>
      </c>
      <c r="Q17" s="170"/>
    </row>
    <row r="18" spans="1:17" s="2" customFormat="1" x14ac:dyDescent="0.3">
      <c r="A18" s="589" t="s">
        <v>181</v>
      </c>
      <c r="B18" s="590"/>
      <c r="C18" s="11" t="s">
        <v>152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55">
        <f>SUM(D18:O18)</f>
        <v>0</v>
      </c>
      <c r="Q18" s="170"/>
    </row>
    <row r="19" spans="1:17" s="2" customFormat="1" x14ac:dyDescent="0.3">
      <c r="A19" s="589" t="s">
        <v>182</v>
      </c>
      <c r="B19" s="590"/>
      <c r="C19" s="11" t="s">
        <v>152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55">
        <f>SUM(D19:O19)</f>
        <v>0</v>
      </c>
      <c r="Q19" s="170"/>
    </row>
    <row r="20" spans="1:17" s="2" customFormat="1" x14ac:dyDescent="0.3">
      <c r="A20" s="582" t="s">
        <v>183</v>
      </c>
      <c r="B20" s="583"/>
      <c r="C20" s="11" t="s">
        <v>152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55">
        <f>SUM(D20:O20)</f>
        <v>0</v>
      </c>
      <c r="Q20" s="170"/>
    </row>
    <row r="21" spans="1:17" s="73" customFormat="1" x14ac:dyDescent="0.3">
      <c r="A21" s="584" t="s">
        <v>184</v>
      </c>
      <c r="B21" s="585"/>
      <c r="C21" s="62" t="s">
        <v>152</v>
      </c>
      <c r="D21" s="34">
        <f>SUM(D17:D20)</f>
        <v>0</v>
      </c>
      <c r="E21" s="34">
        <f t="shared" ref="E21:P21" si="1">SUM(E17:E20)</f>
        <v>901</v>
      </c>
      <c r="F21" s="34">
        <f t="shared" si="1"/>
        <v>1670.2</v>
      </c>
      <c r="G21" s="34">
        <f t="shared" si="1"/>
        <v>1542.6</v>
      </c>
      <c r="H21" s="34">
        <f t="shared" si="1"/>
        <v>1742</v>
      </c>
      <c r="I21" s="34">
        <f t="shared" si="1"/>
        <v>1492</v>
      </c>
      <c r="J21" s="34">
        <f t="shared" si="1"/>
        <v>1575</v>
      </c>
      <c r="K21" s="34">
        <f t="shared" si="1"/>
        <v>1517</v>
      </c>
      <c r="L21" s="34">
        <f t="shared" si="1"/>
        <v>1537.3</v>
      </c>
      <c r="M21" s="34">
        <f t="shared" si="1"/>
        <v>1467</v>
      </c>
      <c r="N21" s="34">
        <f t="shared" si="1"/>
        <v>2066.88</v>
      </c>
      <c r="O21" s="34">
        <f t="shared" si="1"/>
        <v>1602</v>
      </c>
      <c r="P21" s="55">
        <f t="shared" si="1"/>
        <v>17112.98</v>
      </c>
    </row>
    <row r="22" spans="1:17" s="2" customFormat="1" x14ac:dyDescent="0.3">
      <c r="A22" s="75" t="s">
        <v>185</v>
      </c>
      <c r="B22" s="79"/>
      <c r="C22" s="11" t="s">
        <v>152</v>
      </c>
      <c r="D22" s="34">
        <f>D21+D15</f>
        <v>2555</v>
      </c>
      <c r="E22" s="34">
        <f t="shared" ref="E22:P22" si="2">E21+E15</f>
        <v>3381</v>
      </c>
      <c r="F22" s="34">
        <f t="shared" si="2"/>
        <v>2720.2</v>
      </c>
      <c r="G22" s="34">
        <f t="shared" si="2"/>
        <v>2381.6</v>
      </c>
      <c r="H22" s="34">
        <f t="shared" si="2"/>
        <v>2746</v>
      </c>
      <c r="I22" s="34">
        <f t="shared" si="2"/>
        <v>2783</v>
      </c>
      <c r="J22" s="34">
        <f t="shared" si="2"/>
        <v>2781</v>
      </c>
      <c r="K22" s="34">
        <f t="shared" si="2"/>
        <v>2752</v>
      </c>
      <c r="L22" s="34">
        <f t="shared" si="2"/>
        <v>2613.3000000000002</v>
      </c>
      <c r="M22" s="34">
        <f t="shared" si="2"/>
        <v>2490</v>
      </c>
      <c r="N22" s="34">
        <f t="shared" si="2"/>
        <v>3017.88</v>
      </c>
      <c r="O22" s="34">
        <f t="shared" si="2"/>
        <v>2537</v>
      </c>
      <c r="P22" s="55">
        <f t="shared" si="2"/>
        <v>32757.98</v>
      </c>
    </row>
    <row r="23" spans="1:17" ht="14.4" x14ac:dyDescent="0.3">
      <c r="A23" s="600"/>
      <c r="B23" s="601"/>
      <c r="C23" s="601"/>
      <c r="D23" s="601"/>
      <c r="E23" s="601"/>
      <c r="F23" s="601"/>
      <c r="G23" s="601"/>
      <c r="H23" s="601"/>
      <c r="I23" s="601"/>
      <c r="J23" s="601"/>
      <c r="K23" s="601"/>
      <c r="L23" s="601"/>
      <c r="M23" s="601"/>
      <c r="N23" s="601"/>
      <c r="O23" s="601"/>
      <c r="P23" s="602"/>
    </row>
    <row r="24" spans="1:17" x14ac:dyDescent="0.3">
      <c r="A24" s="603" t="s">
        <v>179</v>
      </c>
      <c r="B24" s="37" t="s">
        <v>153</v>
      </c>
      <c r="C24" s="5" t="s">
        <v>152</v>
      </c>
      <c r="D24" s="54">
        <f>D9-D22</f>
        <v>745</v>
      </c>
      <c r="E24" s="54">
        <f t="shared" ref="E24:P24" si="3">E9-E22</f>
        <v>21</v>
      </c>
      <c r="F24" s="54">
        <f t="shared" si="3"/>
        <v>639.80000000000018</v>
      </c>
      <c r="G24" s="54">
        <f t="shared" si="3"/>
        <v>693.40000000000009</v>
      </c>
      <c r="H24" s="54">
        <f t="shared" si="3"/>
        <v>19</v>
      </c>
      <c r="I24" s="54">
        <f t="shared" si="3"/>
        <v>457</v>
      </c>
      <c r="J24" s="54">
        <f t="shared" si="3"/>
        <v>567</v>
      </c>
      <c r="K24" s="54">
        <f t="shared" si="3"/>
        <v>323</v>
      </c>
      <c r="L24" s="54">
        <f t="shared" si="3"/>
        <v>297.69999999999982</v>
      </c>
      <c r="M24" s="54">
        <f t="shared" si="3"/>
        <v>326</v>
      </c>
      <c r="N24" s="54">
        <f t="shared" si="3"/>
        <v>172.11999999999989</v>
      </c>
      <c r="O24" s="54">
        <f t="shared" si="3"/>
        <v>272</v>
      </c>
      <c r="P24" s="162">
        <f t="shared" si="3"/>
        <v>4533.0200000000004</v>
      </c>
    </row>
    <row r="25" spans="1:17" x14ac:dyDescent="0.3">
      <c r="A25" s="604"/>
      <c r="B25" s="53" t="s">
        <v>151</v>
      </c>
      <c r="C25" s="52" t="s">
        <v>6</v>
      </c>
      <c r="D25" s="51">
        <f t="shared" ref="D25:P25" si="4">D24/D9</f>
        <v>0.22575757575757577</v>
      </c>
      <c r="E25" s="51">
        <f t="shared" si="4"/>
        <v>6.1728395061728392E-3</v>
      </c>
      <c r="F25" s="51">
        <f t="shared" si="4"/>
        <v>0.19041666666666673</v>
      </c>
      <c r="G25" s="51">
        <f t="shared" si="4"/>
        <v>0.22549593495934964</v>
      </c>
      <c r="H25" s="51">
        <f t="shared" si="4"/>
        <v>6.8716094032549727E-3</v>
      </c>
      <c r="I25" s="51">
        <f t="shared" si="4"/>
        <v>0.14104938271604939</v>
      </c>
      <c r="J25" s="51">
        <f t="shared" si="4"/>
        <v>0.16935483870967741</v>
      </c>
      <c r="K25" s="51">
        <f t="shared" si="4"/>
        <v>0.10504065040650407</v>
      </c>
      <c r="L25" s="51">
        <f t="shared" si="4"/>
        <v>0.10226726210924075</v>
      </c>
      <c r="M25" s="51">
        <f t="shared" si="4"/>
        <v>0.11576704545454546</v>
      </c>
      <c r="N25" s="51">
        <f t="shared" si="4"/>
        <v>5.3956112852664544E-2</v>
      </c>
      <c r="O25" s="51">
        <f t="shared" si="4"/>
        <v>9.6831612673549311E-2</v>
      </c>
      <c r="P25" s="154">
        <f t="shared" si="4"/>
        <v>0.1215580166796278</v>
      </c>
    </row>
    <row r="26" spans="1:17" ht="14.4" x14ac:dyDescent="0.3">
      <c r="A26" s="586" t="s">
        <v>150</v>
      </c>
      <c r="B26" s="587"/>
      <c r="C26" s="587"/>
      <c r="D26" s="587"/>
      <c r="E26" s="587"/>
      <c r="F26" s="587"/>
      <c r="G26" s="587"/>
      <c r="H26" s="587"/>
      <c r="I26" s="587"/>
      <c r="J26" s="587"/>
      <c r="K26" s="587"/>
      <c r="L26" s="587"/>
      <c r="M26" s="587"/>
      <c r="N26" s="587"/>
      <c r="O26" s="587"/>
      <c r="P26" s="588"/>
    </row>
    <row r="27" spans="1:17" ht="14.4" x14ac:dyDescent="0.3">
      <c r="A27" s="605" t="s">
        <v>149</v>
      </c>
      <c r="B27" s="606"/>
      <c r="C27" s="606"/>
      <c r="D27" s="606"/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7"/>
    </row>
    <row r="28" spans="1:17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x14ac:dyDescent="0.3">
      <c r="A29" s="596" t="s">
        <v>146</v>
      </c>
      <c r="B29" s="579">
        <f>176264.5/50</f>
        <v>3525.29</v>
      </c>
      <c r="C29" s="5" t="s">
        <v>140</v>
      </c>
      <c r="D29" s="43">
        <v>12</v>
      </c>
      <c r="E29" s="43">
        <v>11</v>
      </c>
      <c r="F29" s="43">
        <v>10</v>
      </c>
      <c r="G29" s="43">
        <v>10</v>
      </c>
      <c r="H29" s="43">
        <v>10</v>
      </c>
      <c r="I29" s="43">
        <v>10</v>
      </c>
      <c r="J29" s="43">
        <v>11</v>
      </c>
      <c r="K29" s="43">
        <v>10</v>
      </c>
      <c r="L29" s="43">
        <v>11</v>
      </c>
      <c r="M29" s="43">
        <v>8</v>
      </c>
      <c r="N29" s="43">
        <v>7</v>
      </c>
      <c r="O29" s="43">
        <v>8</v>
      </c>
      <c r="P29" s="45">
        <f>SUM(D29:O29)</f>
        <v>118</v>
      </c>
    </row>
    <row r="30" spans="1:17" x14ac:dyDescent="0.3">
      <c r="A30" s="597"/>
      <c r="B30" s="579"/>
      <c r="C30" s="42" t="s">
        <v>139</v>
      </c>
      <c r="D30" s="15">
        <f t="shared" ref="D30:P30" si="5">D29/(D9/1000)</f>
        <v>3.6363636363636367</v>
      </c>
      <c r="E30" s="15">
        <f t="shared" si="5"/>
        <v>3.2333921222810109</v>
      </c>
      <c r="F30" s="15">
        <f t="shared" si="5"/>
        <v>2.9761904761904763</v>
      </c>
      <c r="G30" s="15">
        <f t="shared" si="5"/>
        <v>3.2520325203252032</v>
      </c>
      <c r="H30" s="15">
        <f t="shared" si="5"/>
        <v>3.6166365280289328</v>
      </c>
      <c r="I30" s="15">
        <f t="shared" si="5"/>
        <v>3.0864197530864197</v>
      </c>
      <c r="J30" s="15">
        <f t="shared" si="5"/>
        <v>3.2855436081242533</v>
      </c>
      <c r="K30" s="15">
        <f t="shared" si="5"/>
        <v>3.2520325203252032</v>
      </c>
      <c r="L30" s="15">
        <f t="shared" si="5"/>
        <v>3.7787701820680177</v>
      </c>
      <c r="M30" s="15">
        <f t="shared" si="5"/>
        <v>2.8409090909090913</v>
      </c>
      <c r="N30" s="15">
        <f t="shared" si="5"/>
        <v>2.1943573667711598</v>
      </c>
      <c r="O30" s="15">
        <f t="shared" si="5"/>
        <v>2.8479886080455676</v>
      </c>
      <c r="P30" s="40">
        <f t="shared" si="5"/>
        <v>3.1643023785900084</v>
      </c>
    </row>
    <row r="31" spans="1:17" x14ac:dyDescent="0.3">
      <c r="A31" s="598" t="s">
        <v>145</v>
      </c>
      <c r="B31" s="579">
        <f>53000.511/50</f>
        <v>1060.0102199999999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x14ac:dyDescent="0.3">
      <c r="A32" s="599"/>
      <c r="B32" s="579"/>
      <c r="C32" s="42" t="s">
        <v>139</v>
      </c>
      <c r="D32" s="15">
        <f t="shared" ref="D32:P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40">
        <f t="shared" si="6"/>
        <v>0</v>
      </c>
    </row>
    <row r="33" spans="1:16" x14ac:dyDescent="0.3">
      <c r="A33" s="598" t="s">
        <v>144</v>
      </c>
      <c r="B33" s="579">
        <f>61414.43/50</f>
        <v>1228.2886000000001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x14ac:dyDescent="0.3">
      <c r="A34" s="599"/>
      <c r="B34" s="579"/>
      <c r="C34" s="42" t="s">
        <v>139</v>
      </c>
      <c r="D34" s="15">
        <f t="shared" ref="D34:P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5">
        <f t="shared" si="7"/>
        <v>0</v>
      </c>
      <c r="N34" s="15">
        <f t="shared" si="7"/>
        <v>0</v>
      </c>
      <c r="O34" s="15">
        <f t="shared" si="7"/>
        <v>0</v>
      </c>
      <c r="P34" s="40">
        <f t="shared" si="7"/>
        <v>0</v>
      </c>
    </row>
    <row r="35" spans="1:16" x14ac:dyDescent="0.3">
      <c r="A35" s="598" t="s">
        <v>143</v>
      </c>
      <c r="B35" s="579">
        <f>745345.16/200</f>
        <v>3726.7258000000002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40"/>
    </row>
    <row r="36" spans="1:16" x14ac:dyDescent="0.3">
      <c r="A36" s="599"/>
      <c r="B36" s="579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40"/>
    </row>
    <row r="37" spans="1:16" x14ac:dyDescent="0.3">
      <c r="A37" s="598" t="s">
        <v>186</v>
      </c>
      <c r="B37" s="579">
        <f>790318.72/200</f>
        <v>3951.5935999999997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x14ac:dyDescent="0.3">
      <c r="A38" s="599"/>
      <c r="B38" s="579"/>
      <c r="C38" s="5" t="s">
        <v>142</v>
      </c>
      <c r="D38" s="15">
        <f t="shared" ref="D38:P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5">
        <f t="shared" si="8"/>
        <v>0</v>
      </c>
      <c r="M38" s="15">
        <f t="shared" si="8"/>
        <v>0</v>
      </c>
      <c r="N38" s="15">
        <f t="shared" si="8"/>
        <v>0</v>
      </c>
      <c r="O38" s="15">
        <f t="shared" si="8"/>
        <v>0</v>
      </c>
      <c r="P38" s="40">
        <f t="shared" si="8"/>
        <v>0</v>
      </c>
    </row>
    <row r="39" spans="1:16" x14ac:dyDescent="0.3">
      <c r="A39" s="598" t="s">
        <v>141</v>
      </c>
      <c r="B39" s="579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x14ac:dyDescent="0.3">
      <c r="A40" s="599"/>
      <c r="B40" s="579"/>
      <c r="C40" s="42" t="s">
        <v>139</v>
      </c>
      <c r="D40" s="15">
        <f t="shared" ref="D40:P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  <c r="N40" s="15">
        <f t="shared" si="9"/>
        <v>0</v>
      </c>
      <c r="O40" s="15">
        <f t="shared" si="9"/>
        <v>0</v>
      </c>
      <c r="P40" s="40">
        <f t="shared" si="9"/>
        <v>0</v>
      </c>
    </row>
    <row r="41" spans="1:16" x14ac:dyDescent="0.3">
      <c r="A41" s="582" t="s">
        <v>138</v>
      </c>
      <c r="B41" s="583"/>
      <c r="C41" s="11" t="s">
        <v>31</v>
      </c>
      <c r="D41" s="41">
        <f>(D29*$B29)+(D31*$B31)+(D33*$B33)+(D35*$B35)+(D37*$B37)+(D39*$B39)</f>
        <v>42303.479999999996</v>
      </c>
      <c r="E41" s="41">
        <f t="shared" ref="E41:O41" si="10">(E29*$B29)+(E31*$B31)+(E33*$B33)+(E35*$B35)+(E37*$B37)+(E39*$B39)</f>
        <v>38778.19</v>
      </c>
      <c r="F41" s="41">
        <f t="shared" si="10"/>
        <v>35252.9</v>
      </c>
      <c r="G41" s="41">
        <f t="shared" si="10"/>
        <v>35252.9</v>
      </c>
      <c r="H41" s="41">
        <f t="shared" si="10"/>
        <v>35252.9</v>
      </c>
      <c r="I41" s="41">
        <f t="shared" si="10"/>
        <v>35252.9</v>
      </c>
      <c r="J41" s="41">
        <f t="shared" si="10"/>
        <v>38778.19</v>
      </c>
      <c r="K41" s="41">
        <f t="shared" si="10"/>
        <v>35252.9</v>
      </c>
      <c r="L41" s="41">
        <f t="shared" si="10"/>
        <v>38778.19</v>
      </c>
      <c r="M41" s="41">
        <f t="shared" si="10"/>
        <v>28202.32</v>
      </c>
      <c r="N41" s="41">
        <f t="shared" si="10"/>
        <v>24677.03</v>
      </c>
      <c r="O41" s="41">
        <f t="shared" si="10"/>
        <v>28202.32</v>
      </c>
      <c r="P41" s="39">
        <f>SUM(D41:O41)</f>
        <v>415984.22000000003</v>
      </c>
    </row>
    <row r="42" spans="1:16" x14ac:dyDescent="0.3">
      <c r="A42" s="608" t="s">
        <v>137</v>
      </c>
      <c r="B42" s="609"/>
      <c r="C42" s="42" t="s">
        <v>115</v>
      </c>
      <c r="D42" s="15">
        <f t="shared" ref="D42:P42" si="11">D41/D9</f>
        <v>12.819236363636362</v>
      </c>
      <c r="E42" s="15">
        <f t="shared" si="11"/>
        <v>11.398644914756026</v>
      </c>
      <c r="F42" s="15">
        <f t="shared" si="11"/>
        <v>10.491934523809524</v>
      </c>
      <c r="G42" s="15">
        <f t="shared" si="11"/>
        <v>11.464357723577237</v>
      </c>
      <c r="H42" s="15">
        <f t="shared" si="11"/>
        <v>12.749692585895119</v>
      </c>
      <c r="I42" s="15">
        <f t="shared" si="11"/>
        <v>10.880524691358024</v>
      </c>
      <c r="J42" s="15">
        <f t="shared" si="11"/>
        <v>11.582494026284349</v>
      </c>
      <c r="K42" s="15">
        <f t="shared" si="11"/>
        <v>11.464357723577237</v>
      </c>
      <c r="L42" s="15">
        <f t="shared" si="11"/>
        <v>13.321260735142564</v>
      </c>
      <c r="M42" s="15">
        <f t="shared" si="11"/>
        <v>10.01502840909091</v>
      </c>
      <c r="N42" s="15">
        <f t="shared" si="11"/>
        <v>7.7357460815047014</v>
      </c>
      <c r="O42" s="15">
        <f t="shared" si="11"/>
        <v>10.039985760056959</v>
      </c>
      <c r="P42" s="515">
        <f t="shared" si="11"/>
        <v>11.155083532219571</v>
      </c>
    </row>
    <row r="43" spans="1:16" ht="14.4" x14ac:dyDescent="0.3">
      <c r="A43" s="610" t="s">
        <v>136</v>
      </c>
      <c r="B43" s="611"/>
      <c r="C43" s="611"/>
      <c r="D43" s="611"/>
      <c r="E43" s="611"/>
      <c r="F43" s="611"/>
      <c r="G43" s="611"/>
      <c r="H43" s="611"/>
      <c r="I43" s="611"/>
      <c r="J43" s="611"/>
      <c r="K43" s="611"/>
      <c r="L43" s="611"/>
      <c r="M43" s="611"/>
      <c r="N43" s="611"/>
      <c r="O43" s="611"/>
      <c r="P43" s="612"/>
    </row>
    <row r="44" spans="1:16" x14ac:dyDescent="0.3">
      <c r="A44" s="582" t="s">
        <v>135</v>
      </c>
      <c r="B44" s="583"/>
      <c r="C44" s="11" t="s">
        <v>134</v>
      </c>
      <c r="D44" s="43">
        <v>180</v>
      </c>
      <c r="E44" s="43">
        <v>496</v>
      </c>
      <c r="F44" s="43">
        <v>600</v>
      </c>
      <c r="G44" s="43">
        <v>217</v>
      </c>
      <c r="H44" s="43">
        <v>600</v>
      </c>
      <c r="I44" s="43">
        <v>496</v>
      </c>
      <c r="J44" s="43">
        <v>620</v>
      </c>
      <c r="K44" s="43">
        <v>444</v>
      </c>
      <c r="L44" s="43">
        <v>620</v>
      </c>
      <c r="M44" s="43">
        <v>428</v>
      </c>
      <c r="N44" s="43">
        <v>368</v>
      </c>
      <c r="O44" s="43">
        <v>300</v>
      </c>
      <c r="P44" s="39">
        <f>SUM(D44:O44)</f>
        <v>5369</v>
      </c>
    </row>
    <row r="45" spans="1:16" x14ac:dyDescent="0.3">
      <c r="A45" s="608" t="s">
        <v>133</v>
      </c>
      <c r="B45" s="609"/>
      <c r="C45" s="42" t="s">
        <v>132</v>
      </c>
      <c r="D45" s="15">
        <f t="shared" ref="D45:P45" si="12">D44/D9</f>
        <v>5.4545454545454543E-2</v>
      </c>
      <c r="E45" s="15">
        <f t="shared" si="12"/>
        <v>0.1457965902410347</v>
      </c>
      <c r="F45" s="15">
        <f t="shared" si="12"/>
        <v>0.17857142857142858</v>
      </c>
      <c r="G45" s="15">
        <f t="shared" si="12"/>
        <v>7.0569105691056913E-2</v>
      </c>
      <c r="H45" s="15">
        <f t="shared" si="12"/>
        <v>0.21699819168173598</v>
      </c>
      <c r="I45" s="15">
        <f t="shared" si="12"/>
        <v>0.15308641975308643</v>
      </c>
      <c r="J45" s="15">
        <f t="shared" si="12"/>
        <v>0.18518518518518517</v>
      </c>
      <c r="K45" s="15">
        <f t="shared" si="12"/>
        <v>0.14439024390243901</v>
      </c>
      <c r="L45" s="15">
        <f t="shared" si="12"/>
        <v>0.21298522844383375</v>
      </c>
      <c r="M45" s="15">
        <f t="shared" si="12"/>
        <v>0.15198863636363635</v>
      </c>
      <c r="N45" s="15">
        <f t="shared" si="12"/>
        <v>0.11536050156739812</v>
      </c>
      <c r="O45" s="15">
        <f t="shared" si="12"/>
        <v>0.10679957280170879</v>
      </c>
      <c r="P45" s="40">
        <f t="shared" si="12"/>
        <v>0.14397575822584538</v>
      </c>
    </row>
    <row r="46" spans="1:16" x14ac:dyDescent="0.3">
      <c r="A46" s="613" t="s">
        <v>131</v>
      </c>
      <c r="B46" s="614"/>
      <c r="C46" s="5" t="s">
        <v>31</v>
      </c>
      <c r="D46" s="3">
        <f t="shared" ref="D46:G46" si="13">1.165*(14100+(D44*119.1))</f>
        <v>41401.770000000004</v>
      </c>
      <c r="E46" s="3">
        <f t="shared" si="13"/>
        <v>85247.244000000006</v>
      </c>
      <c r="F46" s="3">
        <f t="shared" si="13"/>
        <v>99677.400000000009</v>
      </c>
      <c r="G46" s="3">
        <f t="shared" si="13"/>
        <v>46535.575499999999</v>
      </c>
      <c r="H46" s="3">
        <f t="shared" ref="H46:O46" si="14">1.165*(16600+(H44*143.5))</f>
        <v>119645.5</v>
      </c>
      <c r="I46" s="3">
        <f t="shared" si="14"/>
        <v>102259.04000000001</v>
      </c>
      <c r="J46" s="3">
        <f t="shared" si="14"/>
        <v>122989.05</v>
      </c>
      <c r="K46" s="3">
        <f t="shared" si="14"/>
        <v>93565.81</v>
      </c>
      <c r="L46" s="3">
        <f t="shared" si="14"/>
        <v>122989.05</v>
      </c>
      <c r="M46" s="3">
        <f t="shared" si="14"/>
        <v>90890.97</v>
      </c>
      <c r="N46" s="3">
        <f t="shared" si="14"/>
        <v>80860.320000000007</v>
      </c>
      <c r="O46" s="3">
        <f t="shared" si="14"/>
        <v>69492.25</v>
      </c>
      <c r="P46" s="39">
        <f>SUM(D46:O46)</f>
        <v>1075553.9795000001</v>
      </c>
    </row>
    <row r="47" spans="1:16" s="2" customFormat="1" x14ac:dyDescent="0.3">
      <c r="A47" s="582" t="s">
        <v>130</v>
      </c>
      <c r="B47" s="583"/>
      <c r="C47" s="11" t="s">
        <v>115</v>
      </c>
      <c r="D47" s="15">
        <f t="shared" ref="D47:P47" si="15">D46/D9</f>
        <v>12.545990909090911</v>
      </c>
      <c r="E47" s="15">
        <f t="shared" si="15"/>
        <v>25.057978835978837</v>
      </c>
      <c r="F47" s="15">
        <f t="shared" si="15"/>
        <v>29.665892857142861</v>
      </c>
      <c r="G47" s="15">
        <f t="shared" si="15"/>
        <v>15.133520487804878</v>
      </c>
      <c r="H47" s="15">
        <f t="shared" si="15"/>
        <v>43.271428571428572</v>
      </c>
      <c r="I47" s="15">
        <f t="shared" si="15"/>
        <v>31.561432098765433</v>
      </c>
      <c r="J47" s="15">
        <f t="shared" si="15"/>
        <v>36.73508064516129</v>
      </c>
      <c r="K47" s="15">
        <f t="shared" si="15"/>
        <v>30.42790569105691</v>
      </c>
      <c r="L47" s="15">
        <f t="shared" si="15"/>
        <v>42.2497595328066</v>
      </c>
      <c r="M47" s="15">
        <f t="shared" si="15"/>
        <v>32.276622869318182</v>
      </c>
      <c r="N47" s="15">
        <f t="shared" si="15"/>
        <v>25.348062695924767</v>
      </c>
      <c r="O47" s="15">
        <f t="shared" si="15"/>
        <v>24.739142043431826</v>
      </c>
      <c r="P47" s="40">
        <f t="shared" si="15"/>
        <v>28.84218657316779</v>
      </c>
    </row>
    <row r="48" spans="1:16" ht="14.4" x14ac:dyDescent="0.3">
      <c r="A48" s="610" t="s">
        <v>129</v>
      </c>
      <c r="B48" s="611"/>
      <c r="C48" s="611"/>
      <c r="D48" s="611"/>
      <c r="E48" s="611"/>
      <c r="F48" s="611"/>
      <c r="G48" s="611"/>
      <c r="H48" s="611"/>
      <c r="I48" s="611"/>
      <c r="J48" s="611"/>
      <c r="K48" s="611"/>
      <c r="L48" s="611"/>
      <c r="M48" s="611"/>
      <c r="N48" s="611"/>
      <c r="O48" s="611"/>
      <c r="P48" s="612"/>
    </row>
    <row r="49" spans="1:16" x14ac:dyDescent="0.3">
      <c r="A49" s="582" t="s">
        <v>128</v>
      </c>
      <c r="B49" s="583"/>
      <c r="C49" s="5" t="s">
        <v>127</v>
      </c>
      <c r="D49" s="4">
        <v>0</v>
      </c>
      <c r="E49" s="4">
        <v>0</v>
      </c>
      <c r="F49" s="4">
        <v>0</v>
      </c>
      <c r="G49" s="4"/>
      <c r="H49" s="4"/>
      <c r="I49" s="4"/>
      <c r="J49" s="4"/>
      <c r="K49" s="4"/>
      <c r="L49" s="4"/>
      <c r="M49" s="4"/>
      <c r="N49" s="4"/>
      <c r="O49" s="4"/>
      <c r="P49" s="39">
        <f>SUM(D49:O49)</f>
        <v>0</v>
      </c>
    </row>
    <row r="50" spans="1:16" x14ac:dyDescent="0.3">
      <c r="A50" s="582" t="s">
        <v>187</v>
      </c>
      <c r="B50" s="583"/>
      <c r="C50" s="5" t="s">
        <v>126</v>
      </c>
      <c r="D50" s="4">
        <v>0</v>
      </c>
      <c r="E50" s="4">
        <v>0</v>
      </c>
      <c r="F50" s="4">
        <v>0</v>
      </c>
      <c r="G50" s="4"/>
      <c r="H50" s="4"/>
      <c r="I50" s="4"/>
      <c r="J50" s="4"/>
      <c r="K50" s="4"/>
      <c r="L50" s="4"/>
      <c r="M50" s="4"/>
      <c r="N50" s="4"/>
      <c r="O50" s="4"/>
      <c r="P50" s="39">
        <f>SUM(D50:O50)</f>
        <v>0</v>
      </c>
    </row>
    <row r="51" spans="1:16" x14ac:dyDescent="0.3">
      <c r="A51" s="613" t="s">
        <v>125</v>
      </c>
      <c r="B51" s="614"/>
      <c r="C51" s="5" t="s">
        <v>31</v>
      </c>
      <c r="D51" s="13">
        <v>0</v>
      </c>
      <c r="E51" s="13">
        <v>0</v>
      </c>
      <c r="F51" s="13">
        <v>0</v>
      </c>
      <c r="G51" s="13"/>
      <c r="H51" s="13"/>
      <c r="I51" s="13"/>
      <c r="J51" s="13"/>
      <c r="K51" s="13"/>
      <c r="L51" s="13"/>
      <c r="M51" s="13"/>
      <c r="N51" s="13"/>
      <c r="O51" s="13"/>
      <c r="P51" s="40">
        <f>SUM(D51:O51)</f>
        <v>0</v>
      </c>
    </row>
    <row r="52" spans="1:16" x14ac:dyDescent="0.3">
      <c r="A52" s="582" t="s">
        <v>124</v>
      </c>
      <c r="B52" s="583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ht="14.4" x14ac:dyDescent="0.3">
      <c r="A53" s="610" t="s">
        <v>123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2"/>
    </row>
    <row r="54" spans="1:16" x14ac:dyDescent="0.3">
      <c r="A54" s="582" t="s">
        <v>122</v>
      </c>
      <c r="B54" s="583"/>
      <c r="C54" s="11" t="s">
        <v>18</v>
      </c>
      <c r="D54" s="13">
        <v>986812.98</v>
      </c>
      <c r="E54" s="13">
        <v>1080861.3</v>
      </c>
      <c r="F54" s="13">
        <v>1080861.3</v>
      </c>
      <c r="G54" s="13">
        <v>1080861.3</v>
      </c>
      <c r="H54" s="13">
        <v>1426052.36</v>
      </c>
      <c r="I54" s="13">
        <v>1388916.89</v>
      </c>
      <c r="J54" s="13">
        <v>1412104.33</v>
      </c>
      <c r="K54" s="13">
        <v>1412104.33</v>
      </c>
      <c r="L54" s="13">
        <v>2624242.9500000002</v>
      </c>
      <c r="M54" s="13">
        <v>1623699.63</v>
      </c>
      <c r="N54" s="13">
        <v>515333.54</v>
      </c>
      <c r="O54" s="13">
        <v>449769.11</v>
      </c>
      <c r="P54" s="39">
        <f>SUM(D54:O54)</f>
        <v>15081620.02</v>
      </c>
    </row>
    <row r="55" spans="1:16" x14ac:dyDescent="0.3">
      <c r="A55" s="78" t="s">
        <v>121</v>
      </c>
      <c r="B55" s="79"/>
      <c r="C55" s="11" t="s">
        <v>18</v>
      </c>
      <c r="D55" s="13">
        <v>314683.76</v>
      </c>
      <c r="E55" s="13">
        <v>1051023.26</v>
      </c>
      <c r="F55" s="13">
        <v>1051023.26</v>
      </c>
      <c r="G55" s="13">
        <v>1051023.26</v>
      </c>
      <c r="H55" s="13">
        <v>371831.43</v>
      </c>
      <c r="I55" s="13">
        <v>360804.61</v>
      </c>
      <c r="J55" s="13">
        <v>378378.61</v>
      </c>
      <c r="K55" s="13">
        <v>864773.4</v>
      </c>
      <c r="L55" s="13">
        <v>358359.87</v>
      </c>
      <c r="M55" s="13">
        <v>184970.71</v>
      </c>
      <c r="N55" s="13">
        <v>163439.18</v>
      </c>
      <c r="O55" s="13">
        <v>450411.44</v>
      </c>
      <c r="P55" s="39">
        <f>SUM(D55:O55)</f>
        <v>6600722.790000001</v>
      </c>
    </row>
    <row r="56" spans="1:16" x14ac:dyDescent="0.3">
      <c r="A56" s="582" t="s">
        <v>120</v>
      </c>
      <c r="B56" s="583"/>
      <c r="C56" s="5" t="s">
        <v>18</v>
      </c>
      <c r="D56" s="13">
        <v>13500</v>
      </c>
      <c r="E56" s="13">
        <v>1403000</v>
      </c>
      <c r="F56" s="13">
        <v>1403000</v>
      </c>
      <c r="G56" s="13">
        <v>1403000</v>
      </c>
      <c r="H56" s="13">
        <v>16500</v>
      </c>
      <c r="I56" s="13">
        <v>507500</v>
      </c>
      <c r="J56" s="13">
        <v>120000</v>
      </c>
      <c r="K56" s="13">
        <v>13500</v>
      </c>
      <c r="L56" s="13">
        <v>159384.79999999999</v>
      </c>
      <c r="M56" s="13">
        <v>237346.44</v>
      </c>
      <c r="N56" s="13">
        <v>178846.44</v>
      </c>
      <c r="O56" s="13">
        <v>354160</v>
      </c>
      <c r="P56" s="39">
        <f>SUM(D56:O56)</f>
        <v>5809737.6800000006</v>
      </c>
    </row>
    <row r="57" spans="1:16" ht="14.4" x14ac:dyDescent="0.3">
      <c r="A57" s="610" t="s">
        <v>119</v>
      </c>
      <c r="B57" s="611"/>
      <c r="C57" s="611"/>
      <c r="D57" s="611"/>
      <c r="E57" s="611"/>
      <c r="F57" s="611"/>
      <c r="G57" s="611"/>
      <c r="H57" s="611"/>
      <c r="I57" s="611"/>
      <c r="J57" s="611"/>
      <c r="K57" s="611"/>
      <c r="L57" s="611"/>
      <c r="M57" s="611"/>
      <c r="N57" s="611"/>
      <c r="O57" s="611"/>
      <c r="P57" s="612"/>
    </row>
    <row r="58" spans="1:16" x14ac:dyDescent="0.3">
      <c r="A58" s="613" t="s">
        <v>118</v>
      </c>
      <c r="B58" s="614"/>
      <c r="C58" s="5" t="s">
        <v>18</v>
      </c>
      <c r="D58" s="13">
        <f>D41+D46+D51+D52+D54+D55+D56</f>
        <v>1398701.99</v>
      </c>
      <c r="E58" s="13">
        <f t="shared" ref="E58:O58" si="16">E41+E46+E51+E52+E54+E55+E56</f>
        <v>3658909.9939999999</v>
      </c>
      <c r="F58" s="13">
        <f t="shared" si="16"/>
        <v>3669814.8600000003</v>
      </c>
      <c r="G58" s="13">
        <f t="shared" si="16"/>
        <v>3616673.0355000002</v>
      </c>
      <c r="H58" s="13">
        <f t="shared" si="16"/>
        <v>1969282.19</v>
      </c>
      <c r="I58" s="13">
        <f t="shared" si="16"/>
        <v>2394733.44</v>
      </c>
      <c r="J58" s="13">
        <f t="shared" si="16"/>
        <v>2072250.1800000002</v>
      </c>
      <c r="K58" s="13">
        <f t="shared" si="16"/>
        <v>2419196.44</v>
      </c>
      <c r="L58" s="13">
        <f t="shared" si="16"/>
        <v>3303754.8600000003</v>
      </c>
      <c r="M58" s="13">
        <f t="shared" si="16"/>
        <v>2165110.0699999998</v>
      </c>
      <c r="N58" s="13">
        <f t="shared" si="16"/>
        <v>963156.51</v>
      </c>
      <c r="O58" s="13">
        <f t="shared" si="16"/>
        <v>1352035.1199999999</v>
      </c>
      <c r="P58" s="39">
        <f>SUM(D58:O58)</f>
        <v>28983618.689500004</v>
      </c>
    </row>
    <row r="59" spans="1:16" x14ac:dyDescent="0.3">
      <c r="A59" s="613" t="s">
        <v>117</v>
      </c>
      <c r="B59" s="614"/>
      <c r="C59" s="5" t="s">
        <v>115</v>
      </c>
      <c r="D59" s="15">
        <f t="shared" ref="D59:P59" si="17">D58/D9</f>
        <v>423.84908787878788</v>
      </c>
      <c r="E59" s="15">
        <f t="shared" si="17"/>
        <v>1075.5173409758966</v>
      </c>
      <c r="F59" s="15">
        <f t="shared" si="17"/>
        <v>1092.2068035714287</v>
      </c>
      <c r="G59" s="15">
        <f t="shared" si="17"/>
        <v>1176.1538326829268</v>
      </c>
      <c r="H59" s="15">
        <f t="shared" si="17"/>
        <v>712.21779023508134</v>
      </c>
      <c r="I59" s="15">
        <f t="shared" si="17"/>
        <v>739.11525925925923</v>
      </c>
      <c r="J59" s="15">
        <f t="shared" si="17"/>
        <v>618.95166666666671</v>
      </c>
      <c r="K59" s="15">
        <f t="shared" si="17"/>
        <v>786.73054959349588</v>
      </c>
      <c r="L59" s="15">
        <f t="shared" si="17"/>
        <v>1134.9209412573</v>
      </c>
      <c r="M59" s="15">
        <f t="shared" si="17"/>
        <v>768.86011008522723</v>
      </c>
      <c r="N59" s="15">
        <f t="shared" si="17"/>
        <v>301.92994043887148</v>
      </c>
      <c r="O59" s="15">
        <f t="shared" si="17"/>
        <v>481.32257742969023</v>
      </c>
      <c r="P59" s="40">
        <f t="shared" si="17"/>
        <v>777.22825050280244</v>
      </c>
    </row>
    <row r="60" spans="1:16" x14ac:dyDescent="0.3">
      <c r="A60" s="613" t="s">
        <v>116</v>
      </c>
      <c r="B60" s="614"/>
      <c r="C60" s="5" t="s">
        <v>115</v>
      </c>
      <c r="D60" s="15">
        <f>D58/D22</f>
        <v>547.43717808219174</v>
      </c>
      <c r="E60" s="15">
        <f t="shared" ref="E60:O60" si="18">E58/E22</f>
        <v>1082.1975729074238</v>
      </c>
      <c r="F60" s="15">
        <f t="shared" si="18"/>
        <v>1349.0974413646059</v>
      </c>
      <c r="G60" s="15">
        <f t="shared" si="18"/>
        <v>1518.589618533759</v>
      </c>
      <c r="H60" s="15">
        <f t="shared" si="18"/>
        <v>717.14573561544057</v>
      </c>
      <c r="I60" s="15">
        <f t="shared" si="18"/>
        <v>860.48632411067194</v>
      </c>
      <c r="J60" s="15">
        <f t="shared" si="18"/>
        <v>745.14569579288036</v>
      </c>
      <c r="K60" s="15">
        <f t="shared" si="18"/>
        <v>879.06847383720924</v>
      </c>
      <c r="L60" s="15">
        <f t="shared" si="18"/>
        <v>1264.2080358167834</v>
      </c>
      <c r="M60" s="15">
        <f t="shared" si="18"/>
        <v>869.52211646586341</v>
      </c>
      <c r="N60" s="15">
        <f t="shared" si="18"/>
        <v>319.15003578671121</v>
      </c>
      <c r="O60" s="15">
        <f t="shared" si="18"/>
        <v>532.92673236105634</v>
      </c>
      <c r="P60" s="149">
        <f>P58/P22</f>
        <v>884.78040127932195</v>
      </c>
    </row>
    <row r="61" spans="1:16" x14ac:dyDescent="0.3">
      <c r="A61" s="582" t="s">
        <v>114</v>
      </c>
      <c r="B61" s="583"/>
      <c r="C61" s="5" t="s">
        <v>3</v>
      </c>
      <c r="D61" s="4">
        <v>2</v>
      </c>
      <c r="E61" s="4">
        <v>2</v>
      </c>
      <c r="F61" s="4">
        <v>2</v>
      </c>
      <c r="G61" s="4">
        <v>3</v>
      </c>
      <c r="H61" s="4">
        <v>3</v>
      </c>
      <c r="I61" s="4">
        <v>3</v>
      </c>
      <c r="J61" s="4">
        <v>3</v>
      </c>
      <c r="K61" s="4">
        <v>3</v>
      </c>
      <c r="L61" s="4">
        <v>3</v>
      </c>
      <c r="M61" s="4">
        <v>3</v>
      </c>
      <c r="N61" s="4">
        <v>3</v>
      </c>
      <c r="O61" s="4">
        <v>3</v>
      </c>
      <c r="P61" s="39">
        <f>O61</f>
        <v>3</v>
      </c>
    </row>
    <row r="62" spans="1:16" ht="15.6" customHeight="1" x14ac:dyDescent="0.3">
      <c r="A62" s="613" t="s">
        <v>113</v>
      </c>
      <c r="B62" s="614"/>
      <c r="C62" s="5" t="s">
        <v>112</v>
      </c>
      <c r="D62" s="15">
        <f t="shared" ref="D62:P62" si="19">(D61*1000*31)/D9</f>
        <v>18.787878787878789</v>
      </c>
      <c r="E62" s="15">
        <f t="shared" si="19"/>
        <v>18.224573780129337</v>
      </c>
      <c r="F62" s="15">
        <f t="shared" si="19"/>
        <v>18.452380952380953</v>
      </c>
      <c r="G62" s="15">
        <f t="shared" si="19"/>
        <v>30.243902439024389</v>
      </c>
      <c r="H62" s="15">
        <f t="shared" si="19"/>
        <v>33.634719710669074</v>
      </c>
      <c r="I62" s="15">
        <f t="shared" si="19"/>
        <v>28.703703703703702</v>
      </c>
      <c r="J62" s="15">
        <f t="shared" si="19"/>
        <v>27.777777777777779</v>
      </c>
      <c r="K62" s="15">
        <f t="shared" si="19"/>
        <v>30.243902439024389</v>
      </c>
      <c r="L62" s="15">
        <f t="shared" si="19"/>
        <v>31.947784266575059</v>
      </c>
      <c r="M62" s="15">
        <f t="shared" si="19"/>
        <v>33.02556818181818</v>
      </c>
      <c r="N62" s="15">
        <f t="shared" si="19"/>
        <v>29.153605015673982</v>
      </c>
      <c r="O62" s="15">
        <f t="shared" si="19"/>
        <v>33.107867568529727</v>
      </c>
      <c r="P62" s="40">
        <f t="shared" si="19"/>
        <v>2.4938993322785659</v>
      </c>
    </row>
    <row r="63" spans="1:16" x14ac:dyDescent="0.3">
      <c r="A63" s="627" t="s">
        <v>111</v>
      </c>
      <c r="B63" s="628"/>
      <c r="C63" s="38" t="s">
        <v>3</v>
      </c>
      <c r="D63" s="4">
        <v>15</v>
      </c>
      <c r="E63" s="4">
        <v>15</v>
      </c>
      <c r="F63" s="4">
        <v>6</v>
      </c>
      <c r="G63" s="4">
        <v>6</v>
      </c>
      <c r="H63" s="4">
        <v>6</v>
      </c>
      <c r="I63" s="4">
        <v>6</v>
      </c>
      <c r="J63" s="4">
        <v>6</v>
      </c>
      <c r="K63" s="4">
        <v>6</v>
      </c>
      <c r="L63" s="4">
        <v>6</v>
      </c>
      <c r="M63" s="4">
        <v>8</v>
      </c>
      <c r="N63" s="4">
        <v>7</v>
      </c>
      <c r="O63" s="4">
        <v>8</v>
      </c>
      <c r="P63" s="39">
        <f>SUM(D63:O63)</f>
        <v>95</v>
      </c>
    </row>
    <row r="64" spans="1:16" ht="14.4" x14ac:dyDescent="0.3">
      <c r="A64" s="629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</row>
    <row r="65" spans="1:16" ht="14.4" customHeight="1" x14ac:dyDescent="0.3">
      <c r="A65" s="610" t="s">
        <v>110</v>
      </c>
      <c r="B65" s="611"/>
      <c r="C65" s="611"/>
      <c r="D65" s="611"/>
      <c r="E65" s="611"/>
      <c r="F65" s="611"/>
      <c r="G65" s="611"/>
      <c r="H65" s="611"/>
      <c r="I65" s="611"/>
      <c r="J65" s="611"/>
      <c r="K65" s="611"/>
      <c r="L65" s="611"/>
      <c r="M65" s="611"/>
      <c r="N65" s="611"/>
      <c r="O65" s="611"/>
      <c r="P65" s="612"/>
    </row>
    <row r="66" spans="1:16" x14ac:dyDescent="0.3">
      <c r="A66" s="615" t="s">
        <v>109</v>
      </c>
      <c r="B66" s="37" t="s">
        <v>85</v>
      </c>
      <c r="C66" s="5" t="s">
        <v>3</v>
      </c>
      <c r="D66" s="156">
        <v>22</v>
      </c>
      <c r="E66" s="156">
        <v>22</v>
      </c>
      <c r="F66" s="156">
        <v>22</v>
      </c>
      <c r="G66" s="158">
        <v>12</v>
      </c>
      <c r="H66" s="158">
        <v>12</v>
      </c>
      <c r="I66" s="158">
        <v>12</v>
      </c>
      <c r="J66" s="158">
        <v>12</v>
      </c>
      <c r="K66" s="158">
        <v>11</v>
      </c>
      <c r="L66" s="158">
        <v>11</v>
      </c>
      <c r="M66" s="158">
        <v>11</v>
      </c>
      <c r="N66" s="158">
        <v>11</v>
      </c>
      <c r="O66" s="158">
        <v>11</v>
      </c>
      <c r="P66" s="35">
        <f>D66</f>
        <v>22</v>
      </c>
    </row>
    <row r="67" spans="1:16" x14ac:dyDescent="0.3">
      <c r="A67" s="616"/>
      <c r="B67" s="24" t="s">
        <v>104</v>
      </c>
      <c r="C67" s="5" t="s">
        <v>3</v>
      </c>
      <c r="D67" s="156">
        <v>2</v>
      </c>
      <c r="E67" s="156">
        <v>21</v>
      </c>
      <c r="F67" s="156">
        <v>4</v>
      </c>
      <c r="G67" s="156">
        <v>6</v>
      </c>
      <c r="H67" s="156">
        <v>5</v>
      </c>
      <c r="I67" s="156">
        <v>2</v>
      </c>
      <c r="J67" s="156">
        <v>1</v>
      </c>
      <c r="K67" s="156">
        <v>1</v>
      </c>
      <c r="L67" s="156">
        <v>1</v>
      </c>
      <c r="M67" s="156">
        <v>5</v>
      </c>
      <c r="N67" s="156">
        <v>1</v>
      </c>
      <c r="O67" s="156">
        <v>2</v>
      </c>
      <c r="P67" s="35">
        <f>SUM(D67:O67)</f>
        <v>51</v>
      </c>
    </row>
    <row r="68" spans="1:16" ht="27" x14ac:dyDescent="0.3">
      <c r="A68" s="616"/>
      <c r="B68" s="24" t="s">
        <v>103</v>
      </c>
      <c r="C68" s="5" t="s">
        <v>3</v>
      </c>
      <c r="D68" s="156">
        <v>2</v>
      </c>
      <c r="E68" s="156">
        <v>2</v>
      </c>
      <c r="F68" s="156">
        <v>2</v>
      </c>
      <c r="G68" s="156">
        <v>6</v>
      </c>
      <c r="H68" s="156">
        <v>5</v>
      </c>
      <c r="I68" s="156">
        <v>2</v>
      </c>
      <c r="J68" s="156">
        <v>2</v>
      </c>
      <c r="K68" s="156">
        <v>1</v>
      </c>
      <c r="L68" s="156">
        <v>1</v>
      </c>
      <c r="M68" s="156">
        <v>5</v>
      </c>
      <c r="N68" s="156">
        <v>1</v>
      </c>
      <c r="O68" s="156">
        <v>2</v>
      </c>
      <c r="P68" s="35">
        <f t="shared" ref="P68:P69" si="20">SUM(D68:O68)</f>
        <v>31</v>
      </c>
    </row>
    <row r="69" spans="1:16" s="2" customFormat="1" ht="27" x14ac:dyDescent="0.3">
      <c r="A69" s="616"/>
      <c r="B69" s="24" t="s">
        <v>102</v>
      </c>
      <c r="C69" s="11" t="s">
        <v>3</v>
      </c>
      <c r="D69" s="156">
        <v>0</v>
      </c>
      <c r="E69" s="156">
        <v>19</v>
      </c>
      <c r="F69" s="156">
        <v>12</v>
      </c>
      <c r="G69" s="156">
        <v>0</v>
      </c>
      <c r="H69" s="156">
        <v>0</v>
      </c>
      <c r="I69" s="156">
        <v>0</v>
      </c>
      <c r="J69" s="156">
        <v>0</v>
      </c>
      <c r="K69" s="156">
        <v>0</v>
      </c>
      <c r="L69" s="156">
        <v>0</v>
      </c>
      <c r="M69" s="156">
        <v>0</v>
      </c>
      <c r="N69" s="156">
        <v>0</v>
      </c>
      <c r="O69" s="156">
        <v>0</v>
      </c>
      <c r="P69" s="74">
        <f t="shared" si="20"/>
        <v>31</v>
      </c>
    </row>
    <row r="70" spans="1:16" s="2" customFormat="1" x14ac:dyDescent="0.3">
      <c r="A70" s="616"/>
      <c r="B70" s="24" t="s">
        <v>188</v>
      </c>
      <c r="C70" s="11" t="s">
        <v>3</v>
      </c>
      <c r="D70" s="156">
        <f>D68+D69</f>
        <v>2</v>
      </c>
      <c r="E70" s="156">
        <f t="shared" ref="E70:P70" si="21">E68+E69</f>
        <v>21</v>
      </c>
      <c r="F70" s="156">
        <f t="shared" si="21"/>
        <v>14</v>
      </c>
      <c r="G70" s="156">
        <f t="shared" si="21"/>
        <v>6</v>
      </c>
      <c r="H70" s="156">
        <f t="shared" ref="H70:I70" si="22">H68+H69</f>
        <v>5</v>
      </c>
      <c r="I70" s="156">
        <f t="shared" si="22"/>
        <v>2</v>
      </c>
      <c r="J70" s="156">
        <v>2</v>
      </c>
      <c r="K70" s="156">
        <f t="shared" ref="K70" si="23">K68+K69</f>
        <v>1</v>
      </c>
      <c r="L70" s="156">
        <f t="shared" ref="L70:M70" si="24">L68+L69</f>
        <v>1</v>
      </c>
      <c r="M70" s="156">
        <f t="shared" si="24"/>
        <v>5</v>
      </c>
      <c r="N70" s="156">
        <f t="shared" ref="N70:O70" si="25">N68+N69</f>
        <v>1</v>
      </c>
      <c r="O70" s="156">
        <f t="shared" si="25"/>
        <v>2</v>
      </c>
      <c r="P70" s="168">
        <f t="shared" si="21"/>
        <v>62</v>
      </c>
    </row>
    <row r="71" spans="1:16" x14ac:dyDescent="0.3">
      <c r="A71" s="617"/>
      <c r="B71" s="37" t="s">
        <v>81</v>
      </c>
      <c r="C71" s="5" t="s">
        <v>3</v>
      </c>
      <c r="D71" s="159">
        <f>D66+D67-D70</f>
        <v>22</v>
      </c>
      <c r="E71" s="159">
        <f t="shared" ref="E71:G71" si="26">E66+E67-E70</f>
        <v>22</v>
      </c>
      <c r="F71" s="159">
        <f t="shared" si="26"/>
        <v>12</v>
      </c>
      <c r="G71" s="159">
        <f t="shared" si="26"/>
        <v>12</v>
      </c>
      <c r="H71" s="159">
        <f t="shared" ref="H71:I71" si="27">H66+H67-H70</f>
        <v>12</v>
      </c>
      <c r="I71" s="159">
        <f t="shared" si="27"/>
        <v>12</v>
      </c>
      <c r="J71" s="159">
        <f t="shared" ref="J71:K71" si="28">J66+J67-J70</f>
        <v>11</v>
      </c>
      <c r="K71" s="159">
        <f t="shared" si="28"/>
        <v>11</v>
      </c>
      <c r="L71" s="159">
        <f t="shared" ref="L71:M71" si="29">L66+L67-L70</f>
        <v>11</v>
      </c>
      <c r="M71" s="159">
        <f t="shared" si="29"/>
        <v>11</v>
      </c>
      <c r="N71" s="159">
        <f t="shared" ref="N71:P71" si="30">N66+N67-N70</f>
        <v>11</v>
      </c>
      <c r="O71" s="159">
        <f t="shared" si="30"/>
        <v>11</v>
      </c>
      <c r="P71" s="159">
        <f t="shared" si="30"/>
        <v>11</v>
      </c>
    </row>
    <row r="72" spans="1:16" x14ac:dyDescent="0.3">
      <c r="A72" s="615" t="s">
        <v>108</v>
      </c>
      <c r="B72" s="37" t="s">
        <v>85</v>
      </c>
      <c r="C72" s="5" t="s">
        <v>3</v>
      </c>
      <c r="D72" s="158"/>
      <c r="E72" s="158"/>
      <c r="F72" s="158"/>
      <c r="G72" s="158">
        <v>0</v>
      </c>
      <c r="H72" s="158"/>
      <c r="I72" s="158"/>
      <c r="J72" s="158"/>
      <c r="K72" s="158"/>
      <c r="L72" s="158"/>
      <c r="M72" s="158"/>
      <c r="N72" s="158"/>
      <c r="O72" s="158"/>
      <c r="P72" s="35">
        <f>D72</f>
        <v>0</v>
      </c>
    </row>
    <row r="73" spans="1:16" x14ac:dyDescent="0.3">
      <c r="A73" s="616"/>
      <c r="B73" s="24" t="s">
        <v>104</v>
      </c>
      <c r="C73" s="5" t="s">
        <v>3</v>
      </c>
      <c r="D73" s="156"/>
      <c r="E73" s="156"/>
      <c r="F73" s="156"/>
      <c r="G73" s="156">
        <v>1</v>
      </c>
      <c r="H73" s="156"/>
      <c r="I73" s="156"/>
      <c r="J73" s="156"/>
      <c r="K73" s="156"/>
      <c r="L73" s="156"/>
      <c r="M73" s="156"/>
      <c r="N73" s="156">
        <v>1</v>
      </c>
      <c r="O73" s="156"/>
      <c r="P73" s="35">
        <f>SUM(D73:O73)</f>
        <v>2</v>
      </c>
    </row>
    <row r="74" spans="1:16" ht="27" x14ac:dyDescent="0.3">
      <c r="A74" s="616"/>
      <c r="B74" s="24" t="s">
        <v>103</v>
      </c>
      <c r="C74" s="5" t="s">
        <v>3</v>
      </c>
      <c r="D74" s="156"/>
      <c r="E74" s="156"/>
      <c r="F74" s="156"/>
      <c r="G74" s="156">
        <v>1</v>
      </c>
      <c r="H74" s="156"/>
      <c r="I74" s="156"/>
      <c r="J74" s="156"/>
      <c r="K74" s="156"/>
      <c r="L74" s="156"/>
      <c r="M74" s="156"/>
      <c r="N74" s="156">
        <v>1</v>
      </c>
      <c r="O74" s="156"/>
      <c r="P74" s="35">
        <f>SUM(D74:O74)</f>
        <v>2</v>
      </c>
    </row>
    <row r="75" spans="1:16" s="2" customFormat="1" ht="27" x14ac:dyDescent="0.3">
      <c r="A75" s="616"/>
      <c r="B75" s="24" t="s">
        <v>102</v>
      </c>
      <c r="C75" s="11" t="s">
        <v>3</v>
      </c>
      <c r="D75" s="156"/>
      <c r="E75" s="156"/>
      <c r="F75" s="156"/>
      <c r="G75" s="156">
        <v>0</v>
      </c>
      <c r="H75" s="156"/>
      <c r="I75" s="156"/>
      <c r="J75" s="156"/>
      <c r="K75" s="156"/>
      <c r="L75" s="156"/>
      <c r="M75" s="156"/>
      <c r="N75" s="156"/>
      <c r="O75" s="156"/>
      <c r="P75" s="35">
        <f>SUM(D75:O75)</f>
        <v>0</v>
      </c>
    </row>
    <row r="76" spans="1:16" s="2" customFormat="1" x14ac:dyDescent="0.3">
      <c r="A76" s="616"/>
      <c r="B76" s="24" t="s">
        <v>188</v>
      </c>
      <c r="C76" s="11" t="s">
        <v>3</v>
      </c>
      <c r="D76" s="156">
        <f>D74+D75</f>
        <v>0</v>
      </c>
      <c r="E76" s="156">
        <f t="shared" ref="E76:P76" si="31">E74+E75</f>
        <v>0</v>
      </c>
      <c r="F76" s="156">
        <f t="shared" si="31"/>
        <v>0</v>
      </c>
      <c r="G76" s="156">
        <f t="shared" ref="G76:I76" si="32">G74+G75</f>
        <v>1</v>
      </c>
      <c r="H76" s="156">
        <f t="shared" si="32"/>
        <v>0</v>
      </c>
      <c r="I76" s="156">
        <f t="shared" si="32"/>
        <v>0</v>
      </c>
      <c r="J76" s="156">
        <f t="shared" ref="J76:K76" si="33">J74+J75</f>
        <v>0</v>
      </c>
      <c r="K76" s="156">
        <f t="shared" si="33"/>
        <v>0</v>
      </c>
      <c r="L76" s="156">
        <f t="shared" ref="L76:M76" si="34">L74+L75</f>
        <v>0</v>
      </c>
      <c r="M76" s="156">
        <f t="shared" si="34"/>
        <v>0</v>
      </c>
      <c r="N76" s="156">
        <v>1</v>
      </c>
      <c r="O76" s="156">
        <f t="shared" ref="O76" si="35">O74+O75</f>
        <v>0</v>
      </c>
      <c r="P76" s="168">
        <f t="shared" si="31"/>
        <v>2</v>
      </c>
    </row>
    <row r="77" spans="1:16" x14ac:dyDescent="0.3">
      <c r="A77" s="617"/>
      <c r="B77" s="37" t="s">
        <v>81</v>
      </c>
      <c r="C77" s="5" t="s">
        <v>3</v>
      </c>
      <c r="D77" s="159">
        <f t="shared" ref="D77:L77" si="36">D72+D73-D76</f>
        <v>0</v>
      </c>
      <c r="E77" s="159">
        <f t="shared" si="36"/>
        <v>0</v>
      </c>
      <c r="F77" s="159">
        <f t="shared" si="36"/>
        <v>0</v>
      </c>
      <c r="G77" s="159">
        <f t="shared" si="36"/>
        <v>0</v>
      </c>
      <c r="H77" s="159">
        <f t="shared" si="36"/>
        <v>0</v>
      </c>
      <c r="I77" s="159">
        <f t="shared" si="36"/>
        <v>0</v>
      </c>
      <c r="J77" s="159">
        <f t="shared" si="36"/>
        <v>0</v>
      </c>
      <c r="K77" s="159">
        <f t="shared" si="36"/>
        <v>0</v>
      </c>
      <c r="L77" s="159">
        <f t="shared" si="36"/>
        <v>0</v>
      </c>
      <c r="M77" s="159">
        <f t="shared" ref="M77" si="37">M72+M73-M76</f>
        <v>0</v>
      </c>
      <c r="N77" s="159">
        <f t="shared" ref="N77:P77" si="38">N72+N73-N76</f>
        <v>0</v>
      </c>
      <c r="O77" s="159">
        <f t="shared" si="38"/>
        <v>0</v>
      </c>
      <c r="P77" s="159">
        <f t="shared" si="38"/>
        <v>0</v>
      </c>
    </row>
    <row r="78" spans="1:16" ht="15.6" customHeight="1" x14ac:dyDescent="0.3">
      <c r="A78" s="615" t="s">
        <v>107</v>
      </c>
      <c r="B78" s="37" t="s">
        <v>85</v>
      </c>
      <c r="C78" s="5" t="s">
        <v>3</v>
      </c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35">
        <f>D78</f>
        <v>0</v>
      </c>
    </row>
    <row r="79" spans="1:16" x14ac:dyDescent="0.3">
      <c r="A79" s="616"/>
      <c r="B79" s="24" t="s">
        <v>104</v>
      </c>
      <c r="C79" s="5" t="s">
        <v>3</v>
      </c>
      <c r="D79" s="156"/>
      <c r="E79" s="156"/>
      <c r="F79" s="156"/>
      <c r="G79" s="156"/>
      <c r="H79" s="156"/>
      <c r="I79" s="156"/>
      <c r="J79" s="156"/>
      <c r="K79" s="156"/>
      <c r="L79" s="156"/>
      <c r="M79" s="156"/>
      <c r="N79" s="156"/>
      <c r="O79" s="156"/>
      <c r="P79" s="35">
        <f>SUM(D79:O79)</f>
        <v>0</v>
      </c>
    </row>
    <row r="80" spans="1:16" ht="27" x14ac:dyDescent="0.3">
      <c r="A80" s="616"/>
      <c r="B80" s="24" t="s">
        <v>103</v>
      </c>
      <c r="C80" s="5" t="s">
        <v>3</v>
      </c>
      <c r="D80" s="156"/>
      <c r="E80" s="156"/>
      <c r="F80" s="156"/>
      <c r="G80" s="156"/>
      <c r="H80" s="156"/>
      <c r="I80" s="156"/>
      <c r="J80" s="156"/>
      <c r="K80" s="156"/>
      <c r="L80" s="156"/>
      <c r="M80" s="156"/>
      <c r="N80" s="156"/>
      <c r="O80" s="156"/>
      <c r="P80" s="35">
        <f>SUM(D80:O80)</f>
        <v>0</v>
      </c>
    </row>
    <row r="81" spans="1:16" s="2" customFormat="1" ht="27" x14ac:dyDescent="0.3">
      <c r="A81" s="616"/>
      <c r="B81" s="24" t="s">
        <v>102</v>
      </c>
      <c r="C81" s="11" t="s">
        <v>3</v>
      </c>
      <c r="D81" s="156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56"/>
      <c r="P81" s="74">
        <f>SUM(D81:O81)</f>
        <v>0</v>
      </c>
    </row>
    <row r="82" spans="1:16" s="2" customFormat="1" x14ac:dyDescent="0.3">
      <c r="A82" s="616"/>
      <c r="B82" s="24" t="s">
        <v>188</v>
      </c>
      <c r="C82" s="11" t="s">
        <v>3</v>
      </c>
      <c r="D82" s="156">
        <f>D81+D80</f>
        <v>0</v>
      </c>
      <c r="E82" s="156">
        <f t="shared" ref="E82:P82" si="39">E81+E80</f>
        <v>0</v>
      </c>
      <c r="F82" s="156">
        <f t="shared" si="39"/>
        <v>0</v>
      </c>
      <c r="G82" s="156">
        <f t="shared" ref="G82:I82" si="40">G81+G80</f>
        <v>0</v>
      </c>
      <c r="H82" s="156">
        <f t="shared" si="40"/>
        <v>0</v>
      </c>
      <c r="I82" s="156">
        <f t="shared" si="40"/>
        <v>0</v>
      </c>
      <c r="J82" s="156">
        <f t="shared" ref="J82:K82" si="41">J81+J80</f>
        <v>0</v>
      </c>
      <c r="K82" s="156">
        <f t="shared" si="41"/>
        <v>0</v>
      </c>
      <c r="L82" s="156">
        <f t="shared" ref="L82:M82" si="42">L81+L80</f>
        <v>0</v>
      </c>
      <c r="M82" s="156">
        <f t="shared" si="42"/>
        <v>0</v>
      </c>
      <c r="N82" s="156">
        <f t="shared" ref="N82:O82" si="43">N81+N80</f>
        <v>0</v>
      </c>
      <c r="O82" s="156">
        <f t="shared" si="43"/>
        <v>0</v>
      </c>
      <c r="P82" s="168">
        <f t="shared" si="39"/>
        <v>0</v>
      </c>
    </row>
    <row r="83" spans="1:16" x14ac:dyDescent="0.3">
      <c r="A83" s="617"/>
      <c r="B83" s="37" t="s">
        <v>81</v>
      </c>
      <c r="C83" s="5" t="s">
        <v>3</v>
      </c>
      <c r="D83" s="159">
        <f>D78+D79-D82</f>
        <v>0</v>
      </c>
      <c r="E83" s="159">
        <f t="shared" ref="E83:F83" si="44">E78+E79-E82</f>
        <v>0</v>
      </c>
      <c r="F83" s="159">
        <f t="shared" si="44"/>
        <v>0</v>
      </c>
      <c r="G83" s="159">
        <f t="shared" ref="G83:H83" si="45">G78+G79-G82</f>
        <v>0</v>
      </c>
      <c r="H83" s="159">
        <f t="shared" si="45"/>
        <v>0</v>
      </c>
      <c r="I83" s="159">
        <f t="shared" ref="I83:J83" si="46">I78+I79-I82</f>
        <v>0</v>
      </c>
      <c r="J83" s="159">
        <f t="shared" si="46"/>
        <v>0</v>
      </c>
      <c r="K83" s="159">
        <f t="shared" ref="K83:L83" si="47">K78+K79-K82</f>
        <v>0</v>
      </c>
      <c r="L83" s="159">
        <f t="shared" si="47"/>
        <v>0</v>
      </c>
      <c r="M83" s="159">
        <f t="shared" ref="M83:N83" si="48">M78+M79-M82</f>
        <v>0</v>
      </c>
      <c r="N83" s="159">
        <f t="shared" si="48"/>
        <v>0</v>
      </c>
      <c r="O83" s="159">
        <f t="shared" ref="O83:P83" si="49">O78+O79-O82</f>
        <v>0</v>
      </c>
      <c r="P83" s="159">
        <f t="shared" si="49"/>
        <v>0</v>
      </c>
    </row>
    <row r="84" spans="1:16" x14ac:dyDescent="0.3">
      <c r="A84" s="618" t="s">
        <v>106</v>
      </c>
      <c r="B84" s="37" t="s">
        <v>85</v>
      </c>
      <c r="C84" s="5" t="s">
        <v>3</v>
      </c>
      <c r="D84" s="158">
        <v>0</v>
      </c>
      <c r="E84" s="158">
        <v>0</v>
      </c>
      <c r="F84" s="158">
        <v>0</v>
      </c>
      <c r="G84" s="158"/>
      <c r="H84" s="158"/>
      <c r="I84" s="158"/>
      <c r="J84" s="158"/>
      <c r="K84" s="158"/>
      <c r="L84" s="158"/>
      <c r="M84" s="158"/>
      <c r="N84" s="158"/>
      <c r="O84" s="158"/>
      <c r="P84" s="35">
        <f>D84</f>
        <v>0</v>
      </c>
    </row>
    <row r="85" spans="1:16" x14ac:dyDescent="0.3">
      <c r="A85" s="619"/>
      <c r="B85" s="37" t="s">
        <v>104</v>
      </c>
      <c r="C85" s="5" t="s">
        <v>3</v>
      </c>
      <c r="D85" s="156">
        <v>0</v>
      </c>
      <c r="E85" s="156">
        <v>0</v>
      </c>
      <c r="F85" s="156">
        <v>0</v>
      </c>
      <c r="G85" s="156"/>
      <c r="H85" s="156"/>
      <c r="I85" s="156"/>
      <c r="J85" s="156"/>
      <c r="K85" s="156"/>
      <c r="L85" s="156"/>
      <c r="M85" s="156"/>
      <c r="N85" s="156"/>
      <c r="O85" s="156"/>
      <c r="P85" s="35">
        <f>SUM(D85:O85)</f>
        <v>0</v>
      </c>
    </row>
    <row r="86" spans="1:16" ht="27" x14ac:dyDescent="0.3">
      <c r="A86" s="619"/>
      <c r="B86" s="37" t="s">
        <v>103</v>
      </c>
      <c r="C86" s="5" t="s">
        <v>3</v>
      </c>
      <c r="D86" s="156">
        <v>0</v>
      </c>
      <c r="E86" s="156">
        <v>0</v>
      </c>
      <c r="F86" s="156">
        <v>0</v>
      </c>
      <c r="G86" s="156"/>
      <c r="H86" s="156"/>
      <c r="I86" s="156"/>
      <c r="J86" s="156"/>
      <c r="K86" s="156"/>
      <c r="L86" s="156"/>
      <c r="M86" s="156"/>
      <c r="N86" s="156"/>
      <c r="O86" s="156"/>
      <c r="P86" s="35">
        <f>SUM(D86:O86)</f>
        <v>0</v>
      </c>
    </row>
    <row r="87" spans="1:16" s="2" customFormat="1" ht="27" x14ac:dyDescent="0.3">
      <c r="A87" s="619"/>
      <c r="B87" s="24" t="s">
        <v>102</v>
      </c>
      <c r="C87" s="11" t="s">
        <v>3</v>
      </c>
      <c r="D87" s="156">
        <v>0</v>
      </c>
      <c r="E87" s="156">
        <v>0</v>
      </c>
      <c r="F87" s="156">
        <v>0</v>
      </c>
      <c r="G87" s="156"/>
      <c r="H87" s="156"/>
      <c r="I87" s="156"/>
      <c r="J87" s="156"/>
      <c r="K87" s="156"/>
      <c r="L87" s="156"/>
      <c r="M87" s="156"/>
      <c r="N87" s="156"/>
      <c r="O87" s="156"/>
      <c r="P87" s="74">
        <f>SUM(D87:O87)</f>
        <v>0</v>
      </c>
    </row>
    <row r="88" spans="1:16" s="2" customFormat="1" x14ac:dyDescent="0.3">
      <c r="A88" s="619"/>
      <c r="B88" s="24" t="s">
        <v>188</v>
      </c>
      <c r="C88" s="11" t="s">
        <v>3</v>
      </c>
      <c r="D88" s="156">
        <f>D87+D86</f>
        <v>0</v>
      </c>
      <c r="E88" s="156">
        <f t="shared" ref="E88:I88" si="50">E87+E86</f>
        <v>0</v>
      </c>
      <c r="F88" s="156">
        <f t="shared" si="50"/>
        <v>0</v>
      </c>
      <c r="G88" s="156">
        <f t="shared" si="50"/>
        <v>0</v>
      </c>
      <c r="H88" s="156">
        <f t="shared" si="50"/>
        <v>0</v>
      </c>
      <c r="I88" s="156">
        <f t="shared" si="50"/>
        <v>0</v>
      </c>
      <c r="J88" s="156">
        <f t="shared" ref="J88:K88" si="51">J87+J86</f>
        <v>0</v>
      </c>
      <c r="K88" s="156">
        <f t="shared" si="51"/>
        <v>0</v>
      </c>
      <c r="L88" s="156">
        <f t="shared" ref="L88:M88" si="52">L87+L86</f>
        <v>0</v>
      </c>
      <c r="M88" s="156">
        <f t="shared" si="52"/>
        <v>0</v>
      </c>
      <c r="N88" s="156">
        <f t="shared" ref="N88:O88" si="53">N87+N86</f>
        <v>0</v>
      </c>
      <c r="O88" s="156">
        <f t="shared" si="53"/>
        <v>0</v>
      </c>
      <c r="P88" s="74">
        <f>SUM(D88:O88)</f>
        <v>0</v>
      </c>
    </row>
    <row r="89" spans="1:16" x14ac:dyDescent="0.3">
      <c r="A89" s="620"/>
      <c r="B89" s="36" t="s">
        <v>81</v>
      </c>
      <c r="C89" s="5" t="s">
        <v>3</v>
      </c>
      <c r="D89" s="159">
        <f>D84+D85-D88</f>
        <v>0</v>
      </c>
      <c r="E89" s="159">
        <f t="shared" ref="E89:F89" si="54">E84+E85-E88</f>
        <v>0</v>
      </c>
      <c r="F89" s="159">
        <f t="shared" si="54"/>
        <v>0</v>
      </c>
      <c r="G89" s="159">
        <f t="shared" ref="G89:H89" si="55">G84+G85-G88</f>
        <v>0</v>
      </c>
      <c r="H89" s="159">
        <f t="shared" si="55"/>
        <v>0</v>
      </c>
      <c r="I89" s="159">
        <f t="shared" ref="I89:J89" si="56">I84+I85-I88</f>
        <v>0</v>
      </c>
      <c r="J89" s="159">
        <f t="shared" si="56"/>
        <v>0</v>
      </c>
      <c r="K89" s="159">
        <f t="shared" ref="K89:L89" si="57">K84+K85-K88</f>
        <v>0</v>
      </c>
      <c r="L89" s="159">
        <f t="shared" si="57"/>
        <v>0</v>
      </c>
      <c r="M89" s="159">
        <f t="shared" ref="M89:N89" si="58">M84+M85-M88</f>
        <v>0</v>
      </c>
      <c r="N89" s="159">
        <f t="shared" si="58"/>
        <v>0</v>
      </c>
      <c r="O89" s="159">
        <f t="shared" ref="O89:P89" si="59">O84+O85-O88</f>
        <v>0</v>
      </c>
      <c r="P89" s="159">
        <f t="shared" si="59"/>
        <v>0</v>
      </c>
    </row>
    <row r="90" spans="1:16" x14ac:dyDescent="0.3">
      <c r="A90" s="621" t="s">
        <v>105</v>
      </c>
      <c r="B90" s="24" t="s">
        <v>85</v>
      </c>
      <c r="C90" s="11" t="s">
        <v>3</v>
      </c>
      <c r="D90" s="136">
        <f t="shared" ref="D90:I90" si="60">D66+D72+D78+D84</f>
        <v>22</v>
      </c>
      <c r="E90" s="136">
        <f t="shared" si="60"/>
        <v>22</v>
      </c>
      <c r="F90" s="136">
        <f t="shared" si="60"/>
        <v>22</v>
      </c>
      <c r="G90" s="136">
        <f t="shared" si="60"/>
        <v>12</v>
      </c>
      <c r="H90" s="136">
        <f t="shared" si="60"/>
        <v>12</v>
      </c>
      <c r="I90" s="136">
        <f t="shared" si="60"/>
        <v>12</v>
      </c>
      <c r="J90" s="136">
        <f t="shared" ref="J90:K90" si="61">J66+J72+J78+J84</f>
        <v>12</v>
      </c>
      <c r="K90" s="136">
        <f t="shared" si="61"/>
        <v>11</v>
      </c>
      <c r="L90" s="136">
        <f t="shared" ref="L90:M90" si="62">L66+L72+L78+L84</f>
        <v>11</v>
      </c>
      <c r="M90" s="136">
        <f t="shared" si="62"/>
        <v>11</v>
      </c>
      <c r="N90" s="136">
        <f t="shared" ref="N90:O90" si="63">N66+N72+N78+N84</f>
        <v>11</v>
      </c>
      <c r="O90" s="136">
        <f t="shared" si="63"/>
        <v>11</v>
      </c>
      <c r="P90" s="35">
        <f>D90</f>
        <v>22</v>
      </c>
    </row>
    <row r="91" spans="1:16" x14ac:dyDescent="0.3">
      <c r="A91" s="622"/>
      <c r="B91" s="24" t="s">
        <v>104</v>
      </c>
      <c r="C91" s="11" t="s">
        <v>3</v>
      </c>
      <c r="D91" s="136">
        <f t="shared" ref="D91:E93" si="64">D67+D73+D79+D85</f>
        <v>2</v>
      </c>
      <c r="E91" s="136">
        <f t="shared" si="64"/>
        <v>21</v>
      </c>
      <c r="F91" s="136">
        <f t="shared" ref="F91:G91" si="65">F67+F73+F79+F85</f>
        <v>4</v>
      </c>
      <c r="G91" s="136">
        <f t="shared" si="65"/>
        <v>7</v>
      </c>
      <c r="H91" s="136">
        <f t="shared" ref="H91:I91" si="66">H67+H73+H79+H85</f>
        <v>5</v>
      </c>
      <c r="I91" s="136">
        <f t="shared" si="66"/>
        <v>2</v>
      </c>
      <c r="J91" s="136">
        <f t="shared" ref="J91:K91" si="67">J67+J73+J79+J85</f>
        <v>1</v>
      </c>
      <c r="K91" s="136">
        <f t="shared" si="67"/>
        <v>1</v>
      </c>
      <c r="L91" s="136">
        <f t="shared" ref="L91:M91" si="68">L67+L73+L79+L85</f>
        <v>1</v>
      </c>
      <c r="M91" s="136">
        <f t="shared" si="68"/>
        <v>5</v>
      </c>
      <c r="N91" s="136">
        <f t="shared" ref="N91:O91" si="69">N67+N73+N79+N85</f>
        <v>2</v>
      </c>
      <c r="O91" s="136">
        <f t="shared" si="69"/>
        <v>2</v>
      </c>
      <c r="P91" s="35">
        <f>SUM(D91:O91)</f>
        <v>53</v>
      </c>
    </row>
    <row r="92" spans="1:16" ht="27" x14ac:dyDescent="0.3">
      <c r="A92" s="622"/>
      <c r="B92" s="24" t="s">
        <v>103</v>
      </c>
      <c r="C92" s="11" t="s">
        <v>3</v>
      </c>
      <c r="D92" s="136">
        <f t="shared" si="64"/>
        <v>2</v>
      </c>
      <c r="E92" s="136">
        <f t="shared" si="64"/>
        <v>2</v>
      </c>
      <c r="F92" s="136">
        <f t="shared" ref="F92:G92" si="70">F68+F74+F80+F86</f>
        <v>2</v>
      </c>
      <c r="G92" s="136">
        <f t="shared" si="70"/>
        <v>7</v>
      </c>
      <c r="H92" s="136">
        <f t="shared" ref="H92:I92" si="71">H68+H74+H80+H86</f>
        <v>5</v>
      </c>
      <c r="I92" s="136">
        <f t="shared" si="71"/>
        <v>2</v>
      </c>
      <c r="J92" s="136">
        <f t="shared" ref="J92:K92" si="72">J68+J74+J80+J86</f>
        <v>2</v>
      </c>
      <c r="K92" s="136">
        <f t="shared" si="72"/>
        <v>1</v>
      </c>
      <c r="L92" s="136">
        <f t="shared" ref="L92:M92" si="73">L68+L74+L80+L86</f>
        <v>1</v>
      </c>
      <c r="M92" s="136">
        <f t="shared" si="73"/>
        <v>5</v>
      </c>
      <c r="N92" s="136">
        <f t="shared" ref="N92:O92" si="74">N68+N74+N80+N86</f>
        <v>2</v>
      </c>
      <c r="O92" s="136">
        <f t="shared" si="74"/>
        <v>2</v>
      </c>
      <c r="P92" s="35">
        <f>SUM(D92:O92)</f>
        <v>33</v>
      </c>
    </row>
    <row r="93" spans="1:16" s="2" customFormat="1" ht="27" x14ac:dyDescent="0.3">
      <c r="A93" s="622"/>
      <c r="B93" s="24" t="s">
        <v>102</v>
      </c>
      <c r="C93" s="11"/>
      <c r="D93" s="136">
        <f t="shared" si="64"/>
        <v>0</v>
      </c>
      <c r="E93" s="136">
        <f t="shared" si="64"/>
        <v>19</v>
      </c>
      <c r="F93" s="136">
        <f t="shared" ref="F93:G93" si="75">F69+F75+F81+F87</f>
        <v>12</v>
      </c>
      <c r="G93" s="136">
        <f t="shared" si="75"/>
        <v>0</v>
      </c>
      <c r="H93" s="136">
        <f t="shared" ref="H93:I93" si="76">H69+H75+H81+H87</f>
        <v>0</v>
      </c>
      <c r="I93" s="136">
        <f t="shared" si="76"/>
        <v>0</v>
      </c>
      <c r="J93" s="136">
        <f t="shared" ref="J93:K93" si="77">J69+J75+J81+J87</f>
        <v>0</v>
      </c>
      <c r="K93" s="136">
        <f t="shared" si="77"/>
        <v>0</v>
      </c>
      <c r="L93" s="136">
        <f t="shared" ref="L93:M93" si="78">L69+L75+L81+L87</f>
        <v>0</v>
      </c>
      <c r="M93" s="136">
        <f t="shared" si="78"/>
        <v>0</v>
      </c>
      <c r="N93" s="136">
        <f t="shared" ref="N93:O93" si="79">N69+N75+N81+N87</f>
        <v>0</v>
      </c>
      <c r="O93" s="136">
        <f t="shared" si="79"/>
        <v>0</v>
      </c>
      <c r="P93" s="35">
        <f>SUM(D93:O93)</f>
        <v>31</v>
      </c>
    </row>
    <row r="94" spans="1:16" s="2" customFormat="1" x14ac:dyDescent="0.3">
      <c r="A94" s="622"/>
      <c r="B94" s="24" t="s">
        <v>188</v>
      </c>
      <c r="C94" s="11" t="s">
        <v>3</v>
      </c>
      <c r="D94" s="137">
        <f>D93+D92</f>
        <v>2</v>
      </c>
      <c r="E94" s="137">
        <f t="shared" ref="E94:P94" si="80">E93+E92</f>
        <v>21</v>
      </c>
      <c r="F94" s="137">
        <f t="shared" si="80"/>
        <v>14</v>
      </c>
      <c r="G94" s="137">
        <f t="shared" ref="G94:H94" si="81">G93+G92</f>
        <v>7</v>
      </c>
      <c r="H94" s="137">
        <f t="shared" si="81"/>
        <v>5</v>
      </c>
      <c r="I94" s="137">
        <f t="shared" ref="I94:J94" si="82">I93+I92</f>
        <v>2</v>
      </c>
      <c r="J94" s="137">
        <f t="shared" si="82"/>
        <v>2</v>
      </c>
      <c r="K94" s="137">
        <f t="shared" ref="K94:L94" si="83">K93+K92</f>
        <v>1</v>
      </c>
      <c r="L94" s="137">
        <f t="shared" si="83"/>
        <v>1</v>
      </c>
      <c r="M94" s="137">
        <f t="shared" ref="M94:N94" si="84">M93+M92</f>
        <v>5</v>
      </c>
      <c r="N94" s="137">
        <f t="shared" si="84"/>
        <v>2</v>
      </c>
      <c r="O94" s="137">
        <f t="shared" ref="O94" si="85">O93+O92</f>
        <v>2</v>
      </c>
      <c r="P94" s="144">
        <f t="shared" si="80"/>
        <v>64</v>
      </c>
    </row>
    <row r="95" spans="1:16" ht="16.2" thickBot="1" x14ac:dyDescent="0.35">
      <c r="A95" s="623"/>
      <c r="B95" s="24" t="s">
        <v>81</v>
      </c>
      <c r="C95" s="11" t="s">
        <v>3</v>
      </c>
      <c r="D95" s="138">
        <f>D90+D91-D94</f>
        <v>22</v>
      </c>
      <c r="E95" s="138">
        <f t="shared" ref="E95:P95" si="86">E90+E91-E94</f>
        <v>22</v>
      </c>
      <c r="F95" s="138">
        <f t="shared" si="86"/>
        <v>12</v>
      </c>
      <c r="G95" s="138">
        <f t="shared" ref="G95:H95" si="87">G90+G91-G94</f>
        <v>12</v>
      </c>
      <c r="H95" s="138">
        <f t="shared" si="87"/>
        <v>12</v>
      </c>
      <c r="I95" s="138">
        <f t="shared" ref="I95:J95" si="88">I90+I91-I94</f>
        <v>12</v>
      </c>
      <c r="J95" s="138">
        <f t="shared" si="88"/>
        <v>11</v>
      </c>
      <c r="K95" s="138">
        <f t="shared" ref="K95:L95" si="89">K90+K91-K94</f>
        <v>11</v>
      </c>
      <c r="L95" s="138">
        <f t="shared" si="89"/>
        <v>11</v>
      </c>
      <c r="M95" s="138">
        <f t="shared" ref="M95:N95" si="90">M90+M91-M94</f>
        <v>11</v>
      </c>
      <c r="N95" s="138">
        <f t="shared" si="90"/>
        <v>11</v>
      </c>
      <c r="O95" s="138">
        <f t="shared" ref="O95" si="91">O90+O91-O94</f>
        <v>11</v>
      </c>
      <c r="P95" s="145">
        <f t="shared" si="86"/>
        <v>11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44"/>
    </row>
    <row r="97" spans="1:16" s="2" customFormat="1" ht="15.75" customHeight="1" thickBot="1" x14ac:dyDescent="0.35">
      <c r="A97" s="624" t="s">
        <v>189</v>
      </c>
      <c r="B97" s="625"/>
      <c r="C97" s="625"/>
      <c r="D97" s="625"/>
      <c r="E97" s="625"/>
      <c r="F97" s="625"/>
      <c r="G97" s="625"/>
      <c r="H97" s="625"/>
      <c r="I97" s="625"/>
      <c r="J97" s="625"/>
      <c r="K97" s="625"/>
      <c r="L97" s="625"/>
      <c r="M97" s="625"/>
      <c r="N97" s="625"/>
      <c r="O97" s="625"/>
      <c r="P97" s="626"/>
    </row>
    <row r="98" spans="1:16" x14ac:dyDescent="0.3">
      <c r="A98" s="88" t="s">
        <v>190</v>
      </c>
      <c r="B98" s="69"/>
      <c r="C98" s="11" t="s">
        <v>3</v>
      </c>
      <c r="D98" s="70">
        <v>104</v>
      </c>
      <c r="E98" s="70">
        <v>127</v>
      </c>
      <c r="F98" s="70">
        <v>139</v>
      </c>
      <c r="G98" s="70">
        <v>139</v>
      </c>
      <c r="H98" s="70">
        <v>139</v>
      </c>
      <c r="I98" s="70">
        <v>139</v>
      </c>
      <c r="J98" s="71">
        <v>139</v>
      </c>
      <c r="K98" s="71">
        <v>139</v>
      </c>
      <c r="L98" s="71">
        <v>139</v>
      </c>
      <c r="M98" s="71">
        <v>139</v>
      </c>
      <c r="N98" s="71">
        <v>139</v>
      </c>
      <c r="O98" s="71">
        <v>139</v>
      </c>
      <c r="P98" s="169">
        <f>SUM(D98:O98)</f>
        <v>1621</v>
      </c>
    </row>
    <row r="99" spans="1:1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44"/>
    </row>
    <row r="100" spans="1:16" s="2" customFormat="1" ht="14.4" x14ac:dyDescent="0.3">
      <c r="A100" s="635" t="s">
        <v>101</v>
      </c>
      <c r="B100" s="636"/>
      <c r="C100" s="636"/>
      <c r="D100" s="636"/>
      <c r="E100" s="636"/>
      <c r="F100" s="636"/>
      <c r="G100" s="636"/>
      <c r="H100" s="636"/>
      <c r="I100" s="636"/>
      <c r="J100" s="636"/>
      <c r="K100" s="636"/>
      <c r="L100" s="636"/>
      <c r="M100" s="636"/>
      <c r="N100" s="636"/>
      <c r="O100" s="636"/>
      <c r="P100" s="637"/>
    </row>
    <row r="101" spans="1:16" x14ac:dyDescent="0.3">
      <c r="A101" s="582" t="s">
        <v>100</v>
      </c>
      <c r="B101" s="583"/>
      <c r="C101" s="11" t="s">
        <v>3</v>
      </c>
      <c r="D101" s="4"/>
      <c r="E101" s="4"/>
      <c r="F101" s="4"/>
      <c r="G101" s="4"/>
      <c r="H101" s="4"/>
      <c r="I101" s="133"/>
      <c r="J101" s="133"/>
      <c r="K101" s="133"/>
      <c r="L101" s="133"/>
      <c r="M101" s="156"/>
      <c r="N101" s="156"/>
      <c r="O101" s="4"/>
      <c r="P101" s="32">
        <f t="shared" ref="P101:P116" si="92">O101</f>
        <v>0</v>
      </c>
    </row>
    <row r="102" spans="1:16" x14ac:dyDescent="0.3">
      <c r="A102" s="582" t="s">
        <v>99</v>
      </c>
      <c r="B102" s="583"/>
      <c r="C102" s="11" t="s">
        <v>3</v>
      </c>
      <c r="D102" s="4"/>
      <c r="E102" s="4"/>
      <c r="F102" s="4"/>
      <c r="G102" s="4"/>
      <c r="H102" s="4"/>
      <c r="I102" s="133"/>
      <c r="J102" s="133"/>
      <c r="K102" s="133"/>
      <c r="L102" s="133"/>
      <c r="M102" s="156"/>
      <c r="N102" s="156"/>
      <c r="O102" s="4"/>
      <c r="P102" s="32">
        <f t="shared" si="92"/>
        <v>0</v>
      </c>
    </row>
    <row r="103" spans="1:16" ht="15.6" customHeight="1" x14ac:dyDescent="0.3">
      <c r="A103" s="589" t="s">
        <v>98</v>
      </c>
      <c r="B103" s="590"/>
      <c r="C103" s="11" t="s">
        <v>3</v>
      </c>
      <c r="D103" s="4"/>
      <c r="E103" s="4"/>
      <c r="F103" s="4"/>
      <c r="G103" s="4"/>
      <c r="H103" s="4"/>
      <c r="I103" s="133"/>
      <c r="J103" s="133"/>
      <c r="K103" s="133"/>
      <c r="L103" s="133"/>
      <c r="M103" s="156"/>
      <c r="N103" s="156"/>
      <c r="O103" s="4"/>
      <c r="P103" s="32">
        <f t="shared" si="92"/>
        <v>0</v>
      </c>
    </row>
    <row r="104" spans="1:16" x14ac:dyDescent="0.3">
      <c r="A104" s="589" t="s">
        <v>97</v>
      </c>
      <c r="B104" s="590"/>
      <c r="C104" s="11" t="s">
        <v>3</v>
      </c>
      <c r="D104" s="4"/>
      <c r="E104" s="4"/>
      <c r="F104" s="4"/>
      <c r="G104" s="4"/>
      <c r="H104" s="4"/>
      <c r="I104" s="133"/>
      <c r="J104" s="133"/>
      <c r="K104" s="133"/>
      <c r="L104" s="133"/>
      <c r="M104" s="156"/>
      <c r="N104" s="156"/>
      <c r="O104" s="4"/>
      <c r="P104" s="32">
        <f t="shared" si="92"/>
        <v>0</v>
      </c>
    </row>
    <row r="105" spans="1:16" x14ac:dyDescent="0.3">
      <c r="A105" s="638" t="s">
        <v>96</v>
      </c>
      <c r="B105" s="639"/>
      <c r="C105" s="11" t="s">
        <v>3</v>
      </c>
      <c r="D105" s="33">
        <f>SUM(D101:D104)</f>
        <v>0</v>
      </c>
      <c r="E105" s="33">
        <f t="shared" ref="E105:O105" si="93">SUM(E101:E104)</f>
        <v>0</v>
      </c>
      <c r="F105" s="33">
        <f t="shared" si="93"/>
        <v>0</v>
      </c>
      <c r="G105" s="33">
        <f t="shared" si="93"/>
        <v>0</v>
      </c>
      <c r="H105" s="33">
        <f t="shared" si="93"/>
        <v>0</v>
      </c>
      <c r="I105" s="135">
        <f t="shared" si="93"/>
        <v>0</v>
      </c>
      <c r="J105" s="135">
        <f t="shared" si="93"/>
        <v>0</v>
      </c>
      <c r="K105" s="135">
        <f t="shared" si="93"/>
        <v>0</v>
      </c>
      <c r="L105" s="135">
        <f t="shared" si="93"/>
        <v>0</v>
      </c>
      <c r="M105" s="167">
        <f t="shared" si="93"/>
        <v>0</v>
      </c>
      <c r="N105" s="167">
        <f t="shared" si="93"/>
        <v>0</v>
      </c>
      <c r="O105" s="33">
        <f t="shared" si="93"/>
        <v>0</v>
      </c>
      <c r="P105" s="32">
        <f t="shared" si="92"/>
        <v>0</v>
      </c>
    </row>
    <row r="106" spans="1:16" s="2" customFormat="1" ht="15.6" customHeight="1" x14ac:dyDescent="0.3">
      <c r="A106" s="632" t="s">
        <v>210</v>
      </c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3"/>
      <c r="P106" s="634"/>
    </row>
    <row r="107" spans="1:16" x14ac:dyDescent="0.3">
      <c r="A107" s="582" t="s">
        <v>193</v>
      </c>
      <c r="B107" s="583"/>
      <c r="C107" s="11" t="s">
        <v>3</v>
      </c>
      <c r="D107" s="4">
        <v>145</v>
      </c>
      <c r="E107" s="4">
        <v>148</v>
      </c>
      <c r="F107" s="4">
        <v>151</v>
      </c>
      <c r="G107" s="4">
        <v>154</v>
      </c>
      <c r="H107" s="4">
        <v>161</v>
      </c>
      <c r="I107" s="133">
        <v>153</v>
      </c>
      <c r="J107" s="133">
        <v>154</v>
      </c>
      <c r="K107" s="133">
        <v>155</v>
      </c>
      <c r="L107" s="156">
        <v>144</v>
      </c>
      <c r="M107" s="156">
        <v>143</v>
      </c>
      <c r="N107" s="156">
        <v>147</v>
      </c>
      <c r="O107" s="130">
        <v>150</v>
      </c>
      <c r="P107" s="183">
        <f t="shared" si="92"/>
        <v>150</v>
      </c>
    </row>
    <row r="108" spans="1:16" x14ac:dyDescent="0.3">
      <c r="A108" s="582" t="s">
        <v>194</v>
      </c>
      <c r="B108" s="583"/>
      <c r="C108" s="11" t="s">
        <v>3</v>
      </c>
      <c r="D108" s="4">
        <v>3</v>
      </c>
      <c r="E108" s="4">
        <v>3</v>
      </c>
      <c r="F108" s="4">
        <v>2</v>
      </c>
      <c r="G108" s="4">
        <v>3</v>
      </c>
      <c r="H108" s="4">
        <v>3</v>
      </c>
      <c r="I108" s="133">
        <v>3</v>
      </c>
      <c r="J108" s="133">
        <v>3</v>
      </c>
      <c r="K108" s="133">
        <v>3</v>
      </c>
      <c r="L108" s="156">
        <v>3</v>
      </c>
      <c r="M108" s="156">
        <v>4</v>
      </c>
      <c r="N108" s="156">
        <v>4</v>
      </c>
      <c r="O108" s="130">
        <v>4</v>
      </c>
      <c r="P108" s="183">
        <f t="shared" si="92"/>
        <v>4</v>
      </c>
    </row>
    <row r="109" spans="1:16" x14ac:dyDescent="0.3">
      <c r="A109" s="582" t="s">
        <v>195</v>
      </c>
      <c r="B109" s="583"/>
      <c r="C109" s="11" t="s">
        <v>3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183">
        <f t="shared" si="92"/>
        <v>0</v>
      </c>
    </row>
    <row r="110" spans="1:16" x14ac:dyDescent="0.3">
      <c r="A110" s="582" t="s">
        <v>196</v>
      </c>
      <c r="B110" s="583"/>
      <c r="C110" s="11" t="s">
        <v>3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183">
        <f t="shared" si="92"/>
        <v>0</v>
      </c>
    </row>
    <row r="111" spans="1:16" x14ac:dyDescent="0.3">
      <c r="A111" s="584" t="s">
        <v>95</v>
      </c>
      <c r="B111" s="585"/>
      <c r="C111" s="11" t="s">
        <v>3</v>
      </c>
      <c r="D111" s="33">
        <f>SUM(D107:D110)</f>
        <v>148</v>
      </c>
      <c r="E111" s="33">
        <f t="shared" ref="E111:O111" si="94">SUM(E107:E110)</f>
        <v>151</v>
      </c>
      <c r="F111" s="33">
        <f t="shared" si="94"/>
        <v>153</v>
      </c>
      <c r="G111" s="33">
        <f t="shared" si="94"/>
        <v>157</v>
      </c>
      <c r="H111" s="33">
        <f t="shared" si="94"/>
        <v>164</v>
      </c>
      <c r="I111" s="33">
        <f t="shared" si="94"/>
        <v>156</v>
      </c>
      <c r="J111" s="33">
        <f t="shared" si="94"/>
        <v>157</v>
      </c>
      <c r="K111" s="33">
        <f t="shared" si="94"/>
        <v>158</v>
      </c>
      <c r="L111" s="167">
        <f t="shared" si="94"/>
        <v>147</v>
      </c>
      <c r="M111" s="167">
        <f t="shared" si="94"/>
        <v>147</v>
      </c>
      <c r="N111" s="167">
        <f t="shared" si="94"/>
        <v>151</v>
      </c>
      <c r="O111" s="33">
        <f t="shared" si="94"/>
        <v>154</v>
      </c>
      <c r="P111" s="183">
        <f t="shared" si="92"/>
        <v>154</v>
      </c>
    </row>
    <row r="112" spans="1:16" s="2" customFormat="1" ht="15.6" customHeight="1" x14ac:dyDescent="0.3">
      <c r="A112" s="635" t="s">
        <v>216</v>
      </c>
      <c r="B112" s="636"/>
      <c r="C112" s="636"/>
      <c r="D112" s="636"/>
      <c r="E112" s="636"/>
      <c r="F112" s="636"/>
      <c r="G112" s="636"/>
      <c r="H112" s="636"/>
      <c r="I112" s="636"/>
      <c r="J112" s="636"/>
      <c r="K112" s="636"/>
      <c r="L112" s="636"/>
      <c r="M112" s="636"/>
      <c r="N112" s="636"/>
      <c r="O112" s="636"/>
      <c r="P112" s="637"/>
    </row>
    <row r="113" spans="1:16" x14ac:dyDescent="0.3">
      <c r="A113" s="582" t="s">
        <v>197</v>
      </c>
      <c r="B113" s="583"/>
      <c r="C113" s="11" t="s">
        <v>3</v>
      </c>
      <c r="D113" s="128">
        <v>104</v>
      </c>
      <c r="E113" s="128">
        <v>127</v>
      </c>
      <c r="F113" s="128">
        <v>139</v>
      </c>
      <c r="G113" s="128">
        <v>139</v>
      </c>
      <c r="H113" s="128">
        <v>139</v>
      </c>
      <c r="I113" s="134">
        <v>139</v>
      </c>
      <c r="J113" s="134">
        <v>139</v>
      </c>
      <c r="K113" s="134">
        <v>139</v>
      </c>
      <c r="L113" s="134">
        <v>139</v>
      </c>
      <c r="M113" s="134">
        <v>139</v>
      </c>
      <c r="N113" s="134">
        <v>139</v>
      </c>
      <c r="O113" s="134">
        <v>139</v>
      </c>
      <c r="P113" s="183">
        <f t="shared" si="92"/>
        <v>139</v>
      </c>
    </row>
    <row r="114" spans="1:16" x14ac:dyDescent="0.3">
      <c r="A114" s="582" t="s">
        <v>198</v>
      </c>
      <c r="B114" s="583"/>
      <c r="C114" s="11" t="s">
        <v>3</v>
      </c>
      <c r="D114" s="128"/>
      <c r="E114" s="128"/>
      <c r="F114" s="128"/>
      <c r="G114" s="128"/>
      <c r="H114" s="128"/>
      <c r="I114" s="134"/>
      <c r="J114" s="134"/>
      <c r="K114" s="134"/>
      <c r="L114" s="134"/>
      <c r="M114" s="134"/>
      <c r="N114" s="134"/>
      <c r="O114" s="134"/>
      <c r="P114" s="183">
        <f t="shared" si="92"/>
        <v>0</v>
      </c>
    </row>
    <row r="115" spans="1:16" x14ac:dyDescent="0.3">
      <c r="A115" s="582" t="s">
        <v>199</v>
      </c>
      <c r="B115" s="583"/>
      <c r="C115" s="11" t="s">
        <v>3</v>
      </c>
      <c r="D115" s="128"/>
      <c r="E115" s="128"/>
      <c r="F115" s="128"/>
      <c r="G115" s="128"/>
      <c r="H115" s="128"/>
      <c r="I115" s="134"/>
      <c r="J115" s="134"/>
      <c r="K115" s="134"/>
      <c r="L115" s="134"/>
      <c r="M115" s="134"/>
      <c r="N115" s="134"/>
      <c r="O115" s="134"/>
      <c r="P115" s="183">
        <f t="shared" si="92"/>
        <v>0</v>
      </c>
    </row>
    <row r="116" spans="1:16" x14ac:dyDescent="0.3">
      <c r="A116" s="582" t="s">
        <v>200</v>
      </c>
      <c r="B116" s="583"/>
      <c r="C116" s="11" t="s">
        <v>3</v>
      </c>
      <c r="D116" s="128"/>
      <c r="E116" s="128"/>
      <c r="F116" s="128"/>
      <c r="G116" s="33"/>
      <c r="H116" s="33"/>
      <c r="I116" s="134"/>
      <c r="J116" s="134"/>
      <c r="K116" s="134"/>
      <c r="L116" s="134"/>
      <c r="M116" s="134"/>
      <c r="N116" s="134"/>
      <c r="O116" s="134"/>
      <c r="P116" s="183">
        <f t="shared" si="92"/>
        <v>0</v>
      </c>
    </row>
    <row r="117" spans="1:16" x14ac:dyDescent="0.3">
      <c r="A117" s="584" t="s">
        <v>94</v>
      </c>
      <c r="B117" s="585"/>
      <c r="C117" s="11" t="s">
        <v>3</v>
      </c>
      <c r="D117" s="33">
        <f>SUM(D113:D116)</f>
        <v>104</v>
      </c>
      <c r="E117" s="33">
        <f t="shared" ref="E117:P117" si="95">SUM(E113:E116)</f>
        <v>127</v>
      </c>
      <c r="F117" s="33">
        <f t="shared" si="95"/>
        <v>139</v>
      </c>
      <c r="G117" s="33">
        <f t="shared" ref="G117:H117" si="96">SUM(G113:G116)</f>
        <v>139</v>
      </c>
      <c r="H117" s="33">
        <f t="shared" si="96"/>
        <v>139</v>
      </c>
      <c r="I117" s="33">
        <f t="shared" ref="I117:J117" si="97">SUM(I113:I116)</f>
        <v>139</v>
      </c>
      <c r="J117" s="33">
        <f t="shared" si="97"/>
        <v>139</v>
      </c>
      <c r="K117" s="33">
        <f t="shared" ref="K117:L117" si="98">SUM(K113:K116)</f>
        <v>139</v>
      </c>
      <c r="L117" s="33">
        <f t="shared" si="98"/>
        <v>139</v>
      </c>
      <c r="M117" s="33">
        <f t="shared" ref="M117:N117" si="99">SUM(M113:M116)</f>
        <v>139</v>
      </c>
      <c r="N117" s="33">
        <f t="shared" si="99"/>
        <v>139</v>
      </c>
      <c r="O117" s="33">
        <f t="shared" ref="O117" si="100">SUM(O113:O116)</f>
        <v>139</v>
      </c>
      <c r="P117" s="55">
        <f t="shared" si="95"/>
        <v>139</v>
      </c>
    </row>
    <row r="118" spans="1:16" s="2" customFormat="1" x14ac:dyDescent="0.3">
      <c r="A118" s="80" t="s">
        <v>191</v>
      </c>
      <c r="B118" s="81"/>
      <c r="C118" s="11" t="s">
        <v>3</v>
      </c>
      <c r="D118" s="33">
        <f t="shared" ref="D118:I118" si="101">D111+D117</f>
        <v>252</v>
      </c>
      <c r="E118" s="33">
        <f t="shared" si="101"/>
        <v>278</v>
      </c>
      <c r="F118" s="33">
        <f t="shared" si="101"/>
        <v>292</v>
      </c>
      <c r="G118" s="33">
        <f t="shared" si="101"/>
        <v>296</v>
      </c>
      <c r="H118" s="33">
        <f t="shared" si="101"/>
        <v>303</v>
      </c>
      <c r="I118" s="33">
        <f t="shared" si="101"/>
        <v>295</v>
      </c>
      <c r="J118" s="33">
        <f t="shared" ref="J118" si="102">J111+J117</f>
        <v>296</v>
      </c>
      <c r="K118" s="33">
        <f t="shared" ref="K118:L118" si="103">K111+K117</f>
        <v>297</v>
      </c>
      <c r="L118" s="33">
        <f t="shared" si="103"/>
        <v>286</v>
      </c>
      <c r="M118" s="33">
        <f t="shared" ref="M118:N118" si="104">M111+M117</f>
        <v>286</v>
      </c>
      <c r="N118" s="33">
        <f t="shared" si="104"/>
        <v>290</v>
      </c>
      <c r="O118" s="33">
        <f t="shared" ref="O118:P118" si="105">O111+O117</f>
        <v>293</v>
      </c>
      <c r="P118" s="33">
        <f t="shared" si="105"/>
        <v>293</v>
      </c>
    </row>
    <row r="119" spans="1:16" x14ac:dyDescent="0.3">
      <c r="A119" s="584" t="s">
        <v>192</v>
      </c>
      <c r="B119" s="585"/>
      <c r="C119" s="11" t="s">
        <v>3</v>
      </c>
      <c r="D119" s="33">
        <f t="shared" ref="D119:I119" si="106">D105+D118</f>
        <v>252</v>
      </c>
      <c r="E119" s="33">
        <f t="shared" si="106"/>
        <v>278</v>
      </c>
      <c r="F119" s="33">
        <f t="shared" si="106"/>
        <v>292</v>
      </c>
      <c r="G119" s="33">
        <f t="shared" si="106"/>
        <v>296</v>
      </c>
      <c r="H119" s="33">
        <f t="shared" si="106"/>
        <v>303</v>
      </c>
      <c r="I119" s="33">
        <f t="shared" si="106"/>
        <v>295</v>
      </c>
      <c r="J119" s="33">
        <f t="shared" ref="J119" si="107">J105+J118</f>
        <v>296</v>
      </c>
      <c r="K119" s="33">
        <f t="shared" ref="K119:L119" si="108">K105+K118</f>
        <v>297</v>
      </c>
      <c r="L119" s="33">
        <f t="shared" si="108"/>
        <v>286</v>
      </c>
      <c r="M119" s="33">
        <f t="shared" ref="M119:N119" si="109">M105+M118</f>
        <v>286</v>
      </c>
      <c r="N119" s="33">
        <f t="shared" si="109"/>
        <v>290</v>
      </c>
      <c r="O119" s="33">
        <f t="shared" ref="O119:P119" si="110">O105+O118</f>
        <v>293</v>
      </c>
      <c r="P119" s="33">
        <f t="shared" si="110"/>
        <v>293</v>
      </c>
    </row>
    <row r="120" spans="1:16" ht="14.4" x14ac:dyDescent="0.3">
      <c r="A120" s="586" t="s">
        <v>201</v>
      </c>
      <c r="B120" s="587"/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587"/>
      <c r="O120" s="587"/>
      <c r="P120" s="588"/>
    </row>
    <row r="121" spans="1:16" x14ac:dyDescent="0.3">
      <c r="A121" s="582" t="s">
        <v>93</v>
      </c>
      <c r="B121" s="583"/>
      <c r="C121" s="5" t="s">
        <v>3</v>
      </c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31">
        <f>O121</f>
        <v>0</v>
      </c>
    </row>
    <row r="122" spans="1:16" x14ac:dyDescent="0.3">
      <c r="A122" s="582" t="s">
        <v>92</v>
      </c>
      <c r="B122" s="583"/>
      <c r="C122" s="5" t="s">
        <v>3</v>
      </c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31">
        <f>O122</f>
        <v>0</v>
      </c>
    </row>
    <row r="123" spans="1:16" x14ac:dyDescent="0.3">
      <c r="A123" s="640" t="s">
        <v>91</v>
      </c>
      <c r="B123" s="641"/>
      <c r="C123" s="30" t="s">
        <v>6</v>
      </c>
      <c r="D123" s="29" t="e">
        <f t="shared" ref="D123:P123" si="111">D122/D121</f>
        <v>#DIV/0!</v>
      </c>
      <c r="E123" s="29" t="e">
        <f t="shared" si="111"/>
        <v>#DIV/0!</v>
      </c>
      <c r="F123" s="29" t="e">
        <f t="shared" si="111"/>
        <v>#DIV/0!</v>
      </c>
      <c r="G123" s="29" t="e">
        <f t="shared" si="111"/>
        <v>#DIV/0!</v>
      </c>
      <c r="H123" s="29" t="e">
        <f t="shared" si="111"/>
        <v>#DIV/0!</v>
      </c>
      <c r="I123" s="29" t="e">
        <f t="shared" si="111"/>
        <v>#DIV/0!</v>
      </c>
      <c r="J123" s="29" t="e">
        <f t="shared" si="111"/>
        <v>#DIV/0!</v>
      </c>
      <c r="K123" s="29" t="e">
        <f t="shared" si="111"/>
        <v>#DIV/0!</v>
      </c>
      <c r="L123" s="29" t="e">
        <f t="shared" si="111"/>
        <v>#DIV/0!</v>
      </c>
      <c r="M123" s="29" t="e">
        <f t="shared" si="111"/>
        <v>#DIV/0!</v>
      </c>
      <c r="N123" s="29" t="e">
        <f t="shared" si="111"/>
        <v>#DIV/0!</v>
      </c>
      <c r="O123" s="29" t="e">
        <f t="shared" si="111"/>
        <v>#DIV/0!</v>
      </c>
      <c r="P123" s="516" t="e">
        <f t="shared" si="111"/>
        <v>#DIV/0!</v>
      </c>
    </row>
    <row r="124" spans="1:16" ht="14.4" x14ac:dyDescent="0.3">
      <c r="A124" s="642" t="s">
        <v>90</v>
      </c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3"/>
      <c r="P124" s="644"/>
    </row>
    <row r="125" spans="1:16" x14ac:dyDescent="0.3">
      <c r="A125" s="598" t="s">
        <v>235</v>
      </c>
      <c r="B125" s="24" t="s">
        <v>85</v>
      </c>
      <c r="C125" s="11" t="s">
        <v>3</v>
      </c>
      <c r="D125" s="158">
        <v>3</v>
      </c>
      <c r="E125" s="158">
        <v>2</v>
      </c>
      <c r="F125" s="158">
        <v>1</v>
      </c>
      <c r="G125" s="158"/>
      <c r="H125" s="158"/>
      <c r="I125" s="158"/>
      <c r="J125" s="158"/>
      <c r="K125" s="158"/>
      <c r="L125" s="158"/>
      <c r="M125" s="158"/>
      <c r="N125" s="158"/>
      <c r="O125" s="158"/>
      <c r="P125" s="35">
        <f>D125</f>
        <v>3</v>
      </c>
    </row>
    <row r="126" spans="1:16" x14ac:dyDescent="0.3">
      <c r="A126" s="648"/>
      <c r="B126" s="24" t="s">
        <v>84</v>
      </c>
      <c r="C126" s="11" t="s">
        <v>3</v>
      </c>
      <c r="D126" s="156">
        <v>0</v>
      </c>
      <c r="E126" s="156"/>
      <c r="F126" s="156">
        <v>0</v>
      </c>
      <c r="G126" s="156"/>
      <c r="H126" s="156"/>
      <c r="I126" s="156"/>
      <c r="J126" s="156"/>
      <c r="K126" s="156"/>
      <c r="L126" s="156"/>
      <c r="M126" s="156"/>
      <c r="N126" s="156"/>
      <c r="O126" s="156"/>
      <c r="P126" s="74">
        <f>SUM(D126:O126)</f>
        <v>0</v>
      </c>
    </row>
    <row r="127" spans="1:16" x14ac:dyDescent="0.3">
      <c r="A127" s="648"/>
      <c r="B127" s="82" t="s">
        <v>88</v>
      </c>
      <c r="C127" s="11" t="s">
        <v>3</v>
      </c>
      <c r="D127" s="156">
        <v>1</v>
      </c>
      <c r="E127" s="156">
        <v>1</v>
      </c>
      <c r="F127" s="156">
        <v>1</v>
      </c>
      <c r="G127" s="156"/>
      <c r="H127" s="156"/>
      <c r="I127" s="156"/>
      <c r="J127" s="156"/>
      <c r="K127" s="156"/>
      <c r="L127" s="156"/>
      <c r="M127" s="156"/>
      <c r="N127" s="156"/>
      <c r="O127" s="156"/>
      <c r="P127" s="74">
        <f>SUM(D127:O127)</f>
        <v>3</v>
      </c>
    </row>
    <row r="128" spans="1:16" x14ac:dyDescent="0.3">
      <c r="A128" s="648"/>
      <c r="B128" s="24" t="s">
        <v>82</v>
      </c>
      <c r="C128" s="11" t="s">
        <v>3</v>
      </c>
      <c r="D128" s="156">
        <v>0</v>
      </c>
      <c r="E128" s="156">
        <v>0</v>
      </c>
      <c r="F128" s="156">
        <v>0</v>
      </c>
      <c r="G128" s="156"/>
      <c r="H128" s="156"/>
      <c r="I128" s="156"/>
      <c r="J128" s="156"/>
      <c r="K128" s="156"/>
      <c r="L128" s="156"/>
      <c r="M128" s="156"/>
      <c r="N128" s="156"/>
      <c r="O128" s="156"/>
      <c r="P128" s="74">
        <f>SUM(D128:O128)</f>
        <v>0</v>
      </c>
    </row>
    <row r="129" spans="1:16" x14ac:dyDescent="0.3">
      <c r="A129" s="599"/>
      <c r="B129" s="24" t="s">
        <v>81</v>
      </c>
      <c r="C129" s="11" t="s">
        <v>3</v>
      </c>
      <c r="D129" s="158">
        <f t="shared" ref="D129:I129" si="112">D125+D126-D127-D128</f>
        <v>2</v>
      </c>
      <c r="E129" s="158">
        <f t="shared" si="112"/>
        <v>1</v>
      </c>
      <c r="F129" s="158">
        <f t="shared" si="112"/>
        <v>0</v>
      </c>
      <c r="G129" s="158">
        <f t="shared" si="112"/>
        <v>0</v>
      </c>
      <c r="H129" s="158">
        <f t="shared" si="112"/>
        <v>0</v>
      </c>
      <c r="I129" s="158">
        <f t="shared" si="112"/>
        <v>0</v>
      </c>
      <c r="J129" s="158">
        <f t="shared" ref="J129:K129" si="113">J125+J126-J127-J128</f>
        <v>0</v>
      </c>
      <c r="K129" s="158">
        <f t="shared" si="113"/>
        <v>0</v>
      </c>
      <c r="L129" s="158">
        <f t="shared" ref="L129:M129" si="114">L125+L126-L127-L128</f>
        <v>0</v>
      </c>
      <c r="M129" s="158">
        <f t="shared" si="114"/>
        <v>0</v>
      </c>
      <c r="N129" s="158">
        <f t="shared" ref="N129:O129" si="115">N125+N126-N127-N128</f>
        <v>0</v>
      </c>
      <c r="O129" s="158">
        <f t="shared" si="115"/>
        <v>0</v>
      </c>
      <c r="P129" s="35">
        <f>P125+P126-P127-P128</f>
        <v>0</v>
      </c>
    </row>
    <row r="130" spans="1:16" x14ac:dyDescent="0.3">
      <c r="A130" s="598" t="s">
        <v>236</v>
      </c>
      <c r="B130" s="28" t="s">
        <v>85</v>
      </c>
      <c r="C130" s="27" t="s">
        <v>3</v>
      </c>
      <c r="D130" s="158">
        <v>0</v>
      </c>
      <c r="E130" s="158">
        <v>0</v>
      </c>
      <c r="F130" s="158">
        <v>0</v>
      </c>
      <c r="G130" s="158"/>
      <c r="H130" s="158"/>
      <c r="I130" s="158"/>
      <c r="J130" s="158"/>
      <c r="K130" s="158"/>
      <c r="L130" s="158"/>
      <c r="M130" s="158"/>
      <c r="N130" s="158"/>
      <c r="O130" s="158"/>
      <c r="P130" s="35">
        <f>D130</f>
        <v>0</v>
      </c>
    </row>
    <row r="131" spans="1:16" x14ac:dyDescent="0.3">
      <c r="A131" s="648"/>
      <c r="B131" s="24" t="s">
        <v>84</v>
      </c>
      <c r="C131" s="11" t="s">
        <v>3</v>
      </c>
      <c r="D131" s="156">
        <v>0</v>
      </c>
      <c r="E131" s="156">
        <v>0</v>
      </c>
      <c r="F131" s="156">
        <v>0</v>
      </c>
      <c r="G131" s="156"/>
      <c r="H131" s="156"/>
      <c r="I131" s="156"/>
      <c r="J131" s="156"/>
      <c r="K131" s="156"/>
      <c r="L131" s="156"/>
      <c r="M131" s="156"/>
      <c r="N131" s="156"/>
      <c r="O131" s="156"/>
      <c r="P131" s="74">
        <f>SUM(D131:O131)</f>
        <v>0</v>
      </c>
    </row>
    <row r="132" spans="1:16" x14ac:dyDescent="0.3">
      <c r="A132" s="648"/>
      <c r="B132" s="82" t="s">
        <v>88</v>
      </c>
      <c r="C132" s="11" t="s">
        <v>3</v>
      </c>
      <c r="D132" s="156">
        <v>0</v>
      </c>
      <c r="E132" s="156">
        <v>0</v>
      </c>
      <c r="F132" s="156">
        <v>0</v>
      </c>
      <c r="G132" s="156"/>
      <c r="H132" s="156"/>
      <c r="I132" s="156"/>
      <c r="J132" s="156"/>
      <c r="K132" s="156"/>
      <c r="L132" s="156"/>
      <c r="M132" s="156"/>
      <c r="N132" s="156"/>
      <c r="O132" s="156"/>
      <c r="P132" s="74">
        <f>SUM(D132:O132)</f>
        <v>0</v>
      </c>
    </row>
    <row r="133" spans="1:16" x14ac:dyDescent="0.3">
      <c r="A133" s="648"/>
      <c r="B133" s="24" t="s">
        <v>82</v>
      </c>
      <c r="C133" s="11" t="s">
        <v>3</v>
      </c>
      <c r="D133" s="156">
        <v>0</v>
      </c>
      <c r="E133" s="156">
        <v>0</v>
      </c>
      <c r="F133" s="156">
        <v>0</v>
      </c>
      <c r="G133" s="156"/>
      <c r="H133" s="156"/>
      <c r="I133" s="156"/>
      <c r="J133" s="156"/>
      <c r="K133" s="156"/>
      <c r="L133" s="156"/>
      <c r="M133" s="156"/>
      <c r="N133" s="156"/>
      <c r="O133" s="156"/>
      <c r="P133" s="74">
        <f>SUM(D133:O133)</f>
        <v>0</v>
      </c>
    </row>
    <row r="134" spans="1:16" x14ac:dyDescent="0.3">
      <c r="A134" s="599"/>
      <c r="B134" s="24" t="s">
        <v>81</v>
      </c>
      <c r="C134" s="11" t="s">
        <v>3</v>
      </c>
      <c r="D134" s="158">
        <f t="shared" ref="D134:I134" si="116">D130+D131-D132-D133</f>
        <v>0</v>
      </c>
      <c r="E134" s="158">
        <f t="shared" si="116"/>
        <v>0</v>
      </c>
      <c r="F134" s="158">
        <f t="shared" si="116"/>
        <v>0</v>
      </c>
      <c r="G134" s="158">
        <f t="shared" si="116"/>
        <v>0</v>
      </c>
      <c r="H134" s="158">
        <f t="shared" si="116"/>
        <v>0</v>
      </c>
      <c r="I134" s="158">
        <f t="shared" si="116"/>
        <v>0</v>
      </c>
      <c r="J134" s="158">
        <f t="shared" ref="J134:K134" si="117">J130+J131-J132-J133</f>
        <v>0</v>
      </c>
      <c r="K134" s="158">
        <f t="shared" si="117"/>
        <v>0</v>
      </c>
      <c r="L134" s="158">
        <f t="shared" ref="L134:M134" si="118">L130+L131-L132-L133</f>
        <v>0</v>
      </c>
      <c r="M134" s="158">
        <f t="shared" si="118"/>
        <v>0</v>
      </c>
      <c r="N134" s="158">
        <f t="shared" ref="N134:O134" si="119">N130+N131-N132-N133</f>
        <v>0</v>
      </c>
      <c r="O134" s="158">
        <f t="shared" si="119"/>
        <v>0</v>
      </c>
      <c r="P134" s="35">
        <f>P130+P131-P132-P133</f>
        <v>0</v>
      </c>
    </row>
    <row r="135" spans="1:16" x14ac:dyDescent="0.3">
      <c r="A135" s="598" t="s">
        <v>89</v>
      </c>
      <c r="B135" s="24" t="s">
        <v>85</v>
      </c>
      <c r="C135" s="11" t="s">
        <v>3</v>
      </c>
      <c r="D135" s="158">
        <v>0</v>
      </c>
      <c r="E135" s="158">
        <v>0</v>
      </c>
      <c r="F135" s="158">
        <v>0</v>
      </c>
      <c r="G135" s="158"/>
      <c r="H135" s="158"/>
      <c r="I135" s="158"/>
      <c r="J135" s="158"/>
      <c r="K135" s="158"/>
      <c r="L135" s="158"/>
      <c r="M135" s="158"/>
      <c r="N135" s="158"/>
      <c r="O135" s="158"/>
      <c r="P135" s="35">
        <f>D135</f>
        <v>0</v>
      </c>
    </row>
    <row r="136" spans="1:16" x14ac:dyDescent="0.3">
      <c r="A136" s="648"/>
      <c r="B136" s="24" t="s">
        <v>84</v>
      </c>
      <c r="C136" s="11" t="s">
        <v>3</v>
      </c>
      <c r="D136" s="156">
        <v>0</v>
      </c>
      <c r="E136" s="156">
        <v>0</v>
      </c>
      <c r="F136" s="156">
        <v>0</v>
      </c>
      <c r="G136" s="156"/>
      <c r="H136" s="156"/>
      <c r="I136" s="156"/>
      <c r="J136" s="156"/>
      <c r="K136" s="156"/>
      <c r="L136" s="156"/>
      <c r="M136" s="156"/>
      <c r="N136" s="156"/>
      <c r="O136" s="156"/>
      <c r="P136" s="74">
        <f>SUM(D136:O136)</f>
        <v>0</v>
      </c>
    </row>
    <row r="137" spans="1:16" x14ac:dyDescent="0.3">
      <c r="A137" s="648"/>
      <c r="B137" s="82" t="s">
        <v>88</v>
      </c>
      <c r="C137" s="11" t="s">
        <v>3</v>
      </c>
      <c r="D137" s="156">
        <v>0</v>
      </c>
      <c r="E137" s="156">
        <v>0</v>
      </c>
      <c r="F137" s="156">
        <v>0</v>
      </c>
      <c r="G137" s="156"/>
      <c r="H137" s="156"/>
      <c r="I137" s="156"/>
      <c r="J137" s="156"/>
      <c r="K137" s="156"/>
      <c r="L137" s="156"/>
      <c r="M137" s="156"/>
      <c r="N137" s="156"/>
      <c r="O137" s="156"/>
      <c r="P137" s="74">
        <f>SUM(D137:O137)</f>
        <v>0</v>
      </c>
    </row>
    <row r="138" spans="1:16" x14ac:dyDescent="0.3">
      <c r="A138" s="648"/>
      <c r="B138" s="24" t="s">
        <v>82</v>
      </c>
      <c r="C138" s="11" t="s">
        <v>3</v>
      </c>
      <c r="D138" s="156">
        <v>0</v>
      </c>
      <c r="E138" s="156">
        <v>0</v>
      </c>
      <c r="F138" s="156">
        <v>0</v>
      </c>
      <c r="G138" s="156"/>
      <c r="H138" s="156"/>
      <c r="I138" s="156"/>
      <c r="J138" s="156"/>
      <c r="K138" s="156"/>
      <c r="L138" s="156"/>
      <c r="M138" s="156"/>
      <c r="N138" s="156"/>
      <c r="O138" s="156"/>
      <c r="P138" s="74">
        <f>SUM(D138:O138)</f>
        <v>0</v>
      </c>
    </row>
    <row r="139" spans="1:16" x14ac:dyDescent="0.3">
      <c r="A139" s="599"/>
      <c r="B139" s="24" t="s">
        <v>81</v>
      </c>
      <c r="C139" s="11" t="s">
        <v>3</v>
      </c>
      <c r="D139" s="158">
        <f t="shared" ref="D139:I139" si="120">D135+D136-D137-D138</f>
        <v>0</v>
      </c>
      <c r="E139" s="158">
        <f t="shared" si="120"/>
        <v>0</v>
      </c>
      <c r="F139" s="158">
        <f t="shared" si="120"/>
        <v>0</v>
      </c>
      <c r="G139" s="158">
        <f t="shared" si="120"/>
        <v>0</v>
      </c>
      <c r="H139" s="158">
        <f t="shared" si="120"/>
        <v>0</v>
      </c>
      <c r="I139" s="158">
        <f t="shared" si="120"/>
        <v>0</v>
      </c>
      <c r="J139" s="158">
        <f t="shared" ref="J139:K139" si="121">J135+J136-J137-J138</f>
        <v>0</v>
      </c>
      <c r="K139" s="158">
        <f t="shared" si="121"/>
        <v>0</v>
      </c>
      <c r="L139" s="158">
        <f t="shared" ref="L139:M139" si="122">L135+L136-L137-L138</f>
        <v>0</v>
      </c>
      <c r="M139" s="158">
        <f t="shared" si="122"/>
        <v>0</v>
      </c>
      <c r="N139" s="158">
        <f t="shared" ref="N139:O139" si="123">N135+N136-N137-N138</f>
        <v>0</v>
      </c>
      <c r="O139" s="158">
        <f t="shared" si="123"/>
        <v>0</v>
      </c>
      <c r="P139" s="35">
        <f>P135+P136-P137-P138</f>
        <v>0</v>
      </c>
    </row>
    <row r="140" spans="1:16" x14ac:dyDescent="0.3">
      <c r="A140" s="598" t="s">
        <v>87</v>
      </c>
      <c r="B140" s="24" t="s">
        <v>85</v>
      </c>
      <c r="C140" s="11" t="s">
        <v>3</v>
      </c>
      <c r="D140" s="158">
        <v>3</v>
      </c>
      <c r="E140" s="158">
        <v>1</v>
      </c>
      <c r="F140" s="158">
        <v>0</v>
      </c>
      <c r="G140" s="158">
        <v>2</v>
      </c>
      <c r="H140" s="158">
        <v>0</v>
      </c>
      <c r="I140" s="158"/>
      <c r="J140" s="158">
        <v>1</v>
      </c>
      <c r="K140" s="158">
        <v>4</v>
      </c>
      <c r="L140" s="158">
        <v>2</v>
      </c>
      <c r="M140" s="158">
        <v>3</v>
      </c>
      <c r="N140" s="158"/>
      <c r="O140" s="158"/>
      <c r="P140" s="35">
        <f>D140</f>
        <v>3</v>
      </c>
    </row>
    <row r="141" spans="1:16" x14ac:dyDescent="0.3">
      <c r="A141" s="648"/>
      <c r="B141" s="24" t="s">
        <v>84</v>
      </c>
      <c r="C141" s="11" t="s">
        <v>3</v>
      </c>
      <c r="D141" s="156">
        <v>3</v>
      </c>
      <c r="E141" s="156">
        <v>4</v>
      </c>
      <c r="F141" s="156">
        <v>6</v>
      </c>
      <c r="G141" s="156">
        <v>3</v>
      </c>
      <c r="H141" s="156">
        <v>2</v>
      </c>
      <c r="I141" s="156">
        <v>4</v>
      </c>
      <c r="J141" s="156">
        <v>3</v>
      </c>
      <c r="K141" s="156">
        <v>1</v>
      </c>
      <c r="L141" s="156">
        <v>0</v>
      </c>
      <c r="M141" s="156">
        <v>0</v>
      </c>
      <c r="N141" s="156">
        <v>4</v>
      </c>
      <c r="O141" s="156">
        <v>2</v>
      </c>
      <c r="P141" s="74">
        <f>SUM(D141:O141)</f>
        <v>32</v>
      </c>
    </row>
    <row r="142" spans="1:16" x14ac:dyDescent="0.3">
      <c r="A142" s="648"/>
      <c r="B142" s="24" t="s">
        <v>83</v>
      </c>
      <c r="C142" s="11" t="s">
        <v>3</v>
      </c>
      <c r="D142" s="156">
        <v>4</v>
      </c>
      <c r="E142" s="156">
        <v>4</v>
      </c>
      <c r="F142" s="156">
        <v>3</v>
      </c>
      <c r="G142" s="156">
        <v>5</v>
      </c>
      <c r="H142" s="156">
        <v>2</v>
      </c>
      <c r="I142" s="156">
        <v>3</v>
      </c>
      <c r="J142" s="156"/>
      <c r="K142" s="156">
        <v>2</v>
      </c>
      <c r="L142" s="156">
        <v>0</v>
      </c>
      <c r="M142" s="156">
        <v>0</v>
      </c>
      <c r="N142" s="156">
        <v>2</v>
      </c>
      <c r="O142" s="156">
        <v>0</v>
      </c>
      <c r="P142" s="74">
        <f>SUM(D142:O142)</f>
        <v>25</v>
      </c>
    </row>
    <row r="143" spans="1:16" x14ac:dyDescent="0.3">
      <c r="A143" s="648"/>
      <c r="B143" s="24" t="s">
        <v>82</v>
      </c>
      <c r="C143" s="11" t="s">
        <v>3</v>
      </c>
      <c r="D143" s="156">
        <v>1</v>
      </c>
      <c r="E143" s="156">
        <v>1</v>
      </c>
      <c r="F143" s="156">
        <v>1</v>
      </c>
      <c r="G143" s="156">
        <v>0</v>
      </c>
      <c r="H143" s="156"/>
      <c r="I143" s="156"/>
      <c r="J143" s="156"/>
      <c r="K143" s="156">
        <v>1</v>
      </c>
      <c r="L143" s="156">
        <v>0</v>
      </c>
      <c r="M143" s="156">
        <v>3</v>
      </c>
      <c r="N143" s="156">
        <v>2</v>
      </c>
      <c r="O143" s="156">
        <v>2</v>
      </c>
      <c r="P143" s="74">
        <f>SUM(D143:O143)</f>
        <v>11</v>
      </c>
    </row>
    <row r="144" spans="1:16" x14ac:dyDescent="0.3">
      <c r="A144" s="599"/>
      <c r="B144" s="24" t="s">
        <v>81</v>
      </c>
      <c r="C144" s="11" t="s">
        <v>3</v>
      </c>
      <c r="D144" s="158">
        <f t="shared" ref="D144:I144" si="124">D140+D141-D142-D143</f>
        <v>1</v>
      </c>
      <c r="E144" s="158">
        <f t="shared" si="124"/>
        <v>0</v>
      </c>
      <c r="F144" s="158">
        <f t="shared" si="124"/>
        <v>2</v>
      </c>
      <c r="G144" s="158">
        <f t="shared" si="124"/>
        <v>0</v>
      </c>
      <c r="H144" s="158">
        <v>0</v>
      </c>
      <c r="I144" s="158">
        <f t="shared" si="124"/>
        <v>1</v>
      </c>
      <c r="J144" s="158">
        <f t="shared" ref="J144:K144" si="125">J140+J141-J142-J143</f>
        <v>4</v>
      </c>
      <c r="K144" s="158">
        <f t="shared" si="125"/>
        <v>2</v>
      </c>
      <c r="L144" s="158">
        <f t="shared" ref="L144:M144" si="126">L140+L141-L142-L143</f>
        <v>2</v>
      </c>
      <c r="M144" s="158">
        <f t="shared" si="126"/>
        <v>0</v>
      </c>
      <c r="N144" s="158">
        <f t="shared" ref="N144:O144" si="127">N140+N141-N142-N143</f>
        <v>0</v>
      </c>
      <c r="O144" s="158">
        <f t="shared" si="127"/>
        <v>0</v>
      </c>
      <c r="P144" s="35">
        <f>P140+P141-P142-P143</f>
        <v>-1</v>
      </c>
    </row>
    <row r="145" spans="1:16" s="2" customFormat="1" x14ac:dyDescent="0.3">
      <c r="A145" s="598" t="s">
        <v>86</v>
      </c>
      <c r="B145" s="24" t="s">
        <v>85</v>
      </c>
      <c r="C145" s="11" t="s">
        <v>3</v>
      </c>
      <c r="D145" s="23">
        <f t="shared" ref="D145:I145" si="128">D125+D130+D135+D140</f>
        <v>6</v>
      </c>
      <c r="E145" s="23">
        <f t="shared" si="128"/>
        <v>3</v>
      </c>
      <c r="F145" s="23">
        <f t="shared" si="128"/>
        <v>1</v>
      </c>
      <c r="G145" s="23">
        <f t="shared" si="128"/>
        <v>2</v>
      </c>
      <c r="H145" s="23">
        <f t="shared" si="128"/>
        <v>0</v>
      </c>
      <c r="I145" s="23">
        <f t="shared" si="128"/>
        <v>0</v>
      </c>
      <c r="J145" s="23">
        <f t="shared" ref="J145:K145" si="129">J125+J130+J135+J140</f>
        <v>1</v>
      </c>
      <c r="K145" s="23">
        <f t="shared" si="129"/>
        <v>4</v>
      </c>
      <c r="L145" s="23">
        <f t="shared" ref="L145:M145" si="130">L125+L130+L135+L140</f>
        <v>2</v>
      </c>
      <c r="M145" s="23">
        <f t="shared" si="130"/>
        <v>3</v>
      </c>
      <c r="N145" s="23">
        <f t="shared" ref="N145:O145" si="131">N125+N130+N135+N140</f>
        <v>0</v>
      </c>
      <c r="O145" s="23">
        <f t="shared" si="131"/>
        <v>0</v>
      </c>
      <c r="P145" s="110">
        <f t="shared" ref="P145:P149" si="132">P125+P130+P135+P140</f>
        <v>6</v>
      </c>
    </row>
    <row r="146" spans="1:16" x14ac:dyDescent="0.3">
      <c r="A146" s="648"/>
      <c r="B146" s="24" t="s">
        <v>84</v>
      </c>
      <c r="C146" s="11" t="s">
        <v>3</v>
      </c>
      <c r="D146" s="23">
        <f t="shared" ref="D146:E148" si="133">D126+D131+D136+D141</f>
        <v>3</v>
      </c>
      <c r="E146" s="23">
        <f t="shared" si="133"/>
        <v>4</v>
      </c>
      <c r="F146" s="23">
        <f t="shared" ref="F146:G146" si="134">F126+F131+F136+F141</f>
        <v>6</v>
      </c>
      <c r="G146" s="23">
        <f t="shared" si="134"/>
        <v>3</v>
      </c>
      <c r="H146" s="23">
        <f t="shared" ref="H146:I146" si="135">H126+H131+H136+H141</f>
        <v>2</v>
      </c>
      <c r="I146" s="23">
        <f t="shared" si="135"/>
        <v>4</v>
      </c>
      <c r="J146" s="23">
        <f t="shared" ref="J146:K146" si="136">J126+J131+J136+J141</f>
        <v>3</v>
      </c>
      <c r="K146" s="23">
        <f t="shared" si="136"/>
        <v>1</v>
      </c>
      <c r="L146" s="23">
        <f t="shared" ref="L146:M146" si="137">L126+L131+L136+L141</f>
        <v>0</v>
      </c>
      <c r="M146" s="23">
        <f t="shared" si="137"/>
        <v>0</v>
      </c>
      <c r="N146" s="23">
        <f t="shared" ref="N146:O146" si="138">N126+N131+N136+N141</f>
        <v>4</v>
      </c>
      <c r="O146" s="23">
        <f t="shared" si="138"/>
        <v>2</v>
      </c>
      <c r="P146" s="110">
        <f t="shared" si="132"/>
        <v>32</v>
      </c>
    </row>
    <row r="147" spans="1:16" x14ac:dyDescent="0.3">
      <c r="A147" s="648"/>
      <c r="B147" s="24" t="s">
        <v>83</v>
      </c>
      <c r="C147" s="11" t="s">
        <v>3</v>
      </c>
      <c r="D147" s="23">
        <f t="shared" si="133"/>
        <v>5</v>
      </c>
      <c r="E147" s="23">
        <f t="shared" si="133"/>
        <v>5</v>
      </c>
      <c r="F147" s="23">
        <f t="shared" ref="F147:G147" si="139">F127+F132+F137+F142</f>
        <v>4</v>
      </c>
      <c r="G147" s="23">
        <f t="shared" si="139"/>
        <v>5</v>
      </c>
      <c r="H147" s="23">
        <f t="shared" ref="H147:I147" si="140">H127+H132+H137+H142</f>
        <v>2</v>
      </c>
      <c r="I147" s="23">
        <f t="shared" si="140"/>
        <v>3</v>
      </c>
      <c r="J147" s="23">
        <f t="shared" ref="J147:K147" si="141">J127+J132+J137+J142</f>
        <v>0</v>
      </c>
      <c r="K147" s="23">
        <f t="shared" si="141"/>
        <v>2</v>
      </c>
      <c r="L147" s="23">
        <f t="shared" ref="L147:M147" si="142">L127+L132+L137+L142</f>
        <v>0</v>
      </c>
      <c r="M147" s="23">
        <f t="shared" si="142"/>
        <v>0</v>
      </c>
      <c r="N147" s="23">
        <f t="shared" ref="N147:O147" si="143">N127+N132+N137+N142</f>
        <v>2</v>
      </c>
      <c r="O147" s="23">
        <f t="shared" si="143"/>
        <v>0</v>
      </c>
      <c r="P147" s="110">
        <f t="shared" si="132"/>
        <v>28</v>
      </c>
    </row>
    <row r="148" spans="1:16" x14ac:dyDescent="0.3">
      <c r="A148" s="648"/>
      <c r="B148" s="24" t="s">
        <v>82</v>
      </c>
      <c r="C148" s="11" t="s">
        <v>3</v>
      </c>
      <c r="D148" s="23">
        <f t="shared" si="133"/>
        <v>1</v>
      </c>
      <c r="E148" s="23">
        <f t="shared" si="133"/>
        <v>1</v>
      </c>
      <c r="F148" s="23">
        <f t="shared" ref="F148:G148" si="144">F128+F133+F138+F143</f>
        <v>1</v>
      </c>
      <c r="G148" s="23">
        <f t="shared" si="144"/>
        <v>0</v>
      </c>
      <c r="H148" s="23">
        <f t="shared" ref="H148:I148" si="145">H128+H133+H138+H143</f>
        <v>0</v>
      </c>
      <c r="I148" s="23">
        <f t="shared" si="145"/>
        <v>0</v>
      </c>
      <c r="J148" s="23">
        <f t="shared" ref="J148:K148" si="146">J128+J133+J138+J143</f>
        <v>0</v>
      </c>
      <c r="K148" s="23">
        <f t="shared" si="146"/>
        <v>1</v>
      </c>
      <c r="L148" s="23">
        <f t="shared" ref="L148:M148" si="147">L128+L133+L138+L143</f>
        <v>0</v>
      </c>
      <c r="M148" s="23">
        <f t="shared" si="147"/>
        <v>3</v>
      </c>
      <c r="N148" s="23">
        <f t="shared" ref="N148:O148" si="148">N128+N133+N138+N143</f>
        <v>2</v>
      </c>
      <c r="O148" s="23">
        <f t="shared" si="148"/>
        <v>2</v>
      </c>
      <c r="P148" s="110">
        <f t="shared" si="132"/>
        <v>11</v>
      </c>
    </row>
    <row r="149" spans="1:16" x14ac:dyDescent="0.3">
      <c r="A149" s="599"/>
      <c r="B149" s="24" t="s">
        <v>81</v>
      </c>
      <c r="C149" s="11" t="s">
        <v>3</v>
      </c>
      <c r="D149" s="158">
        <f t="shared" ref="D149:I149" si="149">D145+D146-D147-D148</f>
        <v>3</v>
      </c>
      <c r="E149" s="158">
        <f t="shared" si="149"/>
        <v>1</v>
      </c>
      <c r="F149" s="158">
        <f t="shared" si="149"/>
        <v>2</v>
      </c>
      <c r="G149" s="158">
        <f t="shared" si="149"/>
        <v>0</v>
      </c>
      <c r="H149" s="158">
        <f t="shared" si="149"/>
        <v>0</v>
      </c>
      <c r="I149" s="158">
        <f t="shared" si="149"/>
        <v>1</v>
      </c>
      <c r="J149" s="158">
        <f t="shared" ref="J149:K149" si="150">J145+J146-J147-J148</f>
        <v>4</v>
      </c>
      <c r="K149" s="158">
        <f t="shared" si="150"/>
        <v>2</v>
      </c>
      <c r="L149" s="158">
        <f t="shared" ref="L149:M149" si="151">L145+L146-L147-L148</f>
        <v>2</v>
      </c>
      <c r="M149" s="158">
        <f t="shared" si="151"/>
        <v>0</v>
      </c>
      <c r="N149" s="158">
        <f t="shared" ref="N149:O149" si="152">N145+N146-N147-N148</f>
        <v>0</v>
      </c>
      <c r="O149" s="158">
        <f t="shared" si="152"/>
        <v>0</v>
      </c>
      <c r="P149" s="110">
        <f t="shared" si="132"/>
        <v>-1</v>
      </c>
    </row>
    <row r="150" spans="1:16" ht="14.4" x14ac:dyDescent="0.3">
      <c r="A150" s="586" t="s">
        <v>80</v>
      </c>
      <c r="B150" s="587"/>
      <c r="C150" s="587"/>
      <c r="D150" s="587"/>
      <c r="E150" s="587"/>
      <c r="F150" s="587"/>
      <c r="G150" s="587"/>
      <c r="H150" s="587"/>
      <c r="I150" s="587"/>
      <c r="J150" s="587"/>
      <c r="K150" s="587"/>
      <c r="L150" s="587"/>
      <c r="M150" s="587"/>
      <c r="N150" s="587"/>
      <c r="O150" s="587"/>
      <c r="P150" s="588"/>
    </row>
    <row r="151" spans="1:16" x14ac:dyDescent="0.3">
      <c r="A151" s="582" t="s">
        <v>79</v>
      </c>
      <c r="B151" s="583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9"/>
    </row>
    <row r="152" spans="1:16" x14ac:dyDescent="0.3">
      <c r="A152" s="645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9"/>
    </row>
    <row r="153" spans="1:16" x14ac:dyDescent="0.3">
      <c r="A153" s="646"/>
      <c r="B153" s="19" t="s">
        <v>73</v>
      </c>
      <c r="C153" s="11" t="s">
        <v>57</v>
      </c>
      <c r="D153" s="156">
        <v>9</v>
      </c>
      <c r="E153" s="156">
        <v>9</v>
      </c>
      <c r="F153" s="156">
        <v>11</v>
      </c>
      <c r="G153" s="156">
        <v>8</v>
      </c>
      <c r="H153" s="156">
        <v>12</v>
      </c>
      <c r="I153" s="156">
        <v>11</v>
      </c>
      <c r="J153" s="4">
        <v>9</v>
      </c>
      <c r="K153" s="156">
        <v>11</v>
      </c>
      <c r="L153" s="156">
        <v>11</v>
      </c>
      <c r="M153" s="156">
        <v>9</v>
      </c>
      <c r="N153" s="156">
        <v>10</v>
      </c>
      <c r="O153" s="156">
        <v>17</v>
      </c>
      <c r="P153" s="74">
        <f t="shared" ref="P153:P165" si="153">SUM(D153:O153)</f>
        <v>127</v>
      </c>
    </row>
    <row r="154" spans="1:16" x14ac:dyDescent="0.3">
      <c r="A154" s="646"/>
      <c r="B154" s="19" t="s">
        <v>72</v>
      </c>
      <c r="C154" s="11" t="s">
        <v>57</v>
      </c>
      <c r="D154" s="156">
        <v>4</v>
      </c>
      <c r="E154" s="156">
        <v>7</v>
      </c>
      <c r="F154" s="156">
        <v>8</v>
      </c>
      <c r="G154" s="156">
        <v>5</v>
      </c>
      <c r="H154" s="156">
        <v>8</v>
      </c>
      <c r="I154" s="156">
        <v>8</v>
      </c>
      <c r="J154" s="4">
        <v>5</v>
      </c>
      <c r="K154" s="156">
        <v>9</v>
      </c>
      <c r="L154" s="156">
        <v>6</v>
      </c>
      <c r="M154" s="156">
        <v>7</v>
      </c>
      <c r="N154" s="156">
        <v>7</v>
      </c>
      <c r="O154" s="156">
        <v>11</v>
      </c>
      <c r="P154" s="74">
        <f t="shared" si="153"/>
        <v>85</v>
      </c>
    </row>
    <row r="155" spans="1:16" x14ac:dyDescent="0.3">
      <c r="A155" s="646"/>
      <c r="B155" s="19" t="s">
        <v>53</v>
      </c>
      <c r="C155" s="11" t="s">
        <v>57</v>
      </c>
      <c r="D155" s="156">
        <v>3</v>
      </c>
      <c r="E155" s="156">
        <v>6</v>
      </c>
      <c r="F155" s="156">
        <v>5</v>
      </c>
      <c r="G155" s="156">
        <v>8</v>
      </c>
      <c r="H155" s="156">
        <v>4</v>
      </c>
      <c r="I155" s="156">
        <v>7</v>
      </c>
      <c r="J155" s="4">
        <v>14</v>
      </c>
      <c r="K155" s="156">
        <v>6</v>
      </c>
      <c r="L155" s="156">
        <v>7</v>
      </c>
      <c r="M155" s="156">
        <v>8</v>
      </c>
      <c r="N155" s="156">
        <v>5</v>
      </c>
      <c r="O155" s="156">
        <v>9</v>
      </c>
      <c r="P155" s="74">
        <f t="shared" si="153"/>
        <v>82</v>
      </c>
    </row>
    <row r="156" spans="1:16" x14ac:dyDescent="0.3">
      <c r="A156" s="646"/>
      <c r="B156" s="19" t="s">
        <v>71</v>
      </c>
      <c r="C156" s="11" t="s">
        <v>57</v>
      </c>
      <c r="D156" s="156">
        <v>2</v>
      </c>
      <c r="E156" s="156">
        <v>6</v>
      </c>
      <c r="F156" s="156">
        <v>3</v>
      </c>
      <c r="G156" s="156">
        <v>2</v>
      </c>
      <c r="H156" s="156">
        <v>1</v>
      </c>
      <c r="I156" s="156">
        <v>5</v>
      </c>
      <c r="J156" s="4">
        <v>7</v>
      </c>
      <c r="K156" s="156">
        <v>3</v>
      </c>
      <c r="L156" s="156">
        <v>2</v>
      </c>
      <c r="M156" s="156">
        <v>4</v>
      </c>
      <c r="N156" s="156">
        <v>2</v>
      </c>
      <c r="O156" s="156">
        <v>2</v>
      </c>
      <c r="P156" s="74">
        <f t="shared" si="153"/>
        <v>39</v>
      </c>
    </row>
    <row r="157" spans="1:16" x14ac:dyDescent="0.3">
      <c r="A157" s="646"/>
      <c r="B157" s="19" t="s">
        <v>52</v>
      </c>
      <c r="C157" s="11" t="s">
        <v>57</v>
      </c>
      <c r="D157" s="156">
        <v>1</v>
      </c>
      <c r="E157" s="156">
        <v>2</v>
      </c>
      <c r="F157" s="156">
        <v>1</v>
      </c>
      <c r="G157" s="156">
        <v>1</v>
      </c>
      <c r="H157" s="156">
        <v>2</v>
      </c>
      <c r="I157" s="156">
        <v>2</v>
      </c>
      <c r="J157" s="4">
        <v>2</v>
      </c>
      <c r="K157" s="156">
        <v>2</v>
      </c>
      <c r="L157" s="156">
        <v>7</v>
      </c>
      <c r="M157" s="156">
        <v>3</v>
      </c>
      <c r="N157" s="156">
        <v>3</v>
      </c>
      <c r="O157" s="156">
        <v>2</v>
      </c>
      <c r="P157" s="74">
        <f t="shared" si="153"/>
        <v>28</v>
      </c>
    </row>
    <row r="158" spans="1:16" x14ac:dyDescent="0.3">
      <c r="A158" s="646"/>
      <c r="B158" s="19" t="s">
        <v>51</v>
      </c>
      <c r="C158" s="11" t="s">
        <v>57</v>
      </c>
      <c r="D158" s="156">
        <v>1</v>
      </c>
      <c r="E158" s="156">
        <v>2</v>
      </c>
      <c r="F158" s="156">
        <v>2</v>
      </c>
      <c r="G158" s="156">
        <v>3</v>
      </c>
      <c r="H158" s="156">
        <v>2</v>
      </c>
      <c r="I158" s="156">
        <v>3</v>
      </c>
      <c r="J158" s="4">
        <v>4</v>
      </c>
      <c r="K158" s="156">
        <v>3</v>
      </c>
      <c r="L158" s="156">
        <v>3</v>
      </c>
      <c r="M158" s="156">
        <v>3</v>
      </c>
      <c r="N158" s="156">
        <v>2</v>
      </c>
      <c r="O158" s="156">
        <v>0</v>
      </c>
      <c r="P158" s="74">
        <f t="shared" si="153"/>
        <v>28</v>
      </c>
    </row>
    <row r="159" spans="1:16" x14ac:dyDescent="0.3">
      <c r="A159" s="646"/>
      <c r="B159" s="19" t="s">
        <v>62</v>
      </c>
      <c r="C159" s="11" t="s">
        <v>57</v>
      </c>
      <c r="D159" s="156">
        <v>0</v>
      </c>
      <c r="E159" s="156">
        <v>0</v>
      </c>
      <c r="F159" s="156">
        <v>0</v>
      </c>
      <c r="G159" s="156">
        <v>0</v>
      </c>
      <c r="H159" s="156">
        <v>0</v>
      </c>
      <c r="I159" s="156"/>
      <c r="J159" s="4">
        <v>0</v>
      </c>
      <c r="K159" s="156">
        <v>0</v>
      </c>
      <c r="L159" s="156">
        <v>0</v>
      </c>
      <c r="M159" s="156">
        <v>0</v>
      </c>
      <c r="N159" s="156">
        <v>0</v>
      </c>
      <c r="O159" s="156"/>
      <c r="P159" s="74">
        <f t="shared" si="153"/>
        <v>0</v>
      </c>
    </row>
    <row r="160" spans="1:16" x14ac:dyDescent="0.3">
      <c r="A160" s="646"/>
      <c r="B160" s="19" t="s">
        <v>50</v>
      </c>
      <c r="C160" s="11" t="s">
        <v>57</v>
      </c>
      <c r="D160" s="156">
        <v>1</v>
      </c>
      <c r="E160" s="156">
        <v>0</v>
      </c>
      <c r="F160" s="156">
        <v>1</v>
      </c>
      <c r="G160" s="156">
        <v>1</v>
      </c>
      <c r="H160" s="156">
        <v>1</v>
      </c>
      <c r="I160" s="156">
        <v>1</v>
      </c>
      <c r="J160" s="4">
        <v>2</v>
      </c>
      <c r="K160" s="156">
        <v>2</v>
      </c>
      <c r="L160" s="156">
        <v>0</v>
      </c>
      <c r="M160" s="156">
        <v>2</v>
      </c>
      <c r="N160" s="156">
        <v>1</v>
      </c>
      <c r="O160" s="156"/>
      <c r="P160" s="74">
        <f t="shared" si="153"/>
        <v>12</v>
      </c>
    </row>
    <row r="161" spans="1:16" x14ac:dyDescent="0.3">
      <c r="A161" s="646"/>
      <c r="B161" s="19" t="s">
        <v>49</v>
      </c>
      <c r="C161" s="11" t="s">
        <v>57</v>
      </c>
      <c r="D161" s="156">
        <v>1</v>
      </c>
      <c r="E161" s="156">
        <v>1</v>
      </c>
      <c r="F161" s="156">
        <v>0</v>
      </c>
      <c r="G161" s="156">
        <v>0</v>
      </c>
      <c r="H161" s="156">
        <v>0</v>
      </c>
      <c r="I161" s="156"/>
      <c r="J161" s="4">
        <v>0</v>
      </c>
      <c r="K161" s="156"/>
      <c r="L161" s="156"/>
      <c r="M161" s="156"/>
      <c r="N161" s="156"/>
      <c r="O161" s="156"/>
      <c r="P161" s="74">
        <f t="shared" si="153"/>
        <v>2</v>
      </c>
    </row>
    <row r="162" spans="1:16" x14ac:dyDescent="0.3">
      <c r="A162" s="646"/>
      <c r="B162" s="19" t="s">
        <v>77</v>
      </c>
      <c r="C162" s="11" t="s">
        <v>57</v>
      </c>
      <c r="D162" s="156">
        <v>0</v>
      </c>
      <c r="E162" s="156">
        <v>0</v>
      </c>
      <c r="F162" s="156">
        <v>0</v>
      </c>
      <c r="G162" s="156">
        <v>0</v>
      </c>
      <c r="H162" s="156">
        <v>0</v>
      </c>
      <c r="I162" s="156"/>
      <c r="J162" s="4">
        <v>0</v>
      </c>
      <c r="K162" s="156"/>
      <c r="L162" s="156"/>
      <c r="M162" s="156"/>
      <c r="N162" s="156"/>
      <c r="O162" s="156"/>
      <c r="P162" s="74">
        <f t="shared" si="153"/>
        <v>0</v>
      </c>
    </row>
    <row r="163" spans="1:16" x14ac:dyDescent="0.3">
      <c r="A163" s="646"/>
      <c r="B163" s="19" t="s">
        <v>69</v>
      </c>
      <c r="C163" s="11" t="s">
        <v>57</v>
      </c>
      <c r="D163" s="156">
        <v>0</v>
      </c>
      <c r="E163" s="156">
        <v>0</v>
      </c>
      <c r="F163" s="156">
        <v>0</v>
      </c>
      <c r="G163" s="156">
        <v>0</v>
      </c>
      <c r="H163" s="156">
        <v>0</v>
      </c>
      <c r="I163" s="156"/>
      <c r="J163" s="4">
        <v>0</v>
      </c>
      <c r="K163" s="156"/>
      <c r="L163" s="156"/>
      <c r="M163" s="156"/>
      <c r="N163" s="156"/>
      <c r="O163" s="156"/>
      <c r="P163" s="74">
        <f t="shared" si="153"/>
        <v>0</v>
      </c>
    </row>
    <row r="164" spans="1:16" x14ac:dyDescent="0.3">
      <c r="A164" s="646"/>
      <c r="B164" s="19" t="s">
        <v>68</v>
      </c>
      <c r="C164" s="11" t="s">
        <v>57</v>
      </c>
      <c r="D164" s="156"/>
      <c r="E164" s="156">
        <v>0</v>
      </c>
      <c r="F164" s="156">
        <v>0</v>
      </c>
      <c r="G164" s="156">
        <v>0</v>
      </c>
      <c r="H164" s="156">
        <v>0</v>
      </c>
      <c r="I164" s="156"/>
      <c r="J164" s="4">
        <v>0</v>
      </c>
      <c r="K164" s="156"/>
      <c r="L164" s="156"/>
      <c r="M164" s="156"/>
      <c r="N164" s="156"/>
      <c r="O164" s="156"/>
      <c r="P164" s="74">
        <f t="shared" si="153"/>
        <v>0</v>
      </c>
    </row>
    <row r="165" spans="1:16" x14ac:dyDescent="0.3">
      <c r="A165" s="647"/>
      <c r="B165" s="19" t="s">
        <v>76</v>
      </c>
      <c r="C165" s="11" t="s">
        <v>57</v>
      </c>
      <c r="D165" s="156">
        <v>0</v>
      </c>
      <c r="E165" s="156">
        <v>0</v>
      </c>
      <c r="F165" s="156">
        <v>0</v>
      </c>
      <c r="G165" s="156"/>
      <c r="H165" s="156">
        <v>0</v>
      </c>
      <c r="I165" s="156"/>
      <c r="J165" s="4">
        <v>0</v>
      </c>
      <c r="K165" s="156"/>
      <c r="L165" s="156"/>
      <c r="M165" s="156"/>
      <c r="N165" s="156"/>
      <c r="O165" s="156"/>
      <c r="P165" s="74">
        <f t="shared" si="153"/>
        <v>0</v>
      </c>
    </row>
    <row r="166" spans="1:16" x14ac:dyDescent="0.3">
      <c r="A166" s="645" t="s">
        <v>75</v>
      </c>
      <c r="B166" s="21" t="s">
        <v>63</v>
      </c>
      <c r="C166" s="11"/>
      <c r="D166" s="156"/>
      <c r="E166" s="156"/>
      <c r="F166" s="156"/>
      <c r="G166" s="156"/>
      <c r="H166" s="156"/>
      <c r="I166" s="156"/>
      <c r="J166" s="4"/>
      <c r="K166" s="156"/>
      <c r="L166" s="156"/>
      <c r="M166" s="156"/>
      <c r="N166" s="156"/>
      <c r="O166" s="156"/>
      <c r="P166" s="74"/>
    </row>
    <row r="167" spans="1:16" x14ac:dyDescent="0.3">
      <c r="A167" s="646"/>
      <c r="B167" s="19" t="s">
        <v>74</v>
      </c>
      <c r="C167" s="11" t="s">
        <v>57</v>
      </c>
      <c r="D167" s="156">
        <v>0</v>
      </c>
      <c r="E167" s="156">
        <v>0</v>
      </c>
      <c r="F167" s="156">
        <v>1</v>
      </c>
      <c r="G167" s="156">
        <v>1</v>
      </c>
      <c r="H167" s="156">
        <v>0</v>
      </c>
      <c r="I167" s="156">
        <v>2</v>
      </c>
      <c r="J167" s="4">
        <v>0</v>
      </c>
      <c r="K167" s="156">
        <v>2</v>
      </c>
      <c r="L167" s="156"/>
      <c r="M167" s="156">
        <v>1</v>
      </c>
      <c r="N167" s="156">
        <v>1</v>
      </c>
      <c r="O167" s="156">
        <v>0</v>
      </c>
      <c r="P167" s="74">
        <f t="shared" ref="P167:P175" si="154">SUM(D167:O167)</f>
        <v>8</v>
      </c>
    </row>
    <row r="168" spans="1:16" x14ac:dyDescent="0.3">
      <c r="A168" s="646"/>
      <c r="B168" s="19" t="s">
        <v>73</v>
      </c>
      <c r="C168" s="11" t="s">
        <v>57</v>
      </c>
      <c r="D168" s="156">
        <v>0</v>
      </c>
      <c r="E168" s="156">
        <v>0</v>
      </c>
      <c r="F168" s="156">
        <v>0</v>
      </c>
      <c r="G168" s="156"/>
      <c r="H168" s="156">
        <v>0</v>
      </c>
      <c r="I168" s="156"/>
      <c r="J168" s="4">
        <v>1</v>
      </c>
      <c r="K168" s="156"/>
      <c r="L168" s="156">
        <v>2</v>
      </c>
      <c r="M168" s="156">
        <v>1</v>
      </c>
      <c r="N168" s="156">
        <v>3</v>
      </c>
      <c r="O168" s="156">
        <v>2</v>
      </c>
      <c r="P168" s="74">
        <f t="shared" si="154"/>
        <v>9</v>
      </c>
    </row>
    <row r="169" spans="1:16" x14ac:dyDescent="0.3">
      <c r="A169" s="646"/>
      <c r="B169" s="19" t="s">
        <v>72</v>
      </c>
      <c r="C169" s="11" t="s">
        <v>57</v>
      </c>
      <c r="D169" s="156">
        <v>0</v>
      </c>
      <c r="E169" s="156">
        <v>0</v>
      </c>
      <c r="F169" s="156">
        <v>0</v>
      </c>
      <c r="G169" s="156"/>
      <c r="H169" s="156">
        <v>0</v>
      </c>
      <c r="I169" s="156"/>
      <c r="J169" s="4">
        <v>0</v>
      </c>
      <c r="K169" s="156"/>
      <c r="L169" s="156"/>
      <c r="M169" s="156"/>
      <c r="N169" s="156"/>
      <c r="O169" s="156">
        <v>0</v>
      </c>
      <c r="P169" s="74">
        <f t="shared" si="154"/>
        <v>0</v>
      </c>
    </row>
    <row r="170" spans="1:16" x14ac:dyDescent="0.3">
      <c r="A170" s="646"/>
      <c r="B170" s="19" t="s">
        <v>71</v>
      </c>
      <c r="C170" s="11" t="s">
        <v>57</v>
      </c>
      <c r="D170" s="156">
        <v>0</v>
      </c>
      <c r="E170" s="156">
        <v>0</v>
      </c>
      <c r="F170" s="156">
        <v>0</v>
      </c>
      <c r="G170" s="156"/>
      <c r="H170" s="156">
        <v>0</v>
      </c>
      <c r="I170" s="156"/>
      <c r="J170" s="4">
        <v>0</v>
      </c>
      <c r="K170" s="156"/>
      <c r="L170" s="156"/>
      <c r="M170" s="156"/>
      <c r="N170" s="156"/>
      <c r="O170" s="156">
        <v>0</v>
      </c>
      <c r="P170" s="74">
        <f t="shared" si="154"/>
        <v>0</v>
      </c>
    </row>
    <row r="171" spans="1:16" x14ac:dyDescent="0.3">
      <c r="A171" s="646"/>
      <c r="B171" s="19" t="s">
        <v>52</v>
      </c>
      <c r="C171" s="11" t="s">
        <v>57</v>
      </c>
      <c r="D171" s="156">
        <v>0</v>
      </c>
      <c r="E171" s="156">
        <v>0</v>
      </c>
      <c r="F171" s="156">
        <v>0</v>
      </c>
      <c r="G171" s="156"/>
      <c r="H171" s="156">
        <v>2</v>
      </c>
      <c r="I171" s="156">
        <v>2</v>
      </c>
      <c r="J171" s="4">
        <v>0</v>
      </c>
      <c r="K171" s="156">
        <v>4</v>
      </c>
      <c r="L171" s="156">
        <v>2</v>
      </c>
      <c r="M171" s="156">
        <v>2</v>
      </c>
      <c r="N171" s="156">
        <v>2</v>
      </c>
      <c r="O171" s="156">
        <v>0</v>
      </c>
      <c r="P171" s="74">
        <f t="shared" si="154"/>
        <v>14</v>
      </c>
    </row>
    <row r="172" spans="1:16" x14ac:dyDescent="0.3">
      <c r="A172" s="646"/>
      <c r="B172" s="19" t="s">
        <v>62</v>
      </c>
      <c r="C172" s="11" t="s">
        <v>57</v>
      </c>
      <c r="D172" s="156">
        <v>0</v>
      </c>
      <c r="E172" s="156">
        <v>0</v>
      </c>
      <c r="F172" s="156">
        <v>0</v>
      </c>
      <c r="G172" s="156"/>
      <c r="H172" s="156"/>
      <c r="I172" s="156"/>
      <c r="J172" s="4"/>
      <c r="K172" s="156"/>
      <c r="L172" s="156"/>
      <c r="M172" s="156"/>
      <c r="N172" s="156"/>
      <c r="O172" s="156">
        <v>0</v>
      </c>
      <c r="P172" s="74">
        <f t="shared" si="154"/>
        <v>0</v>
      </c>
    </row>
    <row r="173" spans="1:16" x14ac:dyDescent="0.3">
      <c r="A173" s="646"/>
      <c r="B173" s="19" t="s">
        <v>61</v>
      </c>
      <c r="C173" s="11" t="s">
        <v>57</v>
      </c>
      <c r="D173" s="156">
        <v>0</v>
      </c>
      <c r="E173" s="156">
        <v>0</v>
      </c>
      <c r="F173" s="156">
        <v>0</v>
      </c>
      <c r="G173" s="156"/>
      <c r="H173" s="156"/>
      <c r="I173" s="156"/>
      <c r="J173" s="4">
        <v>0</v>
      </c>
      <c r="K173" s="156"/>
      <c r="L173" s="156"/>
      <c r="M173" s="156"/>
      <c r="N173" s="156"/>
      <c r="O173" s="156">
        <v>0</v>
      </c>
      <c r="P173" s="74">
        <f t="shared" si="154"/>
        <v>0</v>
      </c>
    </row>
    <row r="174" spans="1:16" x14ac:dyDescent="0.3">
      <c r="A174" s="646"/>
      <c r="B174" s="19" t="s">
        <v>60</v>
      </c>
      <c r="C174" s="11" t="s">
        <v>57</v>
      </c>
      <c r="D174" s="156">
        <v>0</v>
      </c>
      <c r="E174" s="156">
        <v>0</v>
      </c>
      <c r="F174" s="156">
        <v>0</v>
      </c>
      <c r="G174" s="156"/>
      <c r="H174" s="156"/>
      <c r="I174" s="156"/>
      <c r="J174" s="156"/>
      <c r="K174" s="156"/>
      <c r="L174" s="156"/>
      <c r="M174" s="156"/>
      <c r="N174" s="156"/>
      <c r="O174" s="156">
        <v>0</v>
      </c>
      <c r="P174" s="74">
        <f t="shared" si="154"/>
        <v>0</v>
      </c>
    </row>
    <row r="175" spans="1:16" x14ac:dyDescent="0.3">
      <c r="A175" s="647"/>
      <c r="B175" s="19" t="s">
        <v>69</v>
      </c>
      <c r="C175" s="11" t="s">
        <v>57</v>
      </c>
      <c r="D175" s="156">
        <v>0</v>
      </c>
      <c r="E175" s="156">
        <v>0</v>
      </c>
      <c r="F175" s="156">
        <v>0</v>
      </c>
      <c r="G175" s="156"/>
      <c r="H175" s="156"/>
      <c r="I175" s="156"/>
      <c r="J175" s="156"/>
      <c r="K175" s="156"/>
      <c r="L175" s="156"/>
      <c r="M175" s="156"/>
      <c r="N175" s="156"/>
      <c r="O175" s="156">
        <v>0</v>
      </c>
      <c r="P175" s="74">
        <f t="shared" si="154"/>
        <v>0</v>
      </c>
    </row>
    <row r="176" spans="1:16" x14ac:dyDescent="0.3">
      <c r="A176" s="645" t="s">
        <v>70</v>
      </c>
      <c r="B176" s="21" t="s">
        <v>63</v>
      </c>
      <c r="C176" s="11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74"/>
    </row>
    <row r="177" spans="1:16" x14ac:dyDescent="0.3">
      <c r="A177" s="646"/>
      <c r="B177" s="19" t="s">
        <v>60</v>
      </c>
      <c r="C177" s="11" t="s">
        <v>57</v>
      </c>
      <c r="D177" s="156"/>
      <c r="E177" s="156">
        <v>0</v>
      </c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74">
        <f t="shared" ref="P177:P182" si="155">SUM(D177:O177)</f>
        <v>0</v>
      </c>
    </row>
    <row r="178" spans="1:16" x14ac:dyDescent="0.3">
      <c r="A178" s="646"/>
      <c r="B178" s="19" t="s">
        <v>69</v>
      </c>
      <c r="C178" s="11" t="s">
        <v>57</v>
      </c>
      <c r="D178" s="156"/>
      <c r="E178" s="156">
        <v>0</v>
      </c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74">
        <f t="shared" si="155"/>
        <v>0</v>
      </c>
    </row>
    <row r="179" spans="1:16" x14ac:dyDescent="0.3">
      <c r="A179" s="646"/>
      <c r="B179" s="19" t="s">
        <v>68</v>
      </c>
      <c r="C179" s="11" t="s">
        <v>57</v>
      </c>
      <c r="D179" s="156"/>
      <c r="E179" s="156">
        <v>0</v>
      </c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74">
        <f t="shared" si="155"/>
        <v>0</v>
      </c>
    </row>
    <row r="180" spans="1:16" x14ac:dyDescent="0.3">
      <c r="A180" s="646"/>
      <c r="B180" s="19" t="s">
        <v>67</v>
      </c>
      <c r="C180" s="11" t="s">
        <v>57</v>
      </c>
      <c r="D180" s="156"/>
      <c r="E180" s="156">
        <v>0</v>
      </c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74">
        <f t="shared" si="155"/>
        <v>0</v>
      </c>
    </row>
    <row r="181" spans="1:16" x14ac:dyDescent="0.3">
      <c r="A181" s="646"/>
      <c r="B181" s="19" t="s">
        <v>66</v>
      </c>
      <c r="C181" s="11" t="s">
        <v>57</v>
      </c>
      <c r="D181" s="156"/>
      <c r="E181" s="156">
        <v>0</v>
      </c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74">
        <f t="shared" si="155"/>
        <v>0</v>
      </c>
    </row>
    <row r="182" spans="1:16" x14ac:dyDescent="0.3">
      <c r="A182" s="647"/>
      <c r="B182" s="19" t="s">
        <v>65</v>
      </c>
      <c r="C182" s="11" t="s">
        <v>57</v>
      </c>
      <c r="D182" s="156"/>
      <c r="E182" s="156">
        <v>0</v>
      </c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74">
        <f t="shared" si="155"/>
        <v>0</v>
      </c>
    </row>
    <row r="183" spans="1:16" x14ac:dyDescent="0.3">
      <c r="A183" s="645" t="s">
        <v>209</v>
      </c>
      <c r="B183" s="21" t="s">
        <v>63</v>
      </c>
      <c r="C183" s="11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74"/>
    </row>
    <row r="184" spans="1:16" x14ac:dyDescent="0.3">
      <c r="A184" s="646"/>
      <c r="B184" s="19" t="s">
        <v>73</v>
      </c>
      <c r="C184" s="11"/>
      <c r="D184" s="156"/>
      <c r="E184" s="156">
        <v>0</v>
      </c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74">
        <f>SUM(D184:O184)</f>
        <v>0</v>
      </c>
    </row>
    <row r="185" spans="1:16" x14ac:dyDescent="0.3">
      <c r="A185" s="646"/>
      <c r="B185" s="19" t="s">
        <v>72</v>
      </c>
      <c r="C185" s="11"/>
      <c r="D185" s="156"/>
      <c r="E185" s="156">
        <v>0</v>
      </c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74">
        <f>SUM(D185:O185)</f>
        <v>0</v>
      </c>
    </row>
    <row r="186" spans="1:16" x14ac:dyDescent="0.3">
      <c r="A186" s="646"/>
      <c r="B186" s="19" t="s">
        <v>53</v>
      </c>
      <c r="C186" s="11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74">
        <f>SUM(D186:O186)</f>
        <v>0</v>
      </c>
    </row>
    <row r="187" spans="1:16" x14ac:dyDescent="0.3">
      <c r="A187" s="647"/>
      <c r="B187" s="19" t="s">
        <v>52</v>
      </c>
      <c r="C187" s="11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74">
        <f>SUM(D187:O187)</f>
        <v>0</v>
      </c>
    </row>
    <row r="188" spans="1:16" x14ac:dyDescent="0.3">
      <c r="A188" s="645" t="s">
        <v>64</v>
      </c>
      <c r="B188" s="21" t="s">
        <v>63</v>
      </c>
      <c r="C188" s="11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74"/>
    </row>
    <row r="189" spans="1:16" x14ac:dyDescent="0.3">
      <c r="A189" s="646"/>
      <c r="B189" s="20" t="s">
        <v>52</v>
      </c>
      <c r="C189" s="11" t="s">
        <v>57</v>
      </c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74">
        <f>SUM(D189:O189)</f>
        <v>0</v>
      </c>
    </row>
    <row r="190" spans="1:16" x14ac:dyDescent="0.3">
      <c r="A190" s="646"/>
      <c r="B190" s="19" t="s">
        <v>62</v>
      </c>
      <c r="C190" s="11" t="s">
        <v>57</v>
      </c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74">
        <f>SUM(D190:O190)</f>
        <v>0</v>
      </c>
    </row>
    <row r="191" spans="1:16" x14ac:dyDescent="0.3">
      <c r="A191" s="646"/>
      <c r="B191" s="19" t="s">
        <v>61</v>
      </c>
      <c r="C191" s="11" t="s">
        <v>57</v>
      </c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74">
        <f>SUM(D191:O191)</f>
        <v>0</v>
      </c>
    </row>
    <row r="192" spans="1:16" x14ac:dyDescent="0.3">
      <c r="A192" s="647"/>
      <c r="B192" s="19" t="s">
        <v>60</v>
      </c>
      <c r="C192" s="11" t="s">
        <v>57</v>
      </c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74">
        <f>SUM(D192:O192)</f>
        <v>0</v>
      </c>
    </row>
    <row r="193" spans="1:16" x14ac:dyDescent="0.3">
      <c r="A193" s="84" t="s">
        <v>59</v>
      </c>
      <c r="B193" s="17"/>
      <c r="C193" s="11"/>
      <c r="D193" s="159">
        <f>SUM(D153:D192)</f>
        <v>22</v>
      </c>
      <c r="E193" s="159">
        <f t="shared" ref="E193:P193" si="156">SUM(E153:E192)</f>
        <v>33</v>
      </c>
      <c r="F193" s="159">
        <f t="shared" si="156"/>
        <v>32</v>
      </c>
      <c r="G193" s="159">
        <f t="shared" si="156"/>
        <v>29</v>
      </c>
      <c r="H193" s="159">
        <f t="shared" si="156"/>
        <v>32</v>
      </c>
      <c r="I193" s="159">
        <f t="shared" si="156"/>
        <v>41</v>
      </c>
      <c r="J193" s="159">
        <f t="shared" si="156"/>
        <v>44</v>
      </c>
      <c r="K193" s="159">
        <f t="shared" si="156"/>
        <v>42</v>
      </c>
      <c r="L193" s="159">
        <f t="shared" si="156"/>
        <v>40</v>
      </c>
      <c r="M193" s="159">
        <f t="shared" si="156"/>
        <v>40</v>
      </c>
      <c r="N193" s="159">
        <f t="shared" si="156"/>
        <v>36</v>
      </c>
      <c r="O193" s="159">
        <f t="shared" si="156"/>
        <v>43</v>
      </c>
      <c r="P193" s="160">
        <f t="shared" si="156"/>
        <v>434</v>
      </c>
    </row>
    <row r="194" spans="1:16" x14ac:dyDescent="0.3">
      <c r="A194" s="651" t="s">
        <v>58</v>
      </c>
      <c r="B194" s="652"/>
      <c r="C194" s="11" t="s">
        <v>57</v>
      </c>
      <c r="D194" s="156">
        <v>1</v>
      </c>
      <c r="E194" s="156">
        <v>1</v>
      </c>
      <c r="F194" s="156">
        <v>1</v>
      </c>
      <c r="G194" s="156">
        <v>1</v>
      </c>
      <c r="H194" s="156">
        <v>1</v>
      </c>
      <c r="I194" s="4">
        <v>1</v>
      </c>
      <c r="J194" s="4">
        <v>1</v>
      </c>
      <c r="K194" s="156">
        <v>1</v>
      </c>
      <c r="L194" s="156">
        <v>1</v>
      </c>
      <c r="M194" s="156">
        <v>1</v>
      </c>
      <c r="N194" s="156">
        <v>1</v>
      </c>
      <c r="O194" s="156">
        <v>1</v>
      </c>
      <c r="P194" s="74">
        <f>SUM(D194:O194)</f>
        <v>12</v>
      </c>
    </row>
    <row r="195" spans="1:16" x14ac:dyDescent="0.3">
      <c r="A195" s="653"/>
      <c r="B195" s="654"/>
      <c r="C195" s="16" t="s">
        <v>55</v>
      </c>
      <c r="D195" s="156">
        <v>0</v>
      </c>
      <c r="E195" s="156">
        <v>0</v>
      </c>
      <c r="F195" s="156">
        <v>0</v>
      </c>
      <c r="G195" s="156">
        <v>0</v>
      </c>
      <c r="H195" s="156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74">
        <f>SUM(D195:O195)</f>
        <v>0</v>
      </c>
    </row>
    <row r="196" spans="1:16" x14ac:dyDescent="0.3">
      <c r="A196" s="85" t="s">
        <v>202</v>
      </c>
      <c r="B196" s="86"/>
      <c r="C196" s="16" t="s">
        <v>55</v>
      </c>
      <c r="D196" s="156">
        <v>720</v>
      </c>
      <c r="E196" s="156">
        <v>744</v>
      </c>
      <c r="F196" s="156">
        <v>720</v>
      </c>
      <c r="G196" s="156">
        <v>744</v>
      </c>
      <c r="H196" s="156">
        <v>744</v>
      </c>
      <c r="I196" s="4">
        <v>720</v>
      </c>
      <c r="J196" s="4">
        <v>744</v>
      </c>
      <c r="K196" s="156">
        <v>744</v>
      </c>
      <c r="L196" s="156">
        <v>744</v>
      </c>
      <c r="M196" s="156">
        <v>744</v>
      </c>
      <c r="N196" s="156">
        <v>696</v>
      </c>
      <c r="O196" s="156">
        <v>744</v>
      </c>
      <c r="P196" s="74">
        <f>SUM(D196:O196)/12</f>
        <v>734</v>
      </c>
    </row>
    <row r="197" spans="1:16" x14ac:dyDescent="0.3">
      <c r="A197" s="582" t="s">
        <v>56</v>
      </c>
      <c r="B197" s="583"/>
      <c r="C197" s="16" t="s">
        <v>55</v>
      </c>
      <c r="D197" s="156">
        <v>0</v>
      </c>
      <c r="E197" s="156">
        <v>0</v>
      </c>
      <c r="F197" s="156">
        <v>0</v>
      </c>
      <c r="G197" s="156">
        <v>0</v>
      </c>
      <c r="H197" s="156">
        <v>0</v>
      </c>
      <c r="I197" s="4">
        <v>0</v>
      </c>
      <c r="J197" s="4">
        <v>0</v>
      </c>
      <c r="K197" s="156">
        <v>72</v>
      </c>
      <c r="L197" s="13">
        <v>0</v>
      </c>
      <c r="M197" s="13">
        <v>0</v>
      </c>
      <c r="N197" s="13">
        <v>0</v>
      </c>
      <c r="O197" s="13">
        <v>0</v>
      </c>
      <c r="P197" s="74">
        <f>SUM(D197:O197)</f>
        <v>72</v>
      </c>
    </row>
    <row r="198" spans="1:16" ht="14.4" x14ac:dyDescent="0.3">
      <c r="A198" s="586" t="s">
        <v>203</v>
      </c>
      <c r="B198" s="587"/>
      <c r="C198" s="587"/>
      <c r="D198" s="587"/>
      <c r="E198" s="587"/>
      <c r="F198" s="587"/>
      <c r="G198" s="587"/>
      <c r="H198" s="587"/>
      <c r="I198" s="587"/>
      <c r="J198" s="587"/>
      <c r="K198" s="587"/>
      <c r="L198" s="587"/>
      <c r="M198" s="587"/>
      <c r="N198" s="587"/>
      <c r="O198" s="587"/>
      <c r="P198" s="588"/>
    </row>
    <row r="199" spans="1:16" x14ac:dyDescent="0.3">
      <c r="A199" s="651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39">
        <f t="shared" ref="P199:P204" si="157">SUM(D199:O199)</f>
        <v>0</v>
      </c>
    </row>
    <row r="200" spans="1:16" x14ac:dyDescent="0.3">
      <c r="A200" s="655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9">
        <f t="shared" si="157"/>
        <v>0</v>
      </c>
    </row>
    <row r="201" spans="1:16" x14ac:dyDescent="0.3">
      <c r="A201" s="655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39">
        <f t="shared" si="157"/>
        <v>0</v>
      </c>
    </row>
    <row r="202" spans="1:16" x14ac:dyDescent="0.3">
      <c r="A202" s="655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9">
        <f t="shared" si="157"/>
        <v>0</v>
      </c>
    </row>
    <row r="203" spans="1:16" x14ac:dyDescent="0.3">
      <c r="A203" s="653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9">
        <f t="shared" si="157"/>
        <v>0</v>
      </c>
    </row>
    <row r="204" spans="1:16" x14ac:dyDescent="0.3">
      <c r="A204" s="83" t="s">
        <v>48</v>
      </c>
      <c r="B204" s="79"/>
      <c r="C204" s="11" t="s">
        <v>47</v>
      </c>
      <c r="D204" s="15">
        <f t="shared" ref="D204:O204" si="158">SUM(D199:D203)</f>
        <v>0</v>
      </c>
      <c r="E204" s="15">
        <f t="shared" si="158"/>
        <v>0</v>
      </c>
      <c r="F204" s="15">
        <f t="shared" si="158"/>
        <v>0</v>
      </c>
      <c r="G204" s="15">
        <f t="shared" si="158"/>
        <v>0</v>
      </c>
      <c r="H204" s="15">
        <f t="shared" si="158"/>
        <v>0</v>
      </c>
      <c r="I204" s="15">
        <f t="shared" si="158"/>
        <v>0</v>
      </c>
      <c r="J204" s="15">
        <f t="shared" si="158"/>
        <v>0</v>
      </c>
      <c r="K204" s="15">
        <f t="shared" si="158"/>
        <v>0</v>
      </c>
      <c r="L204" s="15">
        <f t="shared" si="158"/>
        <v>0</v>
      </c>
      <c r="M204" s="15">
        <f t="shared" si="158"/>
        <v>0</v>
      </c>
      <c r="N204" s="15">
        <f t="shared" si="158"/>
        <v>0</v>
      </c>
      <c r="O204" s="15">
        <f t="shared" si="158"/>
        <v>0</v>
      </c>
      <c r="P204" s="111">
        <f t="shared" si="157"/>
        <v>0</v>
      </c>
    </row>
    <row r="205" spans="1:16" s="2" customFormat="1" ht="14.4" x14ac:dyDescent="0.3">
      <c r="A205" s="586" t="s">
        <v>46</v>
      </c>
      <c r="B205" s="587"/>
      <c r="C205" s="587"/>
      <c r="D205" s="587"/>
      <c r="E205" s="587"/>
      <c r="F205" s="587"/>
      <c r="G205" s="587"/>
      <c r="H205" s="587"/>
      <c r="I205" s="587"/>
      <c r="J205" s="587"/>
      <c r="K205" s="587"/>
      <c r="L205" s="587"/>
      <c r="M205" s="587"/>
      <c r="N205" s="587"/>
      <c r="O205" s="587"/>
      <c r="P205" s="588"/>
    </row>
    <row r="206" spans="1:16" x14ac:dyDescent="0.3">
      <c r="A206" s="582" t="s">
        <v>43</v>
      </c>
      <c r="B206" s="583"/>
      <c r="C206" s="11" t="s">
        <v>31</v>
      </c>
      <c r="D206" s="13">
        <v>399420</v>
      </c>
      <c r="E206" s="13">
        <v>964700</v>
      </c>
      <c r="F206" s="13">
        <v>467070</v>
      </c>
      <c r="G206" s="13">
        <v>738563</v>
      </c>
      <c r="H206" s="13">
        <v>1265050</v>
      </c>
      <c r="I206" s="13">
        <v>1527018</v>
      </c>
      <c r="J206" s="13">
        <v>681855</v>
      </c>
      <c r="K206" s="13">
        <v>1623836</v>
      </c>
      <c r="L206" s="13">
        <v>196700</v>
      </c>
      <c r="M206" s="13">
        <v>1040675</v>
      </c>
      <c r="N206" s="13">
        <v>987586</v>
      </c>
      <c r="O206" s="13">
        <v>1690122</v>
      </c>
      <c r="P206" s="39">
        <f>SUM(D206:O206)</f>
        <v>11582595</v>
      </c>
    </row>
    <row r="207" spans="1:16" x14ac:dyDescent="0.3">
      <c r="A207" s="582" t="s">
        <v>42</v>
      </c>
      <c r="B207" s="583"/>
      <c r="C207" s="11" t="s">
        <v>31</v>
      </c>
      <c r="D207" s="13"/>
      <c r="E207" s="13"/>
      <c r="F207" s="13"/>
      <c r="G207" s="13"/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39">
        <f>SUM(D207:O207)</f>
        <v>0</v>
      </c>
    </row>
    <row r="208" spans="1:16" x14ac:dyDescent="0.3">
      <c r="A208" s="589" t="s">
        <v>41</v>
      </c>
      <c r="B208" s="590"/>
      <c r="C208" s="11" t="s">
        <v>31</v>
      </c>
      <c r="D208" s="13"/>
      <c r="E208" s="13"/>
      <c r="F208" s="13"/>
      <c r="G208" s="13"/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39">
        <f>SUM(D208:O208)</f>
        <v>0</v>
      </c>
    </row>
    <row r="209" spans="1:16" x14ac:dyDescent="0.3">
      <c r="A209" s="582" t="s">
        <v>40</v>
      </c>
      <c r="B209" s="583"/>
      <c r="C209" s="11" t="s">
        <v>31</v>
      </c>
      <c r="D209" s="13"/>
      <c r="E209" s="13"/>
      <c r="F209" s="13"/>
      <c r="G209" s="13"/>
      <c r="H209" s="13">
        <v>11700</v>
      </c>
      <c r="I209" s="13">
        <v>23700</v>
      </c>
      <c r="J209" s="13">
        <v>11200</v>
      </c>
      <c r="K209" s="13">
        <v>14000</v>
      </c>
      <c r="L209" s="13">
        <v>0</v>
      </c>
      <c r="M209" s="13">
        <v>66781633</v>
      </c>
      <c r="N209" s="13">
        <v>0</v>
      </c>
      <c r="O209" s="13">
        <v>60000</v>
      </c>
      <c r="P209" s="39">
        <f>SUM(D209:O209)</f>
        <v>66902233</v>
      </c>
    </row>
    <row r="210" spans="1:16" x14ac:dyDescent="0.3">
      <c r="A210" s="649" t="s">
        <v>45</v>
      </c>
      <c r="B210" s="650"/>
      <c r="C210" s="11" t="s">
        <v>31</v>
      </c>
      <c r="D210" s="10">
        <f t="shared" ref="D210:O210" si="159">SUM(D206:D209)</f>
        <v>399420</v>
      </c>
      <c r="E210" s="10">
        <f t="shared" si="159"/>
        <v>964700</v>
      </c>
      <c r="F210" s="10">
        <f t="shared" si="159"/>
        <v>467070</v>
      </c>
      <c r="G210" s="10">
        <f t="shared" si="159"/>
        <v>738563</v>
      </c>
      <c r="H210" s="10">
        <f t="shared" si="159"/>
        <v>1276750</v>
      </c>
      <c r="I210" s="10">
        <f t="shared" si="159"/>
        <v>1550718</v>
      </c>
      <c r="J210" s="10">
        <f t="shared" si="159"/>
        <v>693055</v>
      </c>
      <c r="K210" s="10">
        <f t="shared" si="159"/>
        <v>1637836</v>
      </c>
      <c r="L210" s="10">
        <f t="shared" si="159"/>
        <v>196700</v>
      </c>
      <c r="M210" s="10">
        <f t="shared" si="159"/>
        <v>67822308</v>
      </c>
      <c r="N210" s="10">
        <f t="shared" si="159"/>
        <v>987586</v>
      </c>
      <c r="O210" s="10">
        <f t="shared" si="159"/>
        <v>1750122</v>
      </c>
      <c r="P210" s="39">
        <f>SUM(D210:O210)</f>
        <v>78484828</v>
      </c>
    </row>
    <row r="211" spans="1:16" s="2" customFormat="1" ht="14.4" x14ac:dyDescent="0.3">
      <c r="A211" s="586" t="s">
        <v>44</v>
      </c>
      <c r="B211" s="587"/>
      <c r="C211" s="587"/>
      <c r="D211" s="587"/>
      <c r="E211" s="587"/>
      <c r="F211" s="587"/>
      <c r="G211" s="587"/>
      <c r="H211" s="587"/>
      <c r="I211" s="587"/>
      <c r="J211" s="587"/>
      <c r="K211" s="587"/>
      <c r="L211" s="587"/>
      <c r="M211" s="587"/>
      <c r="N211" s="587"/>
      <c r="O211" s="587"/>
      <c r="P211" s="588"/>
    </row>
    <row r="212" spans="1:16" x14ac:dyDescent="0.3">
      <c r="A212" s="582" t="s">
        <v>43</v>
      </c>
      <c r="B212" s="583"/>
      <c r="C212" s="11" t="s">
        <v>31</v>
      </c>
      <c r="D212" s="13">
        <v>495900</v>
      </c>
      <c r="E212" s="13">
        <v>19386450</v>
      </c>
      <c r="F212" s="13">
        <v>902267</v>
      </c>
      <c r="G212" s="13">
        <v>832568</v>
      </c>
      <c r="H212" s="13">
        <v>1870343.59</v>
      </c>
      <c r="I212" s="13">
        <v>810775</v>
      </c>
      <c r="J212" s="13">
        <v>836151</v>
      </c>
      <c r="K212" s="13">
        <v>808430</v>
      </c>
      <c r="L212" s="13">
        <v>876182</v>
      </c>
      <c r="M212" s="13">
        <v>714700</v>
      </c>
      <c r="N212" s="13">
        <v>12104300</v>
      </c>
      <c r="O212" s="13">
        <v>537647</v>
      </c>
      <c r="P212" s="39">
        <f>SUM(D212:O212)</f>
        <v>40175713.590000004</v>
      </c>
    </row>
    <row r="213" spans="1:16" x14ac:dyDescent="0.3">
      <c r="A213" s="582" t="s">
        <v>42</v>
      </c>
      <c r="B213" s="583"/>
      <c r="C213" s="11" t="s">
        <v>31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39">
        <f>SUM(D213:O213)</f>
        <v>0</v>
      </c>
    </row>
    <row r="214" spans="1:16" x14ac:dyDescent="0.3">
      <c r="A214" s="589" t="s">
        <v>41</v>
      </c>
      <c r="B214" s="590"/>
      <c r="C214" s="11" t="s">
        <v>31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39">
        <f>SUM(D214:O214)</f>
        <v>0</v>
      </c>
    </row>
    <row r="215" spans="1:16" x14ac:dyDescent="0.3">
      <c r="A215" s="582" t="s">
        <v>40</v>
      </c>
      <c r="B215" s="583"/>
      <c r="C215" s="11" t="s">
        <v>31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39">
        <f>SUM(D215:O215)</f>
        <v>0</v>
      </c>
    </row>
    <row r="216" spans="1:16" x14ac:dyDescent="0.3">
      <c r="A216" s="649" t="s">
        <v>39</v>
      </c>
      <c r="B216" s="650"/>
      <c r="C216" s="11" t="s">
        <v>31</v>
      </c>
      <c r="D216" s="10">
        <f t="shared" ref="D216:O216" si="160">SUM(D212:D215)</f>
        <v>495900</v>
      </c>
      <c r="E216" s="10">
        <f t="shared" si="160"/>
        <v>19386450</v>
      </c>
      <c r="F216" s="10">
        <f t="shared" si="160"/>
        <v>902267</v>
      </c>
      <c r="G216" s="10">
        <f t="shared" si="160"/>
        <v>832568</v>
      </c>
      <c r="H216" s="10">
        <f t="shared" si="160"/>
        <v>1870343.59</v>
      </c>
      <c r="I216" s="10">
        <f t="shared" si="160"/>
        <v>810775</v>
      </c>
      <c r="J216" s="10">
        <f t="shared" si="160"/>
        <v>836151</v>
      </c>
      <c r="K216" s="10">
        <f t="shared" si="160"/>
        <v>808430</v>
      </c>
      <c r="L216" s="10">
        <f t="shared" si="160"/>
        <v>876182</v>
      </c>
      <c r="M216" s="10">
        <f t="shared" si="160"/>
        <v>714700</v>
      </c>
      <c r="N216" s="10">
        <f t="shared" si="160"/>
        <v>12104300</v>
      </c>
      <c r="O216" s="10">
        <f t="shared" si="160"/>
        <v>537647</v>
      </c>
      <c r="P216" s="39">
        <f>SUM(D216:O216)</f>
        <v>40175713.590000004</v>
      </c>
    </row>
    <row r="217" spans="1:16" s="2" customFormat="1" x14ac:dyDescent="0.3">
      <c r="A217" s="76" t="s">
        <v>38</v>
      </c>
      <c r="B217" s="77"/>
      <c r="C217" s="11" t="s">
        <v>31</v>
      </c>
      <c r="D217" s="10">
        <f>D210+D216</f>
        <v>895320</v>
      </c>
      <c r="E217" s="10">
        <f t="shared" ref="E217:P217" si="161">E210+E216</f>
        <v>20351150</v>
      </c>
      <c r="F217" s="10">
        <f t="shared" si="161"/>
        <v>1369337</v>
      </c>
      <c r="G217" s="10">
        <f t="shared" si="161"/>
        <v>1571131</v>
      </c>
      <c r="H217" s="10">
        <f t="shared" si="161"/>
        <v>3147093.59</v>
      </c>
      <c r="I217" s="10">
        <f t="shared" si="161"/>
        <v>2361493</v>
      </c>
      <c r="J217" s="10">
        <f t="shared" si="161"/>
        <v>1529206</v>
      </c>
      <c r="K217" s="10">
        <f t="shared" si="161"/>
        <v>2446266</v>
      </c>
      <c r="L217" s="10">
        <f t="shared" si="161"/>
        <v>1072882</v>
      </c>
      <c r="M217" s="10">
        <f t="shared" si="161"/>
        <v>68537008</v>
      </c>
      <c r="N217" s="10">
        <f t="shared" si="161"/>
        <v>13091886</v>
      </c>
      <c r="O217" s="10">
        <f t="shared" si="161"/>
        <v>2287769</v>
      </c>
      <c r="P217" s="40">
        <f t="shared" si="161"/>
        <v>118660541.59</v>
      </c>
    </row>
    <row r="218" spans="1:16" s="2" customFormat="1" ht="14.4" x14ac:dyDescent="0.3">
      <c r="A218" s="586" t="s">
        <v>37</v>
      </c>
      <c r="B218" s="587"/>
      <c r="C218" s="587"/>
      <c r="D218" s="587"/>
      <c r="E218" s="587"/>
      <c r="F218" s="587"/>
      <c r="G218" s="587"/>
      <c r="H218" s="587"/>
      <c r="I218" s="587"/>
      <c r="J218" s="587"/>
      <c r="K218" s="587"/>
      <c r="L218" s="587"/>
      <c r="M218" s="587"/>
      <c r="N218" s="587"/>
      <c r="O218" s="587"/>
      <c r="P218" s="588"/>
    </row>
    <row r="219" spans="1:16" x14ac:dyDescent="0.3">
      <c r="A219" s="582" t="s">
        <v>35</v>
      </c>
      <c r="B219" s="583"/>
      <c r="C219" s="11" t="s">
        <v>31</v>
      </c>
      <c r="D219" s="13">
        <v>523540</v>
      </c>
      <c r="E219" s="13">
        <v>742728</v>
      </c>
      <c r="F219" s="13">
        <v>911462</v>
      </c>
      <c r="G219" s="13">
        <v>750384</v>
      </c>
      <c r="H219" s="13">
        <v>876335</v>
      </c>
      <c r="I219" s="13">
        <v>1069326</v>
      </c>
      <c r="J219" s="13">
        <v>1008926</v>
      </c>
      <c r="K219" s="13">
        <v>1030148</v>
      </c>
      <c r="L219" s="13">
        <v>876249</v>
      </c>
      <c r="M219" s="13">
        <v>868606</v>
      </c>
      <c r="N219" s="13">
        <v>798415</v>
      </c>
      <c r="O219" s="13">
        <v>795726</v>
      </c>
      <c r="P219" s="39">
        <f>SUM(D219:O219)</f>
        <v>10251845</v>
      </c>
    </row>
    <row r="220" spans="1:16" x14ac:dyDescent="0.3">
      <c r="A220" s="582" t="s">
        <v>34</v>
      </c>
      <c r="B220" s="583"/>
      <c r="C220" s="11" t="s">
        <v>31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39">
        <f>SUM(D220:O220)</f>
        <v>0</v>
      </c>
    </row>
    <row r="221" spans="1:16" x14ac:dyDescent="0.3">
      <c r="A221" s="582" t="s">
        <v>33</v>
      </c>
      <c r="B221" s="583"/>
      <c r="C221" s="11" t="s">
        <v>31</v>
      </c>
      <c r="D221" s="13">
        <v>3493488</v>
      </c>
      <c r="E221" s="13">
        <v>5255966</v>
      </c>
      <c r="F221" s="13">
        <v>1014344</v>
      </c>
      <c r="G221" s="13">
        <v>132903</v>
      </c>
      <c r="H221" s="13">
        <v>164353</v>
      </c>
      <c r="I221" s="13">
        <v>113554</v>
      </c>
      <c r="J221" s="13">
        <v>68075</v>
      </c>
      <c r="K221" s="13">
        <v>90650</v>
      </c>
      <c r="L221" s="13">
        <v>97350</v>
      </c>
      <c r="M221" s="13">
        <v>70252</v>
      </c>
      <c r="N221" s="13">
        <v>45106</v>
      </c>
      <c r="O221" s="13">
        <v>93265</v>
      </c>
      <c r="P221" s="39">
        <f>SUM(D221:O221)</f>
        <v>10639306</v>
      </c>
    </row>
    <row r="222" spans="1:16" x14ac:dyDescent="0.3">
      <c r="A222" s="582" t="s">
        <v>32</v>
      </c>
      <c r="B222" s="583"/>
      <c r="C222" s="11" t="s">
        <v>31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39">
        <f>SUM(D222:O222)</f>
        <v>0</v>
      </c>
    </row>
    <row r="223" spans="1:16" x14ac:dyDescent="0.3">
      <c r="A223" s="649" t="s">
        <v>36</v>
      </c>
      <c r="B223" s="650"/>
      <c r="C223" s="11" t="s">
        <v>31</v>
      </c>
      <c r="D223" s="12">
        <f t="shared" ref="D223:O223" si="162">SUM(D219:D222)</f>
        <v>4017028</v>
      </c>
      <c r="E223" s="10">
        <f t="shared" si="162"/>
        <v>5998694</v>
      </c>
      <c r="F223" s="10">
        <f t="shared" si="162"/>
        <v>1925806</v>
      </c>
      <c r="G223" s="10">
        <f t="shared" si="162"/>
        <v>883287</v>
      </c>
      <c r="H223" s="10">
        <f t="shared" si="162"/>
        <v>1040688</v>
      </c>
      <c r="I223" s="10">
        <f t="shared" si="162"/>
        <v>1182880</v>
      </c>
      <c r="J223" s="14">
        <f t="shared" si="162"/>
        <v>1077001</v>
      </c>
      <c r="K223" s="14">
        <f t="shared" si="162"/>
        <v>1120798</v>
      </c>
      <c r="L223" s="14">
        <f t="shared" si="162"/>
        <v>973599</v>
      </c>
      <c r="M223" s="14">
        <f t="shared" si="162"/>
        <v>938858</v>
      </c>
      <c r="N223" s="14">
        <f t="shared" si="162"/>
        <v>843521</v>
      </c>
      <c r="O223" s="14">
        <f t="shared" si="162"/>
        <v>888991</v>
      </c>
      <c r="P223" s="39">
        <f>SUM(D223:O223)</f>
        <v>20891151</v>
      </c>
    </row>
    <row r="224" spans="1:16" ht="14.4" x14ac:dyDescent="0.3">
      <c r="A224" s="586" t="s">
        <v>211</v>
      </c>
      <c r="B224" s="587"/>
      <c r="C224" s="587"/>
      <c r="D224" s="587"/>
      <c r="E224" s="587"/>
      <c r="F224" s="587"/>
      <c r="G224" s="587"/>
      <c r="H224" s="587"/>
      <c r="I224" s="587"/>
      <c r="J224" s="587"/>
      <c r="K224" s="587"/>
      <c r="L224" s="587"/>
      <c r="M224" s="587"/>
      <c r="N224" s="587"/>
      <c r="O224" s="587"/>
      <c r="P224" s="588"/>
    </row>
    <row r="225" spans="1:16" x14ac:dyDescent="0.3">
      <c r="A225" s="582" t="s">
        <v>35</v>
      </c>
      <c r="B225" s="583"/>
      <c r="C225" s="11" t="s">
        <v>31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39">
        <f t="shared" ref="P225:P230" si="163">SUM(D225:O225)</f>
        <v>0</v>
      </c>
    </row>
    <row r="226" spans="1:16" x14ac:dyDescent="0.3">
      <c r="A226" s="582" t="s">
        <v>34</v>
      </c>
      <c r="B226" s="583"/>
      <c r="C226" s="11" t="s">
        <v>31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39">
        <f t="shared" si="163"/>
        <v>0</v>
      </c>
    </row>
    <row r="227" spans="1:16" x14ac:dyDescent="0.3">
      <c r="A227" s="582" t="s">
        <v>33</v>
      </c>
      <c r="B227" s="583"/>
      <c r="C227" s="11" t="s">
        <v>31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39">
        <f t="shared" si="163"/>
        <v>0</v>
      </c>
    </row>
    <row r="228" spans="1:16" x14ac:dyDescent="0.3">
      <c r="A228" s="582" t="s">
        <v>32</v>
      </c>
      <c r="B228" s="583"/>
      <c r="C228" s="11" t="s">
        <v>31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39">
        <f t="shared" si="163"/>
        <v>0</v>
      </c>
    </row>
    <row r="229" spans="1:16" x14ac:dyDescent="0.3">
      <c r="A229" s="649" t="s">
        <v>212</v>
      </c>
      <c r="B229" s="650"/>
      <c r="C229" s="11" t="s">
        <v>31</v>
      </c>
      <c r="D229" s="12">
        <f t="shared" ref="D229:O229" si="164">SUM(D225:D228)</f>
        <v>0</v>
      </c>
      <c r="E229" s="10">
        <f t="shared" si="164"/>
        <v>0</v>
      </c>
      <c r="F229" s="10">
        <f t="shared" si="164"/>
        <v>0</v>
      </c>
      <c r="G229" s="10">
        <f t="shared" si="164"/>
        <v>0</v>
      </c>
      <c r="H229" s="10">
        <f t="shared" si="164"/>
        <v>0</v>
      </c>
      <c r="I229" s="10">
        <f t="shared" si="164"/>
        <v>0</v>
      </c>
      <c r="J229" s="14">
        <f t="shared" si="164"/>
        <v>0</v>
      </c>
      <c r="K229" s="14">
        <f t="shared" si="164"/>
        <v>0</v>
      </c>
      <c r="L229" s="14">
        <f t="shared" si="164"/>
        <v>0</v>
      </c>
      <c r="M229" s="14">
        <f t="shared" si="164"/>
        <v>0</v>
      </c>
      <c r="N229" s="14">
        <f t="shared" si="164"/>
        <v>0</v>
      </c>
      <c r="O229" s="14">
        <f t="shared" si="164"/>
        <v>0</v>
      </c>
      <c r="P229" s="39">
        <f t="shared" si="163"/>
        <v>0</v>
      </c>
    </row>
    <row r="230" spans="1:16" x14ac:dyDescent="0.3">
      <c r="A230" s="76" t="s">
        <v>213</v>
      </c>
      <c r="B230" s="120"/>
      <c r="C230" s="11" t="s">
        <v>31</v>
      </c>
      <c r="D230" s="12">
        <f>D223+D229</f>
        <v>4017028</v>
      </c>
      <c r="E230" s="12">
        <f t="shared" ref="E230:O230" si="165">E223+E229</f>
        <v>5998694</v>
      </c>
      <c r="F230" s="12">
        <f t="shared" si="165"/>
        <v>1925806</v>
      </c>
      <c r="G230" s="12">
        <f t="shared" si="165"/>
        <v>883287</v>
      </c>
      <c r="H230" s="12">
        <f t="shared" si="165"/>
        <v>1040688</v>
      </c>
      <c r="I230" s="12">
        <f t="shared" si="165"/>
        <v>1182880</v>
      </c>
      <c r="J230" s="12">
        <f t="shared" si="165"/>
        <v>1077001</v>
      </c>
      <c r="K230" s="12">
        <f t="shared" si="165"/>
        <v>1120798</v>
      </c>
      <c r="L230" s="12">
        <f t="shared" si="165"/>
        <v>973599</v>
      </c>
      <c r="M230" s="12">
        <f t="shared" si="165"/>
        <v>938858</v>
      </c>
      <c r="N230" s="12">
        <f t="shared" si="165"/>
        <v>843521</v>
      </c>
      <c r="O230" s="12">
        <f t="shared" si="165"/>
        <v>888991</v>
      </c>
      <c r="P230" s="39">
        <f t="shared" si="163"/>
        <v>20891151</v>
      </c>
    </row>
    <row r="231" spans="1:16" ht="14.4" x14ac:dyDescent="0.3">
      <c r="A231" s="586" t="s">
        <v>30</v>
      </c>
      <c r="B231" s="587"/>
      <c r="C231" s="587"/>
      <c r="D231" s="587"/>
      <c r="E231" s="587"/>
      <c r="F231" s="587"/>
      <c r="G231" s="587"/>
      <c r="H231" s="587"/>
      <c r="I231" s="587"/>
      <c r="J231" s="587"/>
      <c r="K231" s="587"/>
      <c r="L231" s="587"/>
      <c r="M231" s="587"/>
      <c r="N231" s="587"/>
      <c r="O231" s="587"/>
      <c r="P231" s="588"/>
    </row>
    <row r="232" spans="1:16" x14ac:dyDescent="0.3">
      <c r="A232" s="582" t="s">
        <v>29</v>
      </c>
      <c r="B232" s="583"/>
      <c r="C232" s="11" t="s">
        <v>18</v>
      </c>
      <c r="D232" s="13">
        <v>43043</v>
      </c>
      <c r="E232" s="13">
        <v>65400</v>
      </c>
      <c r="F232" s="13">
        <v>67090</v>
      </c>
      <c r="G232" s="13">
        <v>68278</v>
      </c>
      <c r="H232" s="13">
        <v>71448</v>
      </c>
      <c r="I232" s="13">
        <v>67932</v>
      </c>
      <c r="J232" s="13">
        <v>68930</v>
      </c>
      <c r="K232" s="13">
        <v>69630</v>
      </c>
      <c r="L232" s="13">
        <v>64869</v>
      </c>
      <c r="M232" s="13">
        <v>64876</v>
      </c>
      <c r="N232" s="13">
        <v>66560</v>
      </c>
      <c r="O232" s="13">
        <v>67693</v>
      </c>
      <c r="P232" s="39">
        <f>SUM(D232:O232)</f>
        <v>785749</v>
      </c>
    </row>
    <row r="233" spans="1:16" x14ac:dyDescent="0.3">
      <c r="A233" s="582" t="s">
        <v>28</v>
      </c>
      <c r="B233" s="583"/>
      <c r="C233" s="11" t="s">
        <v>18</v>
      </c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39">
        <f>SUM(D233:O233)</f>
        <v>0</v>
      </c>
    </row>
    <row r="234" spans="1:16" x14ac:dyDescent="0.3">
      <c r="A234" s="582" t="s">
        <v>27</v>
      </c>
      <c r="B234" s="583"/>
      <c r="C234" s="11" t="s">
        <v>18</v>
      </c>
      <c r="D234" s="13">
        <v>6170</v>
      </c>
      <c r="E234" s="13">
        <v>9255</v>
      </c>
      <c r="F234" s="13">
        <v>6170</v>
      </c>
      <c r="G234" s="13">
        <v>9255</v>
      </c>
      <c r="H234" s="13">
        <v>9255</v>
      </c>
      <c r="I234" s="13">
        <v>9255</v>
      </c>
      <c r="J234" s="13">
        <v>9255</v>
      </c>
      <c r="K234" s="13">
        <v>9255</v>
      </c>
      <c r="L234" s="13">
        <v>9255</v>
      </c>
      <c r="M234" s="13">
        <v>12341</v>
      </c>
      <c r="N234" s="13">
        <v>12341</v>
      </c>
      <c r="O234" s="13">
        <v>12341</v>
      </c>
      <c r="P234" s="39">
        <f>SUM(D234:O234)</f>
        <v>114148</v>
      </c>
    </row>
    <row r="235" spans="1:16" x14ac:dyDescent="0.3">
      <c r="A235" s="582" t="s">
        <v>26</v>
      </c>
      <c r="B235" s="583"/>
      <c r="C235" s="11" t="s">
        <v>18</v>
      </c>
      <c r="D235" s="13">
        <v>0</v>
      </c>
      <c r="E235" s="13">
        <v>0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39">
        <f>SUM(D235:O235)</f>
        <v>0</v>
      </c>
    </row>
    <row r="236" spans="1:16" x14ac:dyDescent="0.3">
      <c r="A236" s="649" t="s">
        <v>25</v>
      </c>
      <c r="B236" s="650"/>
      <c r="C236" s="11" t="s">
        <v>18</v>
      </c>
      <c r="D236" s="12">
        <f t="shared" ref="D236:O236" si="166">SUM(D232:D235)</f>
        <v>49213</v>
      </c>
      <c r="E236" s="12">
        <f t="shared" si="166"/>
        <v>74655</v>
      </c>
      <c r="F236" s="12">
        <f t="shared" si="166"/>
        <v>73260</v>
      </c>
      <c r="G236" s="12">
        <f t="shared" si="166"/>
        <v>77533</v>
      </c>
      <c r="H236" s="12">
        <f t="shared" si="166"/>
        <v>80703</v>
      </c>
      <c r="I236" s="12">
        <f t="shared" si="166"/>
        <v>77187</v>
      </c>
      <c r="J236" s="12">
        <f t="shared" si="166"/>
        <v>78185</v>
      </c>
      <c r="K236" s="12">
        <f t="shared" si="166"/>
        <v>78885</v>
      </c>
      <c r="L236" s="12">
        <f t="shared" si="166"/>
        <v>74124</v>
      </c>
      <c r="M236" s="12">
        <f t="shared" si="166"/>
        <v>77217</v>
      </c>
      <c r="N236" s="12">
        <f t="shared" si="166"/>
        <v>78901</v>
      </c>
      <c r="O236" s="12">
        <f t="shared" si="166"/>
        <v>80034</v>
      </c>
      <c r="P236" s="40">
        <f t="shared" ref="P236" si="167">SUM(P232:P235)</f>
        <v>899897</v>
      </c>
    </row>
    <row r="237" spans="1:16" ht="14.4" x14ac:dyDescent="0.3">
      <c r="A237" s="586" t="s">
        <v>24</v>
      </c>
      <c r="B237" s="587"/>
      <c r="C237" s="587"/>
      <c r="D237" s="587"/>
      <c r="E237" s="587"/>
      <c r="F237" s="587"/>
      <c r="G237" s="587"/>
      <c r="H237" s="587"/>
      <c r="I237" s="587"/>
      <c r="J237" s="587"/>
      <c r="K237" s="587"/>
      <c r="L237" s="587"/>
      <c r="M237" s="587"/>
      <c r="N237" s="587"/>
      <c r="O237" s="587"/>
      <c r="P237" s="588"/>
    </row>
    <row r="238" spans="1:16" x14ac:dyDescent="0.3">
      <c r="A238" s="582" t="s">
        <v>23</v>
      </c>
      <c r="B238" s="583"/>
      <c r="C238" s="11" t="s">
        <v>18</v>
      </c>
      <c r="D238" s="13">
        <v>129485</v>
      </c>
      <c r="E238" s="13">
        <v>132164</v>
      </c>
      <c r="F238" s="13">
        <v>134843</v>
      </c>
      <c r="G238" s="13">
        <v>137522</v>
      </c>
      <c r="H238" s="13">
        <v>143773</v>
      </c>
      <c r="I238" s="13">
        <v>136629</v>
      </c>
      <c r="J238" s="13">
        <v>137522</v>
      </c>
      <c r="K238" s="13">
        <v>138415</v>
      </c>
      <c r="L238" s="13">
        <v>128592</v>
      </c>
      <c r="M238" s="13">
        <v>127699</v>
      </c>
      <c r="N238" s="13">
        <v>131271</v>
      </c>
      <c r="O238" s="13">
        <v>133950</v>
      </c>
      <c r="P238" s="39">
        <f>SUM(D238:O238)</f>
        <v>1611865</v>
      </c>
    </row>
    <row r="239" spans="1:16" x14ac:dyDescent="0.3">
      <c r="A239" s="582" t="s">
        <v>22</v>
      </c>
      <c r="B239" s="583"/>
      <c r="C239" s="11" t="s">
        <v>18</v>
      </c>
      <c r="D239" s="15">
        <v>0</v>
      </c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39">
        <f>SUM(D239:O239)</f>
        <v>0</v>
      </c>
    </row>
    <row r="240" spans="1:16" x14ac:dyDescent="0.3">
      <c r="A240" s="582" t="s">
        <v>21</v>
      </c>
      <c r="B240" s="583"/>
      <c r="C240" s="11" t="s">
        <v>18</v>
      </c>
      <c r="D240" s="15">
        <v>2679</v>
      </c>
      <c r="E240" s="15">
        <v>2679</v>
      </c>
      <c r="F240" s="15">
        <v>1786</v>
      </c>
      <c r="G240" s="15">
        <v>2679</v>
      </c>
      <c r="H240" s="15">
        <v>2679</v>
      </c>
      <c r="I240" s="15">
        <v>2679</v>
      </c>
      <c r="J240" s="15">
        <v>2679</v>
      </c>
      <c r="K240" s="15">
        <v>2679</v>
      </c>
      <c r="L240" s="15">
        <v>2679</v>
      </c>
      <c r="M240" s="15">
        <v>3572</v>
      </c>
      <c r="N240" s="15">
        <v>3572</v>
      </c>
      <c r="O240" s="15">
        <v>3572</v>
      </c>
      <c r="P240" s="39">
        <f>SUM(D240:O240)</f>
        <v>33934</v>
      </c>
    </row>
    <row r="241" spans="1:16" x14ac:dyDescent="0.3">
      <c r="A241" s="582" t="s">
        <v>20</v>
      </c>
      <c r="B241" s="583"/>
      <c r="C241" s="11" t="s">
        <v>18</v>
      </c>
      <c r="D241" s="15">
        <v>0</v>
      </c>
      <c r="E241" s="15">
        <v>0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39">
        <f>SUM(D241:O241)</f>
        <v>0</v>
      </c>
    </row>
    <row r="242" spans="1:16" x14ac:dyDescent="0.3">
      <c r="A242" s="649" t="s">
        <v>19</v>
      </c>
      <c r="B242" s="650"/>
      <c r="C242" s="11" t="s">
        <v>18</v>
      </c>
      <c r="D242" s="12">
        <f t="shared" ref="D242:P242" si="168">SUM(D238:D241)</f>
        <v>132164</v>
      </c>
      <c r="E242" s="12">
        <f t="shared" si="168"/>
        <v>134843</v>
      </c>
      <c r="F242" s="12">
        <f t="shared" si="168"/>
        <v>136629</v>
      </c>
      <c r="G242" s="12">
        <f t="shared" si="168"/>
        <v>140201</v>
      </c>
      <c r="H242" s="12">
        <f t="shared" si="168"/>
        <v>146452</v>
      </c>
      <c r="I242" s="12">
        <f t="shared" si="168"/>
        <v>139308</v>
      </c>
      <c r="J242" s="12">
        <f t="shared" si="168"/>
        <v>140201</v>
      </c>
      <c r="K242" s="12">
        <f t="shared" si="168"/>
        <v>141094</v>
      </c>
      <c r="L242" s="12">
        <f t="shared" si="168"/>
        <v>131271</v>
      </c>
      <c r="M242" s="12">
        <f t="shared" si="168"/>
        <v>131271</v>
      </c>
      <c r="N242" s="12">
        <f t="shared" si="168"/>
        <v>134843</v>
      </c>
      <c r="O242" s="12">
        <f t="shared" si="168"/>
        <v>137522</v>
      </c>
      <c r="P242" s="40">
        <f t="shared" si="168"/>
        <v>1645799</v>
      </c>
    </row>
    <row r="243" spans="1:16" x14ac:dyDescent="0.3">
      <c r="A243" s="649" t="s">
        <v>214</v>
      </c>
      <c r="B243" s="650"/>
      <c r="C243" s="11" t="s">
        <v>18</v>
      </c>
      <c r="D243" s="10">
        <f>D230+D236+D242</f>
        <v>4198405</v>
      </c>
      <c r="E243" s="10">
        <f t="shared" ref="E243:O243" si="169">E230+E236+E242</f>
        <v>6208192</v>
      </c>
      <c r="F243" s="10">
        <f t="shared" si="169"/>
        <v>2135695</v>
      </c>
      <c r="G243" s="10">
        <f t="shared" si="169"/>
        <v>1101021</v>
      </c>
      <c r="H243" s="10">
        <f t="shared" si="169"/>
        <v>1267843</v>
      </c>
      <c r="I243" s="10">
        <f t="shared" si="169"/>
        <v>1399375</v>
      </c>
      <c r="J243" s="10">
        <f t="shared" si="169"/>
        <v>1295387</v>
      </c>
      <c r="K243" s="10">
        <f t="shared" si="169"/>
        <v>1340777</v>
      </c>
      <c r="L243" s="10">
        <f t="shared" si="169"/>
        <v>1178994</v>
      </c>
      <c r="M243" s="10">
        <f t="shared" si="169"/>
        <v>1147346</v>
      </c>
      <c r="N243" s="10">
        <f t="shared" si="169"/>
        <v>1057265</v>
      </c>
      <c r="O243" s="10">
        <f t="shared" si="169"/>
        <v>1106547</v>
      </c>
      <c r="P243" s="40">
        <f t="shared" ref="P243" si="170">P216+P223+P236+P242</f>
        <v>63612560.590000004</v>
      </c>
    </row>
    <row r="244" spans="1:16" ht="14.4" x14ac:dyDescent="0.3">
      <c r="A244" s="586" t="s">
        <v>204</v>
      </c>
      <c r="B244" s="587"/>
      <c r="C244" s="587"/>
      <c r="D244" s="587"/>
      <c r="E244" s="587"/>
      <c r="F244" s="587"/>
      <c r="G244" s="587"/>
      <c r="H244" s="587"/>
      <c r="I244" s="587"/>
      <c r="J244" s="587"/>
      <c r="K244" s="587"/>
      <c r="L244" s="587"/>
      <c r="M244" s="587"/>
      <c r="N244" s="587"/>
      <c r="O244" s="587"/>
      <c r="P244" s="588"/>
    </row>
    <row r="245" spans="1:16" x14ac:dyDescent="0.3">
      <c r="A245" s="656" t="s">
        <v>205</v>
      </c>
      <c r="B245" s="657"/>
      <c r="C245" s="11" t="s">
        <v>18</v>
      </c>
      <c r="D245" s="155">
        <v>14988684.949999999</v>
      </c>
      <c r="E245" s="155">
        <v>14970676.26</v>
      </c>
      <c r="F245" s="155">
        <v>15614301.66</v>
      </c>
      <c r="G245" s="155">
        <v>15540052.02</v>
      </c>
      <c r="H245" s="155">
        <v>16620886.130000001</v>
      </c>
      <c r="I245" s="155">
        <v>133815145.02</v>
      </c>
      <c r="J245" s="155">
        <v>16468256.34</v>
      </c>
      <c r="K245" s="155">
        <v>16290668.41</v>
      </c>
      <c r="L245" s="155">
        <v>17181380.4300001</v>
      </c>
      <c r="M245" s="155">
        <v>17222331.559999481</v>
      </c>
      <c r="N245" s="155">
        <v>17249014.949999399</v>
      </c>
      <c r="O245" s="155"/>
      <c r="P245" s="163">
        <f>O245</f>
        <v>0</v>
      </c>
    </row>
    <row r="246" spans="1:16" x14ac:dyDescent="0.3">
      <c r="A246" s="656" t="s">
        <v>206</v>
      </c>
      <c r="B246" s="657"/>
      <c r="C246" s="11" t="s">
        <v>18</v>
      </c>
      <c r="D246" s="155">
        <v>128771690.5</v>
      </c>
      <c r="E246" s="155">
        <v>133861352.26000001</v>
      </c>
      <c r="F246" s="155">
        <v>133977185.23999999</v>
      </c>
      <c r="G246" s="155">
        <v>133989984.3</v>
      </c>
      <c r="H246" s="155">
        <v>155847750.55000001</v>
      </c>
      <c r="I246" s="155">
        <v>16291871.02</v>
      </c>
      <c r="J246" s="155">
        <v>133924648.93000001</v>
      </c>
      <c r="K246" s="155">
        <v>133999952.64</v>
      </c>
      <c r="L246" s="155">
        <v>134091536.43000001</v>
      </c>
      <c r="M246" s="155">
        <v>67375623.489999995</v>
      </c>
      <c r="N246" s="155">
        <v>67418618.090000004</v>
      </c>
      <c r="O246" s="155"/>
      <c r="P246" s="163">
        <f>O246</f>
        <v>0</v>
      </c>
    </row>
    <row r="247" spans="1:16" x14ac:dyDescent="0.3">
      <c r="A247" s="658" t="s">
        <v>207</v>
      </c>
      <c r="B247" s="659"/>
      <c r="C247" s="11" t="s">
        <v>18</v>
      </c>
      <c r="D247" s="143">
        <f>D245+D246</f>
        <v>143760375.44999999</v>
      </c>
      <c r="E247" s="143">
        <f>E245+E246</f>
        <v>148832028.52000001</v>
      </c>
      <c r="F247" s="143">
        <f t="shared" ref="F247:P247" si="171">F245+F246</f>
        <v>149591486.90000001</v>
      </c>
      <c r="G247" s="143">
        <f t="shared" si="171"/>
        <v>149530036.31999999</v>
      </c>
      <c r="H247" s="143">
        <f t="shared" si="171"/>
        <v>172468636.68000001</v>
      </c>
      <c r="I247" s="143">
        <f t="shared" si="171"/>
        <v>150107016.03999999</v>
      </c>
      <c r="J247" s="143">
        <f t="shared" si="171"/>
        <v>150392905.27000001</v>
      </c>
      <c r="K247" s="143">
        <f t="shared" si="171"/>
        <v>150290621.05000001</v>
      </c>
      <c r="L247" s="143">
        <f t="shared" si="171"/>
        <v>151272916.8600001</v>
      </c>
      <c r="M247" s="143">
        <f t="shared" si="171"/>
        <v>84597955.049999475</v>
      </c>
      <c r="N247" s="157">
        <f t="shared" si="171"/>
        <v>84667633.039999396</v>
      </c>
      <c r="O247" s="157">
        <f t="shared" si="171"/>
        <v>0</v>
      </c>
      <c r="P247" s="163">
        <f t="shared" si="171"/>
        <v>0</v>
      </c>
    </row>
    <row r="248" spans="1:16" ht="14.4" x14ac:dyDescent="0.3">
      <c r="A248" s="586" t="s">
        <v>17</v>
      </c>
      <c r="B248" s="587"/>
      <c r="C248" s="587"/>
      <c r="D248" s="587"/>
      <c r="E248" s="587"/>
      <c r="F248" s="587"/>
      <c r="G248" s="587"/>
      <c r="H248" s="587"/>
      <c r="I248" s="587"/>
      <c r="J248" s="587"/>
      <c r="K248" s="587"/>
      <c r="L248" s="587"/>
      <c r="M248" s="587"/>
      <c r="N248" s="587"/>
      <c r="O248" s="587"/>
      <c r="P248" s="588"/>
    </row>
    <row r="249" spans="1:16" x14ac:dyDescent="0.3">
      <c r="A249" s="613" t="s">
        <v>16</v>
      </c>
      <c r="B249" s="614"/>
      <c r="C249" s="5" t="s">
        <v>6</v>
      </c>
      <c r="D249" s="8">
        <f>D58/D243</f>
        <v>0.33315080131621411</v>
      </c>
      <c r="E249" s="8">
        <f t="shared" ref="E249:O249" si="172">E58/E243</f>
        <v>0.58936804692896094</v>
      </c>
      <c r="F249" s="8">
        <f t="shared" si="172"/>
        <v>1.7183234778374255</v>
      </c>
      <c r="G249" s="8">
        <f t="shared" si="172"/>
        <v>3.2848356529984444</v>
      </c>
      <c r="H249" s="8">
        <f t="shared" si="172"/>
        <v>1.5532539833402086</v>
      </c>
      <c r="I249" s="8">
        <f t="shared" si="172"/>
        <v>1.7112878535060294</v>
      </c>
      <c r="J249" s="8">
        <f t="shared" si="172"/>
        <v>1.5997151276027937</v>
      </c>
      <c r="K249" s="8">
        <f t="shared" si="172"/>
        <v>1.8043242388555292</v>
      </c>
      <c r="L249" s="8">
        <f t="shared" si="172"/>
        <v>2.8021812324744659</v>
      </c>
      <c r="M249" s="8">
        <f t="shared" si="172"/>
        <v>1.8870594136380829</v>
      </c>
      <c r="N249" s="8">
        <f t="shared" si="172"/>
        <v>0.91098873981452144</v>
      </c>
      <c r="O249" s="8">
        <f t="shared" si="172"/>
        <v>1.2218506037249208</v>
      </c>
      <c r="P249" s="517">
        <f t="shared" ref="P249" si="173">P58/P243%</f>
        <v>45.562729153927933</v>
      </c>
    </row>
    <row r="250" spans="1:16" x14ac:dyDescent="0.3">
      <c r="A250" s="613" t="s">
        <v>208</v>
      </c>
      <c r="B250" s="614"/>
      <c r="C250" s="5" t="s">
        <v>6</v>
      </c>
      <c r="D250" s="29">
        <f>D210/(D223+D245)</f>
        <v>2.1015786203379443E-2</v>
      </c>
      <c r="E250" s="29">
        <f t="shared" ref="E250:O250" si="174">E210/(E223+E245)</f>
        <v>4.6005196533737018E-2</v>
      </c>
      <c r="F250" s="29">
        <f t="shared" si="174"/>
        <v>2.6628684900557788E-2</v>
      </c>
      <c r="G250" s="29">
        <f t="shared" si="174"/>
        <v>4.4970331495963967E-2</v>
      </c>
      <c r="H250" s="29">
        <f t="shared" si="174"/>
        <v>7.2289705923285097E-2</v>
      </c>
      <c r="I250" s="29">
        <f t="shared" si="174"/>
        <v>1.1486968048386344E-2</v>
      </c>
      <c r="J250" s="29">
        <f t="shared" si="174"/>
        <v>3.9500988020276025E-2</v>
      </c>
      <c r="K250" s="29">
        <f t="shared" si="174"/>
        <v>9.4066516939626338E-2</v>
      </c>
      <c r="L250" s="29">
        <f t="shared" si="174"/>
        <v>1.083449313497784E-2</v>
      </c>
      <c r="M250" s="29">
        <f t="shared" si="174"/>
        <v>3.7344639664672901</v>
      </c>
      <c r="N250" s="29">
        <f t="shared" si="174"/>
        <v>5.4585272221058252E-2</v>
      </c>
      <c r="O250" s="29">
        <f t="shared" si="174"/>
        <v>1.9686611000561312</v>
      </c>
      <c r="P250" s="516">
        <f t="shared" ref="P250" si="175">P210/(P223+P245)%</f>
        <v>375.68455658570463</v>
      </c>
    </row>
    <row r="251" spans="1:16" ht="16.2" thickBot="1" x14ac:dyDescent="0.35">
      <c r="A251" s="662" t="s">
        <v>15</v>
      </c>
      <c r="B251" s="663"/>
      <c r="C251" s="5" t="s">
        <v>6</v>
      </c>
      <c r="D251" s="7">
        <f>D210/D223</f>
        <v>9.9431719171486979E-2</v>
      </c>
      <c r="E251" s="7">
        <f t="shared" ref="E251:O251" si="176">E210/E223</f>
        <v>0.16081833812493185</v>
      </c>
      <c r="F251" s="7">
        <f t="shared" si="176"/>
        <v>0.24253221767924701</v>
      </c>
      <c r="G251" s="7">
        <f t="shared" si="176"/>
        <v>0.83615291519064583</v>
      </c>
      <c r="H251" s="7">
        <f t="shared" si="176"/>
        <v>1.2268326337961042</v>
      </c>
      <c r="I251" s="7">
        <f t="shared" si="176"/>
        <v>1.3109681455430813</v>
      </c>
      <c r="J251" s="7">
        <f t="shared" si="176"/>
        <v>0.64350450928086422</v>
      </c>
      <c r="K251" s="7">
        <f t="shared" si="176"/>
        <v>1.4613123863532946</v>
      </c>
      <c r="L251" s="7">
        <f t="shared" si="176"/>
        <v>0.20203389691238385</v>
      </c>
      <c r="M251" s="7">
        <f t="shared" si="176"/>
        <v>72.239154376913234</v>
      </c>
      <c r="N251" s="7">
        <f t="shared" si="176"/>
        <v>1.1707900573903909</v>
      </c>
      <c r="O251" s="7">
        <f t="shared" si="176"/>
        <v>1.9686611000561312</v>
      </c>
      <c r="P251" s="518">
        <f t="shared" ref="P251" si="177">P210/P223%</f>
        <v>375.68455658570463</v>
      </c>
    </row>
    <row r="252" spans="1:16" ht="14.4" x14ac:dyDescent="0.3">
      <c r="A252" s="642" t="s">
        <v>14</v>
      </c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3"/>
      <c r="P252" s="644"/>
    </row>
    <row r="253" spans="1:16" s="2" customFormat="1" ht="15" customHeight="1" x14ac:dyDescent="0.3">
      <c r="A253" s="613" t="s">
        <v>13</v>
      </c>
      <c r="B253" s="614"/>
      <c r="C253" s="5" t="s">
        <v>3</v>
      </c>
      <c r="D253" s="133">
        <v>0</v>
      </c>
      <c r="E253" s="133">
        <v>2</v>
      </c>
      <c r="F253" s="133">
        <v>4</v>
      </c>
      <c r="G253" s="133">
        <v>6</v>
      </c>
      <c r="H253" s="133">
        <v>5</v>
      </c>
      <c r="I253" s="133">
        <v>2</v>
      </c>
      <c r="J253" s="133">
        <v>1</v>
      </c>
      <c r="K253" s="133">
        <v>1</v>
      </c>
      <c r="L253" s="4">
        <v>1</v>
      </c>
      <c r="M253" s="4">
        <v>5</v>
      </c>
      <c r="N253" s="156">
        <v>1</v>
      </c>
      <c r="O253" s="156">
        <v>2</v>
      </c>
      <c r="P253" s="519">
        <f>SUM(D253:O253)</f>
        <v>30</v>
      </c>
    </row>
    <row r="254" spans="1:16" s="2" customFormat="1" x14ac:dyDescent="0.3">
      <c r="A254" s="613" t="s">
        <v>12</v>
      </c>
      <c r="B254" s="614"/>
      <c r="C254" s="5" t="s">
        <v>3</v>
      </c>
      <c r="D254" s="133">
        <v>0</v>
      </c>
      <c r="E254" s="133">
        <v>1</v>
      </c>
      <c r="F254" s="133">
        <v>1</v>
      </c>
      <c r="G254" s="133">
        <v>1</v>
      </c>
      <c r="H254" s="133">
        <v>1</v>
      </c>
      <c r="I254" s="133">
        <v>1</v>
      </c>
      <c r="J254" s="133">
        <v>1</v>
      </c>
      <c r="K254" s="133">
        <v>1</v>
      </c>
      <c r="L254" s="4">
        <v>1</v>
      </c>
      <c r="M254" s="4">
        <v>1</v>
      </c>
      <c r="N254" s="156">
        <v>1</v>
      </c>
      <c r="O254" s="156">
        <v>1</v>
      </c>
      <c r="P254" s="519">
        <f>SUM(D254:O254)</f>
        <v>11</v>
      </c>
    </row>
    <row r="255" spans="1:16" ht="15.75" customHeight="1" x14ac:dyDescent="0.3">
      <c r="A255" s="613" t="s">
        <v>11</v>
      </c>
      <c r="B255" s="614"/>
      <c r="C255" s="5" t="s">
        <v>3</v>
      </c>
      <c r="D255" s="133">
        <f t="shared" ref="D255:I255" si="178">D95</f>
        <v>22</v>
      </c>
      <c r="E255" s="133">
        <f t="shared" si="178"/>
        <v>22</v>
      </c>
      <c r="F255" s="133">
        <f t="shared" si="178"/>
        <v>12</v>
      </c>
      <c r="G255" s="133">
        <f t="shared" si="178"/>
        <v>12</v>
      </c>
      <c r="H255" s="133">
        <f t="shared" si="178"/>
        <v>12</v>
      </c>
      <c r="I255" s="133">
        <f t="shared" si="178"/>
        <v>12</v>
      </c>
      <c r="J255" s="133">
        <f t="shared" ref="J255:K255" si="179">J95</f>
        <v>11</v>
      </c>
      <c r="K255" s="133">
        <f t="shared" si="179"/>
        <v>11</v>
      </c>
      <c r="L255" s="133">
        <f t="shared" ref="L255:M255" si="180">L95</f>
        <v>11</v>
      </c>
      <c r="M255" s="133">
        <f t="shared" si="180"/>
        <v>11</v>
      </c>
      <c r="N255" s="156">
        <f t="shared" ref="N255:O255" si="181">N95</f>
        <v>11</v>
      </c>
      <c r="O255" s="156">
        <f t="shared" si="181"/>
        <v>11</v>
      </c>
      <c r="P255" s="519">
        <f>SUM(D255:O255)</f>
        <v>158</v>
      </c>
    </row>
    <row r="256" spans="1:16" x14ac:dyDescent="0.3">
      <c r="A256" s="613" t="s">
        <v>10</v>
      </c>
      <c r="B256" s="614"/>
      <c r="C256" s="5" t="s">
        <v>3</v>
      </c>
      <c r="D256" s="133">
        <f t="shared" ref="D256:I256" si="182">D91</f>
        <v>2</v>
      </c>
      <c r="E256" s="133">
        <f t="shared" si="182"/>
        <v>21</v>
      </c>
      <c r="F256" s="133">
        <f t="shared" si="182"/>
        <v>4</v>
      </c>
      <c r="G256" s="133">
        <f t="shared" si="182"/>
        <v>7</v>
      </c>
      <c r="H256" s="133">
        <f t="shared" si="182"/>
        <v>5</v>
      </c>
      <c r="I256" s="133">
        <f t="shared" si="182"/>
        <v>2</v>
      </c>
      <c r="J256" s="133">
        <f t="shared" ref="J256:K256" si="183">J91</f>
        <v>1</v>
      </c>
      <c r="K256" s="133">
        <f t="shared" si="183"/>
        <v>1</v>
      </c>
      <c r="L256" s="133">
        <f t="shared" ref="L256:M256" si="184">L91</f>
        <v>1</v>
      </c>
      <c r="M256" s="133">
        <f t="shared" si="184"/>
        <v>5</v>
      </c>
      <c r="N256" s="156">
        <f t="shared" ref="N256:O256" si="185">N91</f>
        <v>2</v>
      </c>
      <c r="O256" s="156">
        <f t="shared" si="185"/>
        <v>2</v>
      </c>
      <c r="P256" s="519">
        <f>SUM(D256:O256)</f>
        <v>53</v>
      </c>
    </row>
    <row r="257" spans="1:16" ht="15.6" customHeight="1" x14ac:dyDescent="0.3">
      <c r="A257" s="613" t="s">
        <v>9</v>
      </c>
      <c r="B257" s="614"/>
      <c r="C257" s="5" t="s">
        <v>3</v>
      </c>
      <c r="D257" s="133">
        <v>0</v>
      </c>
      <c r="E257" s="133">
        <v>30</v>
      </c>
      <c r="F257" s="133">
        <v>30</v>
      </c>
      <c r="G257" s="133">
        <v>15</v>
      </c>
      <c r="H257" s="133">
        <v>15</v>
      </c>
      <c r="I257" s="133">
        <v>15</v>
      </c>
      <c r="J257" s="133">
        <v>15</v>
      </c>
      <c r="K257" s="133">
        <v>15</v>
      </c>
      <c r="L257" s="4">
        <v>14</v>
      </c>
      <c r="M257" s="4">
        <v>14</v>
      </c>
      <c r="N257" s="156">
        <v>14</v>
      </c>
      <c r="O257" s="156">
        <v>14</v>
      </c>
      <c r="P257" s="519">
        <f>SUM(D257:O257)</f>
        <v>191</v>
      </c>
    </row>
    <row r="258" spans="1:16" x14ac:dyDescent="0.3">
      <c r="A258" s="649" t="s">
        <v>8</v>
      </c>
      <c r="B258" s="650"/>
      <c r="C258" s="5" t="s">
        <v>3</v>
      </c>
      <c r="D258" s="161">
        <v>0</v>
      </c>
      <c r="E258" s="161">
        <v>1.3636363636363635</v>
      </c>
      <c r="F258" s="161">
        <v>2.5</v>
      </c>
      <c r="G258" s="1">
        <f t="shared" ref="G258:P258" si="186">G257/G256</f>
        <v>2.1428571428571428</v>
      </c>
      <c r="H258" s="1">
        <f t="shared" si="186"/>
        <v>3</v>
      </c>
      <c r="I258" s="1">
        <f t="shared" si="186"/>
        <v>7.5</v>
      </c>
      <c r="J258" s="1">
        <f t="shared" si="186"/>
        <v>15</v>
      </c>
      <c r="K258" s="1">
        <f t="shared" si="186"/>
        <v>15</v>
      </c>
      <c r="L258" s="1">
        <f t="shared" si="186"/>
        <v>14</v>
      </c>
      <c r="M258" s="1">
        <f t="shared" si="186"/>
        <v>2.8</v>
      </c>
      <c r="N258" s="1">
        <f t="shared" si="186"/>
        <v>7</v>
      </c>
      <c r="O258" s="3">
        <f t="shared" si="186"/>
        <v>7</v>
      </c>
      <c r="P258" s="519">
        <f t="shared" si="186"/>
        <v>3.6037735849056602</v>
      </c>
    </row>
    <row r="259" spans="1:16" x14ac:dyDescent="0.3">
      <c r="A259" s="649" t="s">
        <v>7</v>
      </c>
      <c r="B259" s="650"/>
      <c r="C259" s="5" t="s">
        <v>6</v>
      </c>
      <c r="D259" s="161">
        <f t="shared" ref="D259:P259" si="187">D92/D255*100</f>
        <v>9.0909090909090917</v>
      </c>
      <c r="E259" s="161">
        <f t="shared" si="187"/>
        <v>9.0909090909090917</v>
      </c>
      <c r="F259" s="161">
        <f t="shared" si="187"/>
        <v>16.666666666666664</v>
      </c>
      <c r="G259" s="161">
        <f t="shared" si="187"/>
        <v>58.333333333333336</v>
      </c>
      <c r="H259" s="187">
        <f t="shared" si="187"/>
        <v>41.666666666666671</v>
      </c>
      <c r="I259" s="161">
        <f t="shared" si="187"/>
        <v>16.666666666666664</v>
      </c>
      <c r="J259" s="161">
        <f t="shared" si="187"/>
        <v>18.181818181818183</v>
      </c>
      <c r="K259" s="161">
        <f t="shared" si="187"/>
        <v>9.0909090909090917</v>
      </c>
      <c r="L259" s="161">
        <f t="shared" si="187"/>
        <v>9.0909090909090917</v>
      </c>
      <c r="M259" s="161">
        <f t="shared" si="187"/>
        <v>45.454545454545453</v>
      </c>
      <c r="N259" s="161">
        <f t="shared" si="187"/>
        <v>18.181818181818183</v>
      </c>
      <c r="O259" s="187">
        <f t="shared" si="187"/>
        <v>18.181818181818183</v>
      </c>
      <c r="P259" s="520">
        <f t="shared" si="187"/>
        <v>20.88607594936709</v>
      </c>
    </row>
    <row r="260" spans="1:16" ht="14.4" x14ac:dyDescent="0.3">
      <c r="A260" s="586" t="s">
        <v>5</v>
      </c>
      <c r="B260" s="587"/>
      <c r="C260" s="587"/>
      <c r="D260" s="587"/>
      <c r="E260" s="587"/>
      <c r="F260" s="587"/>
      <c r="G260" s="587"/>
      <c r="H260" s="587"/>
      <c r="I260" s="587"/>
      <c r="J260" s="587"/>
      <c r="K260" s="587"/>
      <c r="L260" s="587"/>
      <c r="M260" s="587"/>
      <c r="N260" s="587"/>
      <c r="O260" s="587"/>
      <c r="P260" s="588"/>
    </row>
    <row r="261" spans="1:16" s="2" customFormat="1" ht="15" customHeight="1" x14ac:dyDescent="0.3">
      <c r="A261" s="613" t="s">
        <v>4</v>
      </c>
      <c r="B261" s="614"/>
      <c r="C261" s="5" t="s">
        <v>3</v>
      </c>
      <c r="D261" s="4">
        <v>4</v>
      </c>
      <c r="E261" s="4">
        <v>6</v>
      </c>
      <c r="F261" s="4">
        <v>7</v>
      </c>
      <c r="G261" s="4">
        <v>9</v>
      </c>
      <c r="H261" s="4">
        <v>12</v>
      </c>
      <c r="I261" s="4">
        <v>10</v>
      </c>
      <c r="J261" s="4">
        <v>12</v>
      </c>
      <c r="K261" s="4">
        <v>12</v>
      </c>
      <c r="L261" s="4">
        <v>11</v>
      </c>
      <c r="M261" s="4">
        <v>4</v>
      </c>
      <c r="N261" s="4">
        <v>16</v>
      </c>
      <c r="O261" s="4">
        <v>16</v>
      </c>
      <c r="P261" s="40">
        <f>SUM(D261:O261)</f>
        <v>119</v>
      </c>
    </row>
    <row r="262" spans="1:16" s="2" customFormat="1" ht="15.75" customHeight="1" x14ac:dyDescent="0.3">
      <c r="A262" s="613" t="s">
        <v>2</v>
      </c>
      <c r="B262" s="614"/>
      <c r="C262" s="5" t="s">
        <v>0</v>
      </c>
      <c r="D262" s="4">
        <v>1</v>
      </c>
      <c r="E262" s="4">
        <v>3</v>
      </c>
      <c r="F262" s="4">
        <v>2</v>
      </c>
      <c r="G262" s="4">
        <v>3</v>
      </c>
      <c r="H262" s="4">
        <v>4</v>
      </c>
      <c r="I262" s="4">
        <v>5</v>
      </c>
      <c r="J262" s="4">
        <v>6</v>
      </c>
      <c r="K262" s="4">
        <v>6</v>
      </c>
      <c r="L262" s="4">
        <v>4</v>
      </c>
      <c r="M262" s="4">
        <v>2</v>
      </c>
      <c r="N262" s="4">
        <v>4</v>
      </c>
      <c r="O262" s="4">
        <v>5</v>
      </c>
      <c r="P262" s="40">
        <f>SUM(D262:O262)</f>
        <v>45</v>
      </c>
    </row>
    <row r="263" spans="1:16" ht="16.2" thickBot="1" x14ac:dyDescent="0.35">
      <c r="A263" s="660" t="s">
        <v>1</v>
      </c>
      <c r="B263" s="661"/>
      <c r="C263" s="116" t="s">
        <v>0</v>
      </c>
      <c r="D263" s="117">
        <f t="shared" ref="D263:N263" si="188">D261/D262</f>
        <v>4</v>
      </c>
      <c r="E263" s="117">
        <f t="shared" si="188"/>
        <v>2</v>
      </c>
      <c r="F263" s="117">
        <f t="shared" si="188"/>
        <v>3.5</v>
      </c>
      <c r="G263" s="117">
        <f t="shared" si="188"/>
        <v>3</v>
      </c>
      <c r="H263" s="117">
        <f t="shared" si="188"/>
        <v>3</v>
      </c>
      <c r="I263" s="117">
        <f t="shared" si="188"/>
        <v>2</v>
      </c>
      <c r="J263" s="117">
        <f t="shared" si="188"/>
        <v>2</v>
      </c>
      <c r="K263" s="117">
        <f t="shared" si="188"/>
        <v>2</v>
      </c>
      <c r="L263" s="117">
        <f t="shared" si="188"/>
        <v>2.75</v>
      </c>
      <c r="M263" s="117">
        <f t="shared" si="188"/>
        <v>2</v>
      </c>
      <c r="N263" s="117">
        <f t="shared" si="188"/>
        <v>4</v>
      </c>
      <c r="O263" s="117">
        <f t="shared" ref="O263:P263" si="189">O261/O262</f>
        <v>3.2</v>
      </c>
      <c r="P263" s="514">
        <f t="shared" si="189"/>
        <v>2.6444444444444444</v>
      </c>
    </row>
  </sheetData>
  <mergeCells count="158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</mergeCells>
  <pageMargins left="0.7" right="0.7" top="0.75" bottom="0.75" header="0.3" footer="0.3"/>
  <pageSetup paperSize="9" orientation="portrait" r:id="rId1"/>
  <ignoredErrors>
    <ignoredError sqref="H4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B61-2A05-4B07-A442-605C102D461B}">
  <sheetPr codeName="Sheet4"/>
  <dimension ref="A1:AC263"/>
  <sheetViews>
    <sheetView workbookViewId="0">
      <pane xSplit="2" ySplit="8" topLeftCell="P9" activePane="bottomRight" state="frozen"/>
      <selection pane="topRight" activeCell="C1" sqref="C1"/>
      <selection pane="bottomLeft" activeCell="A9" sqref="A9"/>
      <selection pane="bottomRight" activeCell="T20" sqref="T20"/>
    </sheetView>
  </sheetViews>
  <sheetFormatPr defaultRowHeight="15.6" x14ac:dyDescent="0.3"/>
  <cols>
    <col min="1" max="1" width="39" customWidth="1"/>
    <col min="2" max="2" width="15.88671875" bestFit="1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style="521" customWidth="1"/>
  </cols>
  <sheetData>
    <row r="1" spans="1:29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29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29" ht="18" thickBot="1" x14ac:dyDescent="0.35">
      <c r="A3" s="317" t="s">
        <v>217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9"/>
    </row>
    <row r="4" spans="1:29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29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5"/>
    </row>
    <row r="6" spans="1:29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29" ht="16.2" thickBot="1" x14ac:dyDescent="0.35">
      <c r="A7" s="580" t="s">
        <v>174</v>
      </c>
      <c r="B7" s="581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29" ht="15" thickBot="1" x14ac:dyDescent="0.35">
      <c r="A8" s="591" t="s">
        <v>159</v>
      </c>
      <c r="B8" s="592"/>
      <c r="C8" s="592"/>
      <c r="D8" s="592"/>
      <c r="E8" s="592"/>
      <c r="F8" s="592"/>
      <c r="G8" s="592"/>
      <c r="H8" s="592"/>
      <c r="I8" s="592"/>
      <c r="J8" s="592"/>
      <c r="K8" s="592"/>
      <c r="L8" s="592"/>
      <c r="M8" s="592"/>
      <c r="N8" s="592"/>
      <c r="O8" s="592"/>
      <c r="P8" s="593"/>
      <c r="Q8" t="s">
        <v>223</v>
      </c>
      <c r="R8" t="s">
        <v>162</v>
      </c>
      <c r="S8" t="s">
        <v>224</v>
      </c>
      <c r="T8" t="s">
        <v>225</v>
      </c>
      <c r="U8" t="s">
        <v>226</v>
      </c>
      <c r="V8" t="s">
        <v>227</v>
      </c>
      <c r="W8" t="s">
        <v>228</v>
      </c>
      <c r="X8" t="s">
        <v>229</v>
      </c>
      <c r="Y8" t="s">
        <v>230</v>
      </c>
      <c r="Z8" t="s">
        <v>231</v>
      </c>
      <c r="AA8" t="s">
        <v>232</v>
      </c>
      <c r="AB8" t="s">
        <v>233</v>
      </c>
      <c r="AC8" t="s">
        <v>234</v>
      </c>
    </row>
    <row r="9" spans="1:29" x14ac:dyDescent="0.3">
      <c r="A9" s="594" t="s">
        <v>176</v>
      </c>
      <c r="B9" s="595"/>
      <c r="C9" s="58" t="s">
        <v>152</v>
      </c>
      <c r="D9" s="57">
        <v>6552</v>
      </c>
      <c r="E9" s="57">
        <v>1800</v>
      </c>
      <c r="F9" s="57">
        <v>2556.0100000000002</v>
      </c>
      <c r="G9" s="57">
        <v>2432</v>
      </c>
      <c r="H9" s="57">
        <v>2810</v>
      </c>
      <c r="I9" s="57">
        <v>2860</v>
      </c>
      <c r="J9" s="57">
        <v>2921</v>
      </c>
      <c r="K9" s="57">
        <v>2981</v>
      </c>
      <c r="L9" s="57">
        <v>3069</v>
      </c>
      <c r="M9" s="57">
        <v>2518</v>
      </c>
      <c r="N9" s="57">
        <v>2718</v>
      </c>
      <c r="O9" s="57">
        <v>2909</v>
      </c>
      <c r="P9" s="153">
        <f>SUM(D9:O9)</f>
        <v>36126.01</v>
      </c>
      <c r="Q9" s="577">
        <v>0</v>
      </c>
      <c r="R9" s="577">
        <v>0</v>
      </c>
      <c r="S9" s="577">
        <v>0</v>
      </c>
      <c r="T9" s="577">
        <v>0</v>
      </c>
      <c r="U9" s="577">
        <v>0</v>
      </c>
      <c r="V9" s="577">
        <v>0</v>
      </c>
      <c r="W9" s="577">
        <v>0</v>
      </c>
      <c r="X9" s="577">
        <v>0</v>
      </c>
      <c r="Y9" s="577">
        <v>0</v>
      </c>
      <c r="Z9" s="577">
        <v>0</v>
      </c>
      <c r="AA9" s="577">
        <v>0</v>
      </c>
      <c r="AB9" s="577">
        <v>0</v>
      </c>
      <c r="AC9" s="577">
        <v>0</v>
      </c>
    </row>
    <row r="10" spans="1:29" ht="14.4" x14ac:dyDescent="0.3">
      <c r="A10" s="586" t="s">
        <v>177</v>
      </c>
      <c r="B10" s="587"/>
      <c r="C10" s="587"/>
      <c r="D10" s="587"/>
      <c r="E10" s="587"/>
      <c r="F10" s="587"/>
      <c r="G10" s="587"/>
      <c r="H10" s="587"/>
      <c r="I10" s="587"/>
      <c r="J10" s="587"/>
      <c r="K10" s="587"/>
      <c r="L10" s="587"/>
      <c r="M10" s="587"/>
      <c r="N10" s="587"/>
      <c r="O10" s="587"/>
      <c r="P10" s="588"/>
      <c r="Q10" s="577">
        <v>0</v>
      </c>
      <c r="R10" s="577">
        <v>0</v>
      </c>
      <c r="S10" s="577">
        <v>0</v>
      </c>
      <c r="T10" s="577">
        <v>0</v>
      </c>
      <c r="U10" s="577">
        <v>0</v>
      </c>
      <c r="V10" s="577">
        <v>0</v>
      </c>
      <c r="W10" s="577">
        <v>0</v>
      </c>
      <c r="X10" s="577">
        <v>0</v>
      </c>
      <c r="Y10" s="577">
        <v>0</v>
      </c>
      <c r="Z10" s="577">
        <v>0</v>
      </c>
      <c r="AA10" s="577">
        <v>0</v>
      </c>
      <c r="AB10" s="577">
        <v>0</v>
      </c>
      <c r="AC10" s="577">
        <v>0</v>
      </c>
    </row>
    <row r="11" spans="1:29" x14ac:dyDescent="0.3">
      <c r="A11" s="589" t="s">
        <v>157</v>
      </c>
      <c r="B11" s="590"/>
      <c r="C11" s="11" t="s">
        <v>152</v>
      </c>
      <c r="D11" s="26">
        <v>620</v>
      </c>
      <c r="E11" s="26">
        <v>446</v>
      </c>
      <c r="F11" s="26">
        <v>5</v>
      </c>
      <c r="G11" s="26">
        <v>4</v>
      </c>
      <c r="H11" s="26">
        <v>5</v>
      </c>
      <c r="I11" s="26">
        <v>5</v>
      </c>
      <c r="J11" s="26">
        <v>37</v>
      </c>
      <c r="K11" s="26">
        <v>65</v>
      </c>
      <c r="L11" s="26">
        <v>103</v>
      </c>
      <c r="M11" s="26">
        <v>92</v>
      </c>
      <c r="N11" s="26">
        <v>47</v>
      </c>
      <c r="O11" s="26">
        <v>76</v>
      </c>
      <c r="P11" s="55">
        <f>SUM(D11:O11)</f>
        <v>1505</v>
      </c>
      <c r="Q11" s="577">
        <v>0</v>
      </c>
      <c r="R11" s="577">
        <v>0</v>
      </c>
      <c r="S11" s="577">
        <v>0</v>
      </c>
      <c r="T11" s="577">
        <v>0</v>
      </c>
      <c r="U11" s="577">
        <v>0</v>
      </c>
      <c r="V11" s="577">
        <v>0</v>
      </c>
      <c r="W11" s="577">
        <v>0</v>
      </c>
      <c r="X11" s="577">
        <v>0</v>
      </c>
      <c r="Y11" s="577">
        <v>0</v>
      </c>
      <c r="Z11" s="577">
        <v>0</v>
      </c>
      <c r="AA11" s="577">
        <v>0</v>
      </c>
      <c r="AB11" s="577">
        <v>0</v>
      </c>
      <c r="AC11" s="577">
        <v>0</v>
      </c>
    </row>
    <row r="12" spans="1:29" x14ac:dyDescent="0.3">
      <c r="A12" s="589" t="s">
        <v>156</v>
      </c>
      <c r="B12" s="590"/>
      <c r="C12" s="11" t="s">
        <v>152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55">
        <f>SUM(D12:O12)</f>
        <v>0</v>
      </c>
      <c r="Q12" s="577">
        <v>0</v>
      </c>
      <c r="R12" s="577">
        <v>0</v>
      </c>
      <c r="S12" s="577">
        <v>0</v>
      </c>
      <c r="T12" s="577">
        <v>0</v>
      </c>
      <c r="U12" s="577">
        <v>0</v>
      </c>
      <c r="V12" s="577">
        <v>0</v>
      </c>
      <c r="W12" s="577">
        <v>0</v>
      </c>
      <c r="X12" s="577">
        <v>0</v>
      </c>
      <c r="Y12" s="577">
        <v>0</v>
      </c>
      <c r="Z12" s="577">
        <v>0</v>
      </c>
      <c r="AA12" s="577">
        <v>0</v>
      </c>
      <c r="AB12" s="577">
        <v>0</v>
      </c>
      <c r="AC12" s="577">
        <v>0</v>
      </c>
    </row>
    <row r="13" spans="1:29" x14ac:dyDescent="0.3">
      <c r="A13" s="589" t="s">
        <v>155</v>
      </c>
      <c r="B13" s="590"/>
      <c r="C13" s="11" t="s">
        <v>152</v>
      </c>
      <c r="D13" s="26">
        <v>23</v>
      </c>
      <c r="E13" s="26">
        <v>8</v>
      </c>
      <c r="F13" s="26">
        <v>14</v>
      </c>
      <c r="G13" s="26">
        <v>13</v>
      </c>
      <c r="H13" s="26">
        <v>14</v>
      </c>
      <c r="I13" s="26">
        <v>32</v>
      </c>
      <c r="J13" s="26">
        <v>6</v>
      </c>
      <c r="K13" s="26">
        <v>5</v>
      </c>
      <c r="L13" s="26"/>
      <c r="M13" s="26">
        <v>11</v>
      </c>
      <c r="N13" s="26">
        <v>11</v>
      </c>
      <c r="O13" s="26">
        <v>19</v>
      </c>
      <c r="P13" s="55">
        <f>SUM(D13:O13)</f>
        <v>156</v>
      </c>
      <c r="Q13" s="577">
        <v>0</v>
      </c>
      <c r="R13" s="577">
        <v>0</v>
      </c>
      <c r="S13" s="577">
        <v>0</v>
      </c>
      <c r="T13" s="577">
        <v>0</v>
      </c>
      <c r="U13" s="577">
        <v>0</v>
      </c>
      <c r="V13" s="577">
        <v>0</v>
      </c>
      <c r="W13" s="577">
        <v>0</v>
      </c>
      <c r="X13" s="577">
        <v>0</v>
      </c>
      <c r="Y13" s="577">
        <v>0</v>
      </c>
      <c r="Z13" s="577">
        <v>0</v>
      </c>
      <c r="AA13" s="577">
        <v>0</v>
      </c>
      <c r="AB13" s="577">
        <v>0</v>
      </c>
      <c r="AC13" s="577">
        <v>0</v>
      </c>
    </row>
    <row r="14" spans="1:29" x14ac:dyDescent="0.3">
      <c r="A14" s="582" t="s">
        <v>154</v>
      </c>
      <c r="B14" s="583"/>
      <c r="C14" s="11" t="s">
        <v>152</v>
      </c>
      <c r="D14" s="26">
        <v>0</v>
      </c>
      <c r="E14" s="26">
        <v>2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55">
        <f>SUM(D14:O14)</f>
        <v>2</v>
      </c>
      <c r="Q14" s="577">
        <v>0</v>
      </c>
      <c r="R14" s="577">
        <v>0</v>
      </c>
      <c r="S14" s="577">
        <v>0</v>
      </c>
      <c r="T14" s="577">
        <v>0</v>
      </c>
      <c r="U14" s="577">
        <v>0</v>
      </c>
      <c r="V14" s="577">
        <v>0</v>
      </c>
      <c r="W14" s="577">
        <v>0</v>
      </c>
      <c r="X14" s="577">
        <v>0</v>
      </c>
      <c r="Y14" s="577">
        <v>0</v>
      </c>
      <c r="Z14" s="577">
        <v>0</v>
      </c>
      <c r="AA14" s="577">
        <v>0</v>
      </c>
      <c r="AB14" s="577">
        <v>0</v>
      </c>
      <c r="AC14" s="577">
        <v>0</v>
      </c>
    </row>
    <row r="15" spans="1:29" s="63" customFormat="1" x14ac:dyDescent="0.3">
      <c r="A15" s="584" t="s">
        <v>158</v>
      </c>
      <c r="B15" s="585"/>
      <c r="C15" s="62" t="s">
        <v>152</v>
      </c>
      <c r="D15" s="34">
        <f t="shared" ref="D15:P15" si="0">SUM(D11:D14)</f>
        <v>643</v>
      </c>
      <c r="E15" s="34">
        <f t="shared" si="0"/>
        <v>456</v>
      </c>
      <c r="F15" s="34">
        <f t="shared" si="0"/>
        <v>19</v>
      </c>
      <c r="G15" s="34">
        <f t="shared" si="0"/>
        <v>17</v>
      </c>
      <c r="H15" s="34">
        <f t="shared" si="0"/>
        <v>19</v>
      </c>
      <c r="I15" s="34">
        <f t="shared" si="0"/>
        <v>37</v>
      </c>
      <c r="J15" s="34">
        <f t="shared" si="0"/>
        <v>43</v>
      </c>
      <c r="K15" s="34">
        <f t="shared" si="0"/>
        <v>70</v>
      </c>
      <c r="L15" s="34">
        <f t="shared" si="0"/>
        <v>103</v>
      </c>
      <c r="M15" s="34">
        <f t="shared" si="0"/>
        <v>103</v>
      </c>
      <c r="N15" s="34">
        <f t="shared" si="0"/>
        <v>58</v>
      </c>
      <c r="O15" s="34">
        <f t="shared" si="0"/>
        <v>95</v>
      </c>
      <c r="P15" s="55">
        <f t="shared" si="0"/>
        <v>1663</v>
      </c>
      <c r="Q15" s="577">
        <v>0</v>
      </c>
      <c r="R15" s="577">
        <v>0</v>
      </c>
      <c r="S15" s="577">
        <v>0</v>
      </c>
      <c r="T15" s="577">
        <v>0</v>
      </c>
      <c r="U15" s="577">
        <v>0</v>
      </c>
      <c r="V15" s="577">
        <v>0</v>
      </c>
      <c r="W15" s="577">
        <v>0</v>
      </c>
      <c r="X15" s="577">
        <v>0</v>
      </c>
      <c r="Y15" s="577">
        <v>0</v>
      </c>
      <c r="Z15" s="577">
        <v>0</v>
      </c>
      <c r="AA15" s="577">
        <v>0</v>
      </c>
      <c r="AB15" s="577">
        <v>0</v>
      </c>
      <c r="AC15" s="577">
        <v>0</v>
      </c>
    </row>
    <row r="16" spans="1:29" s="2" customFormat="1" ht="14.4" x14ac:dyDescent="0.3">
      <c r="A16" s="586" t="s">
        <v>178</v>
      </c>
      <c r="B16" s="587"/>
      <c r="C16" s="587"/>
      <c r="D16" s="587"/>
      <c r="E16" s="587"/>
      <c r="F16" s="587"/>
      <c r="G16" s="587"/>
      <c r="H16" s="587"/>
      <c r="I16" s="587"/>
      <c r="J16" s="587"/>
      <c r="K16" s="587"/>
      <c r="L16" s="587"/>
      <c r="M16" s="587"/>
      <c r="N16" s="587"/>
      <c r="O16" s="587"/>
      <c r="P16" s="588"/>
      <c r="Q16" s="577">
        <v>0</v>
      </c>
      <c r="R16" s="577">
        <v>0</v>
      </c>
      <c r="S16" s="577">
        <v>0</v>
      </c>
      <c r="T16" s="577">
        <v>0</v>
      </c>
      <c r="U16" s="577">
        <v>0</v>
      </c>
      <c r="V16" s="577">
        <v>0</v>
      </c>
      <c r="W16" s="577">
        <v>0</v>
      </c>
      <c r="X16" s="577">
        <v>0</v>
      </c>
      <c r="Y16" s="577">
        <v>0</v>
      </c>
      <c r="Z16" s="577">
        <v>0</v>
      </c>
      <c r="AA16" s="577">
        <v>0</v>
      </c>
      <c r="AB16" s="577">
        <v>0</v>
      </c>
      <c r="AC16" s="577">
        <v>0</v>
      </c>
    </row>
    <row r="17" spans="1:17" s="2" customFormat="1" x14ac:dyDescent="0.3">
      <c r="A17" s="589" t="s">
        <v>180</v>
      </c>
      <c r="B17" s="590"/>
      <c r="C17" s="11" t="s">
        <v>152</v>
      </c>
      <c r="D17" s="26">
        <v>577</v>
      </c>
      <c r="E17" s="26">
        <v>659</v>
      </c>
      <c r="F17" s="26">
        <v>2068.9</v>
      </c>
      <c r="G17" s="26">
        <v>2081</v>
      </c>
      <c r="H17" s="26">
        <v>2351</v>
      </c>
      <c r="I17" s="26">
        <v>2038</v>
      </c>
      <c r="J17" s="26">
        <v>2301</v>
      </c>
      <c r="K17" s="26">
        <v>2423</v>
      </c>
      <c r="L17" s="26">
        <v>2340</v>
      </c>
      <c r="M17" s="26">
        <v>1890</v>
      </c>
      <c r="N17" s="26">
        <v>2069</v>
      </c>
      <c r="O17" s="26">
        <v>2305</v>
      </c>
      <c r="P17" s="55">
        <f>SUM(D17:O17)</f>
        <v>23102.9</v>
      </c>
      <c r="Q17" s="170"/>
    </row>
    <row r="18" spans="1:17" s="2" customFormat="1" x14ac:dyDescent="0.3">
      <c r="A18" s="589" t="s">
        <v>181</v>
      </c>
      <c r="B18" s="590"/>
      <c r="C18" s="11" t="s">
        <v>152</v>
      </c>
      <c r="D18" s="26">
        <v>21</v>
      </c>
      <c r="E18" s="26">
        <v>11</v>
      </c>
      <c r="F18" s="26">
        <v>60</v>
      </c>
      <c r="G18" s="26">
        <v>75</v>
      </c>
      <c r="H18" s="26">
        <v>71</v>
      </c>
      <c r="I18" s="26">
        <v>86</v>
      </c>
      <c r="J18" s="26">
        <v>131</v>
      </c>
      <c r="K18" s="26">
        <v>148</v>
      </c>
      <c r="L18" s="26">
        <v>118</v>
      </c>
      <c r="M18" s="26">
        <v>118</v>
      </c>
      <c r="N18" s="26">
        <v>104</v>
      </c>
      <c r="O18" s="26">
        <v>94</v>
      </c>
      <c r="P18" s="55">
        <f>SUM(D18:O18)</f>
        <v>1037</v>
      </c>
      <c r="Q18" s="170"/>
    </row>
    <row r="19" spans="1:17" s="2" customFormat="1" x14ac:dyDescent="0.3">
      <c r="A19" s="589" t="s">
        <v>182</v>
      </c>
      <c r="B19" s="590"/>
      <c r="C19" s="11" t="s">
        <v>152</v>
      </c>
      <c r="D19" s="26">
        <v>23</v>
      </c>
      <c r="E19" s="26">
        <v>30</v>
      </c>
      <c r="F19" s="26">
        <v>75</v>
      </c>
      <c r="G19" s="26">
        <v>61</v>
      </c>
      <c r="H19" s="26">
        <v>52</v>
      </c>
      <c r="I19" s="26">
        <v>97</v>
      </c>
      <c r="J19" s="26">
        <v>88</v>
      </c>
      <c r="K19" s="26">
        <v>64</v>
      </c>
      <c r="L19" s="26">
        <v>201</v>
      </c>
      <c r="M19" s="26">
        <v>44</v>
      </c>
      <c r="N19" s="26">
        <v>48</v>
      </c>
      <c r="O19" s="26">
        <v>45</v>
      </c>
      <c r="P19" s="55">
        <f>SUM(D19:O19)</f>
        <v>828</v>
      </c>
      <c r="Q19" s="170"/>
    </row>
    <row r="20" spans="1:17" s="2" customFormat="1" x14ac:dyDescent="0.3">
      <c r="A20" s="582" t="s">
        <v>183</v>
      </c>
      <c r="B20" s="583"/>
      <c r="C20" s="11" t="s">
        <v>152</v>
      </c>
      <c r="D20" s="26">
        <v>52</v>
      </c>
      <c r="E20" s="26">
        <v>28</v>
      </c>
      <c r="F20" s="26">
        <v>83</v>
      </c>
      <c r="G20" s="26">
        <v>86</v>
      </c>
      <c r="H20" s="26">
        <v>81</v>
      </c>
      <c r="I20" s="26">
        <v>120</v>
      </c>
      <c r="J20" s="26">
        <v>95</v>
      </c>
      <c r="K20" s="26">
        <v>156</v>
      </c>
      <c r="L20" s="26">
        <v>116</v>
      </c>
      <c r="M20" s="26">
        <v>86</v>
      </c>
      <c r="N20" s="26">
        <v>111</v>
      </c>
      <c r="O20" s="26">
        <v>113</v>
      </c>
      <c r="P20" s="55">
        <f>SUM(D20:O20)</f>
        <v>1127</v>
      </c>
      <c r="Q20" s="170"/>
    </row>
    <row r="21" spans="1:17" s="73" customFormat="1" x14ac:dyDescent="0.3">
      <c r="A21" s="584" t="s">
        <v>184</v>
      </c>
      <c r="B21" s="585"/>
      <c r="C21" s="62" t="s">
        <v>152</v>
      </c>
      <c r="D21" s="34">
        <f>SUM(D17:D20)</f>
        <v>673</v>
      </c>
      <c r="E21" s="34">
        <f t="shared" ref="E21:P21" si="1">SUM(E17:E20)</f>
        <v>728</v>
      </c>
      <c r="F21" s="34">
        <f t="shared" si="1"/>
        <v>2286.9</v>
      </c>
      <c r="G21" s="34">
        <f t="shared" si="1"/>
        <v>2303</v>
      </c>
      <c r="H21" s="34">
        <f t="shared" si="1"/>
        <v>2555</v>
      </c>
      <c r="I21" s="34">
        <f t="shared" si="1"/>
        <v>2341</v>
      </c>
      <c r="J21" s="34">
        <f t="shared" si="1"/>
        <v>2615</v>
      </c>
      <c r="K21" s="34">
        <f t="shared" si="1"/>
        <v>2791</v>
      </c>
      <c r="L21" s="34">
        <f t="shared" si="1"/>
        <v>2775</v>
      </c>
      <c r="M21" s="34">
        <f t="shared" si="1"/>
        <v>2138</v>
      </c>
      <c r="N21" s="34">
        <f t="shared" si="1"/>
        <v>2332</v>
      </c>
      <c r="O21" s="34">
        <f t="shared" si="1"/>
        <v>2557</v>
      </c>
      <c r="P21" s="55">
        <f t="shared" si="1"/>
        <v>26094.9</v>
      </c>
      <c r="Q21" s="170"/>
    </row>
    <row r="22" spans="1:17" s="2" customFormat="1" x14ac:dyDescent="0.3">
      <c r="A22" s="75" t="s">
        <v>185</v>
      </c>
      <c r="B22" s="79"/>
      <c r="C22" s="11" t="s">
        <v>152</v>
      </c>
      <c r="D22" s="34">
        <f>D21+D15</f>
        <v>1316</v>
      </c>
      <c r="E22" s="34">
        <f t="shared" ref="E22:P22" si="2">E21+E15</f>
        <v>1184</v>
      </c>
      <c r="F22" s="34">
        <f t="shared" si="2"/>
        <v>2305.9</v>
      </c>
      <c r="G22" s="34">
        <f t="shared" si="2"/>
        <v>2320</v>
      </c>
      <c r="H22" s="34">
        <f t="shared" si="2"/>
        <v>2574</v>
      </c>
      <c r="I22" s="34">
        <f t="shared" si="2"/>
        <v>2378</v>
      </c>
      <c r="J22" s="34">
        <f t="shared" si="2"/>
        <v>2658</v>
      </c>
      <c r="K22" s="34">
        <f t="shared" si="2"/>
        <v>2861</v>
      </c>
      <c r="L22" s="34">
        <f t="shared" si="2"/>
        <v>2878</v>
      </c>
      <c r="M22" s="34">
        <f t="shared" si="2"/>
        <v>2241</v>
      </c>
      <c r="N22" s="34">
        <f t="shared" si="2"/>
        <v>2390</v>
      </c>
      <c r="O22" s="34">
        <f t="shared" si="2"/>
        <v>2652</v>
      </c>
      <c r="P22" s="55">
        <f t="shared" si="2"/>
        <v>27757.9</v>
      </c>
    </row>
    <row r="23" spans="1:17" ht="14.4" x14ac:dyDescent="0.3">
      <c r="A23" s="600"/>
      <c r="B23" s="601"/>
      <c r="C23" s="601"/>
      <c r="D23" s="601"/>
      <c r="E23" s="601"/>
      <c r="F23" s="601"/>
      <c r="G23" s="601"/>
      <c r="H23" s="601"/>
      <c r="I23" s="601"/>
      <c r="J23" s="601"/>
      <c r="K23" s="601"/>
      <c r="L23" s="601"/>
      <c r="M23" s="601"/>
      <c r="N23" s="601"/>
      <c r="O23" s="601"/>
      <c r="P23" s="602"/>
    </row>
    <row r="24" spans="1:17" x14ac:dyDescent="0.3">
      <c r="A24" s="603" t="s">
        <v>179</v>
      </c>
      <c r="B24" s="37" t="s">
        <v>153</v>
      </c>
      <c r="C24" s="5" t="s">
        <v>152</v>
      </c>
      <c r="D24" s="54">
        <f>D9-D22</f>
        <v>5236</v>
      </c>
      <c r="E24" s="54">
        <f t="shared" ref="E24:P24" si="3">E9-E22</f>
        <v>616</v>
      </c>
      <c r="F24" s="54">
        <f t="shared" si="3"/>
        <v>250.11000000000013</v>
      </c>
      <c r="G24" s="54">
        <f t="shared" si="3"/>
        <v>112</v>
      </c>
      <c r="H24" s="54">
        <f t="shared" si="3"/>
        <v>236</v>
      </c>
      <c r="I24" s="54">
        <f t="shared" si="3"/>
        <v>482</v>
      </c>
      <c r="J24" s="54">
        <f t="shared" si="3"/>
        <v>263</v>
      </c>
      <c r="K24" s="54">
        <f t="shared" si="3"/>
        <v>120</v>
      </c>
      <c r="L24" s="54">
        <f t="shared" si="3"/>
        <v>191</v>
      </c>
      <c r="M24" s="54">
        <f t="shared" si="3"/>
        <v>277</v>
      </c>
      <c r="N24" s="54">
        <f t="shared" si="3"/>
        <v>328</v>
      </c>
      <c r="O24" s="54">
        <f t="shared" si="3"/>
        <v>257</v>
      </c>
      <c r="P24" s="162">
        <f t="shared" si="3"/>
        <v>8368.11</v>
      </c>
    </row>
    <row r="25" spans="1:17" x14ac:dyDescent="0.3">
      <c r="A25" s="604"/>
      <c r="B25" s="53" t="s">
        <v>151</v>
      </c>
      <c r="C25" s="52" t="s">
        <v>6</v>
      </c>
      <c r="D25" s="51">
        <f t="shared" ref="D25:P25" si="4">D24/D9</f>
        <v>0.79914529914529919</v>
      </c>
      <c r="E25" s="51">
        <f t="shared" si="4"/>
        <v>0.34222222222222221</v>
      </c>
      <c r="F25" s="51">
        <f t="shared" si="4"/>
        <v>9.785172984456246E-2</v>
      </c>
      <c r="G25" s="51">
        <f t="shared" si="4"/>
        <v>4.6052631578947366E-2</v>
      </c>
      <c r="H25" s="51">
        <f t="shared" si="4"/>
        <v>8.3985765124555162E-2</v>
      </c>
      <c r="I25" s="51">
        <f t="shared" si="4"/>
        <v>0.16853146853146853</v>
      </c>
      <c r="J25" s="51">
        <f t="shared" si="4"/>
        <v>9.0037658336186238E-2</v>
      </c>
      <c r="K25" s="51">
        <f t="shared" si="4"/>
        <v>4.0254948004025494E-2</v>
      </c>
      <c r="L25" s="51">
        <f t="shared" si="4"/>
        <v>6.2235255783642883E-2</v>
      </c>
      <c r="M25" s="51">
        <f t="shared" si="4"/>
        <v>0.11000794281175535</v>
      </c>
      <c r="N25" s="51">
        <f t="shared" si="4"/>
        <v>0.12067696835908756</v>
      </c>
      <c r="O25" s="51">
        <f t="shared" si="4"/>
        <v>8.8346510828463384E-2</v>
      </c>
      <c r="P25" s="154">
        <f t="shared" si="4"/>
        <v>0.23163670718133555</v>
      </c>
    </row>
    <row r="26" spans="1:17" ht="14.4" x14ac:dyDescent="0.3">
      <c r="A26" s="586" t="s">
        <v>150</v>
      </c>
      <c r="B26" s="587"/>
      <c r="C26" s="587"/>
      <c r="D26" s="587"/>
      <c r="E26" s="587"/>
      <c r="F26" s="587"/>
      <c r="G26" s="587"/>
      <c r="H26" s="587"/>
      <c r="I26" s="587"/>
      <c r="J26" s="587"/>
      <c r="K26" s="587"/>
      <c r="L26" s="587"/>
      <c r="M26" s="587"/>
      <c r="N26" s="587"/>
      <c r="O26" s="587"/>
      <c r="P26" s="588"/>
    </row>
    <row r="27" spans="1:17" ht="14.4" x14ac:dyDescent="0.3">
      <c r="A27" s="605" t="s">
        <v>149</v>
      </c>
      <c r="B27" s="606"/>
      <c r="C27" s="606"/>
      <c r="D27" s="606"/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7"/>
    </row>
    <row r="28" spans="1:17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7" x14ac:dyDescent="0.3">
      <c r="A29" s="596" t="s">
        <v>146</v>
      </c>
      <c r="B29" s="579">
        <f>176264.5/50</f>
        <v>3525.29</v>
      </c>
      <c r="C29" s="5" t="s">
        <v>140</v>
      </c>
      <c r="D29" s="4">
        <v>8</v>
      </c>
      <c r="E29" s="43">
        <v>8</v>
      </c>
      <c r="F29" s="43">
        <v>4</v>
      </c>
      <c r="G29" s="43">
        <v>8</v>
      </c>
      <c r="H29" s="43">
        <v>8</v>
      </c>
      <c r="I29" s="43">
        <v>8</v>
      </c>
      <c r="J29" s="43">
        <v>8</v>
      </c>
      <c r="K29" s="43">
        <v>9</v>
      </c>
      <c r="L29" s="43">
        <v>11</v>
      </c>
      <c r="M29" s="43">
        <v>13</v>
      </c>
      <c r="N29" s="43">
        <v>12</v>
      </c>
      <c r="O29" s="43">
        <v>6</v>
      </c>
      <c r="P29" s="45">
        <f>SUM(D29:O29)</f>
        <v>103</v>
      </c>
    </row>
    <row r="30" spans="1:17" x14ac:dyDescent="0.3">
      <c r="A30" s="597"/>
      <c r="B30" s="579"/>
      <c r="C30" s="42" t="s">
        <v>139</v>
      </c>
      <c r="D30" s="15">
        <f t="shared" ref="D30:P30" si="5">D29/(D9/1000)</f>
        <v>1.2210012210012211</v>
      </c>
      <c r="E30" s="15">
        <f t="shared" si="5"/>
        <v>4.4444444444444446</v>
      </c>
      <c r="F30" s="15">
        <f t="shared" si="5"/>
        <v>1.5649391043071035</v>
      </c>
      <c r="G30" s="15">
        <f t="shared" si="5"/>
        <v>3.2894736842105265</v>
      </c>
      <c r="H30" s="15">
        <f t="shared" si="5"/>
        <v>2.8469750889679717</v>
      </c>
      <c r="I30" s="15">
        <f t="shared" si="5"/>
        <v>2.7972027972027975</v>
      </c>
      <c r="J30" s="15">
        <f t="shared" si="5"/>
        <v>2.7387880862718248</v>
      </c>
      <c r="K30" s="15">
        <f t="shared" si="5"/>
        <v>3.0191211003019123</v>
      </c>
      <c r="L30" s="15">
        <f t="shared" si="5"/>
        <v>3.5842293906810037</v>
      </c>
      <c r="M30" s="15">
        <f t="shared" si="5"/>
        <v>5.1628276409849088</v>
      </c>
      <c r="N30" s="15">
        <f t="shared" si="5"/>
        <v>4.4150110375275942</v>
      </c>
      <c r="O30" s="15">
        <f t="shared" si="5"/>
        <v>2.0625644551392233</v>
      </c>
      <c r="P30" s="40">
        <f t="shared" si="5"/>
        <v>2.8511313593723746</v>
      </c>
    </row>
    <row r="31" spans="1:17" x14ac:dyDescent="0.3">
      <c r="A31" s="598" t="s">
        <v>145</v>
      </c>
      <c r="B31" s="579">
        <f>53000.511/50</f>
        <v>1060.0102199999999</v>
      </c>
      <c r="C31" s="5" t="s">
        <v>140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5">
        <f>SUM(D31:O31)</f>
        <v>0</v>
      </c>
    </row>
    <row r="32" spans="1:17" x14ac:dyDescent="0.3">
      <c r="A32" s="599"/>
      <c r="B32" s="579"/>
      <c r="C32" s="42" t="s">
        <v>139</v>
      </c>
      <c r="D32" s="15">
        <f t="shared" ref="D32:P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40">
        <f t="shared" si="6"/>
        <v>0</v>
      </c>
    </row>
    <row r="33" spans="1:16" x14ac:dyDescent="0.3">
      <c r="A33" s="598" t="s">
        <v>144</v>
      </c>
      <c r="B33" s="579">
        <f>61414.43/50</f>
        <v>1228.2886000000001</v>
      </c>
      <c r="C33" s="5" t="s">
        <v>140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5">
        <f>SUM(D33:O33)</f>
        <v>0</v>
      </c>
    </row>
    <row r="34" spans="1:16" x14ac:dyDescent="0.3">
      <c r="A34" s="599"/>
      <c r="B34" s="579"/>
      <c r="C34" s="42" t="s">
        <v>139</v>
      </c>
      <c r="D34" s="15">
        <f t="shared" ref="D34:P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5">
        <f t="shared" si="7"/>
        <v>0</v>
      </c>
      <c r="N34" s="15">
        <f t="shared" si="7"/>
        <v>0</v>
      </c>
      <c r="O34" s="15">
        <f t="shared" si="7"/>
        <v>0</v>
      </c>
      <c r="P34" s="40">
        <f t="shared" si="7"/>
        <v>0</v>
      </c>
    </row>
    <row r="35" spans="1:16" x14ac:dyDescent="0.3">
      <c r="A35" s="598" t="s">
        <v>143</v>
      </c>
      <c r="B35" s="579">
        <f>745345.16/200</f>
        <v>3726.7258000000002</v>
      </c>
      <c r="C35" s="5" t="s">
        <v>126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40"/>
    </row>
    <row r="36" spans="1:16" x14ac:dyDescent="0.3">
      <c r="A36" s="599"/>
      <c r="B36" s="579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40"/>
    </row>
    <row r="37" spans="1:16" x14ac:dyDescent="0.3">
      <c r="A37" s="598" t="s">
        <v>186</v>
      </c>
      <c r="B37" s="579">
        <f>790318.72/200</f>
        <v>3951.5935999999997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5">
        <f>SUM(D37:O37)</f>
        <v>0</v>
      </c>
    </row>
    <row r="38" spans="1:16" x14ac:dyDescent="0.3">
      <c r="A38" s="599"/>
      <c r="B38" s="579"/>
      <c r="C38" s="5" t="s">
        <v>142</v>
      </c>
      <c r="D38" s="15">
        <f t="shared" ref="D38:P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5">
        <f t="shared" si="8"/>
        <v>0</v>
      </c>
      <c r="M38" s="15">
        <f t="shared" si="8"/>
        <v>0</v>
      </c>
      <c r="N38" s="15">
        <f t="shared" si="8"/>
        <v>0</v>
      </c>
      <c r="O38" s="15">
        <f t="shared" si="8"/>
        <v>0</v>
      </c>
      <c r="P38" s="40">
        <f t="shared" si="8"/>
        <v>0</v>
      </c>
    </row>
    <row r="39" spans="1:16" x14ac:dyDescent="0.3">
      <c r="A39" s="598" t="s">
        <v>141</v>
      </c>
      <c r="B39" s="579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5">
        <f>SUM(D39:O39)</f>
        <v>0</v>
      </c>
    </row>
    <row r="40" spans="1:16" x14ac:dyDescent="0.3">
      <c r="A40" s="599"/>
      <c r="B40" s="579"/>
      <c r="C40" s="42" t="s">
        <v>139</v>
      </c>
      <c r="D40" s="15">
        <f t="shared" ref="D40:P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  <c r="N40" s="15">
        <f t="shared" si="9"/>
        <v>0</v>
      </c>
      <c r="O40" s="15">
        <f t="shared" si="9"/>
        <v>0</v>
      </c>
      <c r="P40" s="40">
        <f t="shared" si="9"/>
        <v>0</v>
      </c>
    </row>
    <row r="41" spans="1:16" x14ac:dyDescent="0.3">
      <c r="A41" s="582" t="s">
        <v>138</v>
      </c>
      <c r="B41" s="583"/>
      <c r="C41" s="11" t="s">
        <v>31</v>
      </c>
      <c r="D41" s="41">
        <f>(D29*$B29)+(D31*$B31)+(D33*$B33)+(D35*$B35)+(D37*$B37)+(D39*$B39)</f>
        <v>28202.32</v>
      </c>
      <c r="E41" s="41">
        <f t="shared" ref="E41:O41" si="10">(E29*$B29)+(E31*$B31)+(E33*$B33)+(E35*$B35)+(E37*$B37)+(E39*$B39)</f>
        <v>28202.32</v>
      </c>
      <c r="F41" s="41">
        <f t="shared" si="10"/>
        <v>14101.16</v>
      </c>
      <c r="G41" s="41">
        <f t="shared" si="10"/>
        <v>28202.32</v>
      </c>
      <c r="H41" s="41">
        <f t="shared" si="10"/>
        <v>28202.32</v>
      </c>
      <c r="I41" s="41">
        <f t="shared" si="10"/>
        <v>28202.32</v>
      </c>
      <c r="J41" s="41">
        <f t="shared" si="10"/>
        <v>28202.32</v>
      </c>
      <c r="K41" s="41">
        <f t="shared" si="10"/>
        <v>31727.61</v>
      </c>
      <c r="L41" s="41">
        <f t="shared" si="10"/>
        <v>38778.19</v>
      </c>
      <c r="M41" s="41">
        <f t="shared" si="10"/>
        <v>45828.77</v>
      </c>
      <c r="N41" s="41">
        <f t="shared" si="10"/>
        <v>42303.479999999996</v>
      </c>
      <c r="O41" s="41">
        <f t="shared" si="10"/>
        <v>21151.739999999998</v>
      </c>
      <c r="P41" s="39">
        <f>SUM(D41:O41)</f>
        <v>363104.87</v>
      </c>
    </row>
    <row r="42" spans="1:16" x14ac:dyDescent="0.3">
      <c r="A42" s="608" t="s">
        <v>137</v>
      </c>
      <c r="B42" s="609"/>
      <c r="C42" s="42" t="s">
        <v>115</v>
      </c>
      <c r="D42" s="15">
        <f t="shared" ref="D42:P42" si="11">D41/D9</f>
        <v>4.304383394383394</v>
      </c>
      <c r="E42" s="15">
        <f t="shared" si="11"/>
        <v>15.667955555555555</v>
      </c>
      <c r="F42" s="15">
        <f t="shared" si="11"/>
        <v>5.5168641750227891</v>
      </c>
      <c r="G42" s="15">
        <f t="shared" si="11"/>
        <v>11.596348684210525</v>
      </c>
      <c r="H42" s="15">
        <f t="shared" si="11"/>
        <v>10.036412811387899</v>
      </c>
      <c r="I42" s="15">
        <f t="shared" si="11"/>
        <v>9.8609510489510495</v>
      </c>
      <c r="J42" s="15">
        <f t="shared" si="11"/>
        <v>9.6550222526532004</v>
      </c>
      <c r="K42" s="15">
        <f t="shared" si="11"/>
        <v>10.643277423683328</v>
      </c>
      <c r="L42" s="15">
        <f t="shared" si="11"/>
        <v>12.635448028673835</v>
      </c>
      <c r="M42" s="15">
        <f t="shared" si="11"/>
        <v>18.200464654487689</v>
      </c>
      <c r="N42" s="15">
        <f t="shared" si="11"/>
        <v>15.56419426048565</v>
      </c>
      <c r="O42" s="15">
        <f t="shared" si="11"/>
        <v>7.2711378480577515</v>
      </c>
      <c r="P42" s="515">
        <f t="shared" si="11"/>
        <v>10.051064869881838</v>
      </c>
    </row>
    <row r="43" spans="1:16" ht="14.4" x14ac:dyDescent="0.3">
      <c r="A43" s="610" t="s">
        <v>136</v>
      </c>
      <c r="B43" s="611"/>
      <c r="C43" s="611"/>
      <c r="D43" s="611"/>
      <c r="E43" s="611"/>
      <c r="F43" s="611"/>
      <c r="G43" s="611"/>
      <c r="H43" s="611"/>
      <c r="I43" s="611"/>
      <c r="J43" s="611"/>
      <c r="K43" s="611"/>
      <c r="L43" s="611"/>
      <c r="M43" s="611"/>
      <c r="N43" s="611"/>
      <c r="O43" s="611"/>
      <c r="P43" s="612"/>
    </row>
    <row r="44" spans="1:16" x14ac:dyDescent="0.3">
      <c r="A44" s="582" t="s">
        <v>135</v>
      </c>
      <c r="B44" s="583"/>
      <c r="C44" s="11" t="s">
        <v>134</v>
      </c>
      <c r="D44" s="43">
        <v>3373.34</v>
      </c>
      <c r="E44" s="43">
        <v>3911</v>
      </c>
      <c r="F44" s="43">
        <v>3813.35</v>
      </c>
      <c r="G44" s="43">
        <v>3781.36</v>
      </c>
      <c r="H44" s="43">
        <v>3724</v>
      </c>
      <c r="I44" s="43">
        <v>3621</v>
      </c>
      <c r="J44" s="43">
        <v>3480.08</v>
      </c>
      <c r="K44" s="43">
        <v>2821</v>
      </c>
      <c r="L44" s="43">
        <v>4312</v>
      </c>
      <c r="M44" s="43">
        <v>4380</v>
      </c>
      <c r="N44" s="43">
        <v>4210</v>
      </c>
      <c r="O44" s="43">
        <v>4398</v>
      </c>
      <c r="P44" s="39">
        <f>SUM(D44:O44)</f>
        <v>45825.130000000005</v>
      </c>
    </row>
    <row r="45" spans="1:16" x14ac:dyDescent="0.3">
      <c r="A45" s="608" t="s">
        <v>133</v>
      </c>
      <c r="B45" s="609"/>
      <c r="C45" s="42" t="s">
        <v>132</v>
      </c>
      <c r="D45" s="15">
        <f t="shared" ref="D45:P45" si="12">D44/D9</f>
        <v>0.51485653235653239</v>
      </c>
      <c r="E45" s="15">
        <f t="shared" si="12"/>
        <v>2.1727777777777777</v>
      </c>
      <c r="F45" s="15">
        <f t="shared" si="12"/>
        <v>1.4919151333523732</v>
      </c>
      <c r="G45" s="15">
        <f t="shared" si="12"/>
        <v>1.5548355263157896</v>
      </c>
      <c r="H45" s="15">
        <f t="shared" si="12"/>
        <v>1.3252669039145908</v>
      </c>
      <c r="I45" s="15">
        <f t="shared" si="12"/>
        <v>1.2660839160839161</v>
      </c>
      <c r="J45" s="15">
        <f t="shared" si="12"/>
        <v>1.1914002054091064</v>
      </c>
      <c r="K45" s="15">
        <f t="shared" si="12"/>
        <v>0.94632673599463268</v>
      </c>
      <c r="L45" s="15">
        <f t="shared" si="12"/>
        <v>1.4050179211469533</v>
      </c>
      <c r="M45" s="15">
        <f t="shared" si="12"/>
        <v>1.7394757744241462</v>
      </c>
      <c r="N45" s="15">
        <f t="shared" si="12"/>
        <v>1.5489330389992642</v>
      </c>
      <c r="O45" s="15">
        <f t="shared" si="12"/>
        <v>1.5118597456170506</v>
      </c>
      <c r="P45" s="40">
        <f t="shared" si="12"/>
        <v>1.2684802445661727</v>
      </c>
    </row>
    <row r="46" spans="1:16" x14ac:dyDescent="0.3">
      <c r="A46" s="613" t="s">
        <v>131</v>
      </c>
      <c r="B46" s="614"/>
      <c r="C46" s="5" t="s">
        <v>31</v>
      </c>
      <c r="D46" s="3">
        <f t="shared" ref="D46:G46" si="13">1.165*(14100+(D44*119.1))</f>
        <v>484482.48501</v>
      </c>
      <c r="E46" s="3">
        <f t="shared" si="13"/>
        <v>559083.6165</v>
      </c>
      <c r="F46" s="3">
        <f t="shared" si="13"/>
        <v>545534.53252500005</v>
      </c>
      <c r="G46" s="3">
        <f t="shared" si="13"/>
        <v>541095.87203999993</v>
      </c>
      <c r="H46" s="3">
        <f>1.165*(16600+(H44*143.5))</f>
        <v>641908.01</v>
      </c>
      <c r="I46" s="3">
        <f>1.165*(16600+(I44*143.5))</f>
        <v>624688.72750000004</v>
      </c>
      <c r="J46" s="3">
        <f>1.165*(16600+(J44*143.5))</f>
        <v>601130.07420000003</v>
      </c>
      <c r="K46" s="3">
        <f>1.165*(16600+(K44*143.5))</f>
        <v>490946.72750000004</v>
      </c>
      <c r="L46" s="3">
        <v>490946.72750000004</v>
      </c>
      <c r="M46" s="3">
        <v>490946.72750000004</v>
      </c>
      <c r="N46" s="3">
        <v>490946.72750000004</v>
      </c>
      <c r="O46" s="3">
        <v>490946.72750000004</v>
      </c>
      <c r="P46" s="39">
        <f>SUM(D46:O46)</f>
        <v>6452656.955275001</v>
      </c>
    </row>
    <row r="47" spans="1:16" s="2" customFormat="1" x14ac:dyDescent="0.3">
      <c r="A47" s="582" t="s">
        <v>130</v>
      </c>
      <c r="B47" s="583"/>
      <c r="C47" s="11" t="s">
        <v>115</v>
      </c>
      <c r="D47" s="15">
        <f t="shared" ref="D47:P47" si="14">D46/D9</f>
        <v>73.944213218864476</v>
      </c>
      <c r="E47" s="15">
        <f t="shared" si="14"/>
        <v>310.60200916666668</v>
      </c>
      <c r="F47" s="15">
        <f t="shared" si="14"/>
        <v>213.432080674567</v>
      </c>
      <c r="G47" s="15">
        <f t="shared" si="14"/>
        <v>222.49007896381576</v>
      </c>
      <c r="H47" s="15">
        <f t="shared" si="14"/>
        <v>228.43701423487545</v>
      </c>
      <c r="I47" s="15">
        <f t="shared" si="14"/>
        <v>218.422631993007</v>
      </c>
      <c r="J47" s="15">
        <f t="shared" si="14"/>
        <v>205.79598568983226</v>
      </c>
      <c r="K47" s="15">
        <f t="shared" si="14"/>
        <v>164.69195823549146</v>
      </c>
      <c r="L47" s="15">
        <f t="shared" si="14"/>
        <v>159.96960817855981</v>
      </c>
      <c r="M47" s="15">
        <f t="shared" si="14"/>
        <v>194.97487192216045</v>
      </c>
      <c r="N47" s="15">
        <f t="shared" si="14"/>
        <v>180.62793506254602</v>
      </c>
      <c r="O47" s="15">
        <f t="shared" si="14"/>
        <v>168.76821158473703</v>
      </c>
      <c r="P47" s="40">
        <f t="shared" si="14"/>
        <v>178.61526792676526</v>
      </c>
    </row>
    <row r="48" spans="1:16" ht="14.4" x14ac:dyDescent="0.3">
      <c r="A48" s="610" t="s">
        <v>129</v>
      </c>
      <c r="B48" s="611"/>
      <c r="C48" s="611"/>
      <c r="D48" s="611"/>
      <c r="E48" s="611"/>
      <c r="F48" s="611"/>
      <c r="G48" s="611"/>
      <c r="H48" s="611"/>
      <c r="I48" s="611"/>
      <c r="J48" s="611"/>
      <c r="K48" s="611"/>
      <c r="L48" s="611"/>
      <c r="M48" s="611"/>
      <c r="N48" s="611"/>
      <c r="O48" s="611"/>
      <c r="P48" s="612"/>
    </row>
    <row r="49" spans="1:16" x14ac:dyDescent="0.3">
      <c r="A49" s="582" t="s">
        <v>128</v>
      </c>
      <c r="B49" s="583"/>
      <c r="C49" s="5" t="s">
        <v>127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9">
        <f>SUM(D49:O49)</f>
        <v>0</v>
      </c>
    </row>
    <row r="50" spans="1:16" x14ac:dyDescent="0.3">
      <c r="A50" s="582" t="s">
        <v>187</v>
      </c>
      <c r="B50" s="583"/>
      <c r="C50" s="5" t="s">
        <v>126</v>
      </c>
      <c r="D50" s="4"/>
      <c r="E50" s="4"/>
      <c r="F50" s="4"/>
      <c r="G50" s="4"/>
      <c r="H50" s="4"/>
      <c r="I50" s="4">
        <v>15</v>
      </c>
      <c r="J50" s="4"/>
      <c r="K50" s="4">
        <v>20</v>
      </c>
      <c r="L50" s="4"/>
      <c r="M50" s="4"/>
      <c r="N50" s="4">
        <v>16</v>
      </c>
      <c r="O50" s="4">
        <v>4</v>
      </c>
      <c r="P50" s="39">
        <f>SUM(D50:O50)</f>
        <v>55</v>
      </c>
    </row>
    <row r="51" spans="1:16" x14ac:dyDescent="0.3">
      <c r="A51" s="613" t="s">
        <v>125</v>
      </c>
      <c r="B51" s="614"/>
      <c r="C51" s="5" t="s">
        <v>31</v>
      </c>
      <c r="D51" s="13"/>
      <c r="E51" s="13"/>
      <c r="F51" s="13"/>
      <c r="G51" s="13"/>
      <c r="H51" s="13"/>
      <c r="I51" s="13">
        <v>26190</v>
      </c>
      <c r="J51" s="13"/>
      <c r="K51" s="13">
        <v>50600</v>
      </c>
      <c r="L51" s="13"/>
      <c r="M51" s="13"/>
      <c r="N51" s="13"/>
      <c r="O51" s="13"/>
      <c r="P51" s="40">
        <f>SUM(D51:O51)</f>
        <v>76790</v>
      </c>
    </row>
    <row r="52" spans="1:16" x14ac:dyDescent="0.3">
      <c r="A52" s="582" t="s">
        <v>124</v>
      </c>
      <c r="B52" s="583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40">
        <f>SUM(D52:O52)</f>
        <v>0</v>
      </c>
    </row>
    <row r="53" spans="1:16" ht="14.4" x14ac:dyDescent="0.3">
      <c r="A53" s="610" t="s">
        <v>123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2"/>
    </row>
    <row r="54" spans="1:16" x14ac:dyDescent="0.3">
      <c r="A54" s="582" t="s">
        <v>122</v>
      </c>
      <c r="B54" s="583"/>
      <c r="C54" s="11" t="s">
        <v>18</v>
      </c>
      <c r="D54" s="13">
        <v>1995277.08</v>
      </c>
      <c r="E54" s="13">
        <v>1380254.27</v>
      </c>
      <c r="F54" s="13">
        <v>1380254.27</v>
      </c>
      <c r="G54" s="13">
        <v>1380254.27</v>
      </c>
      <c r="H54" s="13">
        <v>1273091.73</v>
      </c>
      <c r="I54" s="13">
        <v>1357556.91</v>
      </c>
      <c r="J54" s="13">
        <v>1405880.81</v>
      </c>
      <c r="K54" s="13">
        <v>1405880.81</v>
      </c>
      <c r="L54" s="13">
        <v>2559348.27</v>
      </c>
      <c r="M54" s="13">
        <v>1223684.21</v>
      </c>
      <c r="N54" s="13">
        <v>2244726.31</v>
      </c>
      <c r="O54" s="13">
        <v>2142162.9700000002</v>
      </c>
      <c r="P54" s="39">
        <f>SUM(D54:O54)</f>
        <v>19748371.91</v>
      </c>
    </row>
    <row r="55" spans="1:16" x14ac:dyDescent="0.3">
      <c r="A55" s="78" t="s">
        <v>121</v>
      </c>
      <c r="B55" s="79"/>
      <c r="C55" s="11" t="s">
        <v>18</v>
      </c>
      <c r="D55" s="13">
        <v>299544.51</v>
      </c>
      <c r="E55" s="13">
        <v>321587.71000000002</v>
      </c>
      <c r="F55" s="13">
        <v>321587.71000000002</v>
      </c>
      <c r="G55" s="13">
        <v>388462.24</v>
      </c>
      <c r="H55" s="13">
        <v>407682.96</v>
      </c>
      <c r="I55" s="13">
        <v>315385.12</v>
      </c>
      <c r="J55" s="13">
        <v>288462</v>
      </c>
      <c r="K55" s="13">
        <v>544231.64</v>
      </c>
      <c r="L55" s="13">
        <v>707593.44</v>
      </c>
      <c r="M55" s="13">
        <v>157692.56</v>
      </c>
      <c r="N55" s="13">
        <v>165384.87</v>
      </c>
      <c r="O55" s="13">
        <v>359615.96</v>
      </c>
      <c r="P55" s="39">
        <f>SUM(D55:O55)</f>
        <v>4277230.7200000007</v>
      </c>
    </row>
    <row r="56" spans="1:16" x14ac:dyDescent="0.3">
      <c r="A56" s="582" t="s">
        <v>120</v>
      </c>
      <c r="B56" s="583"/>
      <c r="C56" s="5" t="s">
        <v>18</v>
      </c>
      <c r="D56" s="13">
        <v>0</v>
      </c>
      <c r="E56" s="13">
        <v>36000</v>
      </c>
      <c r="F56" s="13">
        <v>36000</v>
      </c>
      <c r="G56" s="13">
        <v>36000</v>
      </c>
      <c r="H56" s="13">
        <v>226000</v>
      </c>
      <c r="I56" s="13">
        <v>1215686.83</v>
      </c>
      <c r="J56" s="13">
        <v>112000</v>
      </c>
      <c r="K56" s="13">
        <v>30000</v>
      </c>
      <c r="L56" s="13">
        <v>20000</v>
      </c>
      <c r="M56" s="13">
        <v>162500</v>
      </c>
      <c r="N56" s="13">
        <v>162500</v>
      </c>
      <c r="O56" s="13">
        <v>88000</v>
      </c>
      <c r="P56" s="39">
        <f>SUM(D56:O56)</f>
        <v>2124686.83</v>
      </c>
    </row>
    <row r="57" spans="1:16" ht="14.4" x14ac:dyDescent="0.3">
      <c r="A57" s="610" t="s">
        <v>119</v>
      </c>
      <c r="B57" s="611"/>
      <c r="C57" s="611"/>
      <c r="D57" s="611"/>
      <c r="E57" s="611"/>
      <c r="F57" s="611"/>
      <c r="G57" s="611"/>
      <c r="H57" s="611"/>
      <c r="I57" s="611"/>
      <c r="J57" s="611"/>
      <c r="K57" s="611"/>
      <c r="L57" s="611"/>
      <c r="M57" s="611"/>
      <c r="N57" s="611"/>
      <c r="O57" s="611"/>
      <c r="P57" s="612"/>
    </row>
    <row r="58" spans="1:16" x14ac:dyDescent="0.3">
      <c r="A58" s="613" t="s">
        <v>118</v>
      </c>
      <c r="B58" s="614"/>
      <c r="C58" s="5" t="s">
        <v>18</v>
      </c>
      <c r="D58" s="13">
        <f>D41+D46+D51+D52+D54+D55+D56</f>
        <v>2807506.3950100001</v>
      </c>
      <c r="E58" s="13">
        <f t="shared" ref="E58:O58" si="15">E41+E46+E51+E52+E54+E55+E56</f>
        <v>2325127.9164999998</v>
      </c>
      <c r="F58" s="13">
        <f t="shared" si="15"/>
        <v>2297477.6725250003</v>
      </c>
      <c r="G58" s="13">
        <f t="shared" si="15"/>
        <v>2374014.7020399999</v>
      </c>
      <c r="H58" s="13">
        <f t="shared" si="15"/>
        <v>2576885.02</v>
      </c>
      <c r="I58" s="13">
        <f t="shared" si="15"/>
        <v>3567709.9075000002</v>
      </c>
      <c r="J58" s="13">
        <f t="shared" si="15"/>
        <v>2435675.2042</v>
      </c>
      <c r="K58" s="13">
        <f t="shared" si="15"/>
        <v>2553386.7875000001</v>
      </c>
      <c r="L58" s="13">
        <f t="shared" si="15"/>
        <v>3816666.6274999999</v>
      </c>
      <c r="M58" s="13">
        <f t="shared" si="15"/>
        <v>2080652.2675000001</v>
      </c>
      <c r="N58" s="13">
        <f t="shared" si="15"/>
        <v>3105861.3875000002</v>
      </c>
      <c r="O58" s="13">
        <f t="shared" si="15"/>
        <v>3101877.3975</v>
      </c>
      <c r="P58" s="39">
        <f>SUM(D58:O58)</f>
        <v>33042841.285275001</v>
      </c>
    </row>
    <row r="59" spans="1:16" x14ac:dyDescent="0.3">
      <c r="A59" s="613" t="s">
        <v>117</v>
      </c>
      <c r="B59" s="614"/>
      <c r="C59" s="5" t="s">
        <v>115</v>
      </c>
      <c r="D59" s="15">
        <f t="shared" ref="D59:P59" si="16">D58/D9</f>
        <v>428.4960920344933</v>
      </c>
      <c r="E59" s="15">
        <f t="shared" si="16"/>
        <v>1291.7377313888887</v>
      </c>
      <c r="F59" s="15">
        <f t="shared" si="16"/>
        <v>898.85316275171067</v>
      </c>
      <c r="G59" s="15">
        <f t="shared" si="16"/>
        <v>976.15736103618417</v>
      </c>
      <c r="H59" s="15">
        <f t="shared" si="16"/>
        <v>917.04093238434166</v>
      </c>
      <c r="I59" s="15">
        <f t="shared" si="16"/>
        <v>1247.4510166083917</v>
      </c>
      <c r="J59" s="15">
        <f t="shared" si="16"/>
        <v>833.84977891133178</v>
      </c>
      <c r="K59" s="15">
        <f t="shared" si="16"/>
        <v>856.55376970815166</v>
      </c>
      <c r="L59" s="15">
        <f t="shared" si="16"/>
        <v>1243.6189727924404</v>
      </c>
      <c r="M59" s="15">
        <f t="shared" si="16"/>
        <v>826.31146445591742</v>
      </c>
      <c r="N59" s="15">
        <f t="shared" si="16"/>
        <v>1142.7010255702723</v>
      </c>
      <c r="O59" s="15">
        <f t="shared" si="16"/>
        <v>1066.3036773805431</v>
      </c>
      <c r="P59" s="40">
        <f t="shared" si="16"/>
        <v>914.65515525448279</v>
      </c>
    </row>
    <row r="60" spans="1:16" x14ac:dyDescent="0.3">
      <c r="A60" s="613" t="s">
        <v>116</v>
      </c>
      <c r="B60" s="614"/>
      <c r="C60" s="5" t="s">
        <v>115</v>
      </c>
      <c r="D60" s="15">
        <f>D58/D22</f>
        <v>2133.3635220440729</v>
      </c>
      <c r="E60" s="15">
        <f t="shared" ref="E60:O60" si="17">E58/E22</f>
        <v>1963.7904700168917</v>
      </c>
      <c r="F60" s="15">
        <f t="shared" si="17"/>
        <v>996.34748797649513</v>
      </c>
      <c r="G60" s="15">
        <f t="shared" si="17"/>
        <v>1023.2821991551724</v>
      </c>
      <c r="H60" s="15">
        <f t="shared" si="17"/>
        <v>1001.1208313908314</v>
      </c>
      <c r="I60" s="15">
        <f t="shared" si="17"/>
        <v>1500.298531328848</v>
      </c>
      <c r="J60" s="15">
        <f t="shared" si="17"/>
        <v>916.35635974416857</v>
      </c>
      <c r="K60" s="15">
        <f t="shared" si="17"/>
        <v>892.48052691366661</v>
      </c>
      <c r="L60" s="15">
        <f t="shared" si="17"/>
        <v>1326.1524070535093</v>
      </c>
      <c r="M60" s="15">
        <f t="shared" si="17"/>
        <v>928.44813364569393</v>
      </c>
      <c r="N60" s="15">
        <f t="shared" si="17"/>
        <v>1299.5235930962344</v>
      </c>
      <c r="O60" s="15">
        <f t="shared" si="17"/>
        <v>1169.6370277149322</v>
      </c>
      <c r="P60" s="149">
        <f>P58/P22</f>
        <v>1190.3941323109816</v>
      </c>
    </row>
    <row r="61" spans="1:16" x14ac:dyDescent="0.3">
      <c r="A61" s="582" t="s">
        <v>114</v>
      </c>
      <c r="B61" s="583"/>
      <c r="C61" s="5" t="s">
        <v>3</v>
      </c>
      <c r="D61" s="4">
        <v>9</v>
      </c>
      <c r="E61" s="4">
        <v>6</v>
      </c>
      <c r="F61" s="4">
        <v>6</v>
      </c>
      <c r="G61" s="4">
        <v>6</v>
      </c>
      <c r="H61" s="4">
        <v>6</v>
      </c>
      <c r="I61" s="4">
        <v>6</v>
      </c>
      <c r="J61" s="4">
        <v>6</v>
      </c>
      <c r="K61" s="4">
        <v>6</v>
      </c>
      <c r="L61" s="4">
        <v>6</v>
      </c>
      <c r="M61" s="4">
        <v>6</v>
      </c>
      <c r="N61" s="4">
        <v>6</v>
      </c>
      <c r="O61" s="4">
        <v>9</v>
      </c>
      <c r="P61" s="39">
        <f>O61</f>
        <v>9</v>
      </c>
    </row>
    <row r="62" spans="1:16" ht="15.6" customHeight="1" x14ac:dyDescent="0.3">
      <c r="A62" s="613" t="s">
        <v>113</v>
      </c>
      <c r="B62" s="614"/>
      <c r="C62" s="5" t="s">
        <v>112</v>
      </c>
      <c r="D62" s="15">
        <f t="shared" ref="D62:P62" si="18">(D61*1000*31)/D9</f>
        <v>42.582417582417584</v>
      </c>
      <c r="E62" s="15">
        <f t="shared" si="18"/>
        <v>103.33333333333333</v>
      </c>
      <c r="F62" s="15">
        <f t="shared" si="18"/>
        <v>72.769668350280313</v>
      </c>
      <c r="G62" s="15">
        <f t="shared" si="18"/>
        <v>76.48026315789474</v>
      </c>
      <c r="H62" s="15">
        <f t="shared" si="18"/>
        <v>66.192170818505332</v>
      </c>
      <c r="I62" s="15">
        <f t="shared" si="18"/>
        <v>65.03496503496504</v>
      </c>
      <c r="J62" s="15">
        <f t="shared" si="18"/>
        <v>63.676823005819926</v>
      </c>
      <c r="K62" s="15">
        <f t="shared" si="18"/>
        <v>62.395169406239518</v>
      </c>
      <c r="L62" s="15">
        <f t="shared" si="18"/>
        <v>60.606060606060609</v>
      </c>
      <c r="M62" s="15">
        <f t="shared" si="18"/>
        <v>73.868149324860994</v>
      </c>
      <c r="N62" s="15">
        <f t="shared" si="18"/>
        <v>68.432671081677711</v>
      </c>
      <c r="O62" s="15">
        <f t="shared" si="18"/>
        <v>95.909247163973873</v>
      </c>
      <c r="P62" s="40">
        <f t="shared" si="18"/>
        <v>7.7229674685911895</v>
      </c>
    </row>
    <row r="63" spans="1:16" x14ac:dyDescent="0.3">
      <c r="A63" s="627" t="s">
        <v>111</v>
      </c>
      <c r="B63" s="628"/>
      <c r="C63" s="38" t="s">
        <v>3</v>
      </c>
      <c r="D63" s="4">
        <v>6</v>
      </c>
      <c r="E63" s="4">
        <v>6</v>
      </c>
      <c r="F63" s="4">
        <v>6</v>
      </c>
      <c r="G63" s="4">
        <v>8</v>
      </c>
      <c r="H63" s="4">
        <v>9</v>
      </c>
      <c r="I63" s="4">
        <v>6</v>
      </c>
      <c r="J63" s="4">
        <v>6</v>
      </c>
      <c r="K63" s="4">
        <v>14</v>
      </c>
      <c r="L63" s="4">
        <v>6</v>
      </c>
      <c r="M63" s="4">
        <v>6</v>
      </c>
      <c r="N63" s="4">
        <v>6</v>
      </c>
      <c r="O63" s="4">
        <v>6</v>
      </c>
      <c r="P63" s="39">
        <f>SUM(D63:O63)</f>
        <v>85</v>
      </c>
    </row>
    <row r="64" spans="1:16" ht="14.4" x14ac:dyDescent="0.3">
      <c r="A64" s="629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0"/>
      <c r="P64" s="631"/>
    </row>
    <row r="65" spans="1:16" ht="14.4" customHeight="1" x14ac:dyDescent="0.3">
      <c r="A65" s="610" t="s">
        <v>110</v>
      </c>
      <c r="B65" s="611"/>
      <c r="C65" s="611"/>
      <c r="D65" s="611"/>
      <c r="E65" s="611"/>
      <c r="F65" s="611"/>
      <c r="G65" s="611"/>
      <c r="H65" s="611"/>
      <c r="I65" s="611"/>
      <c r="J65" s="611"/>
      <c r="K65" s="611"/>
      <c r="L65" s="611"/>
      <c r="M65" s="611"/>
      <c r="N65" s="611"/>
      <c r="O65" s="611"/>
      <c r="P65" s="612"/>
    </row>
    <row r="66" spans="1:16" x14ac:dyDescent="0.3">
      <c r="A66" s="615" t="s">
        <v>109</v>
      </c>
      <c r="B66" s="37" t="s">
        <v>85</v>
      </c>
      <c r="C66" s="5" t="s">
        <v>3</v>
      </c>
      <c r="D66" s="158">
        <v>2</v>
      </c>
      <c r="E66" s="158">
        <v>2</v>
      </c>
      <c r="F66" s="158">
        <v>7</v>
      </c>
      <c r="G66" s="158">
        <v>13</v>
      </c>
      <c r="H66" s="158">
        <v>7</v>
      </c>
      <c r="I66" s="158">
        <v>22</v>
      </c>
      <c r="J66" s="158">
        <v>32</v>
      </c>
      <c r="K66" s="158">
        <v>38</v>
      </c>
      <c r="L66" s="158">
        <v>38</v>
      </c>
      <c r="M66" s="158">
        <v>59</v>
      </c>
      <c r="N66" s="158">
        <v>64</v>
      </c>
      <c r="O66" s="158">
        <v>67</v>
      </c>
      <c r="P66" s="35">
        <f>D66</f>
        <v>2</v>
      </c>
    </row>
    <row r="67" spans="1:16" x14ac:dyDescent="0.3">
      <c r="A67" s="616"/>
      <c r="B67" s="24" t="s">
        <v>104</v>
      </c>
      <c r="C67" s="5" t="s">
        <v>3</v>
      </c>
      <c r="D67" s="156">
        <v>8</v>
      </c>
      <c r="E67" s="156">
        <v>11</v>
      </c>
      <c r="F67" s="156">
        <v>18</v>
      </c>
      <c r="G67" s="156">
        <v>25</v>
      </c>
      <c r="H67" s="156">
        <v>46</v>
      </c>
      <c r="I67" s="156">
        <v>14</v>
      </c>
      <c r="J67" s="156">
        <v>6</v>
      </c>
      <c r="K67" s="156">
        <v>0</v>
      </c>
      <c r="L67" s="156">
        <v>21</v>
      </c>
      <c r="M67" s="156">
        <v>5</v>
      </c>
      <c r="N67" s="156">
        <v>7</v>
      </c>
      <c r="O67" s="156">
        <v>3</v>
      </c>
      <c r="P67" s="35">
        <f>SUM(D67:O67)</f>
        <v>164</v>
      </c>
    </row>
    <row r="68" spans="1:16" ht="27" x14ac:dyDescent="0.3">
      <c r="A68" s="616"/>
      <c r="B68" s="24" t="s">
        <v>103</v>
      </c>
      <c r="C68" s="5" t="s">
        <v>3</v>
      </c>
      <c r="D68" s="156">
        <v>0</v>
      </c>
      <c r="E68" s="156">
        <v>0</v>
      </c>
      <c r="F68" s="156">
        <v>0</v>
      </c>
      <c r="G68" s="156">
        <v>0</v>
      </c>
      <c r="H68" s="156">
        <v>0</v>
      </c>
      <c r="I68" s="156">
        <v>0</v>
      </c>
      <c r="J68" s="156">
        <v>0</v>
      </c>
      <c r="K68" s="156">
        <v>0</v>
      </c>
      <c r="L68" s="156">
        <v>0</v>
      </c>
      <c r="M68" s="156">
        <v>0</v>
      </c>
      <c r="N68" s="156">
        <v>4</v>
      </c>
      <c r="O68" s="156">
        <v>0</v>
      </c>
      <c r="P68" s="35">
        <f t="shared" ref="P68:P69" si="19">SUM(D68:O68)</f>
        <v>4</v>
      </c>
    </row>
    <row r="69" spans="1:16" s="2" customFormat="1" ht="27" x14ac:dyDescent="0.3">
      <c r="A69" s="616"/>
      <c r="B69" s="24" t="s">
        <v>102</v>
      </c>
      <c r="C69" s="11" t="s">
        <v>3</v>
      </c>
      <c r="D69" s="156">
        <v>8</v>
      </c>
      <c r="E69" s="156">
        <v>6</v>
      </c>
      <c r="F69" s="156">
        <v>12</v>
      </c>
      <c r="G69" s="156">
        <v>31</v>
      </c>
      <c r="H69" s="156">
        <v>31</v>
      </c>
      <c r="I69" s="156">
        <v>4</v>
      </c>
      <c r="J69" s="156">
        <v>0</v>
      </c>
      <c r="K69" s="156">
        <v>0</v>
      </c>
      <c r="L69" s="156"/>
      <c r="M69" s="156">
        <v>0</v>
      </c>
      <c r="N69" s="156">
        <v>0</v>
      </c>
      <c r="O69" s="156">
        <v>3</v>
      </c>
      <c r="P69" s="74">
        <f t="shared" si="19"/>
        <v>95</v>
      </c>
    </row>
    <row r="70" spans="1:16" s="2" customFormat="1" x14ac:dyDescent="0.3">
      <c r="A70" s="616"/>
      <c r="B70" s="24" t="s">
        <v>188</v>
      </c>
      <c r="C70" s="11" t="s">
        <v>3</v>
      </c>
      <c r="D70" s="156">
        <f>D68+D69</f>
        <v>8</v>
      </c>
      <c r="E70" s="156">
        <f t="shared" ref="E70:P70" si="20">E68+E69</f>
        <v>6</v>
      </c>
      <c r="F70" s="156">
        <f t="shared" si="20"/>
        <v>12</v>
      </c>
      <c r="G70" s="156">
        <f t="shared" si="20"/>
        <v>31</v>
      </c>
      <c r="H70" s="156">
        <v>31</v>
      </c>
      <c r="I70" s="156">
        <f t="shared" ref="I70" si="21">I68+I69</f>
        <v>4</v>
      </c>
      <c r="J70" s="156">
        <f t="shared" ref="J70:K70" si="22">J68+J69</f>
        <v>0</v>
      </c>
      <c r="K70" s="156">
        <f t="shared" si="22"/>
        <v>0</v>
      </c>
      <c r="L70" s="156">
        <f t="shared" ref="L70:M70" si="23">L68+L69</f>
        <v>0</v>
      </c>
      <c r="M70" s="156">
        <f t="shared" si="23"/>
        <v>0</v>
      </c>
      <c r="N70" s="156">
        <f t="shared" si="20"/>
        <v>4</v>
      </c>
      <c r="O70" s="156">
        <f t="shared" si="20"/>
        <v>3</v>
      </c>
      <c r="P70" s="549">
        <f t="shared" si="20"/>
        <v>99</v>
      </c>
    </row>
    <row r="71" spans="1:16" x14ac:dyDescent="0.3">
      <c r="A71" s="617"/>
      <c r="B71" s="37" t="s">
        <v>81</v>
      </c>
      <c r="C71" s="5" t="s">
        <v>3</v>
      </c>
      <c r="D71" s="159">
        <f>D66+D67-D70</f>
        <v>2</v>
      </c>
      <c r="E71" s="159">
        <f t="shared" ref="E71:O71" si="24">E66+E67-E70</f>
        <v>7</v>
      </c>
      <c r="F71" s="159">
        <f t="shared" si="24"/>
        <v>13</v>
      </c>
      <c r="G71" s="159">
        <f t="shared" si="24"/>
        <v>7</v>
      </c>
      <c r="H71" s="159">
        <f t="shared" ref="H71:I71" si="25">H66+H67-H70</f>
        <v>22</v>
      </c>
      <c r="I71" s="159">
        <f t="shared" si="25"/>
        <v>32</v>
      </c>
      <c r="J71" s="159">
        <f t="shared" ref="J71:K71" si="26">J66+J67-J70</f>
        <v>38</v>
      </c>
      <c r="K71" s="159">
        <f t="shared" si="26"/>
        <v>38</v>
      </c>
      <c r="L71" s="159">
        <f t="shared" ref="L71:N71" si="27">L66+L67-L70</f>
        <v>59</v>
      </c>
      <c r="M71" s="159">
        <f t="shared" si="27"/>
        <v>64</v>
      </c>
      <c r="N71" s="159">
        <f t="shared" si="27"/>
        <v>67</v>
      </c>
      <c r="O71" s="132">
        <f t="shared" si="24"/>
        <v>67</v>
      </c>
      <c r="P71" s="160">
        <f>P66+P67-P70</f>
        <v>67</v>
      </c>
    </row>
    <row r="72" spans="1:16" x14ac:dyDescent="0.3">
      <c r="A72" s="615" t="s">
        <v>108</v>
      </c>
      <c r="B72" s="37" t="s">
        <v>85</v>
      </c>
      <c r="C72" s="5" t="s">
        <v>3</v>
      </c>
      <c r="D72" s="158">
        <v>0</v>
      </c>
      <c r="E72" s="158">
        <v>0</v>
      </c>
      <c r="F72" s="158">
        <v>0</v>
      </c>
      <c r="G72" s="158"/>
      <c r="H72" s="158">
        <v>0</v>
      </c>
      <c r="I72" s="158"/>
      <c r="J72" s="158"/>
      <c r="K72" s="158"/>
      <c r="L72" s="158"/>
      <c r="M72" s="158"/>
      <c r="N72" s="158"/>
      <c r="O72" s="158"/>
      <c r="P72" s="35">
        <f>D72</f>
        <v>0</v>
      </c>
    </row>
    <row r="73" spans="1:16" x14ac:dyDescent="0.3">
      <c r="A73" s="616"/>
      <c r="B73" s="24" t="s">
        <v>104</v>
      </c>
      <c r="C73" s="5" t="s">
        <v>3</v>
      </c>
      <c r="D73" s="156">
        <v>0</v>
      </c>
      <c r="E73" s="156">
        <v>0</v>
      </c>
      <c r="F73" s="156">
        <v>0</v>
      </c>
      <c r="G73" s="156"/>
      <c r="H73" s="156">
        <v>1</v>
      </c>
      <c r="I73" s="156"/>
      <c r="J73" s="156"/>
      <c r="K73" s="156"/>
      <c r="L73" s="156"/>
      <c r="M73" s="156"/>
      <c r="N73" s="156"/>
      <c r="O73" s="156"/>
      <c r="P73" s="35">
        <f>SUM(D73:O73)</f>
        <v>1</v>
      </c>
    </row>
    <row r="74" spans="1:16" ht="27" x14ac:dyDescent="0.3">
      <c r="A74" s="616"/>
      <c r="B74" s="24" t="s">
        <v>103</v>
      </c>
      <c r="C74" s="5" t="s">
        <v>3</v>
      </c>
      <c r="D74" s="156">
        <v>0</v>
      </c>
      <c r="E74" s="156">
        <v>0</v>
      </c>
      <c r="F74" s="156">
        <v>0</v>
      </c>
      <c r="G74" s="156"/>
      <c r="H74" s="156"/>
      <c r="I74" s="156"/>
      <c r="J74" s="156"/>
      <c r="K74" s="156"/>
      <c r="L74" s="156"/>
      <c r="M74" s="156"/>
      <c r="N74" s="156"/>
      <c r="O74" s="156"/>
      <c r="P74" s="35">
        <f>SUM(D74:O74)</f>
        <v>0</v>
      </c>
    </row>
    <row r="75" spans="1:16" s="2" customFormat="1" ht="27" x14ac:dyDescent="0.3">
      <c r="A75" s="616"/>
      <c r="B75" s="24" t="s">
        <v>102</v>
      </c>
      <c r="C75" s="11" t="s">
        <v>3</v>
      </c>
      <c r="D75" s="156">
        <v>0</v>
      </c>
      <c r="E75" s="156">
        <v>0</v>
      </c>
      <c r="F75" s="156">
        <v>0</v>
      </c>
      <c r="G75" s="156"/>
      <c r="H75" s="156">
        <v>1</v>
      </c>
      <c r="I75" s="156"/>
      <c r="J75" s="156"/>
      <c r="K75" s="156"/>
      <c r="L75" s="156"/>
      <c r="M75" s="156"/>
      <c r="N75" s="156"/>
      <c r="O75" s="156"/>
      <c r="P75" s="35">
        <f>SUM(D75:O75)</f>
        <v>1</v>
      </c>
    </row>
    <row r="76" spans="1:16" s="2" customFormat="1" x14ac:dyDescent="0.3">
      <c r="A76" s="616"/>
      <c r="B76" s="24" t="s">
        <v>188</v>
      </c>
      <c r="C76" s="11" t="s">
        <v>3</v>
      </c>
      <c r="D76" s="156">
        <f>D74+D75</f>
        <v>0</v>
      </c>
      <c r="E76" s="156">
        <f t="shared" ref="E76:P76" si="28">E74+E75</f>
        <v>0</v>
      </c>
      <c r="F76" s="156">
        <f t="shared" si="28"/>
        <v>0</v>
      </c>
      <c r="G76" s="156">
        <f t="shared" si="28"/>
        <v>0</v>
      </c>
      <c r="H76" s="156">
        <v>1</v>
      </c>
      <c r="I76" s="156">
        <f t="shared" ref="I76" si="29">I74+I75</f>
        <v>0</v>
      </c>
      <c r="J76" s="156">
        <f t="shared" ref="J76:K76" si="30">J74+J75</f>
        <v>0</v>
      </c>
      <c r="K76" s="156">
        <f t="shared" si="30"/>
        <v>0</v>
      </c>
      <c r="L76" s="156">
        <f t="shared" ref="L76:M76" si="31">L74+L75</f>
        <v>0</v>
      </c>
      <c r="M76" s="156">
        <f t="shared" si="31"/>
        <v>0</v>
      </c>
      <c r="N76" s="156">
        <f t="shared" si="28"/>
        <v>0</v>
      </c>
      <c r="O76" s="156">
        <f t="shared" si="28"/>
        <v>0</v>
      </c>
      <c r="P76" s="549">
        <f t="shared" si="28"/>
        <v>1</v>
      </c>
    </row>
    <row r="77" spans="1:16" x14ac:dyDescent="0.3">
      <c r="A77" s="617"/>
      <c r="B77" s="37" t="s">
        <v>81</v>
      </c>
      <c r="C77" s="5" t="s">
        <v>3</v>
      </c>
      <c r="D77" s="159">
        <f>D72+D73-D76</f>
        <v>0</v>
      </c>
      <c r="E77" s="159">
        <f t="shared" ref="E77:P77" si="32">E73+E74-E76</f>
        <v>0</v>
      </c>
      <c r="F77" s="159">
        <f t="shared" si="32"/>
        <v>0</v>
      </c>
      <c r="G77" s="159">
        <f t="shared" si="32"/>
        <v>0</v>
      </c>
      <c r="H77" s="159">
        <f t="shared" ref="H77:I77" si="33">H73+H74-H76</f>
        <v>0</v>
      </c>
      <c r="I77" s="159">
        <f t="shared" si="33"/>
        <v>0</v>
      </c>
      <c r="J77" s="159">
        <f t="shared" ref="J77:K77" si="34">J73+J74-J76</f>
        <v>0</v>
      </c>
      <c r="K77" s="159">
        <f t="shared" si="34"/>
        <v>0</v>
      </c>
      <c r="L77" s="159">
        <f t="shared" ref="L77:M77" si="35">L73+L74-L76</f>
        <v>0</v>
      </c>
      <c r="M77" s="159">
        <f t="shared" si="35"/>
        <v>0</v>
      </c>
      <c r="N77" s="132">
        <f t="shared" si="32"/>
        <v>0</v>
      </c>
      <c r="O77" s="132">
        <f t="shared" si="32"/>
        <v>0</v>
      </c>
      <c r="P77" s="160">
        <f t="shared" si="32"/>
        <v>0</v>
      </c>
    </row>
    <row r="78" spans="1:16" ht="15.6" customHeight="1" x14ac:dyDescent="0.3">
      <c r="A78" s="615" t="s">
        <v>107</v>
      </c>
      <c r="B78" s="37" t="s">
        <v>85</v>
      </c>
      <c r="C78" s="5" t="s">
        <v>3</v>
      </c>
      <c r="D78" s="158">
        <v>0</v>
      </c>
      <c r="E78" s="158">
        <v>0</v>
      </c>
      <c r="F78" s="158">
        <v>0</v>
      </c>
      <c r="G78" s="158"/>
      <c r="H78" s="158"/>
      <c r="I78" s="158"/>
      <c r="J78" s="158"/>
      <c r="K78" s="158"/>
      <c r="L78" s="158"/>
      <c r="M78" s="158"/>
      <c r="N78" s="158"/>
      <c r="O78" s="158"/>
      <c r="P78" s="35">
        <f>D78</f>
        <v>0</v>
      </c>
    </row>
    <row r="79" spans="1:16" x14ac:dyDescent="0.3">
      <c r="A79" s="616"/>
      <c r="B79" s="24" t="s">
        <v>104</v>
      </c>
      <c r="C79" s="5" t="s">
        <v>3</v>
      </c>
      <c r="D79" s="156">
        <v>0</v>
      </c>
      <c r="E79" s="156">
        <v>0</v>
      </c>
      <c r="F79" s="156">
        <v>0</v>
      </c>
      <c r="G79" s="156"/>
      <c r="H79" s="156"/>
      <c r="I79" s="156"/>
      <c r="J79" s="156"/>
      <c r="K79" s="156"/>
      <c r="L79" s="156"/>
      <c r="M79" s="156"/>
      <c r="N79" s="156"/>
      <c r="O79" s="156"/>
      <c r="P79" s="35">
        <f>SUM(D79:O79)</f>
        <v>0</v>
      </c>
    </row>
    <row r="80" spans="1:16" ht="27" x14ac:dyDescent="0.3">
      <c r="A80" s="616"/>
      <c r="B80" s="24" t="s">
        <v>103</v>
      </c>
      <c r="C80" s="5" t="s">
        <v>3</v>
      </c>
      <c r="D80" s="156">
        <v>0</v>
      </c>
      <c r="E80" s="156">
        <v>0</v>
      </c>
      <c r="F80" s="156">
        <v>0</v>
      </c>
      <c r="G80" s="156"/>
      <c r="H80" s="156"/>
      <c r="I80" s="156"/>
      <c r="J80" s="156"/>
      <c r="K80" s="156"/>
      <c r="L80" s="156"/>
      <c r="M80" s="156"/>
      <c r="N80" s="156"/>
      <c r="O80" s="156"/>
      <c r="P80" s="35">
        <f>SUM(D80:O80)</f>
        <v>0</v>
      </c>
    </row>
    <row r="81" spans="1:16" s="2" customFormat="1" ht="27" x14ac:dyDescent="0.3">
      <c r="A81" s="616"/>
      <c r="B81" s="24" t="s">
        <v>102</v>
      </c>
      <c r="C81" s="11" t="s">
        <v>3</v>
      </c>
      <c r="D81" s="156">
        <v>0</v>
      </c>
      <c r="E81" s="156">
        <v>0</v>
      </c>
      <c r="F81" s="156">
        <v>0</v>
      </c>
      <c r="G81" s="156"/>
      <c r="H81" s="156"/>
      <c r="I81" s="156"/>
      <c r="J81" s="156"/>
      <c r="K81" s="156"/>
      <c r="L81" s="156"/>
      <c r="M81" s="156"/>
      <c r="N81" s="156"/>
      <c r="O81" s="156"/>
      <c r="P81" s="74">
        <f>SUM(D81:O81)</f>
        <v>0</v>
      </c>
    </row>
    <row r="82" spans="1:16" s="2" customFormat="1" x14ac:dyDescent="0.3">
      <c r="A82" s="616"/>
      <c r="B82" s="24" t="s">
        <v>188</v>
      </c>
      <c r="C82" s="11" t="s">
        <v>3</v>
      </c>
      <c r="D82" s="156">
        <f>D81+D80</f>
        <v>0</v>
      </c>
      <c r="E82" s="156">
        <f t="shared" ref="E82:P82" si="36">E81+E80</f>
        <v>0</v>
      </c>
      <c r="F82" s="156">
        <f t="shared" si="36"/>
        <v>0</v>
      </c>
      <c r="G82" s="156">
        <f t="shared" si="36"/>
        <v>0</v>
      </c>
      <c r="H82" s="156">
        <f t="shared" ref="H82:I82" si="37">H81+H80</f>
        <v>0</v>
      </c>
      <c r="I82" s="156">
        <f t="shared" si="37"/>
        <v>0</v>
      </c>
      <c r="J82" s="156">
        <f t="shared" ref="J82:K82" si="38">J81+J80</f>
        <v>0</v>
      </c>
      <c r="K82" s="156">
        <f t="shared" si="38"/>
        <v>0</v>
      </c>
      <c r="L82" s="156">
        <f t="shared" ref="L82:M82" si="39">L81+L80</f>
        <v>0</v>
      </c>
      <c r="M82" s="156">
        <f t="shared" si="39"/>
        <v>0</v>
      </c>
      <c r="N82" s="156">
        <f t="shared" ref="N82:O82" si="40">N81+N80</f>
        <v>0</v>
      </c>
      <c r="O82" s="156">
        <f t="shared" si="40"/>
        <v>0</v>
      </c>
      <c r="P82" s="549">
        <f t="shared" si="36"/>
        <v>0</v>
      </c>
    </row>
    <row r="83" spans="1:16" x14ac:dyDescent="0.3">
      <c r="A83" s="617"/>
      <c r="B83" s="37" t="s">
        <v>81</v>
      </c>
      <c r="C83" s="5" t="s">
        <v>3</v>
      </c>
      <c r="D83" s="159">
        <f>D78+D79-D82</f>
        <v>0</v>
      </c>
      <c r="E83" s="159">
        <f t="shared" ref="E83:P83" si="41">E78+E79-E82</f>
        <v>0</v>
      </c>
      <c r="F83" s="159">
        <f t="shared" si="41"/>
        <v>0</v>
      </c>
      <c r="G83" s="132">
        <f t="shared" si="41"/>
        <v>0</v>
      </c>
      <c r="H83" s="132">
        <f t="shared" ref="H83:I83" si="42">H78+H79-H82</f>
        <v>0</v>
      </c>
      <c r="I83" s="132">
        <f t="shared" si="42"/>
        <v>0</v>
      </c>
      <c r="J83" s="159">
        <f t="shared" ref="J83:K83" si="43">J78+J79-J82</f>
        <v>0</v>
      </c>
      <c r="K83" s="159">
        <f t="shared" si="43"/>
        <v>0</v>
      </c>
      <c r="L83" s="159">
        <f t="shared" ref="L83:M83" si="44">L78+L79-L82</f>
        <v>0</v>
      </c>
      <c r="M83" s="159">
        <f t="shared" si="44"/>
        <v>0</v>
      </c>
      <c r="N83" s="159">
        <f t="shared" ref="N83:O83" si="45">N78+N79-N82</f>
        <v>0</v>
      </c>
      <c r="O83" s="159">
        <f t="shared" si="45"/>
        <v>0</v>
      </c>
      <c r="P83" s="160">
        <f t="shared" si="41"/>
        <v>0</v>
      </c>
    </row>
    <row r="84" spans="1:16" x14ac:dyDescent="0.3">
      <c r="A84" s="618" t="s">
        <v>106</v>
      </c>
      <c r="B84" s="37" t="s">
        <v>85</v>
      </c>
      <c r="C84" s="5" t="s">
        <v>3</v>
      </c>
      <c r="D84" s="158">
        <v>0</v>
      </c>
      <c r="E84" s="158">
        <v>0</v>
      </c>
      <c r="F84" s="158">
        <v>0</v>
      </c>
      <c r="G84" s="158"/>
      <c r="H84" s="158"/>
      <c r="I84" s="158"/>
      <c r="J84" s="158"/>
      <c r="K84" s="158"/>
      <c r="L84" s="158"/>
      <c r="M84" s="158"/>
      <c r="N84" s="158"/>
      <c r="O84" s="158"/>
      <c r="P84" s="35">
        <f>D84</f>
        <v>0</v>
      </c>
    </row>
    <row r="85" spans="1:16" x14ac:dyDescent="0.3">
      <c r="A85" s="619"/>
      <c r="B85" s="37" t="s">
        <v>104</v>
      </c>
      <c r="C85" s="5" t="s">
        <v>3</v>
      </c>
      <c r="D85" s="156">
        <v>0</v>
      </c>
      <c r="E85" s="156">
        <v>0</v>
      </c>
      <c r="F85" s="156">
        <v>0</v>
      </c>
      <c r="G85" s="156"/>
      <c r="H85" s="156"/>
      <c r="I85" s="156"/>
      <c r="J85" s="156"/>
      <c r="K85" s="156"/>
      <c r="L85" s="156"/>
      <c r="M85" s="156"/>
      <c r="N85" s="156"/>
      <c r="O85" s="156"/>
      <c r="P85" s="35">
        <f>SUM(D85:O85)</f>
        <v>0</v>
      </c>
    </row>
    <row r="86" spans="1:16" ht="27" x14ac:dyDescent="0.3">
      <c r="A86" s="619"/>
      <c r="B86" s="37" t="s">
        <v>103</v>
      </c>
      <c r="C86" s="5" t="s">
        <v>3</v>
      </c>
      <c r="D86" s="156">
        <v>0</v>
      </c>
      <c r="E86" s="156">
        <v>0</v>
      </c>
      <c r="F86" s="156">
        <v>0</v>
      </c>
      <c r="G86" s="156"/>
      <c r="H86" s="156"/>
      <c r="I86" s="156"/>
      <c r="J86" s="156"/>
      <c r="K86" s="156"/>
      <c r="L86" s="156"/>
      <c r="M86" s="156"/>
      <c r="N86" s="156"/>
      <c r="O86" s="156"/>
      <c r="P86" s="35">
        <f>SUM(D86:O86)</f>
        <v>0</v>
      </c>
    </row>
    <row r="87" spans="1:16" s="2" customFormat="1" ht="27" x14ac:dyDescent="0.3">
      <c r="A87" s="619"/>
      <c r="B87" s="24" t="s">
        <v>102</v>
      </c>
      <c r="C87" s="11" t="s">
        <v>3</v>
      </c>
      <c r="D87" s="156">
        <v>0</v>
      </c>
      <c r="E87" s="156">
        <v>0</v>
      </c>
      <c r="F87" s="156">
        <v>0</v>
      </c>
      <c r="G87" s="156"/>
      <c r="H87" s="156"/>
      <c r="I87" s="156"/>
      <c r="J87" s="156"/>
      <c r="K87" s="156"/>
      <c r="L87" s="156"/>
      <c r="M87" s="156"/>
      <c r="N87" s="156"/>
      <c r="O87" s="156"/>
      <c r="P87" s="74">
        <f>SUM(D87:O87)</f>
        <v>0</v>
      </c>
    </row>
    <row r="88" spans="1:16" s="2" customFormat="1" x14ac:dyDescent="0.3">
      <c r="A88" s="619"/>
      <c r="B88" s="24" t="s">
        <v>188</v>
      </c>
      <c r="C88" s="11" t="s">
        <v>3</v>
      </c>
      <c r="D88" s="156">
        <v>0</v>
      </c>
      <c r="E88" s="156">
        <v>0</v>
      </c>
      <c r="F88" s="156">
        <v>0</v>
      </c>
      <c r="G88" s="156">
        <v>0</v>
      </c>
      <c r="H88" s="156">
        <v>0</v>
      </c>
      <c r="I88" s="156">
        <v>0</v>
      </c>
      <c r="J88" s="156">
        <v>0</v>
      </c>
      <c r="K88" s="156">
        <v>0</v>
      </c>
      <c r="L88" s="156">
        <v>0</v>
      </c>
      <c r="M88" s="156">
        <v>0</v>
      </c>
      <c r="N88" s="156">
        <v>0</v>
      </c>
      <c r="O88" s="156">
        <v>0</v>
      </c>
      <c r="P88" s="74"/>
    </row>
    <row r="89" spans="1:16" x14ac:dyDescent="0.3">
      <c r="A89" s="620"/>
      <c r="B89" s="36" t="s">
        <v>81</v>
      </c>
      <c r="C89" s="5" t="s">
        <v>3</v>
      </c>
      <c r="D89" s="159">
        <f t="shared" ref="D89:I89" si="46">D84+D85-D88</f>
        <v>0</v>
      </c>
      <c r="E89" s="159">
        <f t="shared" si="46"/>
        <v>0</v>
      </c>
      <c r="F89" s="159">
        <f t="shared" si="46"/>
        <v>0</v>
      </c>
      <c r="G89" s="159">
        <f t="shared" si="46"/>
        <v>0</v>
      </c>
      <c r="H89" s="159">
        <f t="shared" si="46"/>
        <v>0</v>
      </c>
      <c r="I89" s="159">
        <f t="shared" si="46"/>
        <v>0</v>
      </c>
      <c r="J89" s="159">
        <f t="shared" ref="J89:K89" si="47">J84+J85-J88</f>
        <v>0</v>
      </c>
      <c r="K89" s="159">
        <f t="shared" si="47"/>
        <v>0</v>
      </c>
      <c r="L89" s="159">
        <f t="shared" ref="L89:M89" si="48">L84+L85-L88</f>
        <v>0</v>
      </c>
      <c r="M89" s="159">
        <f t="shared" si="48"/>
        <v>0</v>
      </c>
      <c r="N89" s="159">
        <f t="shared" ref="N89:O89" si="49">N84+N85-N88</f>
        <v>0</v>
      </c>
      <c r="O89" s="159">
        <f t="shared" si="49"/>
        <v>0</v>
      </c>
      <c r="P89" s="160">
        <f t="shared" ref="P89" si="50">P84+P85-P86-P87</f>
        <v>0</v>
      </c>
    </row>
    <row r="90" spans="1:16" x14ac:dyDescent="0.3">
      <c r="A90" s="621" t="s">
        <v>105</v>
      </c>
      <c r="B90" s="24" t="s">
        <v>85</v>
      </c>
      <c r="C90" s="11" t="s">
        <v>3</v>
      </c>
      <c r="D90" s="136">
        <f t="shared" ref="D90:I90" si="51">D66+D72+D78+D84</f>
        <v>2</v>
      </c>
      <c r="E90" s="136">
        <f t="shared" si="51"/>
        <v>2</v>
      </c>
      <c r="F90" s="136">
        <f t="shared" si="51"/>
        <v>7</v>
      </c>
      <c r="G90" s="136">
        <f t="shared" si="51"/>
        <v>13</v>
      </c>
      <c r="H90" s="136">
        <f t="shared" si="51"/>
        <v>7</v>
      </c>
      <c r="I90" s="136">
        <f t="shared" si="51"/>
        <v>22</v>
      </c>
      <c r="J90" s="136">
        <f t="shared" ref="J90:K90" si="52">J66+J72+J78+J84</f>
        <v>32</v>
      </c>
      <c r="K90" s="136">
        <f t="shared" si="52"/>
        <v>38</v>
      </c>
      <c r="L90" s="136">
        <f t="shared" ref="L90:N90" si="53">L66+L72+L78+L84</f>
        <v>38</v>
      </c>
      <c r="M90" s="136">
        <f t="shared" si="53"/>
        <v>59</v>
      </c>
      <c r="N90" s="136">
        <f t="shared" si="53"/>
        <v>64</v>
      </c>
      <c r="O90" s="136">
        <f t="shared" ref="O90" si="54">O66+O72+O78+O84</f>
        <v>67</v>
      </c>
      <c r="P90" s="35">
        <f>D90</f>
        <v>2</v>
      </c>
    </row>
    <row r="91" spans="1:16" x14ac:dyDescent="0.3">
      <c r="A91" s="622"/>
      <c r="B91" s="24" t="s">
        <v>104</v>
      </c>
      <c r="C91" s="11" t="s">
        <v>3</v>
      </c>
      <c r="D91" s="136">
        <f t="shared" ref="D91:E93" si="55">D67+D73+D79+D85</f>
        <v>8</v>
      </c>
      <c r="E91" s="136">
        <f t="shared" si="55"/>
        <v>11</v>
      </c>
      <c r="F91" s="136">
        <f t="shared" ref="F91:G91" si="56">F67+F73+F79+F85</f>
        <v>18</v>
      </c>
      <c r="G91" s="136">
        <f t="shared" si="56"/>
        <v>25</v>
      </c>
      <c r="H91" s="136">
        <f t="shared" ref="H91:I91" si="57">H67+H73+H79+H85</f>
        <v>47</v>
      </c>
      <c r="I91" s="136">
        <f t="shared" si="57"/>
        <v>14</v>
      </c>
      <c r="J91" s="136">
        <f t="shared" ref="J91:K91" si="58">J67+J73+J79+J85</f>
        <v>6</v>
      </c>
      <c r="K91" s="136">
        <f t="shared" si="58"/>
        <v>0</v>
      </c>
      <c r="L91" s="136">
        <f t="shared" ref="L91:M91" si="59">L67+L73+L79+L85</f>
        <v>21</v>
      </c>
      <c r="M91" s="136">
        <f t="shared" si="59"/>
        <v>5</v>
      </c>
      <c r="N91" s="136">
        <f t="shared" ref="N91" si="60">N67+N73+N79+N85</f>
        <v>7</v>
      </c>
      <c r="O91" s="136">
        <f t="shared" ref="O91" si="61">O67+O73+O79+O85</f>
        <v>3</v>
      </c>
      <c r="P91" s="35">
        <f>SUM(D91:O91)</f>
        <v>165</v>
      </c>
    </row>
    <row r="92" spans="1:16" ht="27" x14ac:dyDescent="0.3">
      <c r="A92" s="622"/>
      <c r="B92" s="24" t="s">
        <v>103</v>
      </c>
      <c r="C92" s="11" t="s">
        <v>3</v>
      </c>
      <c r="D92" s="136">
        <f t="shared" si="55"/>
        <v>0</v>
      </c>
      <c r="E92" s="136">
        <f t="shared" si="55"/>
        <v>0</v>
      </c>
      <c r="F92" s="136">
        <f t="shared" ref="F92:G92" si="62">F68+F74+F80+F86</f>
        <v>0</v>
      </c>
      <c r="G92" s="136">
        <f t="shared" si="62"/>
        <v>0</v>
      </c>
      <c r="H92" s="136">
        <f t="shared" ref="H92:I92" si="63">H68+H74+H80+H86</f>
        <v>0</v>
      </c>
      <c r="I92" s="136">
        <f t="shared" si="63"/>
        <v>0</v>
      </c>
      <c r="J92" s="136">
        <f t="shared" ref="J92:K92" si="64">J68+J74+J80+J86</f>
        <v>0</v>
      </c>
      <c r="K92" s="136">
        <f t="shared" si="64"/>
        <v>0</v>
      </c>
      <c r="L92" s="136">
        <f>L68+L74+L80+L86</f>
        <v>0</v>
      </c>
      <c r="M92" s="136">
        <f t="shared" ref="M92:N92" si="65">M68+M74+M80+M86</f>
        <v>0</v>
      </c>
      <c r="N92" s="136">
        <f t="shared" si="65"/>
        <v>4</v>
      </c>
      <c r="O92" s="136">
        <f t="shared" ref="O92" si="66">O68+O74+O80+O86</f>
        <v>0</v>
      </c>
      <c r="P92" s="35">
        <f>SUM(D92:O92)</f>
        <v>4</v>
      </c>
    </row>
    <row r="93" spans="1:16" s="2" customFormat="1" ht="27" x14ac:dyDescent="0.3">
      <c r="A93" s="622"/>
      <c r="B93" s="24" t="s">
        <v>102</v>
      </c>
      <c r="C93" s="11"/>
      <c r="D93" s="136">
        <f t="shared" si="55"/>
        <v>8</v>
      </c>
      <c r="E93" s="136">
        <f t="shared" si="55"/>
        <v>6</v>
      </c>
      <c r="F93" s="136">
        <f t="shared" ref="F93:G93" si="67">F69+F75+F81+F87</f>
        <v>12</v>
      </c>
      <c r="G93" s="136">
        <f t="shared" si="67"/>
        <v>31</v>
      </c>
      <c r="H93" s="136">
        <f t="shared" ref="H93:I93" si="68">H69+H75+H81+H87</f>
        <v>32</v>
      </c>
      <c r="I93" s="136">
        <f t="shared" si="68"/>
        <v>4</v>
      </c>
      <c r="J93" s="136">
        <f t="shared" ref="J93:K93" si="69">J69+J75+J81+J87</f>
        <v>0</v>
      </c>
      <c r="K93" s="136">
        <f t="shared" si="69"/>
        <v>0</v>
      </c>
      <c r="L93" s="136">
        <f t="shared" ref="L93:N93" si="70">L69+L75+L81+L87</f>
        <v>0</v>
      </c>
      <c r="M93" s="136">
        <f t="shared" si="70"/>
        <v>0</v>
      </c>
      <c r="N93" s="136">
        <f t="shared" si="70"/>
        <v>0</v>
      </c>
      <c r="O93" s="136">
        <f t="shared" ref="O93" si="71">O69+O75+O81+O87</f>
        <v>3</v>
      </c>
      <c r="P93" s="35">
        <f>SUM(D93:O93)</f>
        <v>96</v>
      </c>
    </row>
    <row r="94" spans="1:16" s="2" customFormat="1" x14ac:dyDescent="0.3">
      <c r="A94" s="622"/>
      <c r="B94" s="24" t="s">
        <v>188</v>
      </c>
      <c r="C94" s="11" t="s">
        <v>3</v>
      </c>
      <c r="D94" s="137">
        <f>D93+D92</f>
        <v>8</v>
      </c>
      <c r="E94" s="137">
        <f t="shared" ref="E94:P94" si="72">E93+E92</f>
        <v>6</v>
      </c>
      <c r="F94" s="137">
        <f t="shared" si="72"/>
        <v>12</v>
      </c>
      <c r="G94" s="137">
        <f t="shared" si="72"/>
        <v>31</v>
      </c>
      <c r="H94" s="137">
        <f t="shared" ref="H94:I94" si="73">H93+H92</f>
        <v>32</v>
      </c>
      <c r="I94" s="137">
        <f t="shared" si="73"/>
        <v>4</v>
      </c>
      <c r="J94" s="137">
        <f t="shared" ref="J94:K94" si="74">J93+J92</f>
        <v>0</v>
      </c>
      <c r="K94" s="137">
        <f t="shared" si="74"/>
        <v>0</v>
      </c>
      <c r="L94" s="137">
        <f t="shared" ref="L94:M94" si="75">L93+L92</f>
        <v>0</v>
      </c>
      <c r="M94" s="137">
        <f t="shared" si="75"/>
        <v>0</v>
      </c>
      <c r="N94" s="137">
        <f t="shared" si="72"/>
        <v>4</v>
      </c>
      <c r="O94" s="137">
        <f t="shared" ref="O94" si="76">O93+O92</f>
        <v>3</v>
      </c>
      <c r="P94" s="144">
        <f t="shared" si="72"/>
        <v>100</v>
      </c>
    </row>
    <row r="95" spans="1:16" ht="16.2" thickBot="1" x14ac:dyDescent="0.35">
      <c r="A95" s="623"/>
      <c r="B95" s="24" t="s">
        <v>81</v>
      </c>
      <c r="C95" s="11" t="s">
        <v>3</v>
      </c>
      <c r="D95" s="138">
        <f>D90+D91-D94</f>
        <v>2</v>
      </c>
      <c r="E95" s="138">
        <f t="shared" ref="E95:P95" si="77">E90+E91-E94</f>
        <v>7</v>
      </c>
      <c r="F95" s="138">
        <f t="shared" si="77"/>
        <v>13</v>
      </c>
      <c r="G95" s="138">
        <f t="shared" si="77"/>
        <v>7</v>
      </c>
      <c r="H95" s="138">
        <f t="shared" ref="H95:I95" si="78">H90+H91-H94</f>
        <v>22</v>
      </c>
      <c r="I95" s="138">
        <f t="shared" si="78"/>
        <v>32</v>
      </c>
      <c r="J95" s="138">
        <f t="shared" ref="J95:K95" si="79">J90+J91-J94</f>
        <v>38</v>
      </c>
      <c r="K95" s="138">
        <f t="shared" si="79"/>
        <v>38</v>
      </c>
      <c r="L95" s="138">
        <f t="shared" ref="L95:M95" si="80">L90+L91-L94</f>
        <v>59</v>
      </c>
      <c r="M95" s="138">
        <f t="shared" si="80"/>
        <v>64</v>
      </c>
      <c r="N95" s="138">
        <f t="shared" si="77"/>
        <v>67</v>
      </c>
      <c r="O95" s="138">
        <f t="shared" ref="O95" si="81">O90+O91-O94</f>
        <v>67</v>
      </c>
      <c r="P95" s="145">
        <f t="shared" si="77"/>
        <v>67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44"/>
    </row>
    <row r="97" spans="1:16" s="2" customFormat="1" ht="15.75" customHeight="1" thickBot="1" x14ac:dyDescent="0.35">
      <c r="A97" s="624" t="s">
        <v>189</v>
      </c>
      <c r="B97" s="625"/>
      <c r="C97" s="625"/>
      <c r="D97" s="625"/>
      <c r="E97" s="625"/>
      <c r="F97" s="625"/>
      <c r="G97" s="625"/>
      <c r="H97" s="625"/>
      <c r="I97" s="625"/>
      <c r="J97" s="625"/>
      <c r="K97" s="625"/>
      <c r="L97" s="625"/>
      <c r="M97" s="625"/>
      <c r="N97" s="625"/>
      <c r="O97" s="625"/>
      <c r="P97" s="626"/>
    </row>
    <row r="98" spans="1:16" x14ac:dyDescent="0.3">
      <c r="A98" s="88" t="s">
        <v>190</v>
      </c>
      <c r="B98" s="69"/>
      <c r="C98" s="11" t="s">
        <v>3</v>
      </c>
      <c r="D98" s="70">
        <v>50</v>
      </c>
      <c r="E98" s="70">
        <v>102</v>
      </c>
      <c r="F98" s="70">
        <v>40</v>
      </c>
      <c r="G98" s="70">
        <v>25</v>
      </c>
      <c r="H98" s="70">
        <v>32</v>
      </c>
      <c r="I98" s="70">
        <v>4</v>
      </c>
      <c r="J98" s="71">
        <v>0</v>
      </c>
      <c r="K98" s="71"/>
      <c r="L98" s="71"/>
      <c r="M98" s="71"/>
      <c r="N98" s="71">
        <v>4</v>
      </c>
      <c r="O98" s="71">
        <v>50</v>
      </c>
      <c r="P98" s="169">
        <f>SUM(D98:O98)</f>
        <v>307</v>
      </c>
    </row>
    <row r="99" spans="1:1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44"/>
    </row>
    <row r="100" spans="1:16" s="2" customFormat="1" ht="14.4" x14ac:dyDescent="0.3">
      <c r="A100" s="635" t="s">
        <v>101</v>
      </c>
      <c r="B100" s="636"/>
      <c r="C100" s="636"/>
      <c r="D100" s="636"/>
      <c r="E100" s="636"/>
      <c r="F100" s="636"/>
      <c r="G100" s="636"/>
      <c r="H100" s="636"/>
      <c r="I100" s="636"/>
      <c r="J100" s="636"/>
      <c r="K100" s="636"/>
      <c r="L100" s="636"/>
      <c r="M100" s="636"/>
      <c r="N100" s="636"/>
      <c r="O100" s="636"/>
      <c r="P100" s="637"/>
    </row>
    <row r="101" spans="1:16" x14ac:dyDescent="0.3">
      <c r="A101" s="582" t="s">
        <v>100</v>
      </c>
      <c r="B101" s="583"/>
      <c r="C101" s="11" t="s">
        <v>3</v>
      </c>
      <c r="D101" s="4">
        <v>0</v>
      </c>
      <c r="E101" s="4"/>
      <c r="F101" s="4">
        <v>4</v>
      </c>
      <c r="G101" s="4">
        <v>3</v>
      </c>
      <c r="H101" s="4">
        <v>3</v>
      </c>
      <c r="I101" s="4">
        <v>3</v>
      </c>
      <c r="J101" s="4">
        <v>5</v>
      </c>
      <c r="K101" s="4">
        <v>4</v>
      </c>
      <c r="L101" s="4">
        <v>4</v>
      </c>
      <c r="M101" s="4">
        <v>7</v>
      </c>
      <c r="N101" s="4">
        <v>9</v>
      </c>
      <c r="O101" s="4">
        <v>12</v>
      </c>
      <c r="P101" s="32">
        <f t="shared" ref="P101:P116" si="82">O101</f>
        <v>12</v>
      </c>
    </row>
    <row r="102" spans="1:16" x14ac:dyDescent="0.3">
      <c r="A102" s="582" t="s">
        <v>99</v>
      </c>
      <c r="B102" s="583"/>
      <c r="C102" s="11" t="s">
        <v>3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  <c r="I102" s="4">
        <v>1</v>
      </c>
      <c r="J102" s="4">
        <v>0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32">
        <f t="shared" si="82"/>
        <v>0</v>
      </c>
    </row>
    <row r="103" spans="1:16" ht="15.6" customHeight="1" x14ac:dyDescent="0.3">
      <c r="A103" s="589" t="s">
        <v>98</v>
      </c>
      <c r="B103" s="590"/>
      <c r="C103" s="11" t="s">
        <v>3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1</v>
      </c>
      <c r="K103" s="4">
        <v>1</v>
      </c>
      <c r="L103" s="4">
        <v>2</v>
      </c>
      <c r="M103" s="4">
        <v>2</v>
      </c>
      <c r="N103" s="4">
        <v>2</v>
      </c>
      <c r="O103" s="4">
        <v>2</v>
      </c>
      <c r="P103" s="32">
        <f t="shared" si="82"/>
        <v>2</v>
      </c>
    </row>
    <row r="104" spans="1:16" x14ac:dyDescent="0.3">
      <c r="A104" s="589" t="s">
        <v>97</v>
      </c>
      <c r="B104" s="590"/>
      <c r="C104" s="11" t="s">
        <v>3</v>
      </c>
      <c r="D104" s="4">
        <v>0</v>
      </c>
      <c r="E104" s="4">
        <v>12</v>
      </c>
      <c r="F104" s="4">
        <v>15</v>
      </c>
      <c r="G104" s="4">
        <v>15</v>
      </c>
      <c r="H104" s="4">
        <v>15</v>
      </c>
      <c r="I104" s="4">
        <v>15</v>
      </c>
      <c r="J104" s="4">
        <v>15</v>
      </c>
      <c r="K104" s="4">
        <v>15</v>
      </c>
      <c r="L104" s="4">
        <v>15</v>
      </c>
      <c r="M104" s="4">
        <v>15</v>
      </c>
      <c r="N104" s="4">
        <v>15</v>
      </c>
      <c r="O104" s="4">
        <v>15</v>
      </c>
      <c r="P104" s="32">
        <f t="shared" si="82"/>
        <v>15</v>
      </c>
    </row>
    <row r="105" spans="1:16" x14ac:dyDescent="0.3">
      <c r="A105" s="638" t="s">
        <v>96</v>
      </c>
      <c r="B105" s="639"/>
      <c r="C105" s="11" t="s">
        <v>3</v>
      </c>
      <c r="D105" s="33">
        <f>SUM(D101:D104)</f>
        <v>1</v>
      </c>
      <c r="E105" s="33">
        <f t="shared" ref="E105:O105" si="83">SUM(E101:E104)</f>
        <v>13</v>
      </c>
      <c r="F105" s="33">
        <f t="shared" si="83"/>
        <v>20</v>
      </c>
      <c r="G105" s="33">
        <f t="shared" si="83"/>
        <v>19</v>
      </c>
      <c r="H105" s="33">
        <f t="shared" si="83"/>
        <v>19</v>
      </c>
      <c r="I105" s="33">
        <f t="shared" si="83"/>
        <v>19</v>
      </c>
      <c r="J105" s="33">
        <f t="shared" si="83"/>
        <v>21</v>
      </c>
      <c r="K105" s="33">
        <f t="shared" si="83"/>
        <v>20</v>
      </c>
      <c r="L105" s="33">
        <f t="shared" si="83"/>
        <v>22</v>
      </c>
      <c r="M105" s="33">
        <f t="shared" si="83"/>
        <v>24</v>
      </c>
      <c r="N105" s="33">
        <f t="shared" si="83"/>
        <v>26</v>
      </c>
      <c r="O105" s="33">
        <f t="shared" si="83"/>
        <v>29</v>
      </c>
      <c r="P105" s="32">
        <f t="shared" si="82"/>
        <v>29</v>
      </c>
    </row>
    <row r="106" spans="1:16" s="2" customFormat="1" ht="15.6" customHeight="1" x14ac:dyDescent="0.3">
      <c r="A106" s="632" t="s">
        <v>210</v>
      </c>
      <c r="B106" s="633"/>
      <c r="C106" s="633"/>
      <c r="D106" s="633"/>
      <c r="E106" s="633"/>
      <c r="F106" s="633"/>
      <c r="G106" s="633"/>
      <c r="H106" s="633"/>
      <c r="I106" s="633"/>
      <c r="J106" s="633"/>
      <c r="K106" s="633"/>
      <c r="L106" s="633"/>
      <c r="M106" s="633"/>
      <c r="N106" s="633"/>
      <c r="O106" s="633"/>
      <c r="P106" s="634"/>
    </row>
    <row r="107" spans="1:16" x14ac:dyDescent="0.3">
      <c r="A107" s="582" t="s">
        <v>193</v>
      </c>
      <c r="B107" s="583"/>
      <c r="C107" s="11" t="s">
        <v>3</v>
      </c>
      <c r="D107" s="4">
        <v>126</v>
      </c>
      <c r="E107" s="130">
        <v>51</v>
      </c>
      <c r="F107" s="4">
        <v>1</v>
      </c>
      <c r="G107" s="4">
        <v>1</v>
      </c>
      <c r="H107" s="26">
        <v>1</v>
      </c>
      <c r="I107" s="4">
        <v>3</v>
      </c>
      <c r="J107" s="4">
        <v>3</v>
      </c>
      <c r="K107" s="4">
        <v>5</v>
      </c>
      <c r="L107" s="4">
        <v>8</v>
      </c>
      <c r="M107" s="4">
        <v>6</v>
      </c>
      <c r="N107" s="4">
        <v>7</v>
      </c>
      <c r="O107" s="4">
        <v>8</v>
      </c>
      <c r="P107" s="32">
        <f t="shared" si="82"/>
        <v>8</v>
      </c>
    </row>
    <row r="108" spans="1:16" x14ac:dyDescent="0.3">
      <c r="A108" s="582" t="s">
        <v>194</v>
      </c>
      <c r="B108" s="583"/>
      <c r="C108" s="11" t="s">
        <v>3</v>
      </c>
      <c r="D108" s="4">
        <v>0</v>
      </c>
      <c r="E108" s="130">
        <v>1</v>
      </c>
      <c r="F108" s="4">
        <v>1</v>
      </c>
      <c r="G108" s="4">
        <v>1</v>
      </c>
      <c r="H108" s="26">
        <v>1</v>
      </c>
      <c r="I108" s="4">
        <v>1</v>
      </c>
      <c r="J108" s="4">
        <v>1</v>
      </c>
      <c r="K108" s="4">
        <v>1</v>
      </c>
      <c r="L108" s="4">
        <v>0</v>
      </c>
      <c r="M108" s="4">
        <v>2</v>
      </c>
      <c r="N108" s="4">
        <v>2</v>
      </c>
      <c r="O108" s="4">
        <v>2</v>
      </c>
      <c r="P108" s="32">
        <f t="shared" si="82"/>
        <v>2</v>
      </c>
    </row>
    <row r="109" spans="1:16" x14ac:dyDescent="0.3">
      <c r="A109" s="582" t="s">
        <v>195</v>
      </c>
      <c r="B109" s="583"/>
      <c r="C109" s="11" t="s">
        <v>3</v>
      </c>
      <c r="D109" s="4">
        <v>0</v>
      </c>
      <c r="E109" s="130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32">
        <f t="shared" si="82"/>
        <v>0</v>
      </c>
    </row>
    <row r="110" spans="1:16" x14ac:dyDescent="0.3">
      <c r="A110" s="582" t="s">
        <v>196</v>
      </c>
      <c r="B110" s="583"/>
      <c r="C110" s="11" t="s">
        <v>3</v>
      </c>
      <c r="D110" s="4">
        <v>0</v>
      </c>
      <c r="E110" s="130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32">
        <f t="shared" si="82"/>
        <v>0</v>
      </c>
    </row>
    <row r="111" spans="1:16" x14ac:dyDescent="0.3">
      <c r="A111" s="584" t="s">
        <v>95</v>
      </c>
      <c r="B111" s="585"/>
      <c r="C111" s="11" t="s">
        <v>3</v>
      </c>
      <c r="D111" s="33">
        <f>SUM(D107:D110)</f>
        <v>126</v>
      </c>
      <c r="E111" s="33">
        <f t="shared" ref="E111:O111" si="84">SUM(E107:E110)</f>
        <v>52</v>
      </c>
      <c r="F111" s="33">
        <f t="shared" si="84"/>
        <v>2</v>
      </c>
      <c r="G111" s="33">
        <f t="shared" si="84"/>
        <v>2</v>
      </c>
      <c r="H111" s="33">
        <f t="shared" si="84"/>
        <v>2</v>
      </c>
      <c r="I111" s="33">
        <f t="shared" si="84"/>
        <v>4</v>
      </c>
      <c r="J111" s="33">
        <f t="shared" si="84"/>
        <v>4</v>
      </c>
      <c r="K111" s="33">
        <f t="shared" si="84"/>
        <v>6</v>
      </c>
      <c r="L111" s="33">
        <f t="shared" si="84"/>
        <v>8</v>
      </c>
      <c r="M111" s="33">
        <f t="shared" si="84"/>
        <v>8</v>
      </c>
      <c r="N111" s="33">
        <f t="shared" si="84"/>
        <v>9</v>
      </c>
      <c r="O111" s="33">
        <f t="shared" si="84"/>
        <v>10</v>
      </c>
      <c r="P111" s="32">
        <f t="shared" si="82"/>
        <v>10</v>
      </c>
    </row>
    <row r="112" spans="1:16" s="2" customFormat="1" ht="15.6" customHeight="1" x14ac:dyDescent="0.3">
      <c r="A112" s="635" t="s">
        <v>216</v>
      </c>
      <c r="B112" s="636"/>
      <c r="C112" s="636"/>
      <c r="D112" s="636"/>
      <c r="E112" s="636"/>
      <c r="F112" s="636"/>
      <c r="G112" s="636"/>
      <c r="H112" s="636"/>
      <c r="I112" s="636"/>
      <c r="J112" s="636"/>
      <c r="K112" s="636"/>
      <c r="L112" s="636"/>
      <c r="M112" s="636"/>
      <c r="N112" s="636"/>
      <c r="O112" s="636"/>
      <c r="P112" s="637"/>
    </row>
    <row r="113" spans="1:16" x14ac:dyDescent="0.3">
      <c r="A113" s="582" t="s">
        <v>197</v>
      </c>
      <c r="B113" s="583"/>
      <c r="C113" s="11" t="s">
        <v>3</v>
      </c>
      <c r="D113" s="128">
        <v>153</v>
      </c>
      <c r="E113" s="128">
        <v>222</v>
      </c>
      <c r="F113" s="128">
        <v>293</v>
      </c>
      <c r="G113" s="128">
        <v>334</v>
      </c>
      <c r="H113" s="128">
        <v>334</v>
      </c>
      <c r="I113" s="128">
        <v>338</v>
      </c>
      <c r="J113" s="130">
        <v>361</v>
      </c>
      <c r="K113" s="130">
        <v>392</v>
      </c>
      <c r="L113" s="130">
        <v>392</v>
      </c>
      <c r="M113" s="130">
        <v>392</v>
      </c>
      <c r="N113" s="130">
        <v>392</v>
      </c>
      <c r="O113" s="130">
        <v>395</v>
      </c>
      <c r="P113" s="32">
        <f t="shared" si="82"/>
        <v>395</v>
      </c>
    </row>
    <row r="114" spans="1:16" x14ac:dyDescent="0.3">
      <c r="A114" s="582" t="s">
        <v>198</v>
      </c>
      <c r="B114" s="583"/>
      <c r="C114" s="11" t="s">
        <v>3</v>
      </c>
      <c r="D114" s="128">
        <v>14</v>
      </c>
      <c r="E114" s="128">
        <v>11</v>
      </c>
      <c r="F114" s="128">
        <v>13</v>
      </c>
      <c r="G114" s="128">
        <v>14</v>
      </c>
      <c r="H114" s="128">
        <v>15</v>
      </c>
      <c r="I114" s="128">
        <v>19</v>
      </c>
      <c r="J114" s="130">
        <v>14</v>
      </c>
      <c r="K114" s="130">
        <v>14</v>
      </c>
      <c r="L114" s="130">
        <v>20</v>
      </c>
      <c r="M114" s="130">
        <v>18</v>
      </c>
      <c r="N114" s="130">
        <v>17</v>
      </c>
      <c r="O114" s="130">
        <v>14</v>
      </c>
      <c r="P114" s="32">
        <f t="shared" si="82"/>
        <v>14</v>
      </c>
    </row>
    <row r="115" spans="1:16" x14ac:dyDescent="0.3">
      <c r="A115" s="582" t="s">
        <v>199</v>
      </c>
      <c r="B115" s="583"/>
      <c r="C115" s="11" t="s">
        <v>3</v>
      </c>
      <c r="D115" s="128">
        <v>11</v>
      </c>
      <c r="E115" s="128">
        <v>14</v>
      </c>
      <c r="F115" s="128">
        <v>17</v>
      </c>
      <c r="G115" s="128">
        <v>15</v>
      </c>
      <c r="H115" s="128">
        <v>15</v>
      </c>
      <c r="I115" s="128">
        <v>15</v>
      </c>
      <c r="J115" s="130">
        <v>15</v>
      </c>
      <c r="K115" s="130">
        <v>11</v>
      </c>
      <c r="L115" s="130">
        <v>15</v>
      </c>
      <c r="M115" s="130">
        <v>15</v>
      </c>
      <c r="N115" s="130">
        <v>16</v>
      </c>
      <c r="O115" s="130">
        <v>11</v>
      </c>
      <c r="P115" s="32">
        <f t="shared" si="82"/>
        <v>11</v>
      </c>
    </row>
    <row r="116" spans="1:16" x14ac:dyDescent="0.3">
      <c r="A116" s="582" t="s">
        <v>200</v>
      </c>
      <c r="B116" s="583"/>
      <c r="C116" s="11" t="s">
        <v>3</v>
      </c>
      <c r="D116" s="128">
        <v>3</v>
      </c>
      <c r="E116" s="128">
        <v>3</v>
      </c>
      <c r="F116" s="128">
        <v>3</v>
      </c>
      <c r="G116" s="128">
        <v>3</v>
      </c>
      <c r="H116" s="128">
        <v>3</v>
      </c>
      <c r="I116" s="128">
        <v>2</v>
      </c>
      <c r="J116" s="130">
        <v>2</v>
      </c>
      <c r="K116" s="130">
        <v>2</v>
      </c>
      <c r="L116" s="130">
        <v>2</v>
      </c>
      <c r="M116" s="130">
        <v>2</v>
      </c>
      <c r="N116" s="130">
        <v>2</v>
      </c>
      <c r="O116" s="130">
        <v>3</v>
      </c>
      <c r="P116" s="32">
        <f t="shared" si="82"/>
        <v>3</v>
      </c>
    </row>
    <row r="117" spans="1:16" x14ac:dyDescent="0.3">
      <c r="A117" s="584" t="s">
        <v>94</v>
      </c>
      <c r="B117" s="585"/>
      <c r="C117" s="11" t="s">
        <v>3</v>
      </c>
      <c r="D117" s="33">
        <f>SUM(D113:D116)</f>
        <v>181</v>
      </c>
      <c r="E117" s="33">
        <f t="shared" ref="E117:P117" si="85">SUM(E113:E116)</f>
        <v>250</v>
      </c>
      <c r="F117" s="33">
        <f t="shared" si="85"/>
        <v>326</v>
      </c>
      <c r="G117" s="33">
        <f t="shared" si="85"/>
        <v>366</v>
      </c>
      <c r="H117" s="33">
        <f t="shared" ref="H117:I117" si="86">SUM(H113:H116)</f>
        <v>367</v>
      </c>
      <c r="I117" s="33">
        <f t="shared" si="86"/>
        <v>374</v>
      </c>
      <c r="J117" s="167">
        <f t="shared" ref="J117:K117" si="87">SUM(J113:J116)</f>
        <v>392</v>
      </c>
      <c r="K117" s="167">
        <f t="shared" si="87"/>
        <v>419</v>
      </c>
      <c r="L117" s="167">
        <f t="shared" si="85"/>
        <v>429</v>
      </c>
      <c r="M117" s="167">
        <f t="shared" ref="M117" si="88">SUM(M113:M116)</f>
        <v>427</v>
      </c>
      <c r="N117" s="167">
        <f t="shared" si="85"/>
        <v>427</v>
      </c>
      <c r="O117" s="167">
        <f t="shared" ref="O117" si="89">SUM(O113:O116)</f>
        <v>423</v>
      </c>
      <c r="P117" s="55">
        <f t="shared" si="85"/>
        <v>423</v>
      </c>
    </row>
    <row r="118" spans="1:16" s="2" customFormat="1" x14ac:dyDescent="0.3">
      <c r="A118" s="80" t="s">
        <v>191</v>
      </c>
      <c r="B118" s="81"/>
      <c r="C118" s="11" t="s">
        <v>3</v>
      </c>
      <c r="D118" s="33">
        <f t="shared" ref="D118:I118" si="90">D111+D117</f>
        <v>307</v>
      </c>
      <c r="E118" s="33">
        <f t="shared" si="90"/>
        <v>302</v>
      </c>
      <c r="F118" s="33">
        <f t="shared" si="90"/>
        <v>328</v>
      </c>
      <c r="G118" s="33">
        <f t="shared" si="90"/>
        <v>368</v>
      </c>
      <c r="H118" s="33">
        <f t="shared" si="90"/>
        <v>369</v>
      </c>
      <c r="I118" s="33">
        <f t="shared" si="90"/>
        <v>378</v>
      </c>
      <c r="J118" s="167">
        <f t="shared" ref="J118:K118" si="91">J111+J117</f>
        <v>396</v>
      </c>
      <c r="K118" s="167">
        <f t="shared" si="91"/>
        <v>425</v>
      </c>
      <c r="L118" s="167">
        <f t="shared" ref="L118:M118" si="92">L111+L117</f>
        <v>437</v>
      </c>
      <c r="M118" s="167">
        <f t="shared" si="92"/>
        <v>435</v>
      </c>
      <c r="N118" s="167">
        <f t="shared" ref="N118:O118" si="93">N111+N117</f>
        <v>436</v>
      </c>
      <c r="O118" s="167">
        <f t="shared" si="93"/>
        <v>433</v>
      </c>
      <c r="P118" s="167">
        <f t="shared" ref="P118" si="94">P111+P117</f>
        <v>433</v>
      </c>
    </row>
    <row r="119" spans="1:16" x14ac:dyDescent="0.3">
      <c r="A119" s="584" t="s">
        <v>192</v>
      </c>
      <c r="B119" s="585"/>
      <c r="C119" s="11" t="s">
        <v>3</v>
      </c>
      <c r="D119" s="33">
        <f t="shared" ref="D119:I119" si="95">D105+D118</f>
        <v>308</v>
      </c>
      <c r="E119" s="33">
        <f t="shared" si="95"/>
        <v>315</v>
      </c>
      <c r="F119" s="33">
        <f t="shared" si="95"/>
        <v>348</v>
      </c>
      <c r="G119" s="33">
        <f t="shared" si="95"/>
        <v>387</v>
      </c>
      <c r="H119" s="33">
        <f t="shared" si="95"/>
        <v>388</v>
      </c>
      <c r="I119" s="33">
        <f t="shared" si="95"/>
        <v>397</v>
      </c>
      <c r="J119" s="167">
        <f t="shared" ref="J119:K119" si="96">J105+J118</f>
        <v>417</v>
      </c>
      <c r="K119" s="167">
        <f t="shared" si="96"/>
        <v>445</v>
      </c>
      <c r="L119" s="167">
        <f t="shared" ref="L119:M119" si="97">L105+L118</f>
        <v>459</v>
      </c>
      <c r="M119" s="167">
        <f t="shared" si="97"/>
        <v>459</v>
      </c>
      <c r="N119" s="167">
        <f t="shared" ref="N119:O119" si="98">N105+N118</f>
        <v>462</v>
      </c>
      <c r="O119" s="167">
        <f t="shared" si="98"/>
        <v>462</v>
      </c>
      <c r="P119" s="167">
        <f t="shared" ref="P119" si="99">P105+P118</f>
        <v>462</v>
      </c>
    </row>
    <row r="120" spans="1:16" ht="14.4" x14ac:dyDescent="0.3">
      <c r="A120" s="586" t="s">
        <v>201</v>
      </c>
      <c r="B120" s="587"/>
      <c r="C120" s="587"/>
      <c r="D120" s="587"/>
      <c r="E120" s="587"/>
      <c r="F120" s="587"/>
      <c r="G120" s="587"/>
      <c r="H120" s="587"/>
      <c r="I120" s="587"/>
      <c r="J120" s="587"/>
      <c r="K120" s="587"/>
      <c r="L120" s="587"/>
      <c r="M120" s="587"/>
      <c r="N120" s="587"/>
      <c r="O120" s="587"/>
      <c r="P120" s="588"/>
    </row>
    <row r="121" spans="1:16" x14ac:dyDescent="0.3">
      <c r="A121" s="582" t="s">
        <v>93</v>
      </c>
      <c r="B121" s="583"/>
      <c r="C121" s="5" t="s">
        <v>3</v>
      </c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31">
        <f>O121</f>
        <v>0</v>
      </c>
    </row>
    <row r="122" spans="1:16" x14ac:dyDescent="0.3">
      <c r="A122" s="582" t="s">
        <v>92</v>
      </c>
      <c r="B122" s="583"/>
      <c r="C122" s="5" t="s">
        <v>3</v>
      </c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31">
        <f>O122</f>
        <v>0</v>
      </c>
    </row>
    <row r="123" spans="1:16" x14ac:dyDescent="0.3">
      <c r="A123" s="640" t="s">
        <v>91</v>
      </c>
      <c r="B123" s="641"/>
      <c r="C123" s="30" t="s">
        <v>6</v>
      </c>
      <c r="D123" s="29" t="e">
        <f t="shared" ref="D123:P123" si="100">D122/D121</f>
        <v>#DIV/0!</v>
      </c>
      <c r="E123" s="29" t="e">
        <f t="shared" si="100"/>
        <v>#DIV/0!</v>
      </c>
      <c r="F123" s="29" t="e">
        <f t="shared" si="100"/>
        <v>#DIV/0!</v>
      </c>
      <c r="G123" s="29" t="e">
        <f t="shared" si="100"/>
        <v>#DIV/0!</v>
      </c>
      <c r="H123" s="29" t="e">
        <f t="shared" si="100"/>
        <v>#DIV/0!</v>
      </c>
      <c r="I123" s="29" t="e">
        <f t="shared" si="100"/>
        <v>#DIV/0!</v>
      </c>
      <c r="J123" s="29" t="e">
        <f t="shared" si="100"/>
        <v>#DIV/0!</v>
      </c>
      <c r="K123" s="29" t="e">
        <f t="shared" si="100"/>
        <v>#DIV/0!</v>
      </c>
      <c r="L123" s="29" t="e">
        <f t="shared" si="100"/>
        <v>#DIV/0!</v>
      </c>
      <c r="M123" s="29" t="e">
        <f t="shared" si="100"/>
        <v>#DIV/0!</v>
      </c>
      <c r="N123" s="29" t="e">
        <f t="shared" si="100"/>
        <v>#DIV/0!</v>
      </c>
      <c r="O123" s="29" t="e">
        <f t="shared" si="100"/>
        <v>#DIV/0!</v>
      </c>
      <c r="P123" s="516" t="e">
        <f t="shared" si="100"/>
        <v>#DIV/0!</v>
      </c>
    </row>
    <row r="124" spans="1:16" ht="14.4" x14ac:dyDescent="0.3">
      <c r="A124" s="642" t="s">
        <v>90</v>
      </c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3"/>
      <c r="P124" s="644"/>
    </row>
    <row r="125" spans="1:16" x14ac:dyDescent="0.3">
      <c r="A125" s="598" t="s">
        <v>235</v>
      </c>
      <c r="B125" s="24" t="s">
        <v>85</v>
      </c>
      <c r="C125" s="11" t="s">
        <v>3</v>
      </c>
      <c r="D125" s="158"/>
      <c r="E125" s="158">
        <v>0</v>
      </c>
      <c r="F125" s="158">
        <v>1</v>
      </c>
      <c r="G125" s="158"/>
      <c r="H125" s="158"/>
      <c r="I125" s="158"/>
      <c r="J125" s="158"/>
      <c r="K125" s="158"/>
      <c r="L125" s="158"/>
      <c r="M125" s="158"/>
      <c r="N125" s="158"/>
      <c r="O125" s="158"/>
      <c r="P125" s="35">
        <f>D125</f>
        <v>0</v>
      </c>
    </row>
    <row r="126" spans="1:16" x14ac:dyDescent="0.3">
      <c r="A126" s="648"/>
      <c r="B126" s="24" t="s">
        <v>84</v>
      </c>
      <c r="C126" s="11" t="s">
        <v>3</v>
      </c>
      <c r="D126" s="156"/>
      <c r="E126" s="156">
        <v>1</v>
      </c>
      <c r="F126" s="156">
        <v>0</v>
      </c>
      <c r="G126" s="156"/>
      <c r="H126" s="156"/>
      <c r="I126" s="156"/>
      <c r="J126" s="156"/>
      <c r="K126" s="156"/>
      <c r="L126" s="156"/>
      <c r="M126" s="156"/>
      <c r="N126" s="156"/>
      <c r="O126" s="156"/>
      <c r="P126" s="74">
        <f>SUM(D126:O126)</f>
        <v>1</v>
      </c>
    </row>
    <row r="127" spans="1:16" x14ac:dyDescent="0.3">
      <c r="A127" s="648"/>
      <c r="B127" s="82" t="s">
        <v>88</v>
      </c>
      <c r="C127" s="11" t="s">
        <v>3</v>
      </c>
      <c r="D127" s="156"/>
      <c r="E127" s="156">
        <v>0</v>
      </c>
      <c r="F127" s="156">
        <v>1</v>
      </c>
      <c r="G127" s="156"/>
      <c r="H127" s="156"/>
      <c r="I127" s="156"/>
      <c r="J127" s="156"/>
      <c r="K127" s="156"/>
      <c r="L127" s="156"/>
      <c r="M127" s="156"/>
      <c r="N127" s="156"/>
      <c r="O127" s="156"/>
      <c r="P127" s="74">
        <f>SUM(D127:O127)</f>
        <v>1</v>
      </c>
    </row>
    <row r="128" spans="1:16" x14ac:dyDescent="0.3">
      <c r="A128" s="648"/>
      <c r="B128" s="24" t="s">
        <v>82</v>
      </c>
      <c r="C128" s="11" t="s">
        <v>3</v>
      </c>
      <c r="D128" s="156"/>
      <c r="E128" s="156">
        <v>0</v>
      </c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74">
        <f>SUM(D128:O128)</f>
        <v>0</v>
      </c>
    </row>
    <row r="129" spans="1:16" x14ac:dyDescent="0.3">
      <c r="A129" s="599"/>
      <c r="B129" s="24" t="s">
        <v>81</v>
      </c>
      <c r="C129" s="11" t="s">
        <v>3</v>
      </c>
      <c r="D129" s="158">
        <f t="shared" ref="D129:I129" si="101">D125+D126-D127-D128</f>
        <v>0</v>
      </c>
      <c r="E129" s="158">
        <f t="shared" si="101"/>
        <v>1</v>
      </c>
      <c r="F129" s="158">
        <f t="shared" ref="F129" si="102">F125+F126-F127-F128</f>
        <v>0</v>
      </c>
      <c r="G129" s="158">
        <f t="shared" si="101"/>
        <v>0</v>
      </c>
      <c r="H129" s="158">
        <f t="shared" si="101"/>
        <v>0</v>
      </c>
      <c r="I129" s="158">
        <f t="shared" si="101"/>
        <v>0</v>
      </c>
      <c r="J129" s="158">
        <f t="shared" ref="J129:K129" si="103">J125+J126-J127-J128</f>
        <v>0</v>
      </c>
      <c r="K129" s="158">
        <f t="shared" si="103"/>
        <v>0</v>
      </c>
      <c r="L129" s="158">
        <f t="shared" ref="L129:M129" si="104">L125+L126-L127-L128</f>
        <v>0</v>
      </c>
      <c r="M129" s="158">
        <f t="shared" si="104"/>
        <v>0</v>
      </c>
      <c r="N129" s="158">
        <f t="shared" ref="N129:O129" si="105">N125+N126-N127-N128</f>
        <v>0</v>
      </c>
      <c r="O129" s="158">
        <f t="shared" si="105"/>
        <v>0</v>
      </c>
      <c r="P129" s="35">
        <f>P125+P126-P127-P128</f>
        <v>0</v>
      </c>
    </row>
    <row r="130" spans="1:16" x14ac:dyDescent="0.3">
      <c r="A130" s="598" t="s">
        <v>236</v>
      </c>
      <c r="B130" s="28" t="s">
        <v>85</v>
      </c>
      <c r="C130" s="27" t="s">
        <v>3</v>
      </c>
      <c r="D130" s="158">
        <v>0</v>
      </c>
      <c r="E130" s="158">
        <v>0</v>
      </c>
      <c r="F130" s="158">
        <v>0</v>
      </c>
      <c r="G130" s="158"/>
      <c r="H130" s="158"/>
      <c r="I130" s="158"/>
      <c r="J130" s="158"/>
      <c r="K130" s="158"/>
      <c r="L130" s="158"/>
      <c r="M130" s="158"/>
      <c r="N130" s="158"/>
      <c r="O130" s="158"/>
      <c r="P130" s="35">
        <f>D130</f>
        <v>0</v>
      </c>
    </row>
    <row r="131" spans="1:16" x14ac:dyDescent="0.3">
      <c r="A131" s="648"/>
      <c r="B131" s="24" t="s">
        <v>84</v>
      </c>
      <c r="C131" s="11" t="s">
        <v>3</v>
      </c>
      <c r="D131" s="156">
        <v>0</v>
      </c>
      <c r="E131" s="156">
        <v>0</v>
      </c>
      <c r="F131" s="156">
        <v>0</v>
      </c>
      <c r="G131" s="156"/>
      <c r="H131" s="156"/>
      <c r="I131" s="156"/>
      <c r="J131" s="156"/>
      <c r="K131" s="156"/>
      <c r="L131" s="156"/>
      <c r="M131" s="156"/>
      <c r="N131" s="156"/>
      <c r="O131" s="156"/>
      <c r="P131" s="74">
        <f>SUM(D131:O131)</f>
        <v>0</v>
      </c>
    </row>
    <row r="132" spans="1:16" x14ac:dyDescent="0.3">
      <c r="A132" s="648"/>
      <c r="B132" s="82" t="s">
        <v>88</v>
      </c>
      <c r="C132" s="11" t="s">
        <v>3</v>
      </c>
      <c r="D132" s="156">
        <v>0</v>
      </c>
      <c r="E132" s="156">
        <v>0</v>
      </c>
      <c r="F132" s="156">
        <v>0</v>
      </c>
      <c r="G132" s="156"/>
      <c r="H132" s="156"/>
      <c r="I132" s="156"/>
      <c r="J132" s="156"/>
      <c r="K132" s="156"/>
      <c r="L132" s="156"/>
      <c r="M132" s="156"/>
      <c r="N132" s="156"/>
      <c r="O132" s="156"/>
      <c r="P132" s="74">
        <f>SUM(D132:O132)</f>
        <v>0</v>
      </c>
    </row>
    <row r="133" spans="1:16" x14ac:dyDescent="0.3">
      <c r="A133" s="648"/>
      <c r="B133" s="24" t="s">
        <v>82</v>
      </c>
      <c r="C133" s="11" t="s">
        <v>3</v>
      </c>
      <c r="D133" s="156">
        <v>0</v>
      </c>
      <c r="E133" s="156">
        <v>0</v>
      </c>
      <c r="F133" s="156">
        <v>0</v>
      </c>
      <c r="G133" s="156"/>
      <c r="H133" s="156"/>
      <c r="I133" s="156"/>
      <c r="J133" s="156"/>
      <c r="K133" s="156"/>
      <c r="L133" s="156"/>
      <c r="M133" s="156"/>
      <c r="N133" s="156"/>
      <c r="O133" s="156"/>
      <c r="P133" s="74">
        <f>SUM(D133:O133)</f>
        <v>0</v>
      </c>
    </row>
    <row r="134" spans="1:16" x14ac:dyDescent="0.3">
      <c r="A134" s="599"/>
      <c r="B134" s="24" t="s">
        <v>81</v>
      </c>
      <c r="C134" s="11" t="s">
        <v>3</v>
      </c>
      <c r="D134" s="158">
        <f t="shared" ref="D134:I134" si="106">D130+D131-D132-D133</f>
        <v>0</v>
      </c>
      <c r="E134" s="158">
        <f t="shared" si="106"/>
        <v>0</v>
      </c>
      <c r="F134" s="158">
        <f t="shared" ref="F134" si="107">F130+F131-F132-F133</f>
        <v>0</v>
      </c>
      <c r="G134" s="158">
        <f t="shared" si="106"/>
        <v>0</v>
      </c>
      <c r="H134" s="158">
        <f t="shared" si="106"/>
        <v>0</v>
      </c>
      <c r="I134" s="158">
        <f t="shared" si="106"/>
        <v>0</v>
      </c>
      <c r="J134" s="158">
        <f t="shared" ref="J134:K134" si="108">J130+J131-J132-J133</f>
        <v>0</v>
      </c>
      <c r="K134" s="158">
        <f t="shared" si="108"/>
        <v>0</v>
      </c>
      <c r="L134" s="158">
        <f t="shared" ref="L134:M134" si="109">L130+L131-L132-L133</f>
        <v>0</v>
      </c>
      <c r="M134" s="158">
        <f t="shared" si="109"/>
        <v>0</v>
      </c>
      <c r="N134" s="158">
        <f t="shared" ref="N134:O134" si="110">N130+N131-N132-N133</f>
        <v>0</v>
      </c>
      <c r="O134" s="158">
        <f t="shared" si="110"/>
        <v>0</v>
      </c>
      <c r="P134" s="35">
        <f>P130+P131-P132-P133</f>
        <v>0</v>
      </c>
    </row>
    <row r="135" spans="1:16" x14ac:dyDescent="0.3">
      <c r="A135" s="598" t="s">
        <v>89</v>
      </c>
      <c r="B135" s="24" t="s">
        <v>85</v>
      </c>
      <c r="C135" s="11" t="s">
        <v>3</v>
      </c>
      <c r="D135" s="158">
        <v>0</v>
      </c>
      <c r="E135" s="158">
        <v>0</v>
      </c>
      <c r="F135" s="158">
        <v>0</v>
      </c>
      <c r="G135" s="158"/>
      <c r="H135" s="158"/>
      <c r="I135" s="158"/>
      <c r="J135" s="158"/>
      <c r="K135" s="158"/>
      <c r="L135" s="158"/>
      <c r="M135" s="158"/>
      <c r="N135" s="158"/>
      <c r="O135" s="158"/>
      <c r="P135" s="35">
        <f>D135</f>
        <v>0</v>
      </c>
    </row>
    <row r="136" spans="1:16" x14ac:dyDescent="0.3">
      <c r="A136" s="648"/>
      <c r="B136" s="24" t="s">
        <v>84</v>
      </c>
      <c r="C136" s="11" t="s">
        <v>3</v>
      </c>
      <c r="D136" s="156">
        <v>0</v>
      </c>
      <c r="E136" s="156">
        <v>0</v>
      </c>
      <c r="F136" s="156">
        <v>0</v>
      </c>
      <c r="G136" s="156"/>
      <c r="H136" s="156"/>
      <c r="I136" s="156"/>
      <c r="J136" s="156"/>
      <c r="K136" s="156"/>
      <c r="L136" s="156"/>
      <c r="M136" s="156"/>
      <c r="N136" s="156"/>
      <c r="O136" s="156"/>
      <c r="P136" s="74">
        <f>SUM(D136:O136)</f>
        <v>0</v>
      </c>
    </row>
    <row r="137" spans="1:16" x14ac:dyDescent="0.3">
      <c r="A137" s="648"/>
      <c r="B137" s="82" t="s">
        <v>88</v>
      </c>
      <c r="C137" s="11" t="s">
        <v>3</v>
      </c>
      <c r="D137" s="156">
        <v>0</v>
      </c>
      <c r="E137" s="156">
        <v>0</v>
      </c>
      <c r="F137" s="156">
        <v>0</v>
      </c>
      <c r="G137" s="156"/>
      <c r="H137" s="156"/>
      <c r="I137" s="156"/>
      <c r="J137" s="156"/>
      <c r="K137" s="156"/>
      <c r="L137" s="156"/>
      <c r="M137" s="156"/>
      <c r="N137" s="156"/>
      <c r="O137" s="156"/>
      <c r="P137" s="74">
        <f>SUM(D137:O137)</f>
        <v>0</v>
      </c>
    </row>
    <row r="138" spans="1:16" x14ac:dyDescent="0.3">
      <c r="A138" s="648"/>
      <c r="B138" s="24" t="s">
        <v>82</v>
      </c>
      <c r="C138" s="11" t="s">
        <v>3</v>
      </c>
      <c r="D138" s="156">
        <v>0</v>
      </c>
      <c r="E138" s="156">
        <v>0</v>
      </c>
      <c r="F138" s="156">
        <v>0</v>
      </c>
      <c r="G138" s="156"/>
      <c r="H138" s="156"/>
      <c r="I138" s="156"/>
      <c r="J138" s="156"/>
      <c r="K138" s="156"/>
      <c r="L138" s="156"/>
      <c r="M138" s="156"/>
      <c r="N138" s="156"/>
      <c r="O138" s="156"/>
      <c r="P138" s="74">
        <f>SUM(D138:O138)</f>
        <v>0</v>
      </c>
    </row>
    <row r="139" spans="1:16" x14ac:dyDescent="0.3">
      <c r="A139" s="599"/>
      <c r="B139" s="24" t="s">
        <v>81</v>
      </c>
      <c r="C139" s="11" t="s">
        <v>3</v>
      </c>
      <c r="D139" s="158">
        <f t="shared" ref="D139:I139" si="111">D135+D136-D137-D138</f>
        <v>0</v>
      </c>
      <c r="E139" s="158">
        <f t="shared" si="111"/>
        <v>0</v>
      </c>
      <c r="F139" s="158">
        <f t="shared" ref="F139" si="112">F135+F136-F137-F138</f>
        <v>0</v>
      </c>
      <c r="G139" s="158">
        <f t="shared" si="111"/>
        <v>0</v>
      </c>
      <c r="H139" s="158">
        <f t="shared" si="111"/>
        <v>0</v>
      </c>
      <c r="I139" s="158">
        <f t="shared" si="111"/>
        <v>0</v>
      </c>
      <c r="J139" s="158">
        <f t="shared" ref="J139:K139" si="113">J135+J136-J137-J138</f>
        <v>0</v>
      </c>
      <c r="K139" s="158">
        <f t="shared" si="113"/>
        <v>0</v>
      </c>
      <c r="L139" s="158">
        <f t="shared" ref="L139:M139" si="114">L135+L136-L137-L138</f>
        <v>0</v>
      </c>
      <c r="M139" s="158">
        <f t="shared" si="114"/>
        <v>0</v>
      </c>
      <c r="N139" s="158">
        <f t="shared" ref="N139:O139" si="115">N135+N136-N137-N138</f>
        <v>0</v>
      </c>
      <c r="O139" s="158">
        <f t="shared" si="115"/>
        <v>0</v>
      </c>
      <c r="P139" s="35">
        <f>P135+P136-P137-P138</f>
        <v>0</v>
      </c>
    </row>
    <row r="140" spans="1:16" x14ac:dyDescent="0.3">
      <c r="A140" s="598" t="s">
        <v>87</v>
      </c>
      <c r="B140" s="24" t="s">
        <v>85</v>
      </c>
      <c r="C140" s="11" t="s">
        <v>3</v>
      </c>
      <c r="D140" s="158">
        <v>41</v>
      </c>
      <c r="E140" s="158">
        <v>9</v>
      </c>
      <c r="F140" s="158">
        <v>6</v>
      </c>
      <c r="G140" s="158">
        <v>0</v>
      </c>
      <c r="H140" s="158">
        <v>0</v>
      </c>
      <c r="I140" s="158">
        <v>4</v>
      </c>
      <c r="J140" s="158"/>
      <c r="K140" s="158"/>
      <c r="L140" s="158"/>
      <c r="M140" s="158"/>
      <c r="N140" s="158"/>
      <c r="O140" s="158"/>
      <c r="P140" s="35">
        <f>D140</f>
        <v>41</v>
      </c>
    </row>
    <row r="141" spans="1:16" x14ac:dyDescent="0.3">
      <c r="A141" s="648"/>
      <c r="B141" s="24" t="s">
        <v>84</v>
      </c>
      <c r="C141" s="11" t="s">
        <v>3</v>
      </c>
      <c r="D141" s="156">
        <v>19</v>
      </c>
      <c r="E141" s="156">
        <v>15</v>
      </c>
      <c r="F141" s="156">
        <v>0</v>
      </c>
      <c r="G141" s="156">
        <v>1</v>
      </c>
      <c r="H141" s="156">
        <v>4</v>
      </c>
      <c r="I141" s="156">
        <v>1</v>
      </c>
      <c r="J141" s="156"/>
      <c r="K141" s="156"/>
      <c r="L141" s="156"/>
      <c r="M141" s="156"/>
      <c r="N141" s="156"/>
      <c r="O141" s="156"/>
      <c r="P141" s="74">
        <f>SUM(D141:O141)</f>
        <v>40</v>
      </c>
    </row>
    <row r="142" spans="1:16" x14ac:dyDescent="0.3">
      <c r="A142" s="648"/>
      <c r="B142" s="24" t="s">
        <v>83</v>
      </c>
      <c r="C142" s="11" t="s">
        <v>3</v>
      </c>
      <c r="D142" s="156">
        <v>0</v>
      </c>
      <c r="E142" s="156">
        <v>0</v>
      </c>
      <c r="F142" s="156">
        <v>0</v>
      </c>
      <c r="G142" s="156">
        <v>1</v>
      </c>
      <c r="H142" s="156"/>
      <c r="I142" s="156">
        <v>1</v>
      </c>
      <c r="J142" s="156"/>
      <c r="K142" s="156"/>
      <c r="L142" s="156"/>
      <c r="M142" s="156"/>
      <c r="N142" s="156"/>
      <c r="O142" s="156"/>
      <c r="P142" s="74">
        <f>SUM(D142:O142)</f>
        <v>2</v>
      </c>
    </row>
    <row r="143" spans="1:16" x14ac:dyDescent="0.3">
      <c r="A143" s="648"/>
      <c r="B143" s="24" t="s">
        <v>82</v>
      </c>
      <c r="C143" s="11" t="s">
        <v>3</v>
      </c>
      <c r="D143" s="156">
        <v>51</v>
      </c>
      <c r="E143" s="156">
        <v>18</v>
      </c>
      <c r="F143" s="156">
        <v>6</v>
      </c>
      <c r="G143" s="156"/>
      <c r="H143" s="156"/>
      <c r="I143" s="156"/>
      <c r="J143" s="156"/>
      <c r="K143" s="156"/>
      <c r="L143" s="156"/>
      <c r="M143" s="156"/>
      <c r="N143" s="156"/>
      <c r="O143" s="156"/>
      <c r="P143" s="74">
        <f>SUM(D143:O143)</f>
        <v>75</v>
      </c>
    </row>
    <row r="144" spans="1:16" x14ac:dyDescent="0.3">
      <c r="A144" s="599"/>
      <c r="B144" s="24" t="s">
        <v>81</v>
      </c>
      <c r="C144" s="11" t="s">
        <v>3</v>
      </c>
      <c r="D144" s="158">
        <f t="shared" ref="D144:I144" si="116">D140+D141-D142-D143</f>
        <v>9</v>
      </c>
      <c r="E144" s="158">
        <f t="shared" si="116"/>
        <v>6</v>
      </c>
      <c r="F144" s="158">
        <f t="shared" si="116"/>
        <v>0</v>
      </c>
      <c r="G144" s="158">
        <v>0</v>
      </c>
      <c r="H144" s="158">
        <f t="shared" si="116"/>
        <v>4</v>
      </c>
      <c r="I144" s="158">
        <f t="shared" si="116"/>
        <v>4</v>
      </c>
      <c r="J144" s="158"/>
      <c r="K144" s="158">
        <f t="shared" ref="K144" si="117">K140+K141-K142-K143</f>
        <v>0</v>
      </c>
      <c r="L144" s="158">
        <f t="shared" ref="L144:M144" si="118">L140+L141-L142-L143</f>
        <v>0</v>
      </c>
      <c r="M144" s="158">
        <f t="shared" si="118"/>
        <v>0</v>
      </c>
      <c r="N144" s="158">
        <f t="shared" ref="N144:O144" si="119">N140+N141-N142-N143</f>
        <v>0</v>
      </c>
      <c r="O144" s="158">
        <f t="shared" si="119"/>
        <v>0</v>
      </c>
      <c r="P144" s="35">
        <f>P140+P141-P142-P143</f>
        <v>4</v>
      </c>
    </row>
    <row r="145" spans="1:16" s="2" customFormat="1" x14ac:dyDescent="0.3">
      <c r="A145" s="598" t="s">
        <v>86</v>
      </c>
      <c r="B145" s="24" t="s">
        <v>85</v>
      </c>
      <c r="C145" s="11" t="s">
        <v>3</v>
      </c>
      <c r="D145" s="23">
        <f t="shared" ref="D145:I145" si="120">D125+D130+D135+D140</f>
        <v>41</v>
      </c>
      <c r="E145" s="23">
        <f t="shared" si="120"/>
        <v>9</v>
      </c>
      <c r="F145" s="23">
        <f t="shared" si="120"/>
        <v>7</v>
      </c>
      <c r="G145" s="23">
        <f t="shared" si="120"/>
        <v>0</v>
      </c>
      <c r="H145" s="23">
        <f t="shared" si="120"/>
        <v>0</v>
      </c>
      <c r="I145" s="23">
        <f t="shared" si="120"/>
        <v>4</v>
      </c>
      <c r="J145" s="23">
        <v>4</v>
      </c>
      <c r="K145" s="23">
        <v>4</v>
      </c>
      <c r="L145" s="23">
        <v>4</v>
      </c>
      <c r="M145" s="23">
        <f t="shared" ref="M145" si="121">M125+M130+M135+M140</f>
        <v>0</v>
      </c>
      <c r="N145" s="23">
        <f t="shared" ref="N145:O145" si="122">N125+N130+N135+N140</f>
        <v>0</v>
      </c>
      <c r="O145" s="23">
        <f t="shared" si="122"/>
        <v>0</v>
      </c>
      <c r="P145" s="110">
        <f t="shared" ref="P145:P149" si="123">P125+P130+P135+P140</f>
        <v>41</v>
      </c>
    </row>
    <row r="146" spans="1:16" x14ac:dyDescent="0.3">
      <c r="A146" s="648"/>
      <c r="B146" s="24" t="s">
        <v>84</v>
      </c>
      <c r="C146" s="11" t="s">
        <v>3</v>
      </c>
      <c r="D146" s="23">
        <f t="shared" ref="D146:E148" si="124">D126+D131+D136+D141</f>
        <v>19</v>
      </c>
      <c r="E146" s="23">
        <f t="shared" si="124"/>
        <v>16</v>
      </c>
      <c r="F146" s="23">
        <f t="shared" ref="F146:G146" si="125">F126+F131+F136+F141</f>
        <v>0</v>
      </c>
      <c r="G146" s="23">
        <f t="shared" si="125"/>
        <v>1</v>
      </c>
      <c r="H146" s="23">
        <f t="shared" ref="H146:I146" si="126">H126+H131+H136+H141</f>
        <v>4</v>
      </c>
      <c r="I146" s="23">
        <f t="shared" si="126"/>
        <v>1</v>
      </c>
      <c r="J146" s="23">
        <f t="shared" ref="J146:K146" si="127">J126+J131+J136+J141</f>
        <v>0</v>
      </c>
      <c r="K146" s="23">
        <f t="shared" si="127"/>
        <v>0</v>
      </c>
      <c r="L146" s="23">
        <v>0</v>
      </c>
      <c r="M146" s="23">
        <f t="shared" ref="M146" si="128">M126+M131+M136+M141</f>
        <v>0</v>
      </c>
      <c r="N146" s="23">
        <f t="shared" ref="N146:O146" si="129">N126+N131+N136+N141</f>
        <v>0</v>
      </c>
      <c r="O146" s="23">
        <f t="shared" si="129"/>
        <v>0</v>
      </c>
      <c r="P146" s="110">
        <f t="shared" si="123"/>
        <v>41</v>
      </c>
    </row>
    <row r="147" spans="1:16" x14ac:dyDescent="0.3">
      <c r="A147" s="648"/>
      <c r="B147" s="24" t="s">
        <v>83</v>
      </c>
      <c r="C147" s="11" t="s">
        <v>3</v>
      </c>
      <c r="D147" s="23">
        <f t="shared" si="124"/>
        <v>0</v>
      </c>
      <c r="E147" s="23">
        <f t="shared" si="124"/>
        <v>0</v>
      </c>
      <c r="F147" s="23">
        <f t="shared" ref="F147:G147" si="130">F127+F132+F137+F142</f>
        <v>1</v>
      </c>
      <c r="G147" s="23">
        <f t="shared" si="130"/>
        <v>1</v>
      </c>
      <c r="H147" s="23">
        <f t="shared" ref="H147:I147" si="131">H127+H132+H137+H142</f>
        <v>0</v>
      </c>
      <c r="I147" s="23">
        <f t="shared" si="131"/>
        <v>1</v>
      </c>
      <c r="J147" s="23">
        <f t="shared" ref="J147:K147" si="132">J127+J132+J137+J142</f>
        <v>0</v>
      </c>
      <c r="K147" s="23">
        <f t="shared" si="132"/>
        <v>0</v>
      </c>
      <c r="L147" s="23">
        <v>4</v>
      </c>
      <c r="M147" s="23">
        <f t="shared" ref="M147" si="133">M127+M132+M137+M142</f>
        <v>0</v>
      </c>
      <c r="N147" s="23">
        <f t="shared" ref="N147:O147" si="134">N127+N132+N137+N142</f>
        <v>0</v>
      </c>
      <c r="O147" s="23">
        <f t="shared" si="134"/>
        <v>0</v>
      </c>
      <c r="P147" s="110">
        <f t="shared" si="123"/>
        <v>3</v>
      </c>
    </row>
    <row r="148" spans="1:16" x14ac:dyDescent="0.3">
      <c r="A148" s="648"/>
      <c r="B148" s="24" t="s">
        <v>82</v>
      </c>
      <c r="C148" s="11" t="s">
        <v>3</v>
      </c>
      <c r="D148" s="23">
        <f t="shared" si="124"/>
        <v>51</v>
      </c>
      <c r="E148" s="23">
        <f t="shared" si="124"/>
        <v>18</v>
      </c>
      <c r="F148" s="23">
        <f t="shared" ref="F148:G148" si="135">F128+F133+F138+F143</f>
        <v>6</v>
      </c>
      <c r="G148" s="23">
        <f t="shared" si="135"/>
        <v>0</v>
      </c>
      <c r="H148" s="23">
        <f t="shared" ref="H148:I148" si="136">H128+H133+H138+H143</f>
        <v>0</v>
      </c>
      <c r="I148" s="23">
        <f t="shared" si="136"/>
        <v>0</v>
      </c>
      <c r="J148" s="23">
        <f t="shared" ref="J148:K148" si="137">J128+J133+J138+J143</f>
        <v>0</v>
      </c>
      <c r="K148" s="23">
        <f t="shared" si="137"/>
        <v>0</v>
      </c>
      <c r="L148" s="23">
        <f t="shared" ref="L148:M148" si="138">L128+L133+L138+L143</f>
        <v>0</v>
      </c>
      <c r="M148" s="23">
        <f t="shared" si="138"/>
        <v>0</v>
      </c>
      <c r="N148" s="23">
        <f t="shared" ref="N148:O148" si="139">N128+N133+N138+N143</f>
        <v>0</v>
      </c>
      <c r="O148" s="23">
        <f t="shared" si="139"/>
        <v>0</v>
      </c>
      <c r="P148" s="110">
        <f t="shared" si="123"/>
        <v>75</v>
      </c>
    </row>
    <row r="149" spans="1:16" x14ac:dyDescent="0.3">
      <c r="A149" s="599"/>
      <c r="B149" s="24" t="s">
        <v>81</v>
      </c>
      <c r="C149" s="11" t="s">
        <v>3</v>
      </c>
      <c r="D149" s="158">
        <f t="shared" ref="D149:I149" si="140">D145+D146-D147-D148</f>
        <v>9</v>
      </c>
      <c r="E149" s="158">
        <f t="shared" si="140"/>
        <v>7</v>
      </c>
      <c r="F149" s="158">
        <f t="shared" si="140"/>
        <v>0</v>
      </c>
      <c r="G149" s="158">
        <f t="shared" si="140"/>
        <v>0</v>
      </c>
      <c r="H149" s="158">
        <f t="shared" si="140"/>
        <v>4</v>
      </c>
      <c r="I149" s="158">
        <f t="shared" si="140"/>
        <v>4</v>
      </c>
      <c r="J149" s="158">
        <f t="shared" ref="J149:K149" si="141">J145+J146-J147-J148</f>
        <v>4</v>
      </c>
      <c r="K149" s="158">
        <f t="shared" si="141"/>
        <v>4</v>
      </c>
      <c r="L149" s="158">
        <f t="shared" ref="L149:M149" si="142">L145+L146-L147-L148</f>
        <v>0</v>
      </c>
      <c r="M149" s="158">
        <f t="shared" si="142"/>
        <v>0</v>
      </c>
      <c r="N149" s="158">
        <f t="shared" ref="N149:O149" si="143">N145+N146-N147-N148</f>
        <v>0</v>
      </c>
      <c r="O149" s="158">
        <f t="shared" si="143"/>
        <v>0</v>
      </c>
      <c r="P149" s="110">
        <f t="shared" si="123"/>
        <v>4</v>
      </c>
    </row>
    <row r="150" spans="1:16" ht="14.4" x14ac:dyDescent="0.3">
      <c r="A150" s="586" t="s">
        <v>80</v>
      </c>
      <c r="B150" s="587"/>
      <c r="C150" s="587"/>
      <c r="D150" s="587"/>
      <c r="E150" s="587"/>
      <c r="F150" s="587"/>
      <c r="G150" s="587"/>
      <c r="H150" s="587"/>
      <c r="I150" s="587"/>
      <c r="J150" s="587"/>
      <c r="K150" s="587"/>
      <c r="L150" s="587"/>
      <c r="M150" s="587"/>
      <c r="N150" s="587"/>
      <c r="O150" s="587"/>
      <c r="P150" s="588"/>
    </row>
    <row r="151" spans="1:16" x14ac:dyDescent="0.3">
      <c r="A151" s="582" t="s">
        <v>79</v>
      </c>
      <c r="B151" s="583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9"/>
    </row>
    <row r="152" spans="1:16" x14ac:dyDescent="0.3">
      <c r="A152" s="645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9"/>
    </row>
    <row r="153" spans="1:16" x14ac:dyDescent="0.3">
      <c r="A153" s="646"/>
      <c r="B153" s="19" t="s">
        <v>73</v>
      </c>
      <c r="C153" s="11" t="s">
        <v>57</v>
      </c>
      <c r="D153" s="156">
        <v>123</v>
      </c>
      <c r="E153" s="156">
        <v>60</v>
      </c>
      <c r="F153" s="156">
        <v>82</v>
      </c>
      <c r="G153" s="156">
        <v>86</v>
      </c>
      <c r="H153" s="156">
        <v>96</v>
      </c>
      <c r="I153" s="156">
        <v>91</v>
      </c>
      <c r="J153" s="156">
        <v>88</v>
      </c>
      <c r="K153" s="156">
        <v>69</v>
      </c>
      <c r="L153" s="156">
        <v>44</v>
      </c>
      <c r="M153" s="156">
        <v>61</v>
      </c>
      <c r="N153" s="156">
        <v>43</v>
      </c>
      <c r="O153" s="156">
        <v>59</v>
      </c>
      <c r="P153" s="74">
        <f t="shared" ref="P153:P165" si="144">SUM(D153:O153)</f>
        <v>902</v>
      </c>
    </row>
    <row r="154" spans="1:16" x14ac:dyDescent="0.3">
      <c r="A154" s="646"/>
      <c r="B154" s="19" t="s">
        <v>72</v>
      </c>
      <c r="C154" s="11" t="s">
        <v>57</v>
      </c>
      <c r="D154" s="156">
        <v>12</v>
      </c>
      <c r="E154" s="156">
        <v>21</v>
      </c>
      <c r="F154" s="156">
        <v>18</v>
      </c>
      <c r="G154" s="156">
        <v>19</v>
      </c>
      <c r="H154" s="156">
        <v>13</v>
      </c>
      <c r="I154" s="156">
        <v>13</v>
      </c>
      <c r="J154" s="156">
        <v>14</v>
      </c>
      <c r="K154" s="156">
        <v>16</v>
      </c>
      <c r="L154" s="156">
        <v>10</v>
      </c>
      <c r="M154" s="156">
        <v>13</v>
      </c>
      <c r="N154" s="156">
        <v>2</v>
      </c>
      <c r="O154" s="156">
        <v>7</v>
      </c>
      <c r="P154" s="74">
        <f t="shared" si="144"/>
        <v>158</v>
      </c>
    </row>
    <row r="155" spans="1:16" x14ac:dyDescent="0.3">
      <c r="A155" s="646"/>
      <c r="B155" s="19" t="s">
        <v>53</v>
      </c>
      <c r="C155" s="11" t="s">
        <v>57</v>
      </c>
      <c r="D155" s="156">
        <v>7</v>
      </c>
      <c r="E155" s="156">
        <v>8</v>
      </c>
      <c r="F155" s="156">
        <v>3</v>
      </c>
      <c r="G155" s="156">
        <v>3</v>
      </c>
      <c r="H155" s="156">
        <v>4</v>
      </c>
      <c r="I155" s="156">
        <v>8</v>
      </c>
      <c r="J155" s="156">
        <v>4</v>
      </c>
      <c r="K155" s="156">
        <v>3</v>
      </c>
      <c r="L155" s="156">
        <v>0</v>
      </c>
      <c r="M155" s="156">
        <v>2</v>
      </c>
      <c r="N155" s="156"/>
      <c r="O155" s="156">
        <v>5</v>
      </c>
      <c r="P155" s="74">
        <f t="shared" si="144"/>
        <v>47</v>
      </c>
    </row>
    <row r="156" spans="1:16" x14ac:dyDescent="0.3">
      <c r="A156" s="646"/>
      <c r="B156" s="19" t="s">
        <v>71</v>
      </c>
      <c r="C156" s="11" t="s">
        <v>57</v>
      </c>
      <c r="D156" s="156">
        <v>2</v>
      </c>
      <c r="E156" s="156">
        <v>2</v>
      </c>
      <c r="F156" s="156">
        <v>4</v>
      </c>
      <c r="G156" s="156">
        <v>1</v>
      </c>
      <c r="H156" s="156">
        <v>1</v>
      </c>
      <c r="I156" s="156">
        <v>2</v>
      </c>
      <c r="J156" s="156">
        <v>2</v>
      </c>
      <c r="K156" s="156">
        <v>0</v>
      </c>
      <c r="L156" s="156">
        <v>2</v>
      </c>
      <c r="M156" s="156">
        <v>1</v>
      </c>
      <c r="N156" s="156"/>
      <c r="O156" s="156">
        <v>0</v>
      </c>
      <c r="P156" s="74">
        <f t="shared" si="144"/>
        <v>17</v>
      </c>
    </row>
    <row r="157" spans="1:16" x14ac:dyDescent="0.3">
      <c r="A157" s="646"/>
      <c r="B157" s="19" t="s">
        <v>52</v>
      </c>
      <c r="C157" s="11" t="s">
        <v>57</v>
      </c>
      <c r="D157" s="156">
        <v>4</v>
      </c>
      <c r="E157" s="156">
        <v>3</v>
      </c>
      <c r="F157" s="156">
        <v>5</v>
      </c>
      <c r="G157" s="156">
        <v>2</v>
      </c>
      <c r="H157" s="156">
        <v>7</v>
      </c>
      <c r="I157" s="156">
        <v>6</v>
      </c>
      <c r="J157" s="156">
        <v>5</v>
      </c>
      <c r="K157" s="156">
        <v>4</v>
      </c>
      <c r="L157" s="156">
        <v>2</v>
      </c>
      <c r="M157" s="156">
        <v>5</v>
      </c>
      <c r="N157" s="156"/>
      <c r="O157" s="156">
        <v>3</v>
      </c>
      <c r="P157" s="74">
        <f t="shared" si="144"/>
        <v>46</v>
      </c>
    </row>
    <row r="158" spans="1:16" x14ac:dyDescent="0.3">
      <c r="A158" s="646"/>
      <c r="B158" s="19" t="s">
        <v>51</v>
      </c>
      <c r="C158" s="11" t="s">
        <v>57</v>
      </c>
      <c r="D158" s="156"/>
      <c r="E158" s="156">
        <v>0</v>
      </c>
      <c r="F158" s="156">
        <v>1</v>
      </c>
      <c r="G158" s="156">
        <v>1</v>
      </c>
      <c r="H158" s="156">
        <v>2</v>
      </c>
      <c r="I158" s="156">
        <v>2</v>
      </c>
      <c r="J158" s="156">
        <v>1</v>
      </c>
      <c r="K158" s="156">
        <v>1</v>
      </c>
      <c r="L158" s="156"/>
      <c r="M158" s="156"/>
      <c r="N158" s="156"/>
      <c r="O158" s="156">
        <v>2</v>
      </c>
      <c r="P158" s="74">
        <f t="shared" si="144"/>
        <v>10</v>
      </c>
    </row>
    <row r="159" spans="1:16" x14ac:dyDescent="0.3">
      <c r="A159" s="646"/>
      <c r="B159" s="19" t="s">
        <v>62</v>
      </c>
      <c r="C159" s="11" t="s">
        <v>57</v>
      </c>
      <c r="D159" s="156"/>
      <c r="E159" s="156">
        <v>0</v>
      </c>
      <c r="F159" s="156">
        <v>0</v>
      </c>
      <c r="G159" s="156">
        <v>0</v>
      </c>
      <c r="H159" s="156">
        <v>0</v>
      </c>
      <c r="I159" s="156">
        <v>0</v>
      </c>
      <c r="J159" s="156"/>
      <c r="K159" s="156"/>
      <c r="L159" s="156"/>
      <c r="M159" s="156"/>
      <c r="N159" s="156"/>
      <c r="O159" s="156">
        <v>0</v>
      </c>
      <c r="P159" s="74">
        <f t="shared" si="144"/>
        <v>0</v>
      </c>
    </row>
    <row r="160" spans="1:16" x14ac:dyDescent="0.3">
      <c r="A160" s="646"/>
      <c r="B160" s="19" t="s">
        <v>50</v>
      </c>
      <c r="C160" s="11" t="s">
        <v>57</v>
      </c>
      <c r="D160" s="156"/>
      <c r="E160" s="156">
        <v>1</v>
      </c>
      <c r="F160" s="156">
        <v>1</v>
      </c>
      <c r="G160" s="156">
        <v>0</v>
      </c>
      <c r="H160" s="156">
        <v>1</v>
      </c>
      <c r="I160" s="156">
        <v>1</v>
      </c>
      <c r="J160" s="156"/>
      <c r="K160" s="156"/>
      <c r="L160" s="156"/>
      <c r="M160" s="156"/>
      <c r="N160" s="156"/>
      <c r="O160" s="156"/>
      <c r="P160" s="74">
        <f t="shared" si="144"/>
        <v>4</v>
      </c>
    </row>
    <row r="161" spans="1:16" x14ac:dyDescent="0.3">
      <c r="A161" s="646"/>
      <c r="B161" s="19" t="s">
        <v>49</v>
      </c>
      <c r="C161" s="11" t="s">
        <v>57</v>
      </c>
      <c r="D161" s="156"/>
      <c r="E161" s="156">
        <v>0</v>
      </c>
      <c r="F161" s="156">
        <v>0</v>
      </c>
      <c r="G161" s="156">
        <v>0</v>
      </c>
      <c r="H161" s="156"/>
      <c r="I161" s="156">
        <v>0</v>
      </c>
      <c r="J161" s="156"/>
      <c r="K161" s="156"/>
      <c r="L161" s="156"/>
      <c r="M161" s="156"/>
      <c r="N161" s="156"/>
      <c r="O161" s="156"/>
      <c r="P161" s="74">
        <f t="shared" si="144"/>
        <v>0</v>
      </c>
    </row>
    <row r="162" spans="1:16" x14ac:dyDescent="0.3">
      <c r="A162" s="646"/>
      <c r="B162" s="19" t="s">
        <v>77</v>
      </c>
      <c r="C162" s="11" t="s">
        <v>57</v>
      </c>
      <c r="D162" s="156"/>
      <c r="E162" s="156">
        <v>0</v>
      </c>
      <c r="F162" s="156">
        <v>0</v>
      </c>
      <c r="G162" s="156">
        <v>2</v>
      </c>
      <c r="H162" s="156"/>
      <c r="I162" s="156">
        <v>1</v>
      </c>
      <c r="J162" s="156">
        <v>1</v>
      </c>
      <c r="K162" s="156"/>
      <c r="L162" s="156"/>
      <c r="M162" s="156"/>
      <c r="N162" s="156"/>
      <c r="O162" s="156"/>
      <c r="P162" s="74">
        <f t="shared" si="144"/>
        <v>4</v>
      </c>
    </row>
    <row r="163" spans="1:16" x14ac:dyDescent="0.3">
      <c r="A163" s="646"/>
      <c r="B163" s="19" t="s">
        <v>69</v>
      </c>
      <c r="C163" s="11" t="s">
        <v>57</v>
      </c>
      <c r="D163" s="156"/>
      <c r="E163" s="156">
        <v>0</v>
      </c>
      <c r="F163" s="156">
        <v>0</v>
      </c>
      <c r="G163" s="156">
        <v>0</v>
      </c>
      <c r="H163" s="156"/>
      <c r="I163" s="156">
        <v>0</v>
      </c>
      <c r="J163" s="156"/>
      <c r="K163" s="156"/>
      <c r="L163" s="156"/>
      <c r="M163" s="156"/>
      <c r="N163" s="156"/>
      <c r="O163" s="156"/>
      <c r="P163" s="74">
        <f t="shared" si="144"/>
        <v>0</v>
      </c>
    </row>
    <row r="164" spans="1:16" x14ac:dyDescent="0.3">
      <c r="A164" s="646"/>
      <c r="B164" s="19" t="s">
        <v>68</v>
      </c>
      <c r="C164" s="11" t="s">
        <v>57</v>
      </c>
      <c r="D164" s="156"/>
      <c r="E164" s="156">
        <v>0</v>
      </c>
      <c r="F164" s="156">
        <v>0</v>
      </c>
      <c r="G164" s="156">
        <v>0</v>
      </c>
      <c r="H164" s="156"/>
      <c r="I164" s="156">
        <v>0</v>
      </c>
      <c r="J164" s="156"/>
      <c r="K164" s="156"/>
      <c r="L164" s="156"/>
      <c r="M164" s="156"/>
      <c r="N164" s="156"/>
      <c r="O164" s="156"/>
      <c r="P164" s="74">
        <f t="shared" si="144"/>
        <v>0</v>
      </c>
    </row>
    <row r="165" spans="1:16" x14ac:dyDescent="0.3">
      <c r="A165" s="647"/>
      <c r="B165" s="19" t="s">
        <v>76</v>
      </c>
      <c r="C165" s="11" t="s">
        <v>57</v>
      </c>
      <c r="D165" s="156"/>
      <c r="E165" s="156">
        <v>0</v>
      </c>
      <c r="F165" s="156">
        <v>0</v>
      </c>
      <c r="G165" s="156">
        <v>0</v>
      </c>
      <c r="H165" s="156"/>
      <c r="I165" s="156">
        <v>0</v>
      </c>
      <c r="J165" s="156"/>
      <c r="K165" s="156"/>
      <c r="L165" s="156"/>
      <c r="M165" s="156"/>
      <c r="N165" s="156"/>
      <c r="O165" s="156"/>
      <c r="P165" s="74">
        <f t="shared" si="144"/>
        <v>0</v>
      </c>
    </row>
    <row r="166" spans="1:16" x14ac:dyDescent="0.3">
      <c r="A166" s="645" t="s">
        <v>75</v>
      </c>
      <c r="B166" s="21" t="s">
        <v>63</v>
      </c>
      <c r="C166" s="11"/>
      <c r="D166" s="156"/>
      <c r="E166" s="156"/>
      <c r="F166" s="156"/>
      <c r="G166" s="156"/>
      <c r="H166" s="156"/>
      <c r="I166" s="156"/>
      <c r="J166" s="156"/>
      <c r="K166" s="156"/>
      <c r="L166" s="156"/>
      <c r="M166" s="156"/>
      <c r="N166" s="156"/>
      <c r="O166" s="156"/>
      <c r="P166" s="74"/>
    </row>
    <row r="167" spans="1:16" x14ac:dyDescent="0.3">
      <c r="A167" s="646"/>
      <c r="B167" s="19" t="s">
        <v>74</v>
      </c>
      <c r="C167" s="11" t="s">
        <v>57</v>
      </c>
      <c r="D167" s="156">
        <v>2</v>
      </c>
      <c r="E167" s="156"/>
      <c r="F167" s="156"/>
      <c r="G167" s="156">
        <v>1</v>
      </c>
      <c r="H167" s="156"/>
      <c r="I167" s="156">
        <v>1</v>
      </c>
      <c r="J167" s="156"/>
      <c r="K167" s="156"/>
      <c r="L167" s="156"/>
      <c r="M167" s="156"/>
      <c r="N167" s="156"/>
      <c r="O167" s="156"/>
      <c r="P167" s="74">
        <f t="shared" ref="P167:P175" si="145">SUM(D167:O167)</f>
        <v>4</v>
      </c>
    </row>
    <row r="168" spans="1:16" x14ac:dyDescent="0.3">
      <c r="A168" s="646"/>
      <c r="B168" s="19" t="s">
        <v>73</v>
      </c>
      <c r="C168" s="11" t="s">
        <v>57</v>
      </c>
      <c r="D168" s="156"/>
      <c r="E168" s="156"/>
      <c r="F168" s="156"/>
      <c r="G168" s="156"/>
      <c r="H168" s="156"/>
      <c r="I168" s="156"/>
      <c r="J168" s="156"/>
      <c r="K168" s="156"/>
      <c r="L168" s="156"/>
      <c r="M168" s="156"/>
      <c r="N168" s="156"/>
      <c r="O168" s="156"/>
      <c r="P168" s="74">
        <f t="shared" si="145"/>
        <v>0</v>
      </c>
    </row>
    <row r="169" spans="1:16" x14ac:dyDescent="0.3">
      <c r="A169" s="646"/>
      <c r="B169" s="19" t="s">
        <v>72</v>
      </c>
      <c r="C169" s="11" t="s">
        <v>57</v>
      </c>
      <c r="D169" s="156"/>
      <c r="E169" s="156"/>
      <c r="F169" s="156"/>
      <c r="G169" s="156"/>
      <c r="H169" s="156"/>
      <c r="I169" s="156"/>
      <c r="J169" s="156"/>
      <c r="K169" s="156"/>
      <c r="L169" s="156"/>
      <c r="M169" s="156"/>
      <c r="N169" s="156"/>
      <c r="O169" s="156"/>
      <c r="P169" s="74">
        <f t="shared" si="145"/>
        <v>0</v>
      </c>
    </row>
    <row r="170" spans="1:16" x14ac:dyDescent="0.3">
      <c r="A170" s="646"/>
      <c r="B170" s="19" t="s">
        <v>71</v>
      </c>
      <c r="C170" s="11" t="s">
        <v>57</v>
      </c>
      <c r="D170" s="156"/>
      <c r="E170" s="156"/>
      <c r="F170" s="156"/>
      <c r="G170" s="156"/>
      <c r="H170" s="156"/>
      <c r="I170" s="156"/>
      <c r="J170" s="156"/>
      <c r="K170" s="156"/>
      <c r="L170" s="156"/>
      <c r="M170" s="156"/>
      <c r="N170" s="156"/>
      <c r="O170" s="156"/>
      <c r="P170" s="74">
        <f t="shared" si="145"/>
        <v>0</v>
      </c>
    </row>
    <row r="171" spans="1:16" x14ac:dyDescent="0.3">
      <c r="A171" s="646"/>
      <c r="B171" s="19" t="s">
        <v>52</v>
      </c>
      <c r="C171" s="11" t="s">
        <v>57</v>
      </c>
      <c r="D171" s="156"/>
      <c r="E171" s="156"/>
      <c r="F171" s="156"/>
      <c r="G171" s="156"/>
      <c r="H171" s="156"/>
      <c r="I171" s="156"/>
      <c r="J171" s="156"/>
      <c r="K171" s="156"/>
      <c r="L171" s="156"/>
      <c r="M171" s="156"/>
      <c r="N171" s="156"/>
      <c r="O171" s="156"/>
      <c r="P171" s="74">
        <f t="shared" si="145"/>
        <v>0</v>
      </c>
    </row>
    <row r="172" spans="1:16" x14ac:dyDescent="0.3">
      <c r="A172" s="646"/>
      <c r="B172" s="19" t="s">
        <v>62</v>
      </c>
      <c r="C172" s="11" t="s">
        <v>57</v>
      </c>
      <c r="D172" s="156"/>
      <c r="E172" s="15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74">
        <f t="shared" si="145"/>
        <v>0</v>
      </c>
    </row>
    <row r="173" spans="1:16" x14ac:dyDescent="0.3">
      <c r="A173" s="646"/>
      <c r="B173" s="19" t="s">
        <v>61</v>
      </c>
      <c r="C173" s="11" t="s">
        <v>57</v>
      </c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74">
        <f t="shared" si="145"/>
        <v>0</v>
      </c>
    </row>
    <row r="174" spans="1:16" x14ac:dyDescent="0.3">
      <c r="A174" s="646"/>
      <c r="B174" s="19" t="s">
        <v>60</v>
      </c>
      <c r="C174" s="11" t="s">
        <v>57</v>
      </c>
      <c r="D174" s="156"/>
      <c r="E174" s="15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74">
        <f t="shared" si="145"/>
        <v>0</v>
      </c>
    </row>
    <row r="175" spans="1:16" x14ac:dyDescent="0.3">
      <c r="A175" s="647"/>
      <c r="B175" s="19" t="s">
        <v>69</v>
      </c>
      <c r="C175" s="11" t="s">
        <v>57</v>
      </c>
      <c r="D175" s="156"/>
      <c r="E175" s="15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74">
        <f t="shared" si="145"/>
        <v>0</v>
      </c>
    </row>
    <row r="176" spans="1:16" x14ac:dyDescent="0.3">
      <c r="A176" s="645" t="s">
        <v>70</v>
      </c>
      <c r="B176" s="21" t="s">
        <v>63</v>
      </c>
      <c r="C176" s="11"/>
      <c r="D176" s="156"/>
      <c r="E176" s="15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74"/>
    </row>
    <row r="177" spans="1:16" x14ac:dyDescent="0.3">
      <c r="A177" s="646"/>
      <c r="B177" s="19" t="s">
        <v>60</v>
      </c>
      <c r="C177" s="11" t="s">
        <v>57</v>
      </c>
      <c r="D177" s="156"/>
      <c r="E177" s="15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74">
        <f t="shared" ref="P177:P182" si="146">SUM(D177:O177)</f>
        <v>0</v>
      </c>
    </row>
    <row r="178" spans="1:16" x14ac:dyDescent="0.3">
      <c r="A178" s="646"/>
      <c r="B178" s="19" t="s">
        <v>69</v>
      </c>
      <c r="C178" s="11" t="s">
        <v>57</v>
      </c>
      <c r="D178" s="156"/>
      <c r="E178" s="15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74">
        <f t="shared" si="146"/>
        <v>0</v>
      </c>
    </row>
    <row r="179" spans="1:16" x14ac:dyDescent="0.3">
      <c r="A179" s="646"/>
      <c r="B179" s="19" t="s">
        <v>68</v>
      </c>
      <c r="C179" s="11" t="s">
        <v>57</v>
      </c>
      <c r="D179" s="156"/>
      <c r="E179" s="15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74">
        <f t="shared" si="146"/>
        <v>0</v>
      </c>
    </row>
    <row r="180" spans="1:16" x14ac:dyDescent="0.3">
      <c r="A180" s="646"/>
      <c r="B180" s="19" t="s">
        <v>67</v>
      </c>
      <c r="C180" s="11" t="s">
        <v>57</v>
      </c>
      <c r="D180" s="156"/>
      <c r="E180" s="15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74">
        <f t="shared" si="146"/>
        <v>0</v>
      </c>
    </row>
    <row r="181" spans="1:16" x14ac:dyDescent="0.3">
      <c r="A181" s="646"/>
      <c r="B181" s="19" t="s">
        <v>66</v>
      </c>
      <c r="C181" s="11" t="s">
        <v>57</v>
      </c>
      <c r="D181" s="156"/>
      <c r="E181" s="15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74">
        <f t="shared" si="146"/>
        <v>0</v>
      </c>
    </row>
    <row r="182" spans="1:16" x14ac:dyDescent="0.3">
      <c r="A182" s="647"/>
      <c r="B182" s="19" t="s">
        <v>65</v>
      </c>
      <c r="C182" s="11" t="s">
        <v>57</v>
      </c>
      <c r="D182" s="156"/>
      <c r="E182" s="15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74">
        <f t="shared" si="146"/>
        <v>0</v>
      </c>
    </row>
    <row r="183" spans="1:16" x14ac:dyDescent="0.3">
      <c r="A183" s="645" t="s">
        <v>209</v>
      </c>
      <c r="B183" s="21" t="s">
        <v>63</v>
      </c>
      <c r="C183" s="11"/>
      <c r="D183" s="156"/>
      <c r="E183" s="15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74"/>
    </row>
    <row r="184" spans="1:16" x14ac:dyDescent="0.3">
      <c r="A184" s="646"/>
      <c r="B184" s="19" t="s">
        <v>73</v>
      </c>
      <c r="C184" s="11"/>
      <c r="D184" s="156"/>
      <c r="E184" s="15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74">
        <f>SUM(D184:O184)</f>
        <v>0</v>
      </c>
    </row>
    <row r="185" spans="1:16" x14ac:dyDescent="0.3">
      <c r="A185" s="646"/>
      <c r="B185" s="19" t="s">
        <v>72</v>
      </c>
      <c r="C185" s="11"/>
      <c r="D185" s="156"/>
      <c r="E185" s="15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74">
        <f>SUM(D185:O185)</f>
        <v>0</v>
      </c>
    </row>
    <row r="186" spans="1:16" x14ac:dyDescent="0.3">
      <c r="A186" s="646"/>
      <c r="B186" s="19" t="s">
        <v>53</v>
      </c>
      <c r="C186" s="11"/>
      <c r="D186" s="156"/>
      <c r="E186" s="15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74">
        <f>SUM(D186:O186)</f>
        <v>0</v>
      </c>
    </row>
    <row r="187" spans="1:16" x14ac:dyDescent="0.3">
      <c r="A187" s="647"/>
      <c r="B187" s="19" t="s">
        <v>52</v>
      </c>
      <c r="C187" s="11"/>
      <c r="D187" s="156"/>
      <c r="E187" s="15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74">
        <f>SUM(D187:O187)</f>
        <v>0</v>
      </c>
    </row>
    <row r="188" spans="1:16" x14ac:dyDescent="0.3">
      <c r="A188" s="645" t="s">
        <v>64</v>
      </c>
      <c r="B188" s="21" t="s">
        <v>63</v>
      </c>
      <c r="C188" s="11"/>
      <c r="D188" s="156"/>
      <c r="E188" s="15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74"/>
    </row>
    <row r="189" spans="1:16" x14ac:dyDescent="0.3">
      <c r="A189" s="646"/>
      <c r="B189" s="20" t="s">
        <v>52</v>
      </c>
      <c r="C189" s="11" t="s">
        <v>57</v>
      </c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74">
        <f>SUM(D189:O189)</f>
        <v>0</v>
      </c>
    </row>
    <row r="190" spans="1:16" x14ac:dyDescent="0.3">
      <c r="A190" s="646"/>
      <c r="B190" s="19" t="s">
        <v>62</v>
      </c>
      <c r="C190" s="11" t="s">
        <v>57</v>
      </c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74">
        <f>SUM(D190:O190)</f>
        <v>0</v>
      </c>
    </row>
    <row r="191" spans="1:16" x14ac:dyDescent="0.3">
      <c r="A191" s="646"/>
      <c r="B191" s="19" t="s">
        <v>61</v>
      </c>
      <c r="C191" s="11" t="s">
        <v>57</v>
      </c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74">
        <f>SUM(D191:O191)</f>
        <v>0</v>
      </c>
    </row>
    <row r="192" spans="1:16" x14ac:dyDescent="0.3">
      <c r="A192" s="647"/>
      <c r="B192" s="19" t="s">
        <v>60</v>
      </c>
      <c r="C192" s="11" t="s">
        <v>57</v>
      </c>
      <c r="D192" s="156"/>
      <c r="E192" s="15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74">
        <f>SUM(D192:O192)</f>
        <v>0</v>
      </c>
    </row>
    <row r="193" spans="1:16" x14ac:dyDescent="0.3">
      <c r="A193" s="84" t="s">
        <v>59</v>
      </c>
      <c r="B193" s="17"/>
      <c r="C193" s="11"/>
      <c r="D193" s="159">
        <f>SUM(D153:D192)</f>
        <v>150</v>
      </c>
      <c r="E193" s="159">
        <f t="shared" ref="E193:P193" si="147">SUM(E153:E192)</f>
        <v>95</v>
      </c>
      <c r="F193" s="159">
        <f t="shared" si="147"/>
        <v>114</v>
      </c>
      <c r="G193" s="159">
        <f t="shared" si="147"/>
        <v>115</v>
      </c>
      <c r="H193" s="159">
        <f t="shared" si="147"/>
        <v>124</v>
      </c>
      <c r="I193" s="159">
        <f t="shared" si="147"/>
        <v>125</v>
      </c>
      <c r="J193" s="159">
        <f t="shared" si="147"/>
        <v>115</v>
      </c>
      <c r="K193" s="159">
        <f t="shared" si="147"/>
        <v>93</v>
      </c>
      <c r="L193" s="159">
        <f t="shared" si="147"/>
        <v>58</v>
      </c>
      <c r="M193" s="159">
        <f t="shared" si="147"/>
        <v>82</v>
      </c>
      <c r="N193" s="159">
        <f t="shared" si="147"/>
        <v>45</v>
      </c>
      <c r="O193" s="159">
        <f t="shared" si="147"/>
        <v>76</v>
      </c>
      <c r="P193" s="160">
        <f t="shared" si="147"/>
        <v>1192</v>
      </c>
    </row>
    <row r="194" spans="1:16" x14ac:dyDescent="0.3">
      <c r="A194" s="651" t="s">
        <v>58</v>
      </c>
      <c r="B194" s="652"/>
      <c r="C194" s="11" t="s">
        <v>57</v>
      </c>
      <c r="D194" s="156">
        <v>2</v>
      </c>
      <c r="E194" s="156">
        <v>2</v>
      </c>
      <c r="F194" s="156">
        <v>1</v>
      </c>
      <c r="G194" s="156">
        <v>1</v>
      </c>
      <c r="H194" s="156">
        <v>1</v>
      </c>
      <c r="I194" s="156">
        <v>1</v>
      </c>
      <c r="J194" s="156">
        <v>1</v>
      </c>
      <c r="K194" s="156">
        <v>1</v>
      </c>
      <c r="L194" s="156">
        <v>1</v>
      </c>
      <c r="M194" s="156">
        <v>1</v>
      </c>
      <c r="N194" s="156">
        <v>2</v>
      </c>
      <c r="O194" s="156">
        <v>2</v>
      </c>
      <c r="P194" s="74">
        <f>SUM(D194:O194)</f>
        <v>16</v>
      </c>
    </row>
    <row r="195" spans="1:16" x14ac:dyDescent="0.3">
      <c r="A195" s="653"/>
      <c r="B195" s="654"/>
      <c r="C195" s="16" t="s">
        <v>55</v>
      </c>
      <c r="D195" s="156">
        <v>720</v>
      </c>
      <c r="E195" s="156">
        <v>480</v>
      </c>
      <c r="F195" s="156">
        <v>360</v>
      </c>
      <c r="G195" s="156">
        <v>360</v>
      </c>
      <c r="H195" s="156">
        <v>744</v>
      </c>
      <c r="I195" s="156">
        <v>720</v>
      </c>
      <c r="J195" s="156">
        <v>744</v>
      </c>
      <c r="K195" s="156">
        <v>720</v>
      </c>
      <c r="L195" s="156">
        <v>744</v>
      </c>
      <c r="M195" s="156">
        <v>72</v>
      </c>
      <c r="N195" s="156">
        <v>552</v>
      </c>
      <c r="O195" s="156">
        <v>648</v>
      </c>
      <c r="P195" s="74">
        <f>SUM(D195:O195)</f>
        <v>6864</v>
      </c>
    </row>
    <row r="196" spans="1:16" x14ac:dyDescent="0.3">
      <c r="A196" s="85" t="s">
        <v>202</v>
      </c>
      <c r="B196" s="86"/>
      <c r="C196" s="16" t="s">
        <v>55</v>
      </c>
      <c r="D196" s="156">
        <v>720</v>
      </c>
      <c r="E196" s="156">
        <v>736</v>
      </c>
      <c r="F196" s="156">
        <v>744</v>
      </c>
      <c r="G196" s="156">
        <v>744</v>
      </c>
      <c r="H196" s="156">
        <v>744</v>
      </c>
      <c r="I196" s="156">
        <v>720</v>
      </c>
      <c r="J196" s="156">
        <v>744</v>
      </c>
      <c r="K196" s="156">
        <v>720</v>
      </c>
      <c r="L196" s="156">
        <v>720</v>
      </c>
      <c r="M196" s="156">
        <v>744</v>
      </c>
      <c r="N196" s="156">
        <v>696</v>
      </c>
      <c r="O196" s="156">
        <v>744</v>
      </c>
      <c r="P196" s="74">
        <f>SUM(D196:O196)/12</f>
        <v>731.33333333333337</v>
      </c>
    </row>
    <row r="197" spans="1:16" x14ac:dyDescent="0.3">
      <c r="A197" s="582" t="s">
        <v>56</v>
      </c>
      <c r="B197" s="583"/>
      <c r="C197" s="16" t="s">
        <v>55</v>
      </c>
      <c r="D197" s="156">
        <v>144</v>
      </c>
      <c r="E197" s="156">
        <v>8</v>
      </c>
      <c r="F197" s="156">
        <v>18</v>
      </c>
      <c r="G197" s="156">
        <v>32</v>
      </c>
      <c r="H197" s="156">
        <v>36</v>
      </c>
      <c r="I197" s="156">
        <v>16</v>
      </c>
      <c r="J197" s="156">
        <v>28</v>
      </c>
      <c r="K197" s="156"/>
      <c r="L197" s="156">
        <v>144</v>
      </c>
      <c r="M197" s="156">
        <v>21</v>
      </c>
      <c r="N197" s="156">
        <v>72</v>
      </c>
      <c r="O197" s="156">
        <v>0</v>
      </c>
      <c r="P197" s="74">
        <f>SUM(D197:O197)</f>
        <v>519</v>
      </c>
    </row>
    <row r="198" spans="1:16" ht="14.4" x14ac:dyDescent="0.3">
      <c r="A198" s="586">
        <v>0</v>
      </c>
      <c r="B198" s="587"/>
      <c r="C198" s="587"/>
      <c r="D198" s="587"/>
      <c r="E198" s="587"/>
      <c r="F198" s="587"/>
      <c r="G198" s="587"/>
      <c r="H198" s="587"/>
      <c r="I198" s="587"/>
      <c r="J198" s="587"/>
      <c r="K198" s="587"/>
      <c r="L198" s="587"/>
      <c r="M198" s="587"/>
      <c r="N198" s="587"/>
      <c r="O198" s="587"/>
      <c r="P198" s="588"/>
    </row>
    <row r="199" spans="1:16" x14ac:dyDescent="0.3">
      <c r="A199" s="651" t="s">
        <v>54</v>
      </c>
      <c r="B199" s="79" t="s">
        <v>53</v>
      </c>
      <c r="C199" s="11" t="s">
        <v>47</v>
      </c>
      <c r="D199" s="4"/>
      <c r="E199" s="4"/>
      <c r="F199" s="4"/>
      <c r="G199" s="4"/>
      <c r="H199" s="4">
        <v>1750</v>
      </c>
      <c r="I199" s="4"/>
      <c r="J199" s="4"/>
      <c r="K199" s="4"/>
      <c r="L199" s="4"/>
      <c r="M199" s="4"/>
      <c r="N199" s="4"/>
      <c r="O199" s="4">
        <v>36</v>
      </c>
      <c r="P199" s="39">
        <f t="shared" ref="P199:P204" si="148">SUM(D199:O199)</f>
        <v>1786</v>
      </c>
    </row>
    <row r="200" spans="1:16" x14ac:dyDescent="0.3">
      <c r="A200" s="655"/>
      <c r="B200" s="79" t="s">
        <v>52</v>
      </c>
      <c r="C200" s="11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39">
        <f t="shared" si="148"/>
        <v>0</v>
      </c>
    </row>
    <row r="201" spans="1:16" x14ac:dyDescent="0.3">
      <c r="A201" s="655"/>
      <c r="B201" s="79" t="s">
        <v>51</v>
      </c>
      <c r="C201" s="11" t="s">
        <v>47</v>
      </c>
      <c r="D201" s="4"/>
      <c r="E201" s="4"/>
      <c r="F201" s="4"/>
      <c r="G201" s="4"/>
      <c r="H201" s="4"/>
      <c r="I201" s="4"/>
      <c r="J201" s="4"/>
      <c r="K201" s="4">
        <v>1590</v>
      </c>
      <c r="L201" s="4"/>
      <c r="M201" s="4"/>
      <c r="N201" s="4"/>
      <c r="O201" s="4">
        <v>30</v>
      </c>
      <c r="P201" s="39">
        <f t="shared" si="148"/>
        <v>1620</v>
      </c>
    </row>
    <row r="202" spans="1:16" x14ac:dyDescent="0.3">
      <c r="A202" s="655"/>
      <c r="B202" s="79" t="s">
        <v>50</v>
      </c>
      <c r="C202" s="11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39">
        <f t="shared" si="148"/>
        <v>0</v>
      </c>
    </row>
    <row r="203" spans="1:16" x14ac:dyDescent="0.3">
      <c r="A203" s="653"/>
      <c r="B203" s="79" t="s">
        <v>49</v>
      </c>
      <c r="C203" s="11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39">
        <f t="shared" si="148"/>
        <v>0</v>
      </c>
    </row>
    <row r="204" spans="1:16" x14ac:dyDescent="0.3">
      <c r="A204" s="83" t="s">
        <v>48</v>
      </c>
      <c r="B204" s="79"/>
      <c r="C204" s="11" t="s">
        <v>47</v>
      </c>
      <c r="D204" s="15">
        <f t="shared" ref="D204:O204" si="149">SUM(D199:D203)</f>
        <v>0</v>
      </c>
      <c r="E204" s="15">
        <f t="shared" si="149"/>
        <v>0</v>
      </c>
      <c r="F204" s="15">
        <f t="shared" si="149"/>
        <v>0</v>
      </c>
      <c r="G204" s="15">
        <f t="shared" si="149"/>
        <v>0</v>
      </c>
      <c r="H204" s="26">
        <f t="shared" si="149"/>
        <v>1750</v>
      </c>
      <c r="I204" s="15">
        <f t="shared" si="149"/>
        <v>0</v>
      </c>
      <c r="J204" s="15">
        <f t="shared" si="149"/>
        <v>0</v>
      </c>
      <c r="K204" s="15">
        <f t="shared" si="149"/>
        <v>1590</v>
      </c>
      <c r="L204" s="15">
        <f t="shared" si="149"/>
        <v>0</v>
      </c>
      <c r="M204" s="15">
        <f t="shared" si="149"/>
        <v>0</v>
      </c>
      <c r="N204" s="15">
        <f t="shared" si="149"/>
        <v>0</v>
      </c>
      <c r="O204" s="15">
        <f t="shared" si="149"/>
        <v>66</v>
      </c>
      <c r="P204" s="111">
        <f t="shared" si="148"/>
        <v>3406</v>
      </c>
    </row>
    <row r="205" spans="1:16" s="2" customFormat="1" ht="14.4" x14ac:dyDescent="0.3">
      <c r="A205" s="586" t="s">
        <v>46</v>
      </c>
      <c r="B205" s="587"/>
      <c r="C205" s="587"/>
      <c r="D205" s="587"/>
      <c r="E205" s="587"/>
      <c r="F205" s="587"/>
      <c r="G205" s="587"/>
      <c r="H205" s="587"/>
      <c r="I205" s="587"/>
      <c r="J205" s="587"/>
      <c r="K205" s="587"/>
      <c r="L205" s="587"/>
      <c r="M205" s="587"/>
      <c r="N205" s="587"/>
      <c r="O205" s="587"/>
      <c r="P205" s="588"/>
    </row>
    <row r="206" spans="1:16" x14ac:dyDescent="0.3">
      <c r="A206" s="582" t="s">
        <v>43</v>
      </c>
      <c r="B206" s="583"/>
      <c r="C206" s="11" t="s">
        <v>31</v>
      </c>
      <c r="D206" s="13"/>
      <c r="E206" s="13">
        <v>215164</v>
      </c>
      <c r="F206" s="13">
        <v>95208</v>
      </c>
      <c r="G206" s="13">
        <v>21759</v>
      </c>
      <c r="H206" s="13">
        <v>34500</v>
      </c>
      <c r="I206" s="13">
        <v>0</v>
      </c>
      <c r="J206" s="13">
        <v>7500</v>
      </c>
      <c r="K206" s="13">
        <v>0</v>
      </c>
      <c r="L206" s="13"/>
      <c r="M206" s="13">
        <v>63800</v>
      </c>
      <c r="N206" s="13">
        <v>29700</v>
      </c>
      <c r="O206" s="13">
        <v>40000</v>
      </c>
      <c r="P206" s="39">
        <f>SUM(D206:O206)</f>
        <v>507631</v>
      </c>
    </row>
    <row r="207" spans="1:16" x14ac:dyDescent="0.3">
      <c r="A207" s="582" t="s">
        <v>42</v>
      </c>
      <c r="B207" s="583"/>
      <c r="C207" s="11" t="s">
        <v>31</v>
      </c>
      <c r="D207" s="13"/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39">
        <f>SUM(D207:O207)</f>
        <v>0</v>
      </c>
    </row>
    <row r="208" spans="1:16" x14ac:dyDescent="0.3">
      <c r="A208" s="589" t="s">
        <v>41</v>
      </c>
      <c r="B208" s="590"/>
      <c r="C208" s="11" t="s">
        <v>31</v>
      </c>
      <c r="D208" s="13"/>
      <c r="E208" s="13">
        <v>8800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39">
        <f>SUM(D208:O208)</f>
        <v>8800</v>
      </c>
    </row>
    <row r="209" spans="1:16" x14ac:dyDescent="0.3">
      <c r="A209" s="582" t="s">
        <v>40</v>
      </c>
      <c r="B209" s="583"/>
      <c r="C209" s="11" t="s">
        <v>31</v>
      </c>
      <c r="D209" s="13"/>
      <c r="E209" s="13">
        <v>40000</v>
      </c>
      <c r="F209" s="13">
        <v>0</v>
      </c>
      <c r="G209" s="13">
        <v>0</v>
      </c>
      <c r="H209" s="13">
        <v>126520</v>
      </c>
      <c r="I209" s="13">
        <v>0</v>
      </c>
      <c r="J209" s="13">
        <v>0</v>
      </c>
      <c r="K209" s="13">
        <v>0</v>
      </c>
      <c r="L209" s="13"/>
      <c r="M209" s="13">
        <v>242404</v>
      </c>
      <c r="N209" s="13">
        <v>0</v>
      </c>
      <c r="O209" s="13">
        <v>0</v>
      </c>
      <c r="P209" s="39">
        <f>SUM(D209:O209)</f>
        <v>408924</v>
      </c>
    </row>
    <row r="210" spans="1:16" x14ac:dyDescent="0.3">
      <c r="A210" s="649" t="s">
        <v>45</v>
      </c>
      <c r="B210" s="650"/>
      <c r="C210" s="11" t="s">
        <v>31</v>
      </c>
      <c r="D210" s="10">
        <f t="shared" ref="D210:O210" si="150">SUM(D206:D209)</f>
        <v>0</v>
      </c>
      <c r="E210" s="10">
        <f t="shared" si="150"/>
        <v>263964</v>
      </c>
      <c r="F210" s="10">
        <f t="shared" si="150"/>
        <v>95208</v>
      </c>
      <c r="G210" s="10">
        <f t="shared" si="150"/>
        <v>21759</v>
      </c>
      <c r="H210" s="10">
        <f t="shared" si="150"/>
        <v>161020</v>
      </c>
      <c r="I210" s="10">
        <f t="shared" si="150"/>
        <v>0</v>
      </c>
      <c r="J210" s="10">
        <f>SUM(J206:J209)</f>
        <v>7500</v>
      </c>
      <c r="K210" s="10">
        <f t="shared" si="150"/>
        <v>0</v>
      </c>
      <c r="L210" s="10">
        <f t="shared" si="150"/>
        <v>0</v>
      </c>
      <c r="M210" s="10">
        <f t="shared" si="150"/>
        <v>306204</v>
      </c>
      <c r="N210" s="10">
        <f t="shared" si="150"/>
        <v>29700</v>
      </c>
      <c r="O210" s="10">
        <f t="shared" si="150"/>
        <v>40000</v>
      </c>
      <c r="P210" s="39">
        <f>SUM(D210:O210)</f>
        <v>925355</v>
      </c>
    </row>
    <row r="211" spans="1:16" s="2" customFormat="1" ht="14.4" x14ac:dyDescent="0.3">
      <c r="A211" s="586" t="s">
        <v>44</v>
      </c>
      <c r="B211" s="587"/>
      <c r="C211" s="587"/>
      <c r="D211" s="587"/>
      <c r="E211" s="587"/>
      <c r="F211" s="587"/>
      <c r="G211" s="587"/>
      <c r="H211" s="587"/>
      <c r="I211" s="587"/>
      <c r="J211" s="587"/>
      <c r="K211" s="587"/>
      <c r="L211" s="587"/>
      <c r="M211" s="587"/>
      <c r="N211" s="587"/>
      <c r="O211" s="587"/>
      <c r="P211" s="588"/>
    </row>
    <row r="212" spans="1:16" x14ac:dyDescent="0.3">
      <c r="A212" s="582" t="s">
        <v>43</v>
      </c>
      <c r="B212" s="583"/>
      <c r="C212" s="11" t="s">
        <v>31</v>
      </c>
      <c r="D212" s="13"/>
      <c r="E212" s="13">
        <v>1067582.6399999999</v>
      </c>
      <c r="F212" s="13">
        <v>2224623.7999999998</v>
      </c>
      <c r="G212" s="13">
        <v>2803587.9</v>
      </c>
      <c r="H212" s="13">
        <v>4313275.63</v>
      </c>
      <c r="I212" s="13">
        <v>4229163.59</v>
      </c>
      <c r="J212" s="13">
        <v>4075801</v>
      </c>
      <c r="K212" s="13">
        <v>3501888</v>
      </c>
      <c r="L212" s="13">
        <v>3294130</v>
      </c>
      <c r="M212" s="13">
        <v>2697917</v>
      </c>
      <c r="N212" s="13">
        <v>2810330.28</v>
      </c>
      <c r="O212" s="13">
        <v>2890185.37</v>
      </c>
      <c r="P212" s="39">
        <f>SUM(D212:O212)</f>
        <v>33908485.210000001</v>
      </c>
    </row>
    <row r="213" spans="1:16" x14ac:dyDescent="0.3">
      <c r="A213" s="582" t="s">
        <v>42</v>
      </c>
      <c r="B213" s="583"/>
      <c r="C213" s="11" t="s">
        <v>31</v>
      </c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39">
        <f>SUM(D213:O213)</f>
        <v>0</v>
      </c>
    </row>
    <row r="214" spans="1:16" x14ac:dyDescent="0.3">
      <c r="A214" s="589" t="s">
        <v>41</v>
      </c>
      <c r="B214" s="590"/>
      <c r="C214" s="11" t="s">
        <v>31</v>
      </c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39">
        <f>SUM(D214:O214)</f>
        <v>0</v>
      </c>
    </row>
    <row r="215" spans="1:16" x14ac:dyDescent="0.3">
      <c r="A215" s="582" t="s">
        <v>40</v>
      </c>
      <c r="B215" s="583"/>
      <c r="C215" s="11" t="s">
        <v>31</v>
      </c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39">
        <f>SUM(D215:O215)</f>
        <v>0</v>
      </c>
    </row>
    <row r="216" spans="1:16" x14ac:dyDescent="0.3">
      <c r="A216" s="649" t="s">
        <v>39</v>
      </c>
      <c r="B216" s="650"/>
      <c r="C216" s="11" t="s">
        <v>31</v>
      </c>
      <c r="D216" s="10">
        <f t="shared" ref="D216:O216" si="151">SUM(D212:D215)</f>
        <v>0</v>
      </c>
      <c r="E216" s="10">
        <f t="shared" si="151"/>
        <v>1067582.6399999999</v>
      </c>
      <c r="F216" s="10">
        <f t="shared" si="151"/>
        <v>2224623.7999999998</v>
      </c>
      <c r="G216" s="10">
        <f t="shared" si="151"/>
        <v>2803587.9</v>
      </c>
      <c r="H216" s="10">
        <f t="shared" si="151"/>
        <v>4313275.63</v>
      </c>
      <c r="I216" s="10">
        <f t="shared" si="151"/>
        <v>4229163.59</v>
      </c>
      <c r="J216" s="10">
        <f t="shared" si="151"/>
        <v>4075801</v>
      </c>
      <c r="K216" s="10">
        <f t="shared" si="151"/>
        <v>3501888</v>
      </c>
      <c r="L216" s="10">
        <f t="shared" si="151"/>
        <v>3294130</v>
      </c>
      <c r="M216" s="10">
        <f t="shared" si="151"/>
        <v>2697917</v>
      </c>
      <c r="N216" s="10">
        <f t="shared" si="151"/>
        <v>2810330.28</v>
      </c>
      <c r="O216" s="10">
        <f t="shared" si="151"/>
        <v>2890185.37</v>
      </c>
      <c r="P216" s="39">
        <f>SUM(D216:O216)</f>
        <v>33908485.210000001</v>
      </c>
    </row>
    <row r="217" spans="1:16" s="2" customFormat="1" x14ac:dyDescent="0.3">
      <c r="A217" s="76" t="s">
        <v>38</v>
      </c>
      <c r="B217" s="77"/>
      <c r="C217" s="11" t="s">
        <v>31</v>
      </c>
      <c r="D217" s="10">
        <f>D210+D216</f>
        <v>0</v>
      </c>
      <c r="E217" s="10">
        <f t="shared" ref="E217:P217" si="152">E210+E216</f>
        <v>1331546.6399999999</v>
      </c>
      <c r="F217" s="10">
        <f t="shared" si="152"/>
        <v>2319831.7999999998</v>
      </c>
      <c r="G217" s="10">
        <f t="shared" si="152"/>
        <v>2825346.9</v>
      </c>
      <c r="H217" s="10">
        <f t="shared" si="152"/>
        <v>4474295.63</v>
      </c>
      <c r="I217" s="10">
        <f t="shared" si="152"/>
        <v>4229163.59</v>
      </c>
      <c r="J217" s="10">
        <f t="shared" si="152"/>
        <v>4083301</v>
      </c>
      <c r="K217" s="10">
        <f t="shared" si="152"/>
        <v>3501888</v>
      </c>
      <c r="L217" s="10">
        <f t="shared" si="152"/>
        <v>3294130</v>
      </c>
      <c r="M217" s="10">
        <f t="shared" si="152"/>
        <v>3004121</v>
      </c>
      <c r="N217" s="10">
        <f t="shared" si="152"/>
        <v>2840030.28</v>
      </c>
      <c r="O217" s="10">
        <f t="shared" si="152"/>
        <v>2930185.37</v>
      </c>
      <c r="P217" s="40">
        <f t="shared" si="152"/>
        <v>34833840.210000001</v>
      </c>
    </row>
    <row r="218" spans="1:16" s="2" customFormat="1" ht="14.4" x14ac:dyDescent="0.3">
      <c r="A218" s="586" t="s">
        <v>37</v>
      </c>
      <c r="B218" s="587"/>
      <c r="C218" s="587"/>
      <c r="D218" s="587"/>
      <c r="E218" s="587"/>
      <c r="F218" s="587"/>
      <c r="G218" s="587"/>
      <c r="H218" s="587"/>
      <c r="I218" s="587"/>
      <c r="J218" s="587"/>
      <c r="K218" s="587"/>
      <c r="L218" s="587"/>
      <c r="M218" s="587"/>
      <c r="N218" s="587"/>
      <c r="O218" s="587"/>
      <c r="P218" s="588"/>
    </row>
    <row r="219" spans="1:16" x14ac:dyDescent="0.3">
      <c r="A219" s="582" t="s">
        <v>35</v>
      </c>
      <c r="B219" s="583"/>
      <c r="C219" s="11" t="s">
        <v>31</v>
      </c>
      <c r="D219" s="13"/>
      <c r="E219" s="13">
        <v>435176</v>
      </c>
      <c r="F219" s="13">
        <v>6873</v>
      </c>
      <c r="G219" s="13">
        <v>3037</v>
      </c>
      <c r="H219" s="13">
        <v>3037</v>
      </c>
      <c r="I219" s="13">
        <v>3836</v>
      </c>
      <c r="J219" s="13">
        <v>29464</v>
      </c>
      <c r="K219" s="13">
        <v>48828</v>
      </c>
      <c r="L219" s="13">
        <v>81373</v>
      </c>
      <c r="M219" s="13">
        <v>69966</v>
      </c>
      <c r="N219" s="13">
        <v>58258</v>
      </c>
      <c r="O219" s="13">
        <v>67328</v>
      </c>
      <c r="P219" s="39">
        <f>SUM(D219:O219)</f>
        <v>807176</v>
      </c>
    </row>
    <row r="220" spans="1:16" x14ac:dyDescent="0.3">
      <c r="A220" s="582" t="s">
        <v>34</v>
      </c>
      <c r="B220" s="583"/>
      <c r="C220" s="11" t="s">
        <v>31</v>
      </c>
      <c r="D220" s="13"/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  <c r="P220" s="39">
        <f>SUM(D220:O220)</f>
        <v>0</v>
      </c>
    </row>
    <row r="221" spans="1:16" x14ac:dyDescent="0.3">
      <c r="A221" s="582" t="s">
        <v>33</v>
      </c>
      <c r="B221" s="583"/>
      <c r="C221" s="11" t="s">
        <v>31</v>
      </c>
      <c r="D221" s="13"/>
      <c r="E221" s="13">
        <v>30200</v>
      </c>
      <c r="F221" s="13">
        <v>33106</v>
      </c>
      <c r="G221" s="13">
        <v>7646</v>
      </c>
      <c r="H221" s="13">
        <v>17327</v>
      </c>
      <c r="I221" s="13">
        <v>51566</v>
      </c>
      <c r="J221" s="13">
        <v>12487</v>
      </c>
      <c r="K221" s="13">
        <v>10067</v>
      </c>
      <c r="L221" s="13">
        <v>10067</v>
      </c>
      <c r="M221" s="13">
        <v>12487</v>
      </c>
      <c r="N221" s="13">
        <v>10067</v>
      </c>
      <c r="O221" s="13">
        <v>12498</v>
      </c>
      <c r="P221" s="39">
        <f>SUM(D221:O221)</f>
        <v>207518</v>
      </c>
    </row>
    <row r="222" spans="1:16" x14ac:dyDescent="0.3">
      <c r="A222" s="582" t="s">
        <v>32</v>
      </c>
      <c r="B222" s="583"/>
      <c r="C222" s="11" t="s">
        <v>31</v>
      </c>
      <c r="D222" s="13"/>
      <c r="E222" s="13">
        <v>7646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39">
        <f>SUM(D222:O222)</f>
        <v>7646</v>
      </c>
    </row>
    <row r="223" spans="1:16" x14ac:dyDescent="0.3">
      <c r="A223" s="649" t="s">
        <v>36</v>
      </c>
      <c r="B223" s="650"/>
      <c r="C223" s="11" t="s">
        <v>31</v>
      </c>
      <c r="D223" s="12">
        <f t="shared" ref="D223:O223" si="153">SUM(D219:D222)</f>
        <v>0</v>
      </c>
      <c r="E223" s="10">
        <f t="shared" si="153"/>
        <v>473022</v>
      </c>
      <c r="F223" s="10">
        <f t="shared" si="153"/>
        <v>39979</v>
      </c>
      <c r="G223" s="10">
        <f t="shared" si="153"/>
        <v>10683</v>
      </c>
      <c r="H223" s="10">
        <f t="shared" si="153"/>
        <v>20364</v>
      </c>
      <c r="I223" s="10">
        <f t="shared" si="153"/>
        <v>55402</v>
      </c>
      <c r="J223" s="14">
        <f t="shared" si="153"/>
        <v>41951</v>
      </c>
      <c r="K223" s="14">
        <f t="shared" si="153"/>
        <v>58895</v>
      </c>
      <c r="L223" s="14">
        <f t="shared" si="153"/>
        <v>91440</v>
      </c>
      <c r="M223" s="14">
        <f t="shared" si="153"/>
        <v>82453</v>
      </c>
      <c r="N223" s="14">
        <f t="shared" si="153"/>
        <v>68325</v>
      </c>
      <c r="O223" s="14">
        <f t="shared" si="153"/>
        <v>79826</v>
      </c>
      <c r="P223" s="39">
        <f>SUM(D223:O223)</f>
        <v>1022340</v>
      </c>
    </row>
    <row r="224" spans="1:16" ht="14.4" x14ac:dyDescent="0.3">
      <c r="A224" s="586" t="s">
        <v>211</v>
      </c>
      <c r="B224" s="587"/>
      <c r="C224" s="587"/>
      <c r="D224" s="587"/>
      <c r="E224" s="587"/>
      <c r="F224" s="587"/>
      <c r="G224" s="587"/>
      <c r="H224" s="587"/>
      <c r="I224" s="587"/>
      <c r="J224" s="587"/>
      <c r="K224" s="587"/>
      <c r="L224" s="587"/>
      <c r="M224" s="587"/>
      <c r="N224" s="587"/>
      <c r="O224" s="587"/>
      <c r="P224" s="588"/>
    </row>
    <row r="225" spans="1:16" x14ac:dyDescent="0.3">
      <c r="A225" s="582" t="s">
        <v>35</v>
      </c>
      <c r="B225" s="583"/>
      <c r="C225" s="11" t="s">
        <v>31</v>
      </c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39">
        <f t="shared" ref="P225:P230" si="154">SUM(D225:O225)</f>
        <v>0</v>
      </c>
    </row>
    <row r="226" spans="1:16" x14ac:dyDescent="0.3">
      <c r="A226" s="582" t="s">
        <v>34</v>
      </c>
      <c r="B226" s="583"/>
      <c r="C226" s="11" t="s">
        <v>31</v>
      </c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39">
        <f t="shared" si="154"/>
        <v>0</v>
      </c>
    </row>
    <row r="227" spans="1:16" x14ac:dyDescent="0.3">
      <c r="A227" s="582" t="s">
        <v>33</v>
      </c>
      <c r="B227" s="583"/>
      <c r="C227" s="11" t="s">
        <v>31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39">
        <f t="shared" si="154"/>
        <v>0</v>
      </c>
    </row>
    <row r="228" spans="1:16" x14ac:dyDescent="0.3">
      <c r="A228" s="582" t="s">
        <v>32</v>
      </c>
      <c r="B228" s="583"/>
      <c r="C228" s="11" t="s">
        <v>31</v>
      </c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39">
        <f t="shared" si="154"/>
        <v>0</v>
      </c>
    </row>
    <row r="229" spans="1:16" x14ac:dyDescent="0.3">
      <c r="A229" s="649" t="s">
        <v>212</v>
      </c>
      <c r="B229" s="650"/>
      <c r="C229" s="11" t="s">
        <v>31</v>
      </c>
      <c r="D229" s="12">
        <f t="shared" ref="D229:O229" si="155">SUM(D225:D228)</f>
        <v>0</v>
      </c>
      <c r="E229" s="10">
        <f t="shared" si="155"/>
        <v>0</v>
      </c>
      <c r="F229" s="10">
        <f t="shared" si="155"/>
        <v>0</v>
      </c>
      <c r="G229" s="10">
        <f t="shared" si="155"/>
        <v>0</v>
      </c>
      <c r="H229" s="10">
        <f t="shared" si="155"/>
        <v>0</v>
      </c>
      <c r="I229" s="10">
        <f t="shared" si="155"/>
        <v>0</v>
      </c>
      <c r="J229" s="14">
        <f t="shared" si="155"/>
        <v>0</v>
      </c>
      <c r="K229" s="14">
        <f t="shared" si="155"/>
        <v>0</v>
      </c>
      <c r="L229" s="14">
        <f t="shared" si="155"/>
        <v>0</v>
      </c>
      <c r="M229" s="14">
        <f t="shared" si="155"/>
        <v>0</v>
      </c>
      <c r="N229" s="14">
        <f t="shared" si="155"/>
        <v>0</v>
      </c>
      <c r="O229" s="14">
        <f t="shared" si="155"/>
        <v>0</v>
      </c>
      <c r="P229" s="39">
        <f t="shared" si="154"/>
        <v>0</v>
      </c>
    </row>
    <row r="230" spans="1:16" x14ac:dyDescent="0.3">
      <c r="A230" s="76" t="s">
        <v>213</v>
      </c>
      <c r="B230" s="120"/>
      <c r="C230" s="11" t="s">
        <v>31</v>
      </c>
      <c r="D230" s="12">
        <f>D223+D229</f>
        <v>0</v>
      </c>
      <c r="E230" s="12">
        <f t="shared" ref="E230:O230" si="156">E223+E229</f>
        <v>473022</v>
      </c>
      <c r="F230" s="12">
        <f t="shared" si="156"/>
        <v>39979</v>
      </c>
      <c r="G230" s="12">
        <f t="shared" si="156"/>
        <v>10683</v>
      </c>
      <c r="H230" s="12">
        <f t="shared" si="156"/>
        <v>20364</v>
      </c>
      <c r="I230" s="12">
        <f t="shared" si="156"/>
        <v>55402</v>
      </c>
      <c r="J230" s="12">
        <f t="shared" si="156"/>
        <v>41951</v>
      </c>
      <c r="K230" s="12">
        <f t="shared" si="156"/>
        <v>58895</v>
      </c>
      <c r="L230" s="12">
        <f t="shared" si="156"/>
        <v>91440</v>
      </c>
      <c r="M230" s="12">
        <f t="shared" si="156"/>
        <v>82453</v>
      </c>
      <c r="N230" s="12">
        <f t="shared" si="156"/>
        <v>68325</v>
      </c>
      <c r="O230" s="12">
        <f t="shared" si="156"/>
        <v>79826</v>
      </c>
      <c r="P230" s="39">
        <f t="shared" si="154"/>
        <v>1022340</v>
      </c>
    </row>
    <row r="231" spans="1:16" ht="14.4" x14ac:dyDescent="0.3">
      <c r="A231" s="586" t="s">
        <v>30</v>
      </c>
      <c r="B231" s="587"/>
      <c r="C231" s="587"/>
      <c r="D231" s="587"/>
      <c r="E231" s="587"/>
      <c r="F231" s="587"/>
      <c r="G231" s="587"/>
      <c r="H231" s="587"/>
      <c r="I231" s="587"/>
      <c r="J231" s="587"/>
      <c r="K231" s="587"/>
      <c r="L231" s="587"/>
      <c r="M231" s="587"/>
      <c r="N231" s="587"/>
      <c r="O231" s="587"/>
      <c r="P231" s="588"/>
    </row>
    <row r="232" spans="1:16" x14ac:dyDescent="0.3">
      <c r="A232" s="582" t="s">
        <v>29</v>
      </c>
      <c r="B232" s="583"/>
      <c r="C232" s="11" t="s">
        <v>18</v>
      </c>
      <c r="D232" s="13"/>
      <c r="E232" s="13">
        <v>48894</v>
      </c>
      <c r="F232" s="13">
        <v>991</v>
      </c>
      <c r="G232" s="13">
        <v>495</v>
      </c>
      <c r="H232" s="13">
        <v>495</v>
      </c>
      <c r="I232" s="13">
        <v>495</v>
      </c>
      <c r="J232" s="13">
        <v>1486</v>
      </c>
      <c r="K232" s="13">
        <v>1982</v>
      </c>
      <c r="L232" s="13">
        <v>3468</v>
      </c>
      <c r="M232" s="13">
        <v>3468</v>
      </c>
      <c r="N232" s="576">
        <v>6251</v>
      </c>
      <c r="O232" s="13">
        <v>3963</v>
      </c>
      <c r="P232" s="39">
        <f>SUM(D232:O232)</f>
        <v>71988</v>
      </c>
    </row>
    <row r="233" spans="1:16" x14ac:dyDescent="0.3">
      <c r="A233" s="582" t="s">
        <v>28</v>
      </c>
      <c r="B233" s="583"/>
      <c r="C233" s="11" t="s">
        <v>18</v>
      </c>
      <c r="D233" s="13"/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576">
        <v>0</v>
      </c>
      <c r="O233" s="13">
        <v>0</v>
      </c>
      <c r="P233" s="39">
        <f>SUM(D233:O233)</f>
        <v>0</v>
      </c>
    </row>
    <row r="234" spans="1:16" x14ac:dyDescent="0.3">
      <c r="A234" s="582" t="s">
        <v>27</v>
      </c>
      <c r="B234" s="583"/>
      <c r="C234" s="11" t="s">
        <v>18</v>
      </c>
      <c r="D234" s="13"/>
      <c r="E234" s="13">
        <v>9255</v>
      </c>
      <c r="F234" s="13">
        <v>3085</v>
      </c>
      <c r="G234" s="13">
        <v>3085</v>
      </c>
      <c r="H234" s="13">
        <v>3085</v>
      </c>
      <c r="I234" s="13">
        <v>3085</v>
      </c>
      <c r="J234" s="13">
        <v>3085</v>
      </c>
      <c r="K234" s="13">
        <v>3085</v>
      </c>
      <c r="L234" s="13">
        <v>3085</v>
      </c>
      <c r="M234" s="13">
        <v>3085</v>
      </c>
      <c r="N234" s="576">
        <v>893</v>
      </c>
      <c r="O234" s="13">
        <v>3085</v>
      </c>
      <c r="P234" s="39">
        <f>SUM(D234:O234)</f>
        <v>37913</v>
      </c>
    </row>
    <row r="235" spans="1:16" x14ac:dyDescent="0.3">
      <c r="A235" s="582" t="s">
        <v>26</v>
      </c>
      <c r="B235" s="583"/>
      <c r="C235" s="11" t="s">
        <v>18</v>
      </c>
      <c r="D235" s="13"/>
      <c r="E235" s="13">
        <v>4216</v>
      </c>
      <c r="F235" s="13">
        <v>4075.91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576">
        <v>0</v>
      </c>
      <c r="O235" s="13">
        <v>0</v>
      </c>
      <c r="P235" s="39">
        <f>SUM(D235:O235)</f>
        <v>8291.91</v>
      </c>
    </row>
    <row r="236" spans="1:16" x14ac:dyDescent="0.3">
      <c r="A236" s="649" t="s">
        <v>25</v>
      </c>
      <c r="B236" s="650"/>
      <c r="C236" s="11" t="s">
        <v>18</v>
      </c>
      <c r="D236" s="12">
        <f t="shared" ref="D236:O236" si="157">SUM(D232:D235)</f>
        <v>0</v>
      </c>
      <c r="E236" s="12">
        <f t="shared" si="157"/>
        <v>62365</v>
      </c>
      <c r="F236" s="12">
        <f t="shared" si="157"/>
        <v>8151.91</v>
      </c>
      <c r="G236" s="12">
        <f t="shared" si="157"/>
        <v>3580</v>
      </c>
      <c r="H236" s="12">
        <f t="shared" si="157"/>
        <v>3580</v>
      </c>
      <c r="I236" s="12">
        <f t="shared" si="157"/>
        <v>3580</v>
      </c>
      <c r="J236" s="12">
        <f t="shared" si="157"/>
        <v>4571</v>
      </c>
      <c r="K236" s="12">
        <f t="shared" si="157"/>
        <v>5067</v>
      </c>
      <c r="L236" s="12">
        <f t="shared" si="157"/>
        <v>6553</v>
      </c>
      <c r="M236" s="12">
        <f t="shared" si="157"/>
        <v>6553</v>
      </c>
      <c r="N236" s="12">
        <f t="shared" si="157"/>
        <v>7144</v>
      </c>
      <c r="O236" s="12">
        <f t="shared" si="157"/>
        <v>7048</v>
      </c>
      <c r="P236" s="40">
        <f t="shared" ref="P236" si="158">SUM(P232:P235)</f>
        <v>118192.91</v>
      </c>
    </row>
    <row r="237" spans="1:16" ht="14.4" x14ac:dyDescent="0.3">
      <c r="A237" s="586" t="s">
        <v>24</v>
      </c>
      <c r="B237" s="587"/>
      <c r="C237" s="587"/>
      <c r="D237" s="587"/>
      <c r="E237" s="587"/>
      <c r="F237" s="587"/>
      <c r="G237" s="587"/>
      <c r="H237" s="587"/>
      <c r="I237" s="587"/>
      <c r="J237" s="587"/>
      <c r="K237" s="587"/>
      <c r="L237" s="587"/>
      <c r="M237" s="587"/>
      <c r="N237" s="587"/>
      <c r="O237" s="587"/>
      <c r="P237" s="588"/>
    </row>
    <row r="238" spans="1:16" x14ac:dyDescent="0.3">
      <c r="A238" s="582" t="s">
        <v>23</v>
      </c>
      <c r="B238" s="583"/>
      <c r="C238" s="11" t="s">
        <v>18</v>
      </c>
      <c r="D238" s="13"/>
      <c r="E238" s="13">
        <v>88407</v>
      </c>
      <c r="F238" s="13">
        <v>1786</v>
      </c>
      <c r="G238" s="13">
        <v>893</v>
      </c>
      <c r="H238" s="13">
        <v>893</v>
      </c>
      <c r="I238" s="13">
        <v>893</v>
      </c>
      <c r="J238" s="13">
        <v>2679</v>
      </c>
      <c r="K238" s="13">
        <v>3572</v>
      </c>
      <c r="L238" s="13">
        <v>6251</v>
      </c>
      <c r="M238" s="13">
        <v>6251</v>
      </c>
      <c r="N238" s="13">
        <v>6251</v>
      </c>
      <c r="O238" s="13">
        <v>7144</v>
      </c>
      <c r="P238" s="39">
        <f>SUM(D238:O238)</f>
        <v>125020</v>
      </c>
    </row>
    <row r="239" spans="1:16" x14ac:dyDescent="0.3">
      <c r="A239" s="582" t="s">
        <v>22</v>
      </c>
      <c r="B239" s="583"/>
      <c r="C239" s="11" t="s">
        <v>18</v>
      </c>
      <c r="D239" s="15"/>
      <c r="E239" s="15">
        <v>0</v>
      </c>
      <c r="F239" s="15">
        <v>0</v>
      </c>
      <c r="G239" s="15">
        <v>0</v>
      </c>
      <c r="H239" s="15">
        <v>0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39">
        <f>SUM(D239:O239)</f>
        <v>0</v>
      </c>
    </row>
    <row r="240" spans="1:16" x14ac:dyDescent="0.3">
      <c r="A240" s="582" t="s">
        <v>21</v>
      </c>
      <c r="B240" s="583"/>
      <c r="C240" s="11" t="s">
        <v>18</v>
      </c>
      <c r="D240" s="15"/>
      <c r="E240" s="15">
        <v>2679</v>
      </c>
      <c r="F240" s="15">
        <v>893</v>
      </c>
      <c r="G240" s="15">
        <v>893</v>
      </c>
      <c r="H240" s="15">
        <v>893</v>
      </c>
      <c r="I240" s="15">
        <v>893</v>
      </c>
      <c r="J240" s="15">
        <v>893</v>
      </c>
      <c r="K240" s="15">
        <v>893</v>
      </c>
      <c r="L240" s="15">
        <v>893</v>
      </c>
      <c r="M240" s="15">
        <v>893</v>
      </c>
      <c r="N240" s="15">
        <v>893</v>
      </c>
      <c r="O240" s="15">
        <v>893</v>
      </c>
      <c r="P240" s="39">
        <f>SUM(D240:O240)</f>
        <v>11609</v>
      </c>
    </row>
    <row r="241" spans="1:16" x14ac:dyDescent="0.3">
      <c r="A241" s="582" t="s">
        <v>20</v>
      </c>
      <c r="B241" s="583"/>
      <c r="C241" s="11" t="s">
        <v>18</v>
      </c>
      <c r="D241" s="15"/>
      <c r="E241" s="15">
        <v>893</v>
      </c>
      <c r="F241" s="15">
        <v>0</v>
      </c>
      <c r="G241" s="15">
        <v>0</v>
      </c>
      <c r="H241" s="15">
        <v>0</v>
      </c>
      <c r="I241" s="15">
        <v>0</v>
      </c>
      <c r="J241" s="15">
        <v>0</v>
      </c>
      <c r="K241" s="15">
        <v>0</v>
      </c>
      <c r="L241" s="15">
        <v>0</v>
      </c>
      <c r="M241" s="15">
        <v>0</v>
      </c>
      <c r="N241" s="15">
        <v>0</v>
      </c>
      <c r="O241" s="15">
        <v>0</v>
      </c>
      <c r="P241" s="39">
        <f>SUM(D241:O241)</f>
        <v>893</v>
      </c>
    </row>
    <row r="242" spans="1:16" x14ac:dyDescent="0.3">
      <c r="A242" s="649" t="s">
        <v>19</v>
      </c>
      <c r="B242" s="650"/>
      <c r="C242" s="11" t="s">
        <v>18</v>
      </c>
      <c r="D242" s="12">
        <f t="shared" ref="D242:P242" si="159">SUM(D238:D241)</f>
        <v>0</v>
      </c>
      <c r="E242" s="12">
        <f t="shared" si="159"/>
        <v>91979</v>
      </c>
      <c r="F242" s="12">
        <f t="shared" si="159"/>
        <v>2679</v>
      </c>
      <c r="G242" s="12">
        <f t="shared" si="159"/>
        <v>1786</v>
      </c>
      <c r="H242" s="12">
        <f t="shared" si="159"/>
        <v>1786</v>
      </c>
      <c r="I242" s="12">
        <f t="shared" si="159"/>
        <v>1786</v>
      </c>
      <c r="J242" s="12">
        <f t="shared" si="159"/>
        <v>3572</v>
      </c>
      <c r="K242" s="12">
        <f t="shared" si="159"/>
        <v>4465</v>
      </c>
      <c r="L242" s="12">
        <f t="shared" si="159"/>
        <v>7144</v>
      </c>
      <c r="M242" s="12">
        <f t="shared" si="159"/>
        <v>7144</v>
      </c>
      <c r="N242" s="12">
        <f t="shared" si="159"/>
        <v>7144</v>
      </c>
      <c r="O242" s="12">
        <f t="shared" si="159"/>
        <v>8037</v>
      </c>
      <c r="P242" s="40">
        <f t="shared" si="159"/>
        <v>137522</v>
      </c>
    </row>
    <row r="243" spans="1:16" x14ac:dyDescent="0.3">
      <c r="A243" s="649" t="s">
        <v>214</v>
      </c>
      <c r="B243" s="650"/>
      <c r="C243" s="11" t="s">
        <v>18</v>
      </c>
      <c r="D243" s="10">
        <f>D230+D236+D242</f>
        <v>0</v>
      </c>
      <c r="E243" s="10">
        <f t="shared" ref="E243:O243" si="160">E230+E236+E242</f>
        <v>627366</v>
      </c>
      <c r="F243" s="10">
        <f t="shared" si="160"/>
        <v>50809.91</v>
      </c>
      <c r="G243" s="10">
        <f t="shared" si="160"/>
        <v>16049</v>
      </c>
      <c r="H243" s="10">
        <f t="shared" si="160"/>
        <v>25730</v>
      </c>
      <c r="I243" s="10">
        <f t="shared" si="160"/>
        <v>60768</v>
      </c>
      <c r="J243" s="10">
        <f t="shared" si="160"/>
        <v>50094</v>
      </c>
      <c r="K243" s="10">
        <f t="shared" si="160"/>
        <v>68427</v>
      </c>
      <c r="L243" s="10">
        <f t="shared" si="160"/>
        <v>105137</v>
      </c>
      <c r="M243" s="10">
        <f t="shared" si="160"/>
        <v>96150</v>
      </c>
      <c r="N243" s="10">
        <f t="shared" si="160"/>
        <v>82613</v>
      </c>
      <c r="O243" s="10">
        <f t="shared" si="160"/>
        <v>94911</v>
      </c>
      <c r="P243" s="40">
        <f t="shared" ref="P243" si="161">P216+P223+P236+P242</f>
        <v>35186540.119999997</v>
      </c>
    </row>
    <row r="244" spans="1:16" ht="14.4" x14ac:dyDescent="0.3">
      <c r="A244" s="586" t="s">
        <v>204</v>
      </c>
      <c r="B244" s="587"/>
      <c r="C244" s="587"/>
      <c r="D244" s="587"/>
      <c r="E244" s="587"/>
      <c r="F244" s="587"/>
      <c r="G244" s="587"/>
      <c r="H244" s="587"/>
      <c r="I244" s="587"/>
      <c r="J244" s="587"/>
      <c r="K244" s="587"/>
      <c r="L244" s="587"/>
      <c r="M244" s="587"/>
      <c r="N244" s="587"/>
      <c r="O244" s="587"/>
      <c r="P244" s="588"/>
    </row>
    <row r="245" spans="1:16" x14ac:dyDescent="0.3">
      <c r="A245" s="656" t="s">
        <v>205</v>
      </c>
      <c r="B245" s="657"/>
      <c r="C245" s="11" t="s">
        <v>18</v>
      </c>
      <c r="D245" s="155"/>
      <c r="E245" s="155">
        <v>3654631.62</v>
      </c>
      <c r="F245" s="155">
        <v>0</v>
      </c>
      <c r="G245" s="155">
        <v>3381817.79</v>
      </c>
      <c r="H245" s="155">
        <v>3823061.39</v>
      </c>
      <c r="I245" s="155">
        <v>3883830.25</v>
      </c>
      <c r="J245" s="155">
        <v>3926424.64</v>
      </c>
      <c r="K245" s="155">
        <v>3994850.77</v>
      </c>
      <c r="L245" s="155">
        <v>4099986.93</v>
      </c>
      <c r="M245" s="155">
        <v>3889932.4300000044</v>
      </c>
      <c r="N245" s="155">
        <v>3942253.67</v>
      </c>
      <c r="O245" s="155"/>
      <c r="P245" s="163">
        <f>O245</f>
        <v>0</v>
      </c>
    </row>
    <row r="246" spans="1:16" x14ac:dyDescent="0.3">
      <c r="A246" s="656" t="s">
        <v>206</v>
      </c>
      <c r="B246" s="657"/>
      <c r="C246" s="11" t="s">
        <v>18</v>
      </c>
      <c r="D246" s="155"/>
      <c r="E246" s="155">
        <v>0</v>
      </c>
      <c r="F246" s="155">
        <v>0</v>
      </c>
      <c r="G246" s="155">
        <v>0</v>
      </c>
      <c r="H246" s="155">
        <v>0</v>
      </c>
      <c r="I246" s="155">
        <v>0</v>
      </c>
      <c r="J246" s="155">
        <v>0</v>
      </c>
      <c r="K246" s="155">
        <v>0</v>
      </c>
      <c r="L246" s="155">
        <v>0</v>
      </c>
      <c r="M246" s="155">
        <v>0</v>
      </c>
      <c r="N246" s="155">
        <v>0</v>
      </c>
      <c r="O246" s="155"/>
      <c r="P246" s="163">
        <f>O246</f>
        <v>0</v>
      </c>
    </row>
    <row r="247" spans="1:16" x14ac:dyDescent="0.3">
      <c r="A247" s="658" t="s">
        <v>207</v>
      </c>
      <c r="B247" s="659"/>
      <c r="C247" s="11" t="s">
        <v>18</v>
      </c>
      <c r="D247" s="143">
        <f>D245+D246</f>
        <v>0</v>
      </c>
      <c r="E247" s="143">
        <f t="shared" ref="E247:G247" si="162">E245+E246</f>
        <v>3654631.62</v>
      </c>
      <c r="F247" s="143">
        <f t="shared" si="162"/>
        <v>0</v>
      </c>
      <c r="G247" s="143">
        <f t="shared" si="162"/>
        <v>3381817.79</v>
      </c>
      <c r="H247" s="143">
        <f t="shared" ref="H247:P247" si="163">H245+H246</f>
        <v>3823061.39</v>
      </c>
      <c r="I247" s="143">
        <f t="shared" si="163"/>
        <v>3883830.25</v>
      </c>
      <c r="J247" s="143">
        <f t="shared" si="163"/>
        <v>3926424.64</v>
      </c>
      <c r="K247" s="143">
        <f t="shared" si="163"/>
        <v>3994850.77</v>
      </c>
      <c r="L247" s="143">
        <f t="shared" si="163"/>
        <v>4099986.93</v>
      </c>
      <c r="M247" s="143">
        <f t="shared" si="163"/>
        <v>3889932.4300000044</v>
      </c>
      <c r="N247" s="157">
        <f t="shared" si="163"/>
        <v>3942253.67</v>
      </c>
      <c r="O247" s="157">
        <f t="shared" si="163"/>
        <v>0</v>
      </c>
      <c r="P247" s="163">
        <f t="shared" si="163"/>
        <v>0</v>
      </c>
    </row>
    <row r="248" spans="1:16" ht="14.4" x14ac:dyDescent="0.3">
      <c r="A248" s="586" t="s">
        <v>17</v>
      </c>
      <c r="B248" s="587"/>
      <c r="C248" s="587"/>
      <c r="D248" s="587"/>
      <c r="E248" s="587"/>
      <c r="F248" s="587"/>
      <c r="G248" s="587"/>
      <c r="H248" s="587"/>
      <c r="I248" s="587"/>
      <c r="J248" s="587"/>
      <c r="K248" s="587"/>
      <c r="L248" s="587"/>
      <c r="M248" s="587"/>
      <c r="N248" s="587"/>
      <c r="O248" s="587"/>
      <c r="P248" s="588"/>
    </row>
    <row r="249" spans="1:16" x14ac:dyDescent="0.3">
      <c r="A249" s="613" t="s">
        <v>16</v>
      </c>
      <c r="B249" s="614"/>
      <c r="C249" s="5" t="s">
        <v>6</v>
      </c>
      <c r="D249" s="8" t="e">
        <f>D58/D243</f>
        <v>#DIV/0!</v>
      </c>
      <c r="E249" s="8">
        <f t="shared" ref="E249:O249" si="164">E58/E243</f>
        <v>3.706174571940462</v>
      </c>
      <c r="F249" s="8">
        <f t="shared" si="164"/>
        <v>45.217117537208786</v>
      </c>
      <c r="G249" s="8">
        <f t="shared" si="164"/>
        <v>147.9229049809957</v>
      </c>
      <c r="H249" s="8">
        <f t="shared" si="164"/>
        <v>100.15099183832103</v>
      </c>
      <c r="I249" s="8">
        <f t="shared" si="164"/>
        <v>58.710339446748293</v>
      </c>
      <c r="J249" s="8">
        <f t="shared" si="164"/>
        <v>48.622094546253045</v>
      </c>
      <c r="K249" s="8">
        <f t="shared" si="164"/>
        <v>37.31548639425958</v>
      </c>
      <c r="L249" s="8">
        <f t="shared" si="164"/>
        <v>36.301840717349741</v>
      </c>
      <c r="M249" s="8">
        <f t="shared" si="164"/>
        <v>21.63964916796672</v>
      </c>
      <c r="N249" s="8">
        <f t="shared" si="164"/>
        <v>37.595310514083742</v>
      </c>
      <c r="O249" s="8">
        <f t="shared" si="164"/>
        <v>32.681958861459684</v>
      </c>
      <c r="P249" s="517">
        <f t="shared" ref="P249" si="165">P58/P243%</f>
        <v>93.907616868796609</v>
      </c>
    </row>
    <row r="250" spans="1:16" x14ac:dyDescent="0.3">
      <c r="A250" s="613" t="s">
        <v>208</v>
      </c>
      <c r="B250" s="614"/>
      <c r="C250" s="5" t="s">
        <v>6</v>
      </c>
      <c r="D250" s="513" t="e">
        <f>D210/(D223+D245)</f>
        <v>#DIV/0!</v>
      </c>
      <c r="E250" s="29">
        <f t="shared" ref="E250:O250" si="166">E210/(E223+E245)</f>
        <v>6.3950133490125557E-2</v>
      </c>
      <c r="F250" s="29">
        <f t="shared" si="166"/>
        <v>2.3814502613872284</v>
      </c>
      <c r="G250" s="29">
        <f t="shared" si="166"/>
        <v>6.4138525963320404E-3</v>
      </c>
      <c r="H250" s="29">
        <f t="shared" si="166"/>
        <v>4.1894920197735386E-2</v>
      </c>
      <c r="I250" s="29">
        <f t="shared" si="166"/>
        <v>0</v>
      </c>
      <c r="J250" s="29">
        <f t="shared" si="166"/>
        <v>1.889942051957561E-3</v>
      </c>
      <c r="K250" s="29">
        <f t="shared" si="166"/>
        <v>0</v>
      </c>
      <c r="L250" s="29">
        <f t="shared" si="166"/>
        <v>0</v>
      </c>
      <c r="M250" s="29">
        <f t="shared" si="166"/>
        <v>7.708315454172826E-2</v>
      </c>
      <c r="N250" s="29">
        <f t="shared" si="166"/>
        <v>7.4054151392571989E-3</v>
      </c>
      <c r="O250" s="29">
        <f t="shared" si="166"/>
        <v>0.50108987046826847</v>
      </c>
      <c r="P250" s="516">
        <f t="shared" ref="P250" si="167">P210/(P223+P245)%</f>
        <v>90.513429974372528</v>
      </c>
    </row>
    <row r="251" spans="1:16" ht="16.2" thickBot="1" x14ac:dyDescent="0.35">
      <c r="A251" s="662" t="s">
        <v>15</v>
      </c>
      <c r="B251" s="663"/>
      <c r="C251" s="5" t="s">
        <v>6</v>
      </c>
      <c r="D251" s="7" t="e">
        <f>D210/D223</f>
        <v>#DIV/0!</v>
      </c>
      <c r="E251" s="7">
        <f t="shared" ref="E251:O251" si="168">E210/E223</f>
        <v>0.55803746971599633</v>
      </c>
      <c r="F251" s="7">
        <f t="shared" si="168"/>
        <v>2.3814502613872284</v>
      </c>
      <c r="G251" s="7">
        <f t="shared" si="168"/>
        <v>2.0367874192642517</v>
      </c>
      <c r="H251" s="7">
        <f t="shared" si="168"/>
        <v>7.9070909448045574</v>
      </c>
      <c r="I251" s="7">
        <f t="shared" si="168"/>
        <v>0</v>
      </c>
      <c r="J251" s="7">
        <f t="shared" si="168"/>
        <v>0.17878000524421347</v>
      </c>
      <c r="K251" s="7">
        <f t="shared" si="168"/>
        <v>0</v>
      </c>
      <c r="L251" s="7">
        <f t="shared" si="168"/>
        <v>0</v>
      </c>
      <c r="M251" s="7">
        <f t="shared" si="168"/>
        <v>3.713679308211951</v>
      </c>
      <c r="N251" s="7">
        <f t="shared" si="168"/>
        <v>0.43468715697036225</v>
      </c>
      <c r="O251" s="7">
        <f t="shared" si="168"/>
        <v>0.50108987046826847</v>
      </c>
      <c r="P251" s="518">
        <f t="shared" ref="P251" si="169">P210/P223%</f>
        <v>90.513429974372528</v>
      </c>
    </row>
    <row r="252" spans="1:16" ht="14.4" x14ac:dyDescent="0.3">
      <c r="A252" s="642" t="s">
        <v>14</v>
      </c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3"/>
      <c r="P252" s="644"/>
    </row>
    <row r="253" spans="1:16" s="2" customFormat="1" ht="15" customHeight="1" x14ac:dyDescent="0.3">
      <c r="A253" s="613" t="s">
        <v>13</v>
      </c>
      <c r="B253" s="614"/>
      <c r="C253" s="5" t="s">
        <v>3</v>
      </c>
      <c r="D253" s="4">
        <v>0</v>
      </c>
      <c r="E253" s="4"/>
      <c r="F253" s="4">
        <v>20</v>
      </c>
      <c r="G253" s="4">
        <v>25</v>
      </c>
      <c r="H253" s="4">
        <v>46</v>
      </c>
      <c r="I253" s="4">
        <v>14</v>
      </c>
      <c r="J253" s="156">
        <v>6</v>
      </c>
      <c r="K253" s="156"/>
      <c r="L253" s="156">
        <v>21</v>
      </c>
      <c r="M253" s="156"/>
      <c r="N253" s="156">
        <v>4</v>
      </c>
      <c r="O253" s="156">
        <v>3</v>
      </c>
      <c r="P253" s="519">
        <f>SUM(D253:O253)</f>
        <v>139</v>
      </c>
    </row>
    <row r="254" spans="1:16" s="2" customFormat="1" x14ac:dyDescent="0.3">
      <c r="A254" s="613" t="s">
        <v>12</v>
      </c>
      <c r="B254" s="614"/>
      <c r="C254" s="5" t="s">
        <v>3</v>
      </c>
      <c r="D254" s="4">
        <v>0</v>
      </c>
      <c r="E254" s="4"/>
      <c r="F254" s="4">
        <v>1</v>
      </c>
      <c r="G254" s="4">
        <v>1</v>
      </c>
      <c r="H254" s="4">
        <v>1</v>
      </c>
      <c r="I254" s="4">
        <v>1</v>
      </c>
      <c r="J254" s="156">
        <v>1</v>
      </c>
      <c r="K254" s="156"/>
      <c r="L254" s="156">
        <v>1</v>
      </c>
      <c r="M254" s="156"/>
      <c r="N254" s="156">
        <v>1</v>
      </c>
      <c r="O254" s="156">
        <v>1</v>
      </c>
      <c r="P254" s="519">
        <f>SUM(D254:O254)</f>
        <v>8</v>
      </c>
    </row>
    <row r="255" spans="1:16" ht="15.75" customHeight="1" x14ac:dyDescent="0.3">
      <c r="A255" s="613" t="s">
        <v>11</v>
      </c>
      <c r="B255" s="614"/>
      <c r="C255" s="5" t="s">
        <v>3</v>
      </c>
      <c r="D255" s="4">
        <f t="shared" ref="D255:I255" si="170">D95</f>
        <v>2</v>
      </c>
      <c r="E255" s="4">
        <f t="shared" si="170"/>
        <v>7</v>
      </c>
      <c r="F255" s="4">
        <f t="shared" si="170"/>
        <v>13</v>
      </c>
      <c r="G255" s="4">
        <f t="shared" si="170"/>
        <v>7</v>
      </c>
      <c r="H255" s="4">
        <f t="shared" si="170"/>
        <v>22</v>
      </c>
      <c r="I255" s="4">
        <f t="shared" si="170"/>
        <v>32</v>
      </c>
      <c r="J255" s="156">
        <f t="shared" ref="J255:K255" si="171">J95</f>
        <v>38</v>
      </c>
      <c r="K255" s="156">
        <f t="shared" si="171"/>
        <v>38</v>
      </c>
      <c r="L255" s="156">
        <f t="shared" ref="L255:M255" si="172">L95</f>
        <v>59</v>
      </c>
      <c r="M255" s="156">
        <f t="shared" si="172"/>
        <v>64</v>
      </c>
      <c r="N255" s="156">
        <f t="shared" ref="N255:O255" si="173">N95</f>
        <v>67</v>
      </c>
      <c r="O255" s="156">
        <f t="shared" si="173"/>
        <v>67</v>
      </c>
      <c r="P255" s="519">
        <f>SUM(D255:O255)</f>
        <v>416</v>
      </c>
    </row>
    <row r="256" spans="1:16" x14ac:dyDescent="0.3">
      <c r="A256" s="613" t="s">
        <v>10</v>
      </c>
      <c r="B256" s="614"/>
      <c r="C256" s="5" t="s">
        <v>3</v>
      </c>
      <c r="D256" s="4">
        <f t="shared" ref="D256:I256" si="174">D91</f>
        <v>8</v>
      </c>
      <c r="E256" s="4">
        <f t="shared" si="174"/>
        <v>11</v>
      </c>
      <c r="F256" s="4">
        <f t="shared" si="174"/>
        <v>18</v>
      </c>
      <c r="G256" s="4">
        <f t="shared" si="174"/>
        <v>25</v>
      </c>
      <c r="H256" s="4">
        <f t="shared" si="174"/>
        <v>47</v>
      </c>
      <c r="I256" s="4">
        <f t="shared" si="174"/>
        <v>14</v>
      </c>
      <c r="J256" s="156">
        <f t="shared" ref="J256:K256" si="175">J91</f>
        <v>6</v>
      </c>
      <c r="K256" s="156">
        <f t="shared" si="175"/>
        <v>0</v>
      </c>
      <c r="L256" s="156">
        <f t="shared" ref="L256:M256" si="176">L91</f>
        <v>21</v>
      </c>
      <c r="M256" s="156">
        <f t="shared" si="176"/>
        <v>5</v>
      </c>
      <c r="N256" s="156">
        <f t="shared" ref="N256:O256" si="177">N91</f>
        <v>7</v>
      </c>
      <c r="O256" s="156">
        <f t="shared" si="177"/>
        <v>3</v>
      </c>
      <c r="P256" s="519">
        <f>SUM(D256:O256)</f>
        <v>165</v>
      </c>
    </row>
    <row r="257" spans="1:16" ht="15.6" customHeight="1" x14ac:dyDescent="0.3">
      <c r="A257" s="613" t="s">
        <v>9</v>
      </c>
      <c r="B257" s="614"/>
      <c r="C257" s="5" t="s">
        <v>3</v>
      </c>
      <c r="D257" s="4"/>
      <c r="E257" s="4"/>
      <c r="F257" s="4">
        <v>22</v>
      </c>
      <c r="G257" s="4">
        <v>30</v>
      </c>
      <c r="H257" s="4">
        <v>30</v>
      </c>
      <c r="I257" s="4">
        <v>1</v>
      </c>
      <c r="J257" s="156">
        <v>30</v>
      </c>
      <c r="K257" s="156"/>
      <c r="L257" s="156"/>
      <c r="M257" s="156"/>
      <c r="N257" s="156">
        <v>14</v>
      </c>
      <c r="O257" s="156">
        <v>14</v>
      </c>
      <c r="P257" s="519">
        <f>SUM(D257:O257)</f>
        <v>141</v>
      </c>
    </row>
    <row r="258" spans="1:16" x14ac:dyDescent="0.3">
      <c r="A258" s="649" t="s">
        <v>8</v>
      </c>
      <c r="B258" s="650"/>
      <c r="C258" s="5" t="s">
        <v>3</v>
      </c>
      <c r="D258" s="1">
        <f t="shared" ref="D258:P258" si="178">D257/D256</f>
        <v>0</v>
      </c>
      <c r="E258" s="1">
        <f t="shared" si="178"/>
        <v>0</v>
      </c>
      <c r="F258" s="1">
        <f t="shared" si="178"/>
        <v>1.2222222222222223</v>
      </c>
      <c r="G258" s="3">
        <f t="shared" si="178"/>
        <v>1.2</v>
      </c>
      <c r="H258" s="1">
        <f t="shared" si="178"/>
        <v>0.63829787234042556</v>
      </c>
      <c r="I258" s="3">
        <f t="shared" si="178"/>
        <v>7.1428571428571425E-2</v>
      </c>
      <c r="J258" s="3">
        <f t="shared" si="178"/>
        <v>5</v>
      </c>
      <c r="K258" s="3" t="e">
        <f t="shared" si="178"/>
        <v>#DIV/0!</v>
      </c>
      <c r="L258" s="3">
        <f t="shared" si="178"/>
        <v>0</v>
      </c>
      <c r="M258" s="3">
        <f t="shared" si="178"/>
        <v>0</v>
      </c>
      <c r="N258" s="1">
        <f t="shared" si="178"/>
        <v>2</v>
      </c>
      <c r="O258" s="3">
        <f t="shared" si="178"/>
        <v>4.666666666666667</v>
      </c>
      <c r="P258" s="519">
        <f t="shared" si="178"/>
        <v>0.8545454545454545</v>
      </c>
    </row>
    <row r="259" spans="1:16" x14ac:dyDescent="0.3">
      <c r="A259" s="649" t="s">
        <v>7</v>
      </c>
      <c r="B259" s="650"/>
      <c r="C259" s="5" t="s">
        <v>6</v>
      </c>
      <c r="D259" s="1">
        <f t="shared" ref="D259:P259" si="179">D92/D255*100</f>
        <v>0</v>
      </c>
      <c r="E259" s="1">
        <f t="shared" si="179"/>
        <v>0</v>
      </c>
      <c r="F259" s="1">
        <f t="shared" si="179"/>
        <v>0</v>
      </c>
      <c r="G259" s="1">
        <f t="shared" si="179"/>
        <v>0</v>
      </c>
      <c r="H259" s="1">
        <f t="shared" si="179"/>
        <v>0</v>
      </c>
      <c r="I259" s="1">
        <f t="shared" si="179"/>
        <v>0</v>
      </c>
      <c r="J259" s="15">
        <f t="shared" si="179"/>
        <v>0</v>
      </c>
      <c r="K259" s="6">
        <f t="shared" si="179"/>
        <v>0</v>
      </c>
      <c r="L259" s="195">
        <f t="shared" si="179"/>
        <v>0</v>
      </c>
      <c r="M259" s="6">
        <f t="shared" si="179"/>
        <v>0</v>
      </c>
      <c r="N259" s="161">
        <f t="shared" si="179"/>
        <v>5.9701492537313428</v>
      </c>
      <c r="O259" s="6">
        <f t="shared" si="179"/>
        <v>0</v>
      </c>
      <c r="P259" s="550">
        <f t="shared" si="179"/>
        <v>0.96153846153846156</v>
      </c>
    </row>
    <row r="260" spans="1:16" ht="14.4" x14ac:dyDescent="0.3">
      <c r="A260" s="586" t="s">
        <v>5</v>
      </c>
      <c r="B260" s="587"/>
      <c r="C260" s="587"/>
      <c r="D260" s="587"/>
      <c r="E260" s="587"/>
      <c r="F260" s="587"/>
      <c r="G260" s="587"/>
      <c r="H260" s="587"/>
      <c r="I260" s="587"/>
      <c r="J260" s="587"/>
      <c r="K260" s="587"/>
      <c r="L260" s="587"/>
      <c r="M260" s="587"/>
      <c r="N260" s="587"/>
      <c r="O260" s="587"/>
      <c r="P260" s="588"/>
    </row>
    <row r="261" spans="1:16" s="2" customFormat="1" ht="15" customHeight="1" x14ac:dyDescent="0.3">
      <c r="A261" s="613" t="s">
        <v>4</v>
      </c>
      <c r="B261" s="614"/>
      <c r="C261" s="5" t="s">
        <v>3</v>
      </c>
      <c r="D261" s="4">
        <v>2</v>
      </c>
      <c r="E261" s="4"/>
      <c r="F261" s="4">
        <v>8</v>
      </c>
      <c r="G261" s="4">
        <v>5</v>
      </c>
      <c r="H261" s="4">
        <v>3</v>
      </c>
      <c r="I261" s="4">
        <v>5</v>
      </c>
      <c r="J261" s="4">
        <v>0</v>
      </c>
      <c r="K261" s="4">
        <v>0</v>
      </c>
      <c r="L261" s="4">
        <v>30</v>
      </c>
      <c r="M261" s="4">
        <v>11</v>
      </c>
      <c r="N261" s="4">
        <v>23</v>
      </c>
      <c r="O261" s="4">
        <v>40</v>
      </c>
      <c r="P261" s="40">
        <f>SUM(D261:O261)</f>
        <v>127</v>
      </c>
    </row>
    <row r="262" spans="1:16" s="2" customFormat="1" ht="15.75" customHeight="1" x14ac:dyDescent="0.3">
      <c r="A262" s="613" t="s">
        <v>2</v>
      </c>
      <c r="B262" s="614"/>
      <c r="C262" s="5" t="s">
        <v>0</v>
      </c>
      <c r="D262" s="4">
        <v>1</v>
      </c>
      <c r="E262" s="4"/>
      <c r="F262" s="4">
        <v>2</v>
      </c>
      <c r="G262" s="4">
        <v>3</v>
      </c>
      <c r="H262" s="4">
        <v>1</v>
      </c>
      <c r="I262" s="4">
        <v>1</v>
      </c>
      <c r="J262" s="4">
        <v>0</v>
      </c>
      <c r="K262" s="4">
        <v>0</v>
      </c>
      <c r="L262" s="4">
        <v>3</v>
      </c>
      <c r="M262" s="4">
        <v>2</v>
      </c>
      <c r="N262" s="4">
        <v>2</v>
      </c>
      <c r="O262" s="4">
        <v>4</v>
      </c>
      <c r="P262" s="40">
        <f>SUM(D262:O262)</f>
        <v>19</v>
      </c>
    </row>
    <row r="263" spans="1:16" ht="16.2" thickBot="1" x14ac:dyDescent="0.35">
      <c r="A263" s="660" t="s">
        <v>1</v>
      </c>
      <c r="B263" s="661"/>
      <c r="C263" s="116" t="s">
        <v>0</v>
      </c>
      <c r="D263" s="117">
        <f t="shared" ref="D263:I263" si="180">D261/D262</f>
        <v>2</v>
      </c>
      <c r="E263" s="117" t="e">
        <f t="shared" si="180"/>
        <v>#DIV/0!</v>
      </c>
      <c r="F263" s="117">
        <f t="shared" si="180"/>
        <v>4</v>
      </c>
      <c r="G263" s="117">
        <f t="shared" si="180"/>
        <v>1.6666666666666667</v>
      </c>
      <c r="H263" s="117">
        <f t="shared" si="180"/>
        <v>3</v>
      </c>
      <c r="I263" s="117">
        <f t="shared" si="180"/>
        <v>5</v>
      </c>
      <c r="J263" s="117" t="e">
        <f t="shared" ref="J263:K263" si="181">J261/J262</f>
        <v>#DIV/0!</v>
      </c>
      <c r="K263" s="117" t="e">
        <f t="shared" si="181"/>
        <v>#DIV/0!</v>
      </c>
      <c r="L263" s="117">
        <f t="shared" ref="L263:M263" si="182">L261/L262</f>
        <v>10</v>
      </c>
      <c r="M263" s="117">
        <f t="shared" si="182"/>
        <v>5.5</v>
      </c>
      <c r="N263" s="117">
        <f t="shared" ref="N263:P263" si="183">N261/N262</f>
        <v>11.5</v>
      </c>
      <c r="O263" s="117">
        <f t="shared" si="183"/>
        <v>10</v>
      </c>
      <c r="P263" s="514">
        <f t="shared" si="183"/>
        <v>6.6842105263157894</v>
      </c>
    </row>
  </sheetData>
  <mergeCells count="158"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</mergeCells>
  <pageMargins left="0.7" right="0.7" top="0.75" bottom="0.75" header="0.3" footer="0.3"/>
  <pageSetup paperSize="9" orientation="portrait" r:id="rId1"/>
  <ignoredErrors>
    <ignoredError sqref="H4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3C0C-9173-440E-B838-EAA1F482B191}">
  <sheetPr codeName="Sheet11"/>
  <dimension ref="A1:P263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F20" sqref="F20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7" bestFit="1" customWidth="1"/>
  </cols>
  <sheetData>
    <row r="1" spans="1:16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21"/>
    </row>
    <row r="2" spans="1:16" ht="18" thickBot="1" x14ac:dyDescent="0.35">
      <c r="A2" s="93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3"/>
    </row>
    <row r="3" spans="1:16" ht="18" thickBot="1" x14ac:dyDescent="0.35">
      <c r="A3" s="317" t="s">
        <v>217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9"/>
    </row>
    <row r="4" spans="1:16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16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335"/>
    </row>
    <row r="6" spans="1:16" ht="15" customHeight="1" thickBot="1" x14ac:dyDescent="0.35">
      <c r="A6" s="97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9"/>
    </row>
    <row r="7" spans="1:16" ht="16.2" thickBot="1" x14ac:dyDescent="0.35">
      <c r="A7" s="241" t="s">
        <v>174</v>
      </c>
      <c r="B7" s="242"/>
      <c r="C7" s="61" t="s">
        <v>173</v>
      </c>
      <c r="D7" s="60" t="s">
        <v>163</v>
      </c>
      <c r="E7" s="60" t="s">
        <v>162</v>
      </c>
      <c r="F7" s="60" t="s">
        <v>161</v>
      </c>
      <c r="G7" s="60" t="s">
        <v>172</v>
      </c>
      <c r="H7" s="60" t="s">
        <v>171</v>
      </c>
      <c r="I7" s="60" t="s">
        <v>170</v>
      </c>
      <c r="J7" s="60" t="s">
        <v>169</v>
      </c>
      <c r="K7" s="60" t="s">
        <v>168</v>
      </c>
      <c r="L7" s="60" t="s">
        <v>167</v>
      </c>
      <c r="M7" s="60" t="s">
        <v>166</v>
      </c>
      <c r="N7" s="60" t="s">
        <v>165</v>
      </c>
      <c r="O7" s="60" t="s">
        <v>164</v>
      </c>
      <c r="P7" s="59" t="s">
        <v>160</v>
      </c>
    </row>
    <row r="8" spans="1:16" ht="15" thickBot="1" x14ac:dyDescent="0.35">
      <c r="A8" s="300" t="s">
        <v>159</v>
      </c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2"/>
    </row>
    <row r="9" spans="1:16" x14ac:dyDescent="0.3">
      <c r="A9" s="245" t="s">
        <v>176</v>
      </c>
      <c r="B9" s="246"/>
      <c r="C9" s="58" t="s">
        <v>152</v>
      </c>
      <c r="D9" s="34">
        <f>Balaka!D9+Liwonde!D9+Machinga!D9+Ntaja!D9</f>
        <v>119276</v>
      </c>
      <c r="E9" s="34">
        <f>Balaka!E9+Liwonde!E9+Machinga!E9+Ntaja!E9</f>
        <v>128028</v>
      </c>
      <c r="F9" s="34">
        <f>Balaka!F9+Liwonde!F9+Machinga!F9+Ntaja!F9</f>
        <v>127635.01</v>
      </c>
      <c r="G9" s="34">
        <f>Balaka!G9+Liwonde!G9+Machinga!G9+Ntaja!G9</f>
        <v>128891</v>
      </c>
      <c r="H9" s="34">
        <f>Balaka!H9+Liwonde!H9+Machinga!H9+Ntaja!H9</f>
        <v>131829</v>
      </c>
      <c r="I9" s="34">
        <f>Balaka!I9+Liwonde!I9+Machinga!I9+Ntaja!I9</f>
        <v>144936</v>
      </c>
      <c r="J9" s="34">
        <f>Balaka!J9+Liwonde!J9+Machinga!J9+Ntaja!J9</f>
        <v>152008</v>
      </c>
      <c r="K9" s="34">
        <f>Balaka!K9+Liwonde!K9+Machinga!K9+Ntaja!K9</f>
        <v>150030</v>
      </c>
      <c r="L9" s="34">
        <f>Balaka!L9+Liwonde!L9+Machinga!L9+Ntaja!L9</f>
        <v>143623.70000000001</v>
      </c>
      <c r="M9" s="34">
        <f>Balaka!M9+Liwonde!M9+Machinga!M9+Ntaja!M9</f>
        <v>145742</v>
      </c>
      <c r="N9" s="34">
        <f>Balaka!N9+Liwonde!N9+Machinga!N9+Ntaja!N9</f>
        <v>134482</v>
      </c>
      <c r="O9" s="34">
        <f>Balaka!O9+Liwonde!O9+Machinga!O9+Ntaja!O9</f>
        <v>111636</v>
      </c>
      <c r="P9" s="153">
        <f>SUM(D9:O9)</f>
        <v>1618116.71</v>
      </c>
    </row>
    <row r="10" spans="1:16" ht="14.4" x14ac:dyDescent="0.3">
      <c r="A10" s="280" t="s">
        <v>177</v>
      </c>
      <c r="B10" s="281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2"/>
    </row>
    <row r="11" spans="1:16" x14ac:dyDescent="0.3">
      <c r="A11" s="243" t="s">
        <v>157</v>
      </c>
      <c r="B11" s="244"/>
      <c r="C11" s="11" t="s">
        <v>152</v>
      </c>
      <c r="D11" s="26">
        <f>Balaka!D11+Liwonde!D11+Machinga!D11+Ntaja!D11</f>
        <v>46978</v>
      </c>
      <c r="E11" s="26">
        <f>Balaka!E11+Liwonde!E11+Machinga!E11+Ntaja!E11</f>
        <v>51964</v>
      </c>
      <c r="F11" s="26">
        <f>Balaka!F11+Liwonde!F11+Machinga!F11+Ntaja!F11</f>
        <v>51768</v>
      </c>
      <c r="G11" s="26">
        <f>Balaka!G11+Liwonde!G11+Machinga!G11+Ntaja!G11</f>
        <v>51183</v>
      </c>
      <c r="H11" s="26">
        <f>Balaka!H11+Liwonde!H11+Machinga!H11+Ntaja!H11</f>
        <v>55307</v>
      </c>
      <c r="I11" s="26">
        <f>Balaka!I11+Liwonde!I11+Machinga!I11+Ntaja!I11</f>
        <v>60037</v>
      </c>
      <c r="J11" s="26">
        <f>Balaka!J11+Liwonde!J11+Machinga!J11+Ntaja!J11</f>
        <v>64542</v>
      </c>
      <c r="K11" s="26">
        <f>Balaka!K11+Liwonde!K11+Machinga!K11+Ntaja!K11</f>
        <v>67713</v>
      </c>
      <c r="L11" s="26">
        <f>Balaka!L11+Liwonde!L11+Machinga!L11+Ntaja!L11</f>
        <v>61786</v>
      </c>
      <c r="M11" s="26">
        <f>Balaka!M11+Liwonde!M11+Machinga!M11+Ntaja!M11</f>
        <v>78504</v>
      </c>
      <c r="N11" s="26">
        <f>Balaka!N11+Liwonde!N11+Machinga!N11+Ntaja!N11</f>
        <v>63499</v>
      </c>
      <c r="O11" s="26">
        <f>Balaka!O11+Liwonde!O11+Machinga!O11+Ntaja!O11</f>
        <v>58215</v>
      </c>
      <c r="P11" s="55">
        <f>SUM(D11:O11)</f>
        <v>711496</v>
      </c>
    </row>
    <row r="12" spans="1:16" x14ac:dyDescent="0.3">
      <c r="A12" s="243" t="s">
        <v>156</v>
      </c>
      <c r="B12" s="244"/>
      <c r="C12" s="11" t="s">
        <v>152</v>
      </c>
      <c r="D12" s="26">
        <f>Balaka!D12+Liwonde!D12+Machinga!D12+Ntaja!D12</f>
        <v>1322</v>
      </c>
      <c r="E12" s="26">
        <f>Balaka!E12+Liwonde!E12+Machinga!E12+Ntaja!E12</f>
        <v>1438</v>
      </c>
      <c r="F12" s="26">
        <f>Balaka!F12+Liwonde!F12+Machinga!F12+Ntaja!F12</f>
        <v>868</v>
      </c>
      <c r="G12" s="26">
        <f>Balaka!G12+Liwonde!G12+Machinga!G12+Ntaja!G12</f>
        <v>1477</v>
      </c>
      <c r="H12" s="26">
        <f>Balaka!H12+Liwonde!H12+Machinga!H12+Ntaja!H12</f>
        <v>1776</v>
      </c>
      <c r="I12" s="26">
        <f>Balaka!I12+Liwonde!I12+Machinga!I12+Ntaja!I12</f>
        <v>1726</v>
      </c>
      <c r="J12" s="26">
        <f>Balaka!J12+Liwonde!J12+Machinga!J12+Ntaja!J12</f>
        <v>1904</v>
      </c>
      <c r="K12" s="26">
        <f>Balaka!K12+Liwonde!K12+Machinga!K12+Ntaja!K12</f>
        <v>1695</v>
      </c>
      <c r="L12" s="26">
        <f>Balaka!L12+Liwonde!L12+Machinga!L12+Ntaja!L12</f>
        <v>1694</v>
      </c>
      <c r="M12" s="26">
        <f>Balaka!M12+Liwonde!M12+Machinga!M12+Ntaja!M12</f>
        <v>1492</v>
      </c>
      <c r="N12" s="26">
        <f>Balaka!N12+Liwonde!N12+Machinga!N12+Ntaja!N12</f>
        <v>1734</v>
      </c>
      <c r="O12" s="26">
        <f>Balaka!O12+Liwonde!O12+Machinga!O12+Ntaja!O12</f>
        <v>1322</v>
      </c>
      <c r="P12" s="55">
        <f>SUM(D12:O12)</f>
        <v>18448</v>
      </c>
    </row>
    <row r="13" spans="1:16" x14ac:dyDescent="0.3">
      <c r="A13" s="243" t="s">
        <v>155</v>
      </c>
      <c r="B13" s="244"/>
      <c r="C13" s="11" t="s">
        <v>152</v>
      </c>
      <c r="D13" s="26">
        <f>Balaka!D13+Liwonde!D13+Machinga!D13+Ntaja!D13</f>
        <v>2585</v>
      </c>
      <c r="E13" s="26">
        <f>Balaka!E13+Liwonde!E13+Machinga!E13+Ntaja!E13</f>
        <v>4117</v>
      </c>
      <c r="F13" s="26">
        <f>Balaka!F13+Liwonde!F13+Machinga!F13+Ntaja!F13</f>
        <v>4957</v>
      </c>
      <c r="G13" s="26">
        <f>Balaka!G13+Liwonde!G13+Machinga!G13+Ntaja!G13</f>
        <v>2624</v>
      </c>
      <c r="H13" s="26">
        <f>Balaka!H13+Liwonde!H13+Machinga!H13+Ntaja!H13</f>
        <v>2653</v>
      </c>
      <c r="I13" s="26">
        <f>Balaka!I13+Liwonde!I13+Machinga!I13+Ntaja!I13</f>
        <v>2803</v>
      </c>
      <c r="J13" s="26">
        <f>Balaka!J13+Liwonde!J13+Machinga!J13+Ntaja!J13</f>
        <v>2879</v>
      </c>
      <c r="K13" s="26">
        <f>Balaka!K13+Liwonde!K13+Machinga!K13+Ntaja!K13</f>
        <v>2877</v>
      </c>
      <c r="L13" s="26">
        <f>Balaka!L13+Liwonde!L13+Machinga!L13+Ntaja!L13</f>
        <v>2920</v>
      </c>
      <c r="M13" s="26">
        <f>Balaka!M13+Liwonde!M13+Machinga!M13+Ntaja!M13</f>
        <v>1528</v>
      </c>
      <c r="N13" s="26">
        <f>Balaka!N13+Liwonde!N13+Machinga!N13+Ntaja!N13</f>
        <v>977</v>
      </c>
      <c r="O13" s="26">
        <f>Balaka!O13+Liwonde!O13+Machinga!O13+Ntaja!O13</f>
        <v>1062</v>
      </c>
      <c r="P13" s="55">
        <f>SUM(D13:O13)</f>
        <v>31982</v>
      </c>
    </row>
    <row r="14" spans="1:16" x14ac:dyDescent="0.3">
      <c r="A14" s="237" t="s">
        <v>154</v>
      </c>
      <c r="B14" s="238"/>
      <c r="C14" s="11" t="s">
        <v>152</v>
      </c>
      <c r="D14" s="26">
        <f>Balaka!D14+Liwonde!D14+Machinga!D14+Ntaja!D14</f>
        <v>177</v>
      </c>
      <c r="E14" s="26">
        <f>Balaka!E14+Liwonde!E14+Machinga!E14+Ntaja!E14</f>
        <v>199</v>
      </c>
      <c r="F14" s="26">
        <f>Balaka!F14+Liwonde!F14+Machinga!F14+Ntaja!F14</f>
        <v>300</v>
      </c>
      <c r="G14" s="26">
        <f>Balaka!G14+Liwonde!G14+Machinga!G14+Ntaja!G14</f>
        <v>232</v>
      </c>
      <c r="H14" s="26">
        <f>Balaka!H14+Liwonde!H14+Machinga!H14+Ntaja!H14</f>
        <v>366</v>
      </c>
      <c r="I14" s="26">
        <f>Balaka!I14+Liwonde!I14+Machinga!I14+Ntaja!I14</f>
        <v>372</v>
      </c>
      <c r="J14" s="26">
        <f>Balaka!J14+Liwonde!J14+Machinga!J14+Ntaja!J14</f>
        <v>327</v>
      </c>
      <c r="K14" s="26">
        <f>Balaka!K14+Liwonde!K14+Machinga!K14+Ntaja!K14</f>
        <v>277</v>
      </c>
      <c r="L14" s="26">
        <f>Balaka!L14+Liwonde!L14+Machinga!L14+Ntaja!L14</f>
        <v>424</v>
      </c>
      <c r="M14" s="26">
        <f>Balaka!M14+Liwonde!M14+Machinga!M14+Ntaja!M14</f>
        <v>246</v>
      </c>
      <c r="N14" s="26">
        <f>Balaka!N14+Liwonde!N14+Machinga!N14+Ntaja!N14</f>
        <v>582</v>
      </c>
      <c r="O14" s="26">
        <f>Balaka!O14+Liwonde!O14+Machinga!O14+Ntaja!O14</f>
        <v>645</v>
      </c>
      <c r="P14" s="55">
        <f>SUM(D14:O14)</f>
        <v>4147</v>
      </c>
    </row>
    <row r="15" spans="1:16" s="63" customFormat="1" x14ac:dyDescent="0.3">
      <c r="A15" s="239" t="s">
        <v>158</v>
      </c>
      <c r="B15" s="240"/>
      <c r="C15" s="62" t="s">
        <v>152</v>
      </c>
      <c r="D15" s="34">
        <f t="shared" ref="D15:P15" si="0">SUM(D11:D14)</f>
        <v>51062</v>
      </c>
      <c r="E15" s="34">
        <f t="shared" si="0"/>
        <v>57718</v>
      </c>
      <c r="F15" s="34">
        <f t="shared" si="0"/>
        <v>57893</v>
      </c>
      <c r="G15" s="34">
        <f t="shared" si="0"/>
        <v>55516</v>
      </c>
      <c r="H15" s="34">
        <f t="shared" si="0"/>
        <v>60102</v>
      </c>
      <c r="I15" s="34">
        <f t="shared" si="0"/>
        <v>64938</v>
      </c>
      <c r="J15" s="34">
        <f t="shared" si="0"/>
        <v>69652</v>
      </c>
      <c r="K15" s="34">
        <f t="shared" si="0"/>
        <v>72562</v>
      </c>
      <c r="L15" s="34">
        <f t="shared" si="0"/>
        <v>66824</v>
      </c>
      <c r="M15" s="34">
        <f t="shared" si="0"/>
        <v>81770</v>
      </c>
      <c r="N15" s="34">
        <f t="shared" si="0"/>
        <v>66792</v>
      </c>
      <c r="O15" s="34">
        <f t="shared" si="0"/>
        <v>61244</v>
      </c>
      <c r="P15" s="55">
        <f t="shared" si="0"/>
        <v>766073</v>
      </c>
    </row>
    <row r="16" spans="1:16" s="2" customFormat="1" ht="14.4" x14ac:dyDescent="0.3">
      <c r="A16" s="280" t="s">
        <v>178</v>
      </c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2"/>
    </row>
    <row r="17" spans="1:16" s="2" customFormat="1" x14ac:dyDescent="0.3">
      <c r="A17" s="243" t="s">
        <v>180</v>
      </c>
      <c r="B17" s="244"/>
      <c r="C17" s="11" t="s">
        <v>152</v>
      </c>
      <c r="D17" s="26">
        <f>Balaka!D17+Liwonde!D17+Machinga!D17+Ntaja!D17</f>
        <v>18273</v>
      </c>
      <c r="E17" s="26">
        <f>Balaka!E17+Liwonde!E17+Machinga!E17+Ntaja!E17</f>
        <v>20613</v>
      </c>
      <c r="F17" s="26">
        <f>Balaka!F17+Liwonde!F17+Machinga!F17+Ntaja!F17</f>
        <v>19368.400000000001</v>
      </c>
      <c r="G17" s="26">
        <f>Balaka!G17+Liwonde!G17+Machinga!G17+Ntaja!G17</f>
        <v>19659.8</v>
      </c>
      <c r="H17" s="26">
        <f>Balaka!H17+Liwonde!H17+Machinga!H17+Ntaja!H17</f>
        <v>20835</v>
      </c>
      <c r="I17" s="26">
        <f>Balaka!I17+Liwonde!I17+Machinga!I17+Ntaja!I17</f>
        <v>19714.900000000001</v>
      </c>
      <c r="J17" s="26">
        <f>Balaka!J17+Liwonde!J17+Machinga!J17+Ntaja!J17</f>
        <v>23565</v>
      </c>
      <c r="K17" s="26">
        <f>Balaka!K17+Liwonde!K17+Machinga!K17+Ntaja!K17</f>
        <v>20221.7</v>
      </c>
      <c r="L17" s="26">
        <f>Balaka!L17+Liwonde!L17+Machinga!L17+Ntaja!L17</f>
        <v>22050.6</v>
      </c>
      <c r="M17" s="26">
        <f>Balaka!M17+Liwonde!M17+Machinga!M17+Ntaja!M17</f>
        <v>17993</v>
      </c>
      <c r="N17" s="26">
        <f>Balaka!N17+Liwonde!N17+Machinga!N17+Ntaja!N17</f>
        <v>26700.880000000001</v>
      </c>
      <c r="O17" s="26">
        <f>Balaka!O17+Liwonde!O17+Machinga!O17+Ntaja!O17</f>
        <v>18940.3</v>
      </c>
      <c r="P17" s="55">
        <f>SUM(D17:O17)</f>
        <v>247935.58000000002</v>
      </c>
    </row>
    <row r="18" spans="1:16" s="2" customFormat="1" x14ac:dyDescent="0.3">
      <c r="A18" s="243" t="s">
        <v>181</v>
      </c>
      <c r="B18" s="244"/>
      <c r="C18" s="11" t="s">
        <v>152</v>
      </c>
      <c r="D18" s="26">
        <f>Balaka!D18+Liwonde!D18+Machinga!D18+Ntaja!D18</f>
        <v>21</v>
      </c>
      <c r="E18" s="26">
        <f>Balaka!E18+Liwonde!E18+Machinga!E18+Ntaja!E18</f>
        <v>11</v>
      </c>
      <c r="F18" s="26">
        <f>Balaka!F18+Liwonde!F18+Machinga!F18+Ntaja!F18</f>
        <v>60</v>
      </c>
      <c r="G18" s="26">
        <f>Balaka!G18+Liwonde!G18+Machinga!G18+Ntaja!G18</f>
        <v>75</v>
      </c>
      <c r="H18" s="26">
        <f>Balaka!H18+Liwonde!H18+Machinga!H18+Ntaja!H18</f>
        <v>71</v>
      </c>
      <c r="I18" s="26">
        <f>Balaka!I18+Liwonde!I18+Machinga!I18+Ntaja!I18</f>
        <v>86</v>
      </c>
      <c r="J18" s="26">
        <f>Balaka!J18+Liwonde!J18+Machinga!J18+Ntaja!J18</f>
        <v>131</v>
      </c>
      <c r="K18" s="26">
        <f>Balaka!K18+Liwonde!K18+Machinga!K18+Ntaja!K18</f>
        <v>148</v>
      </c>
      <c r="L18" s="26">
        <f>Balaka!L18+Liwonde!L18+Machinga!L18+Ntaja!L18</f>
        <v>118</v>
      </c>
      <c r="M18" s="26">
        <f>Balaka!M18+Liwonde!M18+Machinga!M18+Ntaja!M18</f>
        <v>118</v>
      </c>
      <c r="N18" s="26">
        <f>Balaka!N18+Liwonde!N18+Machinga!N18+Ntaja!N18</f>
        <v>104</v>
      </c>
      <c r="O18" s="26">
        <f>Balaka!O18+Liwonde!O18+Machinga!O18+Ntaja!O18</f>
        <v>141</v>
      </c>
      <c r="P18" s="55">
        <f>SUM(D18:O18)</f>
        <v>1084</v>
      </c>
    </row>
    <row r="19" spans="1:16" s="2" customFormat="1" x14ac:dyDescent="0.3">
      <c r="A19" s="243" t="s">
        <v>182</v>
      </c>
      <c r="B19" s="244"/>
      <c r="C19" s="11" t="s">
        <v>152</v>
      </c>
      <c r="D19" s="26">
        <f>Balaka!D19+Liwonde!D19+Machinga!D19+Ntaja!D19</f>
        <v>23</v>
      </c>
      <c r="E19" s="26">
        <f>Balaka!E19+Liwonde!E19+Machinga!E19+Ntaja!E19</f>
        <v>30</v>
      </c>
      <c r="F19" s="26">
        <f>Balaka!F19+Liwonde!F19+Machinga!F19+Ntaja!F19</f>
        <v>75</v>
      </c>
      <c r="G19" s="26">
        <f>Balaka!G19+Liwonde!G19+Machinga!G19+Ntaja!G19</f>
        <v>61</v>
      </c>
      <c r="H19" s="26">
        <f>Balaka!H19+Liwonde!H19+Machinga!H19+Ntaja!H19</f>
        <v>52</v>
      </c>
      <c r="I19" s="26">
        <f>Balaka!I19+Liwonde!I19+Machinga!I19+Ntaja!I19</f>
        <v>1471</v>
      </c>
      <c r="J19" s="26">
        <f>Balaka!J19+Liwonde!J19+Machinga!J19+Ntaja!J19</f>
        <v>1550</v>
      </c>
      <c r="K19" s="26">
        <f>Balaka!K19+Liwonde!K19+Machinga!K19+Ntaja!K19</f>
        <v>1482</v>
      </c>
      <c r="L19" s="26">
        <f>Balaka!L19+Liwonde!L19+Machinga!L19+Ntaja!L19</f>
        <v>1760</v>
      </c>
      <c r="M19" s="26">
        <f>Balaka!M19+Liwonde!M19+Machinga!M19+Ntaja!M19</f>
        <v>1240</v>
      </c>
      <c r="N19" s="26">
        <f>Balaka!N19+Liwonde!N19+Machinga!N19+Ntaja!N19</f>
        <v>2168</v>
      </c>
      <c r="O19" s="26">
        <f>Balaka!O19+Liwonde!O19+Machinga!O19+Ntaja!O19</f>
        <v>437</v>
      </c>
      <c r="P19" s="55">
        <f>SUM(D19:O19)</f>
        <v>10349</v>
      </c>
    </row>
    <row r="20" spans="1:16" s="2" customFormat="1" x14ac:dyDescent="0.3">
      <c r="A20" s="237" t="s">
        <v>183</v>
      </c>
      <c r="B20" s="238"/>
      <c r="C20" s="11" t="s">
        <v>152</v>
      </c>
      <c r="D20" s="26">
        <f>Balaka!D20+Liwonde!D20+Machinga!D20+Ntaja!D20</f>
        <v>52</v>
      </c>
      <c r="E20" s="26">
        <f>Balaka!E20+Liwonde!E20+Machinga!E20+Ntaja!E20</f>
        <v>28</v>
      </c>
      <c r="F20" s="26">
        <f>Balaka!F20+Liwonde!F20+Machinga!F20+Ntaja!F20</f>
        <v>83</v>
      </c>
      <c r="G20" s="26">
        <f>Balaka!G20+Liwonde!G20+Machinga!G20+Ntaja!G20</f>
        <v>86</v>
      </c>
      <c r="H20" s="26">
        <f>Balaka!H20+Liwonde!H20+Machinga!H20+Ntaja!H20</f>
        <v>81</v>
      </c>
      <c r="I20" s="26">
        <f>Balaka!I20+Liwonde!I20+Machinga!I20+Ntaja!I20</f>
        <v>671</v>
      </c>
      <c r="J20" s="26">
        <f>Balaka!J20+Liwonde!J20+Machinga!J20+Ntaja!J20</f>
        <v>661</v>
      </c>
      <c r="K20" s="26">
        <f>Balaka!K20+Liwonde!K20+Machinga!K20+Ntaja!K20</f>
        <v>705</v>
      </c>
      <c r="L20" s="26">
        <f>Balaka!L20+Liwonde!L20+Machinga!L20+Ntaja!L20</f>
        <v>721</v>
      </c>
      <c r="M20" s="26">
        <f>Balaka!M20+Liwonde!M20+Machinga!M20+Ntaja!M20</f>
        <v>552</v>
      </c>
      <c r="N20" s="26">
        <f>Balaka!N20+Liwonde!N20+Machinga!N20+Ntaja!N20</f>
        <v>938</v>
      </c>
      <c r="O20" s="26">
        <f>Balaka!O20+Liwonde!O20+Machinga!O20+Ntaja!O20</f>
        <v>503</v>
      </c>
      <c r="P20" s="55">
        <f>SUM(D20:O20)</f>
        <v>5081</v>
      </c>
    </row>
    <row r="21" spans="1:16" s="73" customFormat="1" x14ac:dyDescent="0.3">
      <c r="A21" s="239" t="s">
        <v>184</v>
      </c>
      <c r="B21" s="240"/>
      <c r="C21" s="62" t="s">
        <v>152</v>
      </c>
      <c r="D21" s="34">
        <f>SUM(D17:D20)</f>
        <v>18369</v>
      </c>
      <c r="E21" s="34">
        <f t="shared" ref="E21:P21" si="1">SUM(E17:E20)</f>
        <v>20682</v>
      </c>
      <c r="F21" s="34">
        <f t="shared" si="1"/>
        <v>19586.400000000001</v>
      </c>
      <c r="G21" s="34">
        <f t="shared" si="1"/>
        <v>19881.8</v>
      </c>
      <c r="H21" s="34">
        <f t="shared" si="1"/>
        <v>21039</v>
      </c>
      <c r="I21" s="34">
        <f t="shared" si="1"/>
        <v>21942.9</v>
      </c>
      <c r="J21" s="34">
        <f t="shared" si="1"/>
        <v>25907</v>
      </c>
      <c r="K21" s="34">
        <f t="shared" si="1"/>
        <v>22556.7</v>
      </c>
      <c r="L21" s="34">
        <f t="shared" si="1"/>
        <v>24649.599999999999</v>
      </c>
      <c r="M21" s="34">
        <f t="shared" si="1"/>
        <v>19903</v>
      </c>
      <c r="N21" s="34">
        <f t="shared" si="1"/>
        <v>29910.880000000001</v>
      </c>
      <c r="O21" s="34">
        <f t="shared" si="1"/>
        <v>20021.3</v>
      </c>
      <c r="P21" s="55">
        <f t="shared" si="1"/>
        <v>264449.58</v>
      </c>
    </row>
    <row r="22" spans="1:16" s="2" customFormat="1" x14ac:dyDescent="0.3">
      <c r="A22" s="334" t="s">
        <v>185</v>
      </c>
      <c r="B22" s="321"/>
      <c r="C22" s="11" t="s">
        <v>152</v>
      </c>
      <c r="D22" s="34">
        <f>D21+D15</f>
        <v>69431</v>
      </c>
      <c r="E22" s="34">
        <f t="shared" ref="E22:P22" si="2">E21+E15</f>
        <v>78400</v>
      </c>
      <c r="F22" s="34">
        <f t="shared" si="2"/>
        <v>77479.399999999994</v>
      </c>
      <c r="G22" s="34">
        <f t="shared" si="2"/>
        <v>75397.8</v>
      </c>
      <c r="H22" s="34">
        <f t="shared" si="2"/>
        <v>81141</v>
      </c>
      <c r="I22" s="34">
        <f t="shared" si="2"/>
        <v>86880.9</v>
      </c>
      <c r="J22" s="34">
        <f t="shared" si="2"/>
        <v>95559</v>
      </c>
      <c r="K22" s="34">
        <f t="shared" si="2"/>
        <v>95118.7</v>
      </c>
      <c r="L22" s="34">
        <f t="shared" si="2"/>
        <v>91473.600000000006</v>
      </c>
      <c r="M22" s="34">
        <f t="shared" si="2"/>
        <v>101673</v>
      </c>
      <c r="N22" s="34">
        <f t="shared" si="2"/>
        <v>96702.88</v>
      </c>
      <c r="O22" s="34">
        <f t="shared" si="2"/>
        <v>81265.3</v>
      </c>
      <c r="P22" s="55">
        <f t="shared" si="2"/>
        <v>1030522.5800000001</v>
      </c>
    </row>
    <row r="23" spans="1:16" ht="14.4" x14ac:dyDescent="0.3">
      <c r="A23" s="336"/>
      <c r="B23" s="337"/>
      <c r="C23" s="337"/>
      <c r="D23" s="337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8"/>
    </row>
    <row r="24" spans="1:16" x14ac:dyDescent="0.3">
      <c r="A24" s="327" t="s">
        <v>179</v>
      </c>
      <c r="B24" s="37" t="s">
        <v>153</v>
      </c>
      <c r="C24" s="5" t="s">
        <v>152</v>
      </c>
      <c r="D24" s="54">
        <f>Balaka!D24+Liwonde!D24+Machinga!D24+Ntaja!D24</f>
        <v>49845</v>
      </c>
      <c r="E24" s="54">
        <f>Balaka!E24+Liwonde!E24+Machinga!E24+Ntaja!E24</f>
        <v>49628</v>
      </c>
      <c r="F24" s="54">
        <f>Balaka!F24+Liwonde!F24+Machinga!F24+Ntaja!F24</f>
        <v>50155.61</v>
      </c>
      <c r="G24" s="54">
        <f>Balaka!G24+Liwonde!G24+Machinga!G24+Ntaja!G24</f>
        <v>53493.200000000004</v>
      </c>
      <c r="H24" s="54">
        <f>Balaka!H24+Liwonde!H24+Machinga!H24+Ntaja!H24</f>
        <v>50688</v>
      </c>
      <c r="I24" s="54">
        <f>Balaka!I24+Liwonde!I24+Machinga!I24+Ntaja!I24</f>
        <v>58055.1</v>
      </c>
      <c r="J24" s="54">
        <f>Balaka!J24+Liwonde!J24+Machinga!J24+Ntaja!J24</f>
        <v>56449</v>
      </c>
      <c r="K24" s="54">
        <f>Balaka!K24+Liwonde!K24+Machinga!K24+Ntaja!K24</f>
        <v>54911.3</v>
      </c>
      <c r="L24" s="54">
        <f>Balaka!L24+Liwonde!L24+Machinga!L24+Ntaja!L24</f>
        <v>52150.099999999991</v>
      </c>
      <c r="M24" s="54">
        <f>Balaka!M24+Liwonde!M24+Machinga!M24+Ntaja!M24</f>
        <v>44069</v>
      </c>
      <c r="N24" s="54">
        <f>Balaka!N24+Liwonde!N24+Machinga!N24+Ntaja!N24</f>
        <v>37779.120000000003</v>
      </c>
      <c r="O24" s="54">
        <f>Balaka!O24+Liwonde!O24+Machinga!O24+Ntaja!O24</f>
        <v>30370.699999999997</v>
      </c>
      <c r="P24" s="100">
        <f t="shared" ref="P24" si="3">P9-P22</f>
        <v>587594.12999999989</v>
      </c>
    </row>
    <row r="25" spans="1:16" x14ac:dyDescent="0.3">
      <c r="A25" s="329"/>
      <c r="B25" s="53" t="s">
        <v>151</v>
      </c>
      <c r="C25" s="52" t="s">
        <v>6</v>
      </c>
      <c r="D25" s="51">
        <f t="shared" ref="D25:P25" si="4">D24/D9</f>
        <v>0.41789630772326369</v>
      </c>
      <c r="E25" s="51">
        <f t="shared" si="4"/>
        <v>0.38763395507232795</v>
      </c>
      <c r="F25" s="51">
        <f t="shared" si="4"/>
        <v>0.39296122592069371</v>
      </c>
      <c r="G25" s="51">
        <f t="shared" si="4"/>
        <v>0.41502665042555342</v>
      </c>
      <c r="H25" s="51">
        <f t="shared" si="4"/>
        <v>0.38449809981111893</v>
      </c>
      <c r="I25" s="51">
        <f t="shared" si="4"/>
        <v>0.40055679748302697</v>
      </c>
      <c r="J25" s="51">
        <f t="shared" si="4"/>
        <v>0.37135545497605388</v>
      </c>
      <c r="K25" s="51">
        <f t="shared" si="4"/>
        <v>0.36600213290675199</v>
      </c>
      <c r="L25" s="51">
        <f t="shared" si="4"/>
        <v>0.36310232921168295</v>
      </c>
      <c r="M25" s="51">
        <f t="shared" si="4"/>
        <v>0.30237680284338075</v>
      </c>
      <c r="N25" s="51">
        <f t="shared" si="4"/>
        <v>0.28092324623369674</v>
      </c>
      <c r="O25" s="51">
        <f t="shared" si="4"/>
        <v>0.2720511304597083</v>
      </c>
      <c r="P25" s="154">
        <f t="shared" si="4"/>
        <v>0.36313457884011341</v>
      </c>
    </row>
    <row r="26" spans="1:16" ht="14.4" x14ac:dyDescent="0.3">
      <c r="A26" s="280" t="s">
        <v>150</v>
      </c>
      <c r="B26" s="281"/>
      <c r="C26" s="281"/>
      <c r="D26" s="281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2"/>
    </row>
    <row r="27" spans="1:16" ht="14.4" x14ac:dyDescent="0.3">
      <c r="A27" s="324" t="s">
        <v>149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6"/>
    </row>
    <row r="28" spans="1:1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7"/>
      <c r="I28" s="47"/>
      <c r="J28" s="48"/>
      <c r="K28" s="48"/>
      <c r="L28" s="48"/>
      <c r="M28" s="48"/>
      <c r="N28" s="48"/>
      <c r="O28" s="47"/>
      <c r="P28" s="46"/>
    </row>
    <row r="29" spans="1:16" x14ac:dyDescent="0.3">
      <c r="A29" s="249" t="s">
        <v>146</v>
      </c>
      <c r="B29" s="579">
        <f>176264.5/50</f>
        <v>3525.29</v>
      </c>
      <c r="C29" s="5" t="s">
        <v>140</v>
      </c>
      <c r="D29" s="34">
        <f>Balaka!D29+Liwonde!D29+Machinga!D29+Ntaja!D29</f>
        <v>451</v>
      </c>
      <c r="E29" s="34">
        <f>Balaka!E29+Liwonde!E29+Machinga!E29+Ntaja!E29</f>
        <v>619</v>
      </c>
      <c r="F29" s="34">
        <f>Balaka!F29+Liwonde!F29+Machinga!F29+Ntaja!F29</f>
        <v>373</v>
      </c>
      <c r="G29" s="34">
        <f>Balaka!G29+Liwonde!G29+Machinga!G29+Ntaja!G29</f>
        <v>397</v>
      </c>
      <c r="H29" s="34">
        <f>Balaka!H29+Liwonde!H29+Machinga!H29+Ntaja!H29</f>
        <v>341</v>
      </c>
      <c r="I29" s="34">
        <f>Balaka!I29+Liwonde!I29+Machinga!I29+Ntaja!I29</f>
        <v>469</v>
      </c>
      <c r="J29" s="34">
        <f>Balaka!J29+Liwonde!J29+Machinga!J29+Ntaja!J29</f>
        <v>602</v>
      </c>
      <c r="K29" s="34">
        <f>Balaka!K29+Liwonde!K29+Machinga!K29+Ntaja!K29</f>
        <v>517</v>
      </c>
      <c r="L29" s="34">
        <f>Balaka!L29+Liwonde!L29+Machinga!L29+Ntaja!L29</f>
        <v>511</v>
      </c>
      <c r="M29" s="34">
        <f>Balaka!M29+Liwonde!M29+Machinga!M29+Ntaja!M29</f>
        <v>512</v>
      </c>
      <c r="N29" s="34">
        <f>Balaka!N29+Liwonde!N29+Machinga!N29+Ntaja!N29</f>
        <v>492</v>
      </c>
      <c r="O29" s="34">
        <f>Balaka!O29+Liwonde!O29+Machinga!O29+Ntaja!O29</f>
        <v>470</v>
      </c>
      <c r="P29" s="45">
        <f>SUM(D29:O29)</f>
        <v>5754</v>
      </c>
    </row>
    <row r="30" spans="1:16" x14ac:dyDescent="0.3">
      <c r="A30" s="250"/>
      <c r="B30" s="579"/>
      <c r="C30" s="42" t="s">
        <v>139</v>
      </c>
      <c r="D30" s="15">
        <f t="shared" ref="D30:P30" si="5">D29/(D9/1000)</f>
        <v>3.7811462490358498</v>
      </c>
      <c r="E30" s="15">
        <f t="shared" si="5"/>
        <v>4.8348798700284314</v>
      </c>
      <c r="F30" s="15">
        <f t="shared" si="5"/>
        <v>2.9223956655779633</v>
      </c>
      <c r="G30" s="15">
        <f t="shared" si="5"/>
        <v>3.0801219635195634</v>
      </c>
      <c r="H30" s="15">
        <f t="shared" si="5"/>
        <v>2.5866842652223712</v>
      </c>
      <c r="I30" s="15">
        <f t="shared" si="5"/>
        <v>3.2359110227962686</v>
      </c>
      <c r="J30" s="15">
        <f t="shared" si="5"/>
        <v>3.9603178780064203</v>
      </c>
      <c r="K30" s="15">
        <f t="shared" si="5"/>
        <v>3.4459774711724322</v>
      </c>
      <c r="L30" s="15">
        <f t="shared" si="5"/>
        <v>3.5579086181458908</v>
      </c>
      <c r="M30" s="15">
        <f t="shared" si="5"/>
        <v>3.5130573204704207</v>
      </c>
      <c r="N30" s="15">
        <f t="shared" si="5"/>
        <v>3.6584821760533006</v>
      </c>
      <c r="O30" s="15">
        <f t="shared" si="5"/>
        <v>4.2101114335877314</v>
      </c>
      <c r="P30" s="103">
        <f t="shared" si="5"/>
        <v>3.555985773115216</v>
      </c>
    </row>
    <row r="31" spans="1:16" x14ac:dyDescent="0.3">
      <c r="A31" s="247" t="s">
        <v>145</v>
      </c>
      <c r="B31" s="579">
        <f>53000.511/50</f>
        <v>1060.0102199999999</v>
      </c>
      <c r="C31" s="5" t="s">
        <v>140</v>
      </c>
      <c r="D31" s="34">
        <f>Balaka!D31+Liwonde!D31+Machinga!D31+Ntaja!D31</f>
        <v>0</v>
      </c>
      <c r="E31" s="34">
        <f>Balaka!E31+Liwonde!E31+Machinga!E31+Ntaja!E31</f>
        <v>0</v>
      </c>
      <c r="F31" s="34">
        <f>Balaka!F31+Liwonde!F31+Machinga!F31+Ntaja!F31</f>
        <v>0</v>
      </c>
      <c r="G31" s="34">
        <f>Balaka!G31+Liwonde!G31+Machinga!G31+Ntaja!G31</f>
        <v>0</v>
      </c>
      <c r="H31" s="34">
        <f>Balaka!H31+Liwonde!H31+Machinga!H31+Ntaja!H31</f>
        <v>0</v>
      </c>
      <c r="I31" s="34">
        <f>Balaka!I31+Liwonde!I31+Machinga!I31+Ntaja!I31</f>
        <v>0</v>
      </c>
      <c r="J31" s="34">
        <f>Balaka!J31+Liwonde!J31+Machinga!J31+Ntaja!J31</f>
        <v>0</v>
      </c>
      <c r="K31" s="34">
        <f>Balaka!K31+Liwonde!K31+Machinga!K31+Ntaja!K31</f>
        <v>0</v>
      </c>
      <c r="L31" s="34">
        <f>Balaka!L31+Liwonde!L31+Machinga!L31+Ntaja!L31</f>
        <v>0</v>
      </c>
      <c r="M31" s="34">
        <f>Balaka!M31+Liwonde!M31+Machinga!M31+Ntaja!M31</f>
        <v>0</v>
      </c>
      <c r="N31" s="34">
        <f>Balaka!N31+Liwonde!N31+Machinga!N31+Ntaja!N31</f>
        <v>0</v>
      </c>
      <c r="O31" s="34">
        <f>Balaka!O31+Liwonde!O31+Machinga!O31+Ntaja!O31</f>
        <v>0</v>
      </c>
      <c r="P31" s="45">
        <f>SUM(D31:O31)</f>
        <v>0</v>
      </c>
    </row>
    <row r="32" spans="1:16" x14ac:dyDescent="0.3">
      <c r="A32" s="248"/>
      <c r="B32" s="579"/>
      <c r="C32" s="42" t="s">
        <v>139</v>
      </c>
      <c r="D32" s="15">
        <f t="shared" ref="D32:P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0</v>
      </c>
      <c r="P32" s="103">
        <f t="shared" si="6"/>
        <v>0</v>
      </c>
    </row>
    <row r="33" spans="1:16" x14ac:dyDescent="0.3">
      <c r="A33" s="247" t="s">
        <v>144</v>
      </c>
      <c r="B33" s="579">
        <f>61414.43/50</f>
        <v>1228.2886000000001</v>
      </c>
      <c r="C33" s="5" t="s">
        <v>140</v>
      </c>
      <c r="D33" s="34">
        <f>Balaka!D33+Liwonde!D33+Machinga!D33+Ntaja!D33</f>
        <v>0</v>
      </c>
      <c r="E33" s="34">
        <f>Balaka!E33+Liwonde!E33+Machinga!E33+Ntaja!E33</f>
        <v>0</v>
      </c>
      <c r="F33" s="34">
        <f>Balaka!F33+Liwonde!F33+Machinga!F33+Ntaja!F33</f>
        <v>0</v>
      </c>
      <c r="G33" s="34">
        <f>Balaka!G33+Liwonde!G33+Machinga!G33+Ntaja!G33</f>
        <v>0</v>
      </c>
      <c r="H33" s="34">
        <f>Balaka!H33+Liwonde!H33+Machinga!H33+Ntaja!H33</f>
        <v>0</v>
      </c>
      <c r="I33" s="34">
        <f>Balaka!I33+Liwonde!I33+Machinga!I33+Ntaja!I33</f>
        <v>0</v>
      </c>
      <c r="J33" s="34">
        <f>Balaka!J33+Liwonde!J33+Machinga!J33+Ntaja!J33</f>
        <v>0</v>
      </c>
      <c r="K33" s="34">
        <f>Balaka!K33+Liwonde!K33+Machinga!K33+Ntaja!K33</f>
        <v>0</v>
      </c>
      <c r="L33" s="34">
        <f>Balaka!L33+Liwonde!L33+Machinga!L33+Ntaja!L33</f>
        <v>0</v>
      </c>
      <c r="M33" s="34">
        <f>Balaka!M33+Liwonde!M33+Machinga!M33+Ntaja!M33</f>
        <v>0</v>
      </c>
      <c r="N33" s="34">
        <f>Balaka!N33+Liwonde!N33+Machinga!N33+Ntaja!N33</f>
        <v>0</v>
      </c>
      <c r="O33" s="34">
        <f>Balaka!O33+Liwonde!O33+Machinga!O33+Ntaja!O33</f>
        <v>0</v>
      </c>
      <c r="P33" s="45">
        <f>SUM(D33:O33)</f>
        <v>0</v>
      </c>
    </row>
    <row r="34" spans="1:16" x14ac:dyDescent="0.3">
      <c r="A34" s="248"/>
      <c r="B34" s="579"/>
      <c r="C34" s="42" t="s">
        <v>139</v>
      </c>
      <c r="D34" s="15">
        <f t="shared" ref="D34:P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5">
        <f t="shared" si="7"/>
        <v>0</v>
      </c>
      <c r="N34" s="15">
        <f t="shared" si="7"/>
        <v>0</v>
      </c>
      <c r="O34" s="15">
        <f t="shared" si="7"/>
        <v>0</v>
      </c>
      <c r="P34" s="103">
        <f t="shared" si="7"/>
        <v>0</v>
      </c>
    </row>
    <row r="35" spans="1:16" x14ac:dyDescent="0.3">
      <c r="A35" s="247" t="s">
        <v>143</v>
      </c>
      <c r="B35" s="579">
        <f>745345.16/200</f>
        <v>3726.7258000000002</v>
      </c>
      <c r="C35" s="5" t="s">
        <v>126</v>
      </c>
      <c r="D35" s="34">
        <f>Balaka!D35+Liwonde!D35+Machinga!D35+Ntaja!D35</f>
        <v>0</v>
      </c>
      <c r="E35" s="34">
        <f>Balaka!E35+Liwonde!E35+Machinga!E35+Ntaja!E35</f>
        <v>248</v>
      </c>
      <c r="F35" s="34">
        <f>Balaka!F35+Liwonde!F35+Machinga!F35+Ntaja!F35</f>
        <v>301</v>
      </c>
      <c r="G35" s="34">
        <f>Balaka!G35+Liwonde!G35+Machinga!G35+Ntaja!G35</f>
        <v>224</v>
      </c>
      <c r="H35" s="34">
        <f>Balaka!H35+Liwonde!H35+Machinga!H35+Ntaja!H35</f>
        <v>139</v>
      </c>
      <c r="I35" s="34">
        <f>Balaka!I35+Liwonde!I35+Machinga!I35+Ntaja!I35</f>
        <v>155</v>
      </c>
      <c r="J35" s="34">
        <f>Balaka!J35+Liwonde!J35+Machinga!J35+Ntaja!J35</f>
        <v>143</v>
      </c>
      <c r="K35" s="34">
        <f>Balaka!K35+Liwonde!K35+Machinga!K35+Ntaja!K35</f>
        <v>110</v>
      </c>
      <c r="L35" s="34">
        <f>Balaka!L35+Liwonde!L35+Machinga!L35+Ntaja!L35</f>
        <v>141</v>
      </c>
      <c r="M35" s="34">
        <f>Balaka!M35+Liwonde!M35+Machinga!M35+Ntaja!M35</f>
        <v>473</v>
      </c>
      <c r="N35" s="34">
        <f>Balaka!N35+Liwonde!N35+Machinga!N35+Ntaja!N35</f>
        <v>555</v>
      </c>
      <c r="O35" s="34">
        <f>Balaka!O35+Liwonde!O35+Machinga!O35+Ntaja!O35</f>
        <v>465</v>
      </c>
      <c r="P35" s="103"/>
    </row>
    <row r="36" spans="1:16" x14ac:dyDescent="0.3">
      <c r="A36" s="248"/>
      <c r="B36" s="579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03"/>
    </row>
    <row r="37" spans="1:16" x14ac:dyDescent="0.3">
      <c r="A37" s="247" t="s">
        <v>186</v>
      </c>
      <c r="B37" s="579">
        <f>790318.72/200</f>
        <v>3951.5935999999997</v>
      </c>
      <c r="C37" s="5" t="s">
        <v>126</v>
      </c>
      <c r="D37" s="34">
        <f>Balaka!D37+Liwonde!D37+Machinga!D37+Ntaja!D37</f>
        <v>0</v>
      </c>
      <c r="E37" s="34">
        <f>Balaka!E37+Liwonde!E37+Machinga!E37+Ntaja!E37</f>
        <v>0</v>
      </c>
      <c r="F37" s="34">
        <f>Balaka!F37+Liwonde!F37+Machinga!F37+Ntaja!F37</f>
        <v>0</v>
      </c>
      <c r="G37" s="34">
        <f>Balaka!G37+Liwonde!G37+Machinga!G37+Ntaja!G37</f>
        <v>0</v>
      </c>
      <c r="H37" s="34">
        <f>Balaka!H37+Liwonde!H37+Machinga!H37+Ntaja!H37</f>
        <v>0</v>
      </c>
      <c r="I37" s="34">
        <f>Balaka!I37+Liwonde!I37+Machinga!I37+Ntaja!I37</f>
        <v>0</v>
      </c>
      <c r="J37" s="34">
        <f>Balaka!J37+Liwonde!J37+Machinga!J37+Ntaja!J37</f>
        <v>0</v>
      </c>
      <c r="K37" s="34">
        <f>Balaka!K37+Liwonde!K37+Machinga!K37+Ntaja!K37</f>
        <v>0</v>
      </c>
      <c r="L37" s="34">
        <f>Balaka!L37+Liwonde!L37+Machinga!L37+Ntaja!L37</f>
        <v>0</v>
      </c>
      <c r="M37" s="34">
        <f>Balaka!M37+Liwonde!M37+Machinga!M37+Ntaja!M37</f>
        <v>0</v>
      </c>
      <c r="N37" s="34">
        <f>Balaka!N37+Liwonde!N37+Machinga!N37+Ntaja!N37</f>
        <v>0</v>
      </c>
      <c r="O37" s="34">
        <f>Balaka!O37+Liwonde!O37+Machinga!O37+Ntaja!O37</f>
        <v>0</v>
      </c>
      <c r="P37" s="45">
        <f>SUM(D37:O37)</f>
        <v>0</v>
      </c>
    </row>
    <row r="38" spans="1:16" x14ac:dyDescent="0.3">
      <c r="A38" s="248"/>
      <c r="B38" s="579"/>
      <c r="C38" s="5" t="s">
        <v>142</v>
      </c>
      <c r="D38" s="15">
        <f t="shared" ref="D38:P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5">
        <f t="shared" si="8"/>
        <v>0</v>
      </c>
      <c r="I38" s="15">
        <f t="shared" si="8"/>
        <v>0</v>
      </c>
      <c r="J38" s="15">
        <f t="shared" si="8"/>
        <v>0</v>
      </c>
      <c r="K38" s="15">
        <f t="shared" si="8"/>
        <v>0</v>
      </c>
      <c r="L38" s="15">
        <f t="shared" si="8"/>
        <v>0</v>
      </c>
      <c r="M38" s="15">
        <f t="shared" si="8"/>
        <v>0</v>
      </c>
      <c r="N38" s="15">
        <f t="shared" si="8"/>
        <v>0</v>
      </c>
      <c r="O38" s="15">
        <f t="shared" si="8"/>
        <v>0</v>
      </c>
      <c r="P38" s="103">
        <f t="shared" si="8"/>
        <v>0</v>
      </c>
    </row>
    <row r="39" spans="1:16" x14ac:dyDescent="0.3">
      <c r="A39" s="247" t="s">
        <v>141</v>
      </c>
      <c r="B39" s="579">
        <v>1950</v>
      </c>
      <c r="C39" s="5" t="s">
        <v>140</v>
      </c>
      <c r="D39" s="34">
        <f>Balaka!D39+Liwonde!D39+Machinga!D39+Ntaja!D39</f>
        <v>0</v>
      </c>
      <c r="E39" s="34">
        <f>Balaka!E39+Liwonde!E39+Machinga!E39+Ntaja!E39</f>
        <v>0</v>
      </c>
      <c r="F39" s="34">
        <f>Balaka!F39+Liwonde!F39+Machinga!F39+Ntaja!F39</f>
        <v>0</v>
      </c>
      <c r="G39" s="34">
        <f>Balaka!G39+Liwonde!G39+Machinga!G39+Ntaja!G39</f>
        <v>0</v>
      </c>
      <c r="H39" s="34">
        <f>Balaka!H39+Liwonde!H39+Machinga!H39+Ntaja!H39</f>
        <v>0</v>
      </c>
      <c r="I39" s="34">
        <f>Balaka!I39+Liwonde!I39+Machinga!I39+Ntaja!I39</f>
        <v>0</v>
      </c>
      <c r="J39" s="34">
        <f>Balaka!J39+Liwonde!J39+Machinga!J39+Ntaja!J39</f>
        <v>0</v>
      </c>
      <c r="K39" s="34">
        <f>Balaka!K39+Liwonde!K39+Machinga!K39+Ntaja!K39</f>
        <v>0</v>
      </c>
      <c r="L39" s="34">
        <f>Balaka!L39+Liwonde!L39+Machinga!L39+Ntaja!L39</f>
        <v>0</v>
      </c>
      <c r="M39" s="34">
        <f>Balaka!M39+Liwonde!M39+Machinga!M39+Ntaja!M39</f>
        <v>0</v>
      </c>
      <c r="N39" s="34">
        <f>Balaka!N39+Liwonde!N39+Machinga!N39+Ntaja!N39</f>
        <v>0</v>
      </c>
      <c r="O39" s="34">
        <f>Balaka!O39+Liwonde!O39+Machinga!O39+Ntaja!O39</f>
        <v>0</v>
      </c>
      <c r="P39" s="45">
        <f>SUM(D39:O39)</f>
        <v>0</v>
      </c>
    </row>
    <row r="40" spans="1:16" x14ac:dyDescent="0.3">
      <c r="A40" s="248"/>
      <c r="B40" s="579"/>
      <c r="C40" s="42" t="s">
        <v>139</v>
      </c>
      <c r="D40" s="15">
        <f t="shared" ref="D40:P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  <c r="N40" s="15">
        <f t="shared" si="9"/>
        <v>0</v>
      </c>
      <c r="O40" s="15">
        <f t="shared" si="9"/>
        <v>0</v>
      </c>
      <c r="P40" s="103">
        <f t="shared" si="9"/>
        <v>0</v>
      </c>
    </row>
    <row r="41" spans="1:16" x14ac:dyDescent="0.3">
      <c r="A41" s="237" t="s">
        <v>138</v>
      </c>
      <c r="B41" s="238"/>
      <c r="C41" s="11" t="s">
        <v>31</v>
      </c>
      <c r="D41" s="41">
        <f>(D29*$B29)+(D31*$B31)+(D33*$B33)+(D35*$B35)+(D37*$B37)+(D39*$B39)</f>
        <v>1589905.79</v>
      </c>
      <c r="E41" s="41">
        <f t="shared" ref="E41:O41" si="10">(E29*$B29)+(E31*$B31)+(E33*$B33)+(E35*$B35)+(E37*$B37)+(E39*$B39)</f>
        <v>3106382.5083999997</v>
      </c>
      <c r="F41" s="41">
        <f t="shared" si="10"/>
        <v>2436677.6358000003</v>
      </c>
      <c r="G41" s="41">
        <f t="shared" si="10"/>
        <v>2234326.7091999999</v>
      </c>
      <c r="H41" s="41">
        <f t="shared" si="10"/>
        <v>1720138.7762</v>
      </c>
      <c r="I41" s="41">
        <f t="shared" si="10"/>
        <v>2231003.5090000001</v>
      </c>
      <c r="J41" s="41">
        <f t="shared" si="10"/>
        <v>2655146.3694000002</v>
      </c>
      <c r="K41" s="41">
        <f t="shared" si="10"/>
        <v>2232514.7680000002</v>
      </c>
      <c r="L41" s="41">
        <f t="shared" si="10"/>
        <v>2326891.5277999998</v>
      </c>
      <c r="M41" s="41">
        <f t="shared" si="10"/>
        <v>3567689.7834000001</v>
      </c>
      <c r="N41" s="41">
        <f t="shared" si="10"/>
        <v>3802775.4989999998</v>
      </c>
      <c r="O41" s="41">
        <f t="shared" si="10"/>
        <v>3389813.7970000003</v>
      </c>
      <c r="P41" s="39">
        <f>SUM(D41:O41)</f>
        <v>31293266.673199996</v>
      </c>
    </row>
    <row r="42" spans="1:16" x14ac:dyDescent="0.3">
      <c r="A42" s="256" t="s">
        <v>137</v>
      </c>
      <c r="B42" s="257"/>
      <c r="C42" s="42" t="s">
        <v>115</v>
      </c>
      <c r="D42" s="15">
        <f t="shared" ref="D42:P42" si="11">D41/D9</f>
        <v>13.329637060263591</v>
      </c>
      <c r="E42" s="15">
        <f t="shared" si="11"/>
        <v>24.263305748742461</v>
      </c>
      <c r="F42" s="15">
        <f t="shared" si="11"/>
        <v>19.090981665610403</v>
      </c>
      <c r="G42" s="15">
        <f t="shared" si="11"/>
        <v>17.335009497947876</v>
      </c>
      <c r="H42" s="15">
        <f t="shared" si="11"/>
        <v>13.048257790015853</v>
      </c>
      <c r="I42" s="15">
        <f t="shared" si="11"/>
        <v>15.393025259424849</v>
      </c>
      <c r="J42" s="15">
        <f t="shared" si="11"/>
        <v>17.467148896110732</v>
      </c>
      <c r="K42" s="15">
        <f t="shared" si="11"/>
        <v>14.880455695527562</v>
      </c>
      <c r="L42" s="15">
        <f t="shared" si="11"/>
        <v>16.201306106164928</v>
      </c>
      <c r="M42" s="15">
        <f t="shared" si="11"/>
        <v>24.479489669415816</v>
      </c>
      <c r="N42" s="15">
        <f t="shared" si="11"/>
        <v>28.277208094763612</v>
      </c>
      <c r="O42" s="15">
        <f t="shared" si="11"/>
        <v>30.364880477623707</v>
      </c>
      <c r="P42" s="44">
        <f t="shared" si="11"/>
        <v>19.339313709454245</v>
      </c>
    </row>
    <row r="43" spans="1:16" ht="14.4" x14ac:dyDescent="0.3">
      <c r="A43" s="251" t="s">
        <v>136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3"/>
    </row>
    <row r="44" spans="1:16" x14ac:dyDescent="0.3">
      <c r="A44" s="237" t="s">
        <v>135</v>
      </c>
      <c r="B44" s="238"/>
      <c r="C44" s="11" t="s">
        <v>134</v>
      </c>
      <c r="D44" s="34">
        <f>Balaka!D44+Liwonde!D44+Machinga!D44+Ntaja!D44</f>
        <v>94959.34</v>
      </c>
      <c r="E44" s="34">
        <f>Balaka!E44+Liwonde!E44+Machinga!E44+Ntaja!E44</f>
        <v>122031</v>
      </c>
      <c r="F44" s="34">
        <f>Balaka!F44+Liwonde!F44+Machinga!F44+Ntaja!F44</f>
        <v>119089.35</v>
      </c>
      <c r="G44" s="34">
        <f>Balaka!G44+Liwonde!G44+Machinga!G44+Ntaja!G44</f>
        <v>119114.36</v>
      </c>
      <c r="H44" s="34">
        <f>Balaka!H44+Liwonde!H44+Machinga!H44+Ntaja!H44</f>
        <v>109106.46</v>
      </c>
      <c r="I44" s="34">
        <f>Balaka!I44+Liwonde!I44+Machinga!I44+Ntaja!I44</f>
        <v>125227.09</v>
      </c>
      <c r="J44" s="34">
        <f>Balaka!J44+Liwonde!J44+Machinga!J44+Ntaja!J44</f>
        <v>119940.54000000001</v>
      </c>
      <c r="K44" s="34">
        <f>Balaka!K44+Liwonde!K44+Machinga!K44+Ntaja!K44</f>
        <v>89217.799999999988</v>
      </c>
      <c r="L44" s="34">
        <f>Balaka!L44+Liwonde!L44+Machinga!L44+Ntaja!L44</f>
        <v>138616.46000000002</v>
      </c>
      <c r="M44" s="34">
        <f>Balaka!M44+Liwonde!M44+Machinga!M44+Ntaja!M44</f>
        <v>94782.209999999905</v>
      </c>
      <c r="N44" s="34">
        <f>Balaka!N44+Liwonde!N44+Machinga!N44+Ntaja!N44</f>
        <v>86498.69</v>
      </c>
      <c r="O44" s="34">
        <f>Balaka!O44+Liwonde!O44+Machinga!O44+Ntaja!O44</f>
        <v>114672.77000000003</v>
      </c>
      <c r="P44" s="39">
        <f>SUM(D44:O44)</f>
        <v>1333256.0699999998</v>
      </c>
    </row>
    <row r="45" spans="1:16" x14ac:dyDescent="0.3">
      <c r="A45" s="256" t="s">
        <v>133</v>
      </c>
      <c r="B45" s="257"/>
      <c r="C45" s="42" t="s">
        <v>132</v>
      </c>
      <c r="D45" s="15">
        <f t="shared" ref="D45:P45" si="12">D44/D9</f>
        <v>0.79613115798651868</v>
      </c>
      <c r="E45" s="15">
        <f t="shared" si="12"/>
        <v>0.95315868403786674</v>
      </c>
      <c r="F45" s="15">
        <f t="shared" si="12"/>
        <v>0.93304611328819587</v>
      </c>
      <c r="G45" s="15">
        <f t="shared" si="12"/>
        <v>0.9241480010241212</v>
      </c>
      <c r="H45" s="15">
        <f t="shared" si="12"/>
        <v>0.8276362560589855</v>
      </c>
      <c r="I45" s="15">
        <f t="shared" si="12"/>
        <v>0.86401646243859354</v>
      </c>
      <c r="J45" s="15">
        <f t="shared" si="12"/>
        <v>0.78904097152781438</v>
      </c>
      <c r="K45" s="15">
        <f t="shared" si="12"/>
        <v>0.59466640005332261</v>
      </c>
      <c r="L45" s="15">
        <f t="shared" si="12"/>
        <v>0.96513639462010803</v>
      </c>
      <c r="M45" s="15">
        <f t="shared" si="12"/>
        <v>0.65034245447434447</v>
      </c>
      <c r="N45" s="15">
        <f t="shared" si="12"/>
        <v>0.64319901548162584</v>
      </c>
      <c r="O45" s="15">
        <f t="shared" si="12"/>
        <v>1.0272024257408008</v>
      </c>
      <c r="P45" s="103">
        <f t="shared" si="12"/>
        <v>0.82395544262069942</v>
      </c>
    </row>
    <row r="46" spans="1:16" x14ac:dyDescent="0.3">
      <c r="A46" s="254" t="s">
        <v>131</v>
      </c>
      <c r="B46" s="255"/>
      <c r="C46" s="5" t="s">
        <v>31</v>
      </c>
      <c r="D46" s="34">
        <f>Balaka!D46+Liwonde!D46+Machinga!D46+Ntaja!D46</f>
        <v>13241456.864010001</v>
      </c>
      <c r="E46" s="34">
        <f>Balaka!E46+Liwonde!E46+Machinga!E46+Ntaja!E46</f>
        <v>16997690.296500001</v>
      </c>
      <c r="F46" s="34">
        <f>Balaka!F46+Liwonde!F46+Machinga!F46+Ntaja!F46</f>
        <v>16589531.946525</v>
      </c>
      <c r="G46" s="34">
        <f>Balaka!G46+Liwonde!G46+Machinga!G46+Ntaja!G46</f>
        <v>16593002.121540001</v>
      </c>
      <c r="H46" s="34">
        <f>Balaka!H46+Liwonde!H46+Machinga!H46+Ntaja!H46</f>
        <v>18317501.216650005</v>
      </c>
      <c r="I46" s="34">
        <f>Balaka!I46+Liwonde!I46+Machinga!I46+Ntaja!I46</f>
        <v>21012507.838474996</v>
      </c>
      <c r="J46" s="34">
        <f>Balaka!J46+Liwonde!J46+Machinga!J46+Ntaja!J46</f>
        <v>20128715.625850003</v>
      </c>
      <c r="K46" s="34">
        <f>Balaka!K46+Liwonde!K46+Machinga!K46+Ntaja!K46</f>
        <v>14992564.759499997</v>
      </c>
      <c r="L46" s="34">
        <f>Balaka!L46+Liwonde!L46+Machinga!L46+Ntaja!L46</f>
        <v>23001647.58915</v>
      </c>
      <c r="M46" s="34">
        <f>Balaka!M46+Liwonde!M46+Machinga!M46+Ntaja!M46</f>
        <v>15642840.189774986</v>
      </c>
      <c r="N46" s="34">
        <f>Balaka!N46+Liwonde!N46+Machinga!N46+Ntaja!N46</f>
        <v>18786442.199974999</v>
      </c>
      <c r="O46" s="34">
        <f>Balaka!O46+Liwonde!O46+Machinga!O46+Ntaja!O46</f>
        <v>17613872.589175005</v>
      </c>
      <c r="P46" s="39">
        <f>SUM(D46:O46)</f>
        <v>212917773.23712507</v>
      </c>
    </row>
    <row r="47" spans="1:16" s="2" customFormat="1" x14ac:dyDescent="0.3">
      <c r="A47" s="237" t="s">
        <v>130</v>
      </c>
      <c r="B47" s="238"/>
      <c r="C47" s="11" t="s">
        <v>115</v>
      </c>
      <c r="D47" s="15">
        <f t="shared" ref="D47:P47" si="13">D46/D9</f>
        <v>111.01526597144439</v>
      </c>
      <c r="E47" s="15">
        <f t="shared" si="13"/>
        <v>132.76541300731091</v>
      </c>
      <c r="F47" s="15">
        <f t="shared" si="13"/>
        <v>129.97634384582256</v>
      </c>
      <c r="G47" s="15">
        <f t="shared" si="13"/>
        <v>128.73670094529487</v>
      </c>
      <c r="H47" s="15">
        <f t="shared" si="13"/>
        <v>138.94895066070444</v>
      </c>
      <c r="I47" s="15">
        <f t="shared" si="13"/>
        <v>144.97783737977448</v>
      </c>
      <c r="J47" s="15">
        <f t="shared" si="13"/>
        <v>132.4187912863139</v>
      </c>
      <c r="K47" s="15">
        <f t="shared" si="13"/>
        <v>99.93044564087181</v>
      </c>
      <c r="L47" s="15">
        <f t="shared" si="13"/>
        <v>160.15217258119654</v>
      </c>
      <c r="M47" s="15">
        <f t="shared" si="13"/>
        <v>107.33241062819906</v>
      </c>
      <c r="N47" s="15">
        <f t="shared" si="13"/>
        <v>139.69484540663433</v>
      </c>
      <c r="O47" s="15">
        <f t="shared" si="13"/>
        <v>157.77950293073027</v>
      </c>
      <c r="P47" s="103">
        <f t="shared" si="13"/>
        <v>131.58369351313669</v>
      </c>
    </row>
    <row r="48" spans="1:16" ht="14.4" x14ac:dyDescent="0.3">
      <c r="A48" s="251" t="s">
        <v>129</v>
      </c>
      <c r="B48" s="252"/>
      <c r="C48" s="252"/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3"/>
    </row>
    <row r="49" spans="1:16" x14ac:dyDescent="0.3">
      <c r="A49" s="237" t="s">
        <v>128</v>
      </c>
      <c r="B49" s="238"/>
      <c r="C49" s="5" t="s">
        <v>127</v>
      </c>
      <c r="D49" s="34">
        <f>Balaka!D49+Liwonde!D49+Machinga!D49+Ntaja!D49</f>
        <v>3854</v>
      </c>
      <c r="E49" s="34">
        <f>Balaka!E49+Liwonde!E49+Machinga!E49+Ntaja!E49</f>
        <v>4463</v>
      </c>
      <c r="F49" s="34">
        <f>Balaka!F49+Liwonde!F49+Machinga!F49+Ntaja!F49</f>
        <v>5796</v>
      </c>
      <c r="G49" s="34">
        <f>Balaka!G49+Liwonde!G49+Machinga!G49+Ntaja!G49</f>
        <v>5895</v>
      </c>
      <c r="H49" s="34">
        <f>Balaka!H49+Liwonde!H49+Machinga!H49+Ntaja!H49</f>
        <v>5096</v>
      </c>
      <c r="I49" s="34">
        <f>Balaka!I49+Liwonde!I49+Machinga!I49+Ntaja!I49</f>
        <v>5467</v>
      </c>
      <c r="J49" s="34">
        <f>Balaka!J49+Liwonde!J49+Machinga!J49+Ntaja!J49</f>
        <v>3804</v>
      </c>
      <c r="K49" s="34">
        <f>Balaka!K49+Liwonde!K49+Machinga!K49+Ntaja!K49</f>
        <v>4088</v>
      </c>
      <c r="L49" s="34">
        <f>Balaka!L49+Liwonde!L49+Machinga!L49+Ntaja!L49</f>
        <v>4761</v>
      </c>
      <c r="M49" s="34">
        <f>Balaka!M49+Liwonde!M49+Machinga!M49+Ntaja!M49</f>
        <v>1430</v>
      </c>
      <c r="N49" s="34">
        <f>Balaka!N49+Liwonde!N49+Machinga!N49+Ntaja!N49</f>
        <v>1120</v>
      </c>
      <c r="O49" s="34">
        <f>Balaka!O49+Liwonde!O49+Machinga!O49+Ntaja!O49</f>
        <v>3257</v>
      </c>
      <c r="P49" s="39">
        <f>SUM(D49:O49)</f>
        <v>49031</v>
      </c>
    </row>
    <row r="50" spans="1:16" x14ac:dyDescent="0.3">
      <c r="A50" s="237" t="s">
        <v>187</v>
      </c>
      <c r="B50" s="238"/>
      <c r="C50" s="5" t="s">
        <v>126</v>
      </c>
      <c r="D50" s="34">
        <f>Balaka!D50+Liwonde!D50+Machinga!D50+Ntaja!D50</f>
        <v>430</v>
      </c>
      <c r="E50" s="34">
        <f>Balaka!E50+Liwonde!E50+Machinga!E50+Ntaja!E50</f>
        <v>487</v>
      </c>
      <c r="F50" s="34">
        <f>Balaka!F50+Liwonde!F50+Machinga!F50+Ntaja!F50</f>
        <v>459</v>
      </c>
      <c r="G50" s="34">
        <f>Balaka!G50+Liwonde!G50+Machinga!G50+Ntaja!G50</f>
        <v>471</v>
      </c>
      <c r="H50" s="34">
        <f>Balaka!H50+Liwonde!H50+Machinga!H50+Ntaja!H50</f>
        <v>513.86</v>
      </c>
      <c r="I50" s="34">
        <f>Balaka!I50+Liwonde!I50+Machinga!I50+Ntaja!I50</f>
        <v>530</v>
      </c>
      <c r="J50" s="34">
        <f>Balaka!J50+Liwonde!J50+Machinga!J50+Ntaja!J50</f>
        <v>466.7</v>
      </c>
      <c r="K50" s="34">
        <f>Balaka!K50+Liwonde!K50+Machinga!K50+Ntaja!K50</f>
        <v>561</v>
      </c>
      <c r="L50" s="34">
        <f>Balaka!L50+Liwonde!L50+Machinga!L50+Ntaja!L50</f>
        <v>518.33000000000004</v>
      </c>
      <c r="M50" s="34">
        <f>Balaka!M50+Liwonde!M50+Machinga!M50+Ntaja!M50</f>
        <v>141</v>
      </c>
      <c r="N50" s="34">
        <f>Balaka!N50+Liwonde!N50+Machinga!N50+Ntaja!N50</f>
        <v>114.29</v>
      </c>
      <c r="O50" s="34">
        <f>Balaka!O50+Liwonde!O50+Machinga!O50+Ntaja!O50</f>
        <v>331</v>
      </c>
      <c r="P50" s="39">
        <f>SUM(D50:O50)</f>
        <v>5023.18</v>
      </c>
    </row>
    <row r="51" spans="1:16" x14ac:dyDescent="0.3">
      <c r="A51" s="254" t="s">
        <v>125</v>
      </c>
      <c r="B51" s="255"/>
      <c r="C51" s="5" t="s">
        <v>31</v>
      </c>
      <c r="D51" s="34">
        <f>Balaka!D51+Liwonde!D51+Machinga!D51+Ntaja!D51</f>
        <v>801040</v>
      </c>
      <c r="E51" s="34">
        <f>Balaka!E51+Liwonde!E51+Machinga!E51+Ntaja!E51</f>
        <v>900240</v>
      </c>
      <c r="F51" s="34">
        <f>Balaka!F51+Liwonde!F51+Machinga!F51+Ntaja!F51</f>
        <v>883080</v>
      </c>
      <c r="G51" s="34">
        <f>Balaka!G51+Liwonde!G51+Machinga!G51+Ntaja!G51</f>
        <v>1140570</v>
      </c>
      <c r="H51" s="34">
        <f>Balaka!H51+Liwonde!H51+Machinga!H51+Ntaja!H51</f>
        <v>930811.2</v>
      </c>
      <c r="I51" s="34">
        <f>Balaka!I51+Liwonde!I51+Machinga!I51+Ntaja!I51</f>
        <v>1014990</v>
      </c>
      <c r="J51" s="34">
        <f>Balaka!J51+Liwonde!J51+Machinga!J51+Ntaja!J51</f>
        <v>896064</v>
      </c>
      <c r="K51" s="34">
        <f>Balaka!K51+Liwonde!K51+Machinga!K51+Ntaja!K51</f>
        <v>1528381.6800000002</v>
      </c>
      <c r="L51" s="34">
        <f>Balaka!L51+Liwonde!L51+Machinga!L51+Ntaja!L51</f>
        <v>1968480</v>
      </c>
      <c r="M51" s="34">
        <f>Balaka!M51+Liwonde!M51+Machinga!M51+Ntaja!M51</f>
        <v>270720</v>
      </c>
      <c r="N51" s="34">
        <f>Balaka!N51+Liwonde!N51+Machinga!N51+Ntaja!N51</f>
        <v>2221480</v>
      </c>
      <c r="O51" s="34">
        <f>Balaka!O51+Liwonde!O51+Machinga!O51+Ntaja!O51</f>
        <v>627840</v>
      </c>
      <c r="P51" s="40">
        <f>SUM(D51:O51)</f>
        <v>13183696.880000001</v>
      </c>
    </row>
    <row r="52" spans="1:16" x14ac:dyDescent="0.3">
      <c r="A52" s="237" t="s">
        <v>124</v>
      </c>
      <c r="B52" s="238"/>
      <c r="C52" s="5" t="s">
        <v>31</v>
      </c>
      <c r="D52" s="34">
        <f>Balaka!D52+Liwonde!D52+Machinga!D52+Ntaja!D52</f>
        <v>0</v>
      </c>
      <c r="E52" s="34">
        <f>Balaka!E52+Liwonde!E52+Machinga!E52+Ntaja!E52</f>
        <v>0</v>
      </c>
      <c r="F52" s="34">
        <f>Balaka!F52+Liwonde!F52+Machinga!F52+Ntaja!F52</f>
        <v>0</v>
      </c>
      <c r="G52" s="34">
        <f>Balaka!G52+Liwonde!G52+Machinga!G52+Ntaja!G52</f>
        <v>0</v>
      </c>
      <c r="H52" s="34">
        <f>Balaka!H52+Liwonde!H52+Machinga!H52+Ntaja!H52</f>
        <v>0</v>
      </c>
      <c r="I52" s="34">
        <f>Balaka!I52+Liwonde!I52+Machinga!I52+Ntaja!I52</f>
        <v>0</v>
      </c>
      <c r="J52" s="34">
        <f>Balaka!J52+Liwonde!J52+Machinga!J52+Ntaja!J52</f>
        <v>0</v>
      </c>
      <c r="K52" s="34">
        <f>Balaka!K52+Liwonde!K52+Machinga!K52+Ntaja!K52</f>
        <v>0</v>
      </c>
      <c r="L52" s="34">
        <f>Balaka!L52+Liwonde!L52+Machinga!L52+Ntaja!L52</f>
        <v>0</v>
      </c>
      <c r="M52" s="34">
        <f>Balaka!M52+Liwonde!M52+Machinga!M52+Ntaja!M52</f>
        <v>0</v>
      </c>
      <c r="N52" s="34">
        <f>Balaka!N52+Liwonde!N52+Machinga!N52+Ntaja!N52</f>
        <v>0</v>
      </c>
      <c r="O52" s="34">
        <f>Balaka!O52+Liwonde!O52+Machinga!O52+Ntaja!O52</f>
        <v>0</v>
      </c>
      <c r="P52" s="40">
        <f>SUM(D52:O52)</f>
        <v>0</v>
      </c>
    </row>
    <row r="53" spans="1:16" ht="14.4" x14ac:dyDescent="0.3">
      <c r="A53" s="251" t="s">
        <v>123</v>
      </c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3"/>
    </row>
    <row r="54" spans="1:16" x14ac:dyDescent="0.3">
      <c r="A54" s="237" t="s">
        <v>122</v>
      </c>
      <c r="B54" s="238"/>
      <c r="C54" s="11" t="s">
        <v>18</v>
      </c>
      <c r="D54" s="34">
        <f>Balaka!D54+Liwonde!D54+Machinga!D54+Ntaja!D54</f>
        <v>16032232.439999999</v>
      </c>
      <c r="E54" s="34">
        <f>Balaka!E54+Liwonde!E54+Machinga!E54+Ntaja!E54</f>
        <v>18505481.550000001</v>
      </c>
      <c r="F54" s="34">
        <f>Balaka!F54+Liwonde!F54+Machinga!F54+Ntaja!F54</f>
        <v>17189940.470000003</v>
      </c>
      <c r="G54" s="34">
        <f>Balaka!G54+Liwonde!G54+Machinga!G54+Ntaja!G54</f>
        <v>17189940.470000003</v>
      </c>
      <c r="H54" s="34">
        <f>Balaka!H54+Liwonde!H54+Machinga!H54+Ntaja!H54</f>
        <v>18116747.16</v>
      </c>
      <c r="I54" s="34">
        <f>Balaka!I54+Liwonde!I54+Machinga!I54+Ntaja!I54</f>
        <v>17243468.629999999</v>
      </c>
      <c r="J54" s="34">
        <f>Balaka!J54+Liwonde!J54+Machinga!J54+Ntaja!J54</f>
        <v>17686098.010000002</v>
      </c>
      <c r="K54" s="34">
        <f>Balaka!K54+Liwonde!K54+Machinga!K54+Ntaja!K54</f>
        <v>17606098.009999998</v>
      </c>
      <c r="L54" s="34">
        <f>Balaka!L54+Liwonde!L54+Machinga!L54+Ntaja!L54</f>
        <v>25577607.559999999</v>
      </c>
      <c r="M54" s="34">
        <f>Balaka!M54+Liwonde!M54+Machinga!M54+Ntaja!M54</f>
        <v>19809180.43</v>
      </c>
      <c r="N54" s="34">
        <f>Balaka!N54+Liwonde!N54+Machinga!N54+Ntaja!N54</f>
        <v>17066072.219999999</v>
      </c>
      <c r="O54" s="34">
        <f>Balaka!O54+Liwonde!O54+Machinga!O54+Ntaja!O54</f>
        <v>29587498.780000001</v>
      </c>
      <c r="P54" s="39">
        <f>SUM(D54:O54)</f>
        <v>231610365.73000002</v>
      </c>
    </row>
    <row r="55" spans="1:16" x14ac:dyDescent="0.3">
      <c r="A55" s="320" t="s">
        <v>121</v>
      </c>
      <c r="B55" s="321"/>
      <c r="C55" s="11" t="s">
        <v>18</v>
      </c>
      <c r="D55" s="34">
        <f>Balaka!D55+Liwonde!D55+Machinga!D55+Ntaja!D55</f>
        <v>5864555.3699999992</v>
      </c>
      <c r="E55" s="34">
        <f>Balaka!E55+Liwonde!E55+Machinga!E55+Ntaja!E55</f>
        <v>7804850.9099999992</v>
      </c>
      <c r="F55" s="34">
        <f>Balaka!F55+Liwonde!F55+Machinga!F55+Ntaja!F55</f>
        <v>6425793.4900000002</v>
      </c>
      <c r="G55" s="34">
        <f>Balaka!G55+Liwonde!G55+Machinga!G55+Ntaja!G55</f>
        <v>6492668.0200000005</v>
      </c>
      <c r="H55" s="34">
        <f>Balaka!H55+Liwonde!H55+Machinga!H55+Ntaja!H55</f>
        <v>3213177.48</v>
      </c>
      <c r="I55" s="34">
        <f>Balaka!I55+Liwonde!I55+Machinga!I55+Ntaja!I55</f>
        <v>5664867.4600000009</v>
      </c>
      <c r="J55" s="34">
        <f>Balaka!J55+Liwonde!J55+Machinga!J55+Ntaja!J55</f>
        <v>7125232.4300000006</v>
      </c>
      <c r="K55" s="34">
        <f>Balaka!K55+Liwonde!K55+Machinga!K55+Ntaja!K55</f>
        <v>8460010.1699999999</v>
      </c>
      <c r="L55" s="34">
        <f>Balaka!L55+Liwonde!L55+Machinga!L55+Ntaja!L55</f>
        <v>7700544.2799999993</v>
      </c>
      <c r="M55" s="34">
        <f>Balaka!M55+Liwonde!M55+Machinga!M55+Ntaja!M55</f>
        <v>6728488.9900000002</v>
      </c>
      <c r="N55" s="34">
        <f>Balaka!N55+Liwonde!N55+Machinga!N55+Ntaja!N55</f>
        <v>5093515.8299999991</v>
      </c>
      <c r="O55" s="34">
        <f>Balaka!O55+Liwonde!O55+Machinga!O55+Ntaja!O55</f>
        <v>7546780.5300000003</v>
      </c>
      <c r="P55" s="39">
        <f>SUM(D55:O55)</f>
        <v>78120484.960000008</v>
      </c>
    </row>
    <row r="56" spans="1:16" x14ac:dyDescent="0.3">
      <c r="A56" s="237" t="s">
        <v>120</v>
      </c>
      <c r="B56" s="238"/>
      <c r="C56" s="5" t="s">
        <v>18</v>
      </c>
      <c r="D56" s="34">
        <f>Balaka!D56+Liwonde!D56+Machinga!D56+Ntaja!D56</f>
        <v>1995237</v>
      </c>
      <c r="E56" s="34">
        <f>Balaka!E56+Liwonde!E56+Machinga!E56+Ntaja!E56</f>
        <v>3653122</v>
      </c>
      <c r="F56" s="34">
        <f>Balaka!F56+Liwonde!F56+Machinga!F56+Ntaja!F56</f>
        <v>5487380</v>
      </c>
      <c r="G56" s="34">
        <f>Balaka!G56+Liwonde!G56+Machinga!G56+Ntaja!G56</f>
        <v>5487380</v>
      </c>
      <c r="H56" s="34">
        <f>Balaka!H56+Liwonde!H56+Machinga!H56+Ntaja!H56</f>
        <v>7378845</v>
      </c>
      <c r="I56" s="34">
        <f>Balaka!I56+Liwonde!I56+Machinga!I56+Ntaja!I56</f>
        <v>18332832.979999997</v>
      </c>
      <c r="J56" s="34">
        <f>Balaka!J56+Liwonde!J56+Machinga!J56+Ntaja!J56</f>
        <v>2413264.09</v>
      </c>
      <c r="K56" s="34">
        <f>Balaka!K56+Liwonde!K56+Machinga!K56+Ntaja!K56</f>
        <v>11773220</v>
      </c>
      <c r="L56" s="34">
        <f>Balaka!L56+Liwonde!L56+Machinga!L56+Ntaja!L56</f>
        <v>11504909.18</v>
      </c>
      <c r="M56" s="34">
        <f>Balaka!M56+Liwonde!M56+Machinga!M56+Ntaja!M56</f>
        <v>10566696.84</v>
      </c>
      <c r="N56" s="34">
        <f>Balaka!N56+Liwonde!N56+Machinga!N56+Ntaja!N56</f>
        <v>18554074.41</v>
      </c>
      <c r="O56" s="34">
        <f>Balaka!O56+Liwonde!O56+Machinga!O56+Ntaja!O56</f>
        <v>20658722.710000001</v>
      </c>
      <c r="P56" s="39">
        <f>SUM(D56:O56)</f>
        <v>117805684.21000001</v>
      </c>
    </row>
    <row r="57" spans="1:16" ht="14.4" x14ac:dyDescent="0.3">
      <c r="A57" s="251" t="s">
        <v>119</v>
      </c>
      <c r="B57" s="252"/>
      <c r="C57" s="252"/>
      <c r="D57" s="252"/>
      <c r="E57" s="252"/>
      <c r="F57" s="252"/>
      <c r="G57" s="252"/>
      <c r="H57" s="252"/>
      <c r="I57" s="252"/>
      <c r="J57" s="252"/>
      <c r="K57" s="252"/>
      <c r="L57" s="252"/>
      <c r="M57" s="252"/>
      <c r="N57" s="252"/>
      <c r="O57" s="252"/>
      <c r="P57" s="253"/>
    </row>
    <row r="58" spans="1:16" x14ac:dyDescent="0.3">
      <c r="A58" s="254" t="s">
        <v>118</v>
      </c>
      <c r="B58" s="255"/>
      <c r="C58" s="5" t="s">
        <v>18</v>
      </c>
      <c r="D58" s="13">
        <f>D41+D46+D51+D52+D54+D55+D56</f>
        <v>39524427.46401</v>
      </c>
      <c r="E58" s="13">
        <f t="shared" ref="E58:O58" si="14">E41+E46+E51+E52+E54+E55+E56</f>
        <v>50967767.264899999</v>
      </c>
      <c r="F58" s="13">
        <f t="shared" si="14"/>
        <v>49012403.542325005</v>
      </c>
      <c r="G58" s="13">
        <f t="shared" si="14"/>
        <v>49137887.320740007</v>
      </c>
      <c r="H58" s="13">
        <f t="shared" si="14"/>
        <v>49677220.832850002</v>
      </c>
      <c r="I58" s="13">
        <f t="shared" si="14"/>
        <v>65499670.417474993</v>
      </c>
      <c r="J58" s="13">
        <f t="shared" si="14"/>
        <v>50904520.525250003</v>
      </c>
      <c r="K58" s="13">
        <f t="shared" si="14"/>
        <v>56592789.387499996</v>
      </c>
      <c r="L58" s="13">
        <f t="shared" si="14"/>
        <v>72080080.136950001</v>
      </c>
      <c r="M58" s="13">
        <f t="shared" si="14"/>
        <v>56585616.23317498</v>
      </c>
      <c r="N58" s="13">
        <f t="shared" si="14"/>
        <v>65524360.15897499</v>
      </c>
      <c r="O58" s="13">
        <f t="shared" si="14"/>
        <v>79424528.406175017</v>
      </c>
      <c r="P58" s="64">
        <f>SUM(D58:O58)</f>
        <v>684931271.69032502</v>
      </c>
    </row>
    <row r="59" spans="1:16" x14ac:dyDescent="0.3">
      <c r="A59" s="254" t="s">
        <v>117</v>
      </c>
      <c r="B59" s="255"/>
      <c r="C59" s="5" t="s">
        <v>115</v>
      </c>
      <c r="D59" s="15">
        <f t="shared" ref="D59:P59" si="15">D58/D9</f>
        <v>331.36949146525706</v>
      </c>
      <c r="E59" s="15">
        <f t="shared" si="15"/>
        <v>398.09859768878681</v>
      </c>
      <c r="F59" s="15">
        <f t="shared" si="15"/>
        <v>384.00438517868264</v>
      </c>
      <c r="G59" s="15">
        <f t="shared" si="15"/>
        <v>381.23598483012785</v>
      </c>
      <c r="H59" s="15">
        <f t="shared" si="15"/>
        <v>376.83074917392986</v>
      </c>
      <c r="I59" s="15">
        <f t="shared" si="15"/>
        <v>451.92133367469086</v>
      </c>
      <c r="J59" s="15">
        <f t="shared" si="15"/>
        <v>334.88053605895743</v>
      </c>
      <c r="K59" s="15">
        <f t="shared" si="15"/>
        <v>377.20982061920944</v>
      </c>
      <c r="L59" s="15">
        <f t="shared" si="15"/>
        <v>501.86758965929715</v>
      </c>
      <c r="M59" s="15">
        <f t="shared" si="15"/>
        <v>388.25881511969766</v>
      </c>
      <c r="N59" s="15">
        <f t="shared" si="15"/>
        <v>487.23517020103054</v>
      </c>
      <c r="O59" s="15">
        <f t="shared" si="15"/>
        <v>711.45981946840641</v>
      </c>
      <c r="P59" s="103">
        <f t="shared" si="15"/>
        <v>423.28916539668205</v>
      </c>
    </row>
    <row r="60" spans="1:16" x14ac:dyDescent="0.3">
      <c r="A60" s="254" t="s">
        <v>116</v>
      </c>
      <c r="B60" s="255"/>
      <c r="C60" s="5" t="s">
        <v>115</v>
      </c>
      <c r="D60" s="15">
        <f>D58/D22</f>
        <v>569.26196459809023</v>
      </c>
      <c r="E60" s="15">
        <f t="shared" ref="E60:O60" si="16">E58/E22</f>
        <v>650.09907225637755</v>
      </c>
      <c r="F60" s="15">
        <f t="shared" si="16"/>
        <v>632.58625573152358</v>
      </c>
      <c r="G60" s="15">
        <f t="shared" si="16"/>
        <v>651.71513387313689</v>
      </c>
      <c r="H60" s="15">
        <f t="shared" si="16"/>
        <v>612.23328320885867</v>
      </c>
      <c r="I60" s="15">
        <f t="shared" si="16"/>
        <v>753.90184053658515</v>
      </c>
      <c r="J60" s="15">
        <f t="shared" si="16"/>
        <v>532.70252435929638</v>
      </c>
      <c r="K60" s="15">
        <f t="shared" si="16"/>
        <v>594.97017292603869</v>
      </c>
      <c r="L60" s="15">
        <f t="shared" si="16"/>
        <v>787.98779251007932</v>
      </c>
      <c r="M60" s="15">
        <f t="shared" si="16"/>
        <v>556.54516177524988</v>
      </c>
      <c r="N60" s="15">
        <f t="shared" si="16"/>
        <v>677.5843714166009</v>
      </c>
      <c r="O60" s="15">
        <f t="shared" si="16"/>
        <v>977.34861504449032</v>
      </c>
      <c r="P60" s="104">
        <f>P58/P22</f>
        <v>664.6446036052165</v>
      </c>
    </row>
    <row r="61" spans="1:16" x14ac:dyDescent="0.3">
      <c r="A61" s="237" t="s">
        <v>114</v>
      </c>
      <c r="B61" s="238"/>
      <c r="C61" s="5" t="s">
        <v>3</v>
      </c>
      <c r="D61" s="34">
        <f>Balaka!D61+Liwonde!D61+Machinga!D61+Ntaja!D61</f>
        <v>39</v>
      </c>
      <c r="E61" s="34">
        <f>Balaka!E61+Liwonde!E61+Machinga!E61+Ntaja!E61</f>
        <v>36</v>
      </c>
      <c r="F61" s="34">
        <f>Balaka!F61+Liwonde!F61+Machinga!F61+Ntaja!F61</f>
        <v>37</v>
      </c>
      <c r="G61" s="34">
        <f>Balaka!G61+Liwonde!G61+Machinga!G61+Ntaja!G61</f>
        <v>37</v>
      </c>
      <c r="H61" s="34">
        <f>Balaka!H61+Liwonde!H61+Machinga!H61+Ntaja!H61</f>
        <v>37</v>
      </c>
      <c r="I61" s="34">
        <f>Balaka!I61+Liwonde!I61+Machinga!I61+Ntaja!I61</f>
        <v>37</v>
      </c>
      <c r="J61" s="34">
        <f>Balaka!J61+Liwonde!J61+Machinga!J61+Ntaja!J61</f>
        <v>37</v>
      </c>
      <c r="K61" s="34">
        <f>Balaka!K61+Liwonde!K61+Machinga!K61+Ntaja!K61</f>
        <v>36</v>
      </c>
      <c r="L61" s="34">
        <f>Balaka!L61+Liwonde!L61+Machinga!L61+Ntaja!L61</f>
        <v>36</v>
      </c>
      <c r="M61" s="34">
        <f>Balaka!M61+Liwonde!M61+Machinga!M61+Ntaja!M61</f>
        <v>36</v>
      </c>
      <c r="N61" s="34">
        <f>Balaka!N61+Liwonde!N61+Machinga!N61+Ntaja!N61</f>
        <v>36</v>
      </c>
      <c r="O61" s="34">
        <f>Balaka!O61+Liwonde!O61+Machinga!O61+Ntaja!O61</f>
        <v>39</v>
      </c>
      <c r="P61" s="39">
        <f>O61</f>
        <v>39</v>
      </c>
    </row>
    <row r="62" spans="1:16" ht="15.6" customHeight="1" x14ac:dyDescent="0.3">
      <c r="A62" s="254" t="s">
        <v>113</v>
      </c>
      <c r="B62" s="255"/>
      <c r="C62" s="5" t="s">
        <v>112</v>
      </c>
      <c r="D62" s="15">
        <f t="shared" ref="D62:P62" si="17">(D61*1000*31)/D9</f>
        <v>10.13615480063047</v>
      </c>
      <c r="E62" s="15">
        <f t="shared" si="17"/>
        <v>8.7168431905520674</v>
      </c>
      <c r="F62" s="15">
        <f t="shared" si="17"/>
        <v>8.986562542675399</v>
      </c>
      <c r="G62" s="15">
        <f t="shared" si="17"/>
        <v>8.8989921716799465</v>
      </c>
      <c r="H62" s="15">
        <f t="shared" si="17"/>
        <v>8.7006652557479764</v>
      </c>
      <c r="I62" s="15">
        <f t="shared" si="17"/>
        <v>7.9138378318706186</v>
      </c>
      <c r="J62" s="15">
        <f t="shared" si="17"/>
        <v>7.5456554918162206</v>
      </c>
      <c r="K62" s="15">
        <f t="shared" si="17"/>
        <v>7.438512297540492</v>
      </c>
      <c r="L62" s="15">
        <f t="shared" si="17"/>
        <v>7.7703053186904381</v>
      </c>
      <c r="M62" s="15">
        <f t="shared" si="17"/>
        <v>7.6573671282128695</v>
      </c>
      <c r="N62" s="15">
        <f t="shared" si="17"/>
        <v>8.298508350559926</v>
      </c>
      <c r="O62" s="15">
        <f t="shared" si="17"/>
        <v>10.829839836611846</v>
      </c>
      <c r="P62" s="103">
        <f t="shared" si="17"/>
        <v>0.74716489393401053</v>
      </c>
    </row>
    <row r="63" spans="1:16" x14ac:dyDescent="0.3">
      <c r="A63" s="258" t="s">
        <v>111</v>
      </c>
      <c r="B63" s="259"/>
      <c r="C63" s="38" t="s">
        <v>3</v>
      </c>
      <c r="D63" s="34">
        <f>Balaka!D63+Liwonde!D63+Machinga!D63+Ntaja!D63</f>
        <v>57</v>
      </c>
      <c r="E63" s="34">
        <f>Balaka!E63+Liwonde!E63+Machinga!E63+Ntaja!E63</f>
        <v>57</v>
      </c>
      <c r="F63" s="34">
        <f>Balaka!F63+Liwonde!F63+Machinga!F63+Ntaja!F63</f>
        <v>52</v>
      </c>
      <c r="G63" s="34">
        <f>Balaka!G63+Liwonde!G63+Machinga!G63+Ntaja!G63</f>
        <v>54</v>
      </c>
      <c r="H63" s="34">
        <f>Balaka!H63+Liwonde!H63+Machinga!H63+Ntaja!H63</f>
        <v>55</v>
      </c>
      <c r="I63" s="34">
        <f>Balaka!I63+Liwonde!I63+Machinga!I63+Ntaja!I63</f>
        <v>52</v>
      </c>
      <c r="J63" s="34">
        <f>Balaka!J63+Liwonde!J63+Machinga!J63+Ntaja!J63</f>
        <v>52</v>
      </c>
      <c r="K63" s="34">
        <f>Balaka!K63+Liwonde!K63+Machinga!K63+Ntaja!K63</f>
        <v>60</v>
      </c>
      <c r="L63" s="34">
        <f>Balaka!L63+Liwonde!L63+Machinga!L63+Ntaja!L63</f>
        <v>52</v>
      </c>
      <c r="M63" s="34">
        <f>Balaka!M63+Liwonde!M63+Machinga!M63+Ntaja!M63</f>
        <v>72</v>
      </c>
      <c r="N63" s="34">
        <f>Balaka!N63+Liwonde!N63+Machinga!N63+Ntaja!N63</f>
        <v>71</v>
      </c>
      <c r="O63" s="34">
        <f>Balaka!O63+Liwonde!O63+Machinga!O63+Ntaja!O63</f>
        <v>72</v>
      </c>
      <c r="P63" s="39">
        <f>SUM(D63:O63)</f>
        <v>706</v>
      </c>
    </row>
    <row r="64" spans="1:16" ht="14.4" x14ac:dyDescent="0.3">
      <c r="A64" s="260"/>
      <c r="B64" s="261"/>
      <c r="C64" s="261"/>
      <c r="D64" s="261"/>
      <c r="E64" s="261"/>
      <c r="F64" s="261"/>
      <c r="G64" s="261"/>
      <c r="H64" s="261"/>
      <c r="I64" s="261"/>
      <c r="J64" s="261"/>
      <c r="K64" s="261"/>
      <c r="L64" s="261"/>
      <c r="M64" s="261"/>
      <c r="N64" s="261"/>
      <c r="O64" s="261"/>
      <c r="P64" s="262"/>
    </row>
    <row r="65" spans="1:16" ht="14.4" customHeight="1" x14ac:dyDescent="0.3">
      <c r="A65" s="251" t="s">
        <v>110</v>
      </c>
      <c r="B65" s="252"/>
      <c r="C65" s="252"/>
      <c r="D65" s="252"/>
      <c r="E65" s="252"/>
      <c r="F65" s="252"/>
      <c r="G65" s="252"/>
      <c r="H65" s="252"/>
      <c r="I65" s="252"/>
      <c r="J65" s="252"/>
      <c r="K65" s="252"/>
      <c r="L65" s="252"/>
      <c r="M65" s="252"/>
      <c r="N65" s="252"/>
      <c r="O65" s="252"/>
      <c r="P65" s="253"/>
    </row>
    <row r="66" spans="1:16" x14ac:dyDescent="0.3">
      <c r="A66" s="327" t="s">
        <v>109</v>
      </c>
      <c r="B66" s="37" t="s">
        <v>85</v>
      </c>
      <c r="C66" s="5" t="s">
        <v>3</v>
      </c>
      <c r="D66" s="26">
        <f>Balaka!D66+Liwonde!D66+Machinga!D66+Ntaja!D66</f>
        <v>747</v>
      </c>
      <c r="E66" s="26">
        <f>Balaka!E66+Liwonde!E66+Machinga!E66+Ntaja!E66</f>
        <v>750</v>
      </c>
      <c r="F66" s="26">
        <f>Balaka!F66+Liwonde!F66+Machinga!F66+Ntaja!F66</f>
        <v>750</v>
      </c>
      <c r="G66" s="26">
        <f>Balaka!G66+Liwonde!G66+Machinga!G66+Ntaja!G66</f>
        <v>764</v>
      </c>
      <c r="H66" s="26">
        <f>Balaka!H66+Liwonde!H66+Machinga!H66+Ntaja!H66</f>
        <v>790</v>
      </c>
      <c r="I66" s="26">
        <f>Balaka!I66+Liwonde!I66+Machinga!I66+Ntaja!I66</f>
        <v>824</v>
      </c>
      <c r="J66" s="26">
        <f>Balaka!J66+Liwonde!J66+Machinga!J66+Ntaja!J66</f>
        <v>838</v>
      </c>
      <c r="K66" s="26">
        <f>Balaka!K66+Liwonde!K66+Machinga!K66+Ntaja!K66</f>
        <v>818</v>
      </c>
      <c r="L66" s="26">
        <f>Balaka!L66+Liwonde!L66+Machinga!L66+Ntaja!L66</f>
        <v>802</v>
      </c>
      <c r="M66" s="26">
        <f>Balaka!M66+Liwonde!M66+Machinga!M66+Ntaja!M66</f>
        <v>817</v>
      </c>
      <c r="N66" s="26">
        <f>Balaka!N66+Liwonde!N66+Machinga!N66+Ntaja!N66</f>
        <v>832</v>
      </c>
      <c r="O66" s="26">
        <f>Balaka!O66+Liwonde!O66+Machinga!O66+Ntaja!O66</f>
        <v>842</v>
      </c>
      <c r="P66" s="35">
        <f>D66</f>
        <v>747</v>
      </c>
    </row>
    <row r="67" spans="1:16" x14ac:dyDescent="0.3">
      <c r="A67" s="328"/>
      <c r="B67" s="24" t="s">
        <v>104</v>
      </c>
      <c r="C67" s="5" t="s">
        <v>3</v>
      </c>
      <c r="D67" s="26">
        <f>Balaka!D67+Liwonde!D67+Machinga!D67+Ntaja!D67</f>
        <v>45</v>
      </c>
      <c r="E67" s="26">
        <f>Balaka!E67+Liwonde!E67+Machinga!E67+Ntaja!E67</f>
        <v>88</v>
      </c>
      <c r="F67" s="26">
        <f>Balaka!F67+Liwonde!F67+Machinga!F67+Ntaja!F67</f>
        <v>116</v>
      </c>
      <c r="G67" s="26">
        <f>Balaka!G67+Liwonde!G67+Machinga!G67+Ntaja!G67</f>
        <v>120</v>
      </c>
      <c r="H67" s="26">
        <f>Balaka!H67+Liwonde!H67+Machinga!H67+Ntaja!H67</f>
        <v>172</v>
      </c>
      <c r="I67" s="26">
        <f>Balaka!I67+Liwonde!I67+Machinga!I67+Ntaja!I67</f>
        <v>82</v>
      </c>
      <c r="J67" s="26">
        <f>Balaka!J67+Liwonde!J67+Machinga!J67+Ntaja!J67</f>
        <v>76</v>
      </c>
      <c r="K67" s="26">
        <f>Balaka!K67+Liwonde!K67+Machinga!K67+Ntaja!K67</f>
        <v>57</v>
      </c>
      <c r="L67" s="26">
        <f>Balaka!L67+Liwonde!L67+Machinga!L67+Ntaja!L67</f>
        <v>83</v>
      </c>
      <c r="M67" s="26">
        <f>Balaka!M67+Liwonde!M67+Machinga!M67+Ntaja!M67</f>
        <v>59</v>
      </c>
      <c r="N67" s="26">
        <f>Balaka!N67+Liwonde!N67+Machinga!N67+Ntaja!N67</f>
        <v>87</v>
      </c>
      <c r="O67" s="26">
        <f>Balaka!O67+Liwonde!O67+Machinga!O67+Ntaja!O67</f>
        <v>71</v>
      </c>
      <c r="P67" s="35">
        <f>SUM(D67:O67)</f>
        <v>1056</v>
      </c>
    </row>
    <row r="68" spans="1:16" ht="27" x14ac:dyDescent="0.3">
      <c r="A68" s="328"/>
      <c r="B68" s="24" t="s">
        <v>103</v>
      </c>
      <c r="C68" s="5" t="s">
        <v>3</v>
      </c>
      <c r="D68" s="26">
        <f>Balaka!D68+Liwonde!D68+Machinga!D68+Ntaja!D68</f>
        <v>34</v>
      </c>
      <c r="E68" s="26">
        <f>Balaka!E68+Liwonde!E68+Machinga!E68+Ntaja!E68</f>
        <v>40</v>
      </c>
      <c r="F68" s="26">
        <f>Balaka!F68+Liwonde!F68+Machinga!F68+Ntaja!F68</f>
        <v>78</v>
      </c>
      <c r="G68" s="26">
        <f>Balaka!G68+Liwonde!G68+Machinga!G68+Ntaja!G68</f>
        <v>63</v>
      </c>
      <c r="H68" s="26">
        <f>Balaka!H68+Liwonde!H68+Machinga!H68+Ntaja!H68</f>
        <v>107</v>
      </c>
      <c r="I68" s="26">
        <f>Balaka!I68+Liwonde!I68+Machinga!I68+Ntaja!I68</f>
        <v>64</v>
      </c>
      <c r="J68" s="26">
        <f>Balaka!J68+Liwonde!J68+Machinga!J68+Ntaja!J68</f>
        <v>96</v>
      </c>
      <c r="K68" s="26">
        <f>Balaka!K68+Liwonde!K68+Machinga!K68+Ntaja!K68</f>
        <v>73</v>
      </c>
      <c r="L68" s="26">
        <f>Balaka!L68+Liwonde!L68+Machinga!L68+Ntaja!L68</f>
        <v>68</v>
      </c>
      <c r="M68" s="26">
        <f>Balaka!M68+Liwonde!M68+Machinga!M68+Ntaja!M68</f>
        <v>44</v>
      </c>
      <c r="N68" s="26">
        <f>Balaka!N68+Liwonde!N68+Machinga!N68+Ntaja!N68</f>
        <v>77</v>
      </c>
      <c r="O68" s="26">
        <f>Balaka!O68+Liwonde!O68+Machinga!O68+Ntaja!O68</f>
        <v>37</v>
      </c>
      <c r="P68" s="35">
        <f t="shared" ref="P68:P69" si="18">SUM(D68:O68)</f>
        <v>781</v>
      </c>
    </row>
    <row r="69" spans="1:16" s="2" customFormat="1" ht="27" x14ac:dyDescent="0.3">
      <c r="A69" s="328"/>
      <c r="B69" s="24" t="s">
        <v>102</v>
      </c>
      <c r="C69" s="11" t="s">
        <v>3</v>
      </c>
      <c r="D69" s="26">
        <f>Balaka!D69+Liwonde!D69+Machinga!D69+Ntaja!D69</f>
        <v>8</v>
      </c>
      <c r="E69" s="26">
        <f>Balaka!E69+Liwonde!E69+Machinga!E69+Ntaja!E69</f>
        <v>48</v>
      </c>
      <c r="F69" s="26">
        <f>Balaka!F69+Liwonde!F69+Machinga!F69+Ntaja!F69</f>
        <v>24</v>
      </c>
      <c r="G69" s="26">
        <f>Balaka!G69+Liwonde!G69+Machinga!G69+Ntaja!G69</f>
        <v>31</v>
      </c>
      <c r="H69" s="26">
        <f>Balaka!H69+Liwonde!H69+Machinga!H69+Ntaja!H69</f>
        <v>31</v>
      </c>
      <c r="I69" s="26">
        <f>Balaka!I69+Liwonde!I69+Machinga!I69+Ntaja!I69</f>
        <v>4</v>
      </c>
      <c r="J69" s="26">
        <f>Balaka!J69+Liwonde!J69+Machinga!J69+Ntaja!J69</f>
        <v>0</v>
      </c>
      <c r="K69" s="26">
        <f>Balaka!K69+Liwonde!K69+Machinga!K69+Ntaja!K69</f>
        <v>0</v>
      </c>
      <c r="L69" s="26">
        <f>Balaka!L69+Liwonde!L69+Machinga!L69+Ntaja!L69</f>
        <v>0</v>
      </c>
      <c r="M69" s="26">
        <f>Balaka!M69+Liwonde!M69+Machinga!M69+Ntaja!M69</f>
        <v>0</v>
      </c>
      <c r="N69" s="26">
        <f>Balaka!N69+Liwonde!N69+Machinga!N69+Ntaja!N69</f>
        <v>0</v>
      </c>
      <c r="O69" s="26">
        <f>Balaka!O69+Liwonde!O69+Machinga!O69+Ntaja!O69</f>
        <v>3</v>
      </c>
      <c r="P69" s="74">
        <f t="shared" si="18"/>
        <v>149</v>
      </c>
    </row>
    <row r="70" spans="1:16" s="2" customFormat="1" x14ac:dyDescent="0.3">
      <c r="A70" s="328"/>
      <c r="B70" s="24" t="s">
        <v>188</v>
      </c>
      <c r="C70" s="11" t="s">
        <v>3</v>
      </c>
      <c r="D70" s="4">
        <f>D68+D69</f>
        <v>42</v>
      </c>
      <c r="E70" s="4">
        <f t="shared" ref="E70:P70" si="19">E68+E69</f>
        <v>88</v>
      </c>
      <c r="F70" s="4">
        <f t="shared" ref="F70:G70" si="20">F68+F69</f>
        <v>102</v>
      </c>
      <c r="G70" s="4">
        <f t="shared" si="20"/>
        <v>94</v>
      </c>
      <c r="H70" s="4">
        <f t="shared" ref="H70:O70" si="21">H68+H69</f>
        <v>138</v>
      </c>
      <c r="I70" s="4">
        <f t="shared" si="21"/>
        <v>68</v>
      </c>
      <c r="J70" s="4">
        <f t="shared" si="21"/>
        <v>96</v>
      </c>
      <c r="K70" s="4">
        <f t="shared" si="21"/>
        <v>73</v>
      </c>
      <c r="L70" s="4">
        <f t="shared" si="21"/>
        <v>68</v>
      </c>
      <c r="M70" s="4">
        <f t="shared" si="21"/>
        <v>44</v>
      </c>
      <c r="N70" s="4">
        <f t="shared" si="21"/>
        <v>77</v>
      </c>
      <c r="O70" s="4">
        <f t="shared" si="21"/>
        <v>40</v>
      </c>
      <c r="P70" s="105">
        <f t="shared" si="19"/>
        <v>930</v>
      </c>
    </row>
    <row r="71" spans="1:16" x14ac:dyDescent="0.3">
      <c r="A71" s="329"/>
      <c r="B71" s="37" t="s">
        <v>81</v>
      </c>
      <c r="C71" s="5" t="s">
        <v>3</v>
      </c>
      <c r="D71" s="26">
        <f>D66+D67-D70</f>
        <v>750</v>
      </c>
      <c r="E71" s="26">
        <f t="shared" ref="E71" si="22">E66+E67-E70</f>
        <v>750</v>
      </c>
      <c r="F71" s="26">
        <f t="shared" ref="F71:G71" si="23">F66+F67-F70</f>
        <v>764</v>
      </c>
      <c r="G71" s="26">
        <f t="shared" si="23"/>
        <v>790</v>
      </c>
      <c r="H71" s="26">
        <f t="shared" ref="H71:O71" si="24">H66+H67-H70</f>
        <v>824</v>
      </c>
      <c r="I71" s="26">
        <f t="shared" si="24"/>
        <v>838</v>
      </c>
      <c r="J71" s="26">
        <f t="shared" si="24"/>
        <v>818</v>
      </c>
      <c r="K71" s="26">
        <f t="shared" si="24"/>
        <v>802</v>
      </c>
      <c r="L71" s="26">
        <f t="shared" si="24"/>
        <v>817</v>
      </c>
      <c r="M71" s="26">
        <f t="shared" si="24"/>
        <v>832</v>
      </c>
      <c r="N71" s="26">
        <f t="shared" si="24"/>
        <v>842</v>
      </c>
      <c r="O71" s="26">
        <f t="shared" si="24"/>
        <v>873</v>
      </c>
      <c r="P71" s="106">
        <f>P66+P67-P70</f>
        <v>873</v>
      </c>
    </row>
    <row r="72" spans="1:16" x14ac:dyDescent="0.3">
      <c r="A72" s="327" t="s">
        <v>108</v>
      </c>
      <c r="B72" s="37" t="s">
        <v>85</v>
      </c>
      <c r="C72" s="5" t="s">
        <v>3</v>
      </c>
      <c r="D72" s="26">
        <f>Balaka!D72+Liwonde!D72+Machinga!D72+Ntaja!D72</f>
        <v>0</v>
      </c>
      <c r="E72" s="26">
        <f>Balaka!E72+Liwonde!E72+Machinga!E72+Ntaja!E72</f>
        <v>0</v>
      </c>
      <c r="F72" s="26">
        <f>Balaka!F72+Liwonde!F72+Machinga!F72+Ntaja!F72</f>
        <v>0</v>
      </c>
      <c r="G72" s="26">
        <f>Balaka!G72+Liwonde!G72+Machinga!G72+Ntaja!G72</f>
        <v>0</v>
      </c>
      <c r="H72" s="26">
        <f>Balaka!H72+Liwonde!H72+Machinga!H72+Ntaja!H72</f>
        <v>0</v>
      </c>
      <c r="I72" s="26">
        <f>Balaka!I72+Liwonde!I72+Machinga!I72+Ntaja!I72</f>
        <v>0</v>
      </c>
      <c r="J72" s="26">
        <f>Balaka!J72+Liwonde!J72+Machinga!J72+Ntaja!J72</f>
        <v>0</v>
      </c>
      <c r="K72" s="26">
        <f>Balaka!K72+Liwonde!K72+Machinga!K72+Ntaja!K72</f>
        <v>0</v>
      </c>
      <c r="L72" s="26">
        <f>Balaka!L72+Liwonde!L72+Machinga!L72+Ntaja!L72</f>
        <v>0</v>
      </c>
      <c r="M72" s="26">
        <f>Balaka!M72+Liwonde!M72+Machinga!M72+Ntaja!M72</f>
        <v>0</v>
      </c>
      <c r="N72" s="26">
        <f>Balaka!N72+Liwonde!N72+Machinga!N72+Ntaja!N72</f>
        <v>0</v>
      </c>
      <c r="O72" s="26">
        <f>Balaka!O72+Liwonde!O72+Machinga!O72+Ntaja!O72</f>
        <v>0</v>
      </c>
      <c r="P72" s="35">
        <f>D72</f>
        <v>0</v>
      </c>
    </row>
    <row r="73" spans="1:16" x14ac:dyDescent="0.3">
      <c r="A73" s="328"/>
      <c r="B73" s="24" t="s">
        <v>104</v>
      </c>
      <c r="C73" s="5" t="s">
        <v>3</v>
      </c>
      <c r="D73" s="26">
        <f>Balaka!D73+Liwonde!D73+Machinga!D73+Ntaja!D73</f>
        <v>0</v>
      </c>
      <c r="E73" s="26">
        <f>Balaka!E73+Liwonde!E73+Machinga!E73+Ntaja!E73</f>
        <v>0</v>
      </c>
      <c r="F73" s="26">
        <f>Balaka!F73+Liwonde!F73+Machinga!F73+Ntaja!F73</f>
        <v>0</v>
      </c>
      <c r="G73" s="26">
        <f>Balaka!G73+Liwonde!G73+Machinga!G73+Ntaja!G73</f>
        <v>1</v>
      </c>
      <c r="H73" s="26">
        <f>Balaka!H73+Liwonde!H73+Machinga!H73+Ntaja!H73</f>
        <v>1</v>
      </c>
      <c r="I73" s="26">
        <f>Balaka!I73+Liwonde!I73+Machinga!I73+Ntaja!I73</f>
        <v>0</v>
      </c>
      <c r="J73" s="26">
        <f>Balaka!J73+Liwonde!J73+Machinga!J73+Ntaja!J73</f>
        <v>0</v>
      </c>
      <c r="K73" s="26">
        <f>Balaka!K73+Liwonde!K73+Machinga!K73+Ntaja!K73</f>
        <v>0</v>
      </c>
      <c r="L73" s="26">
        <f>Balaka!L73+Liwonde!L73+Machinga!L73+Ntaja!L73</f>
        <v>0</v>
      </c>
      <c r="M73" s="26">
        <f>Balaka!M73+Liwonde!M73+Machinga!M73+Ntaja!M73</f>
        <v>0</v>
      </c>
      <c r="N73" s="26">
        <f>Balaka!N73+Liwonde!N73+Machinga!N73+Ntaja!N73</f>
        <v>1</v>
      </c>
      <c r="O73" s="26">
        <f>Balaka!O73+Liwonde!O73+Machinga!O73+Ntaja!O73</f>
        <v>0</v>
      </c>
      <c r="P73" s="35">
        <f>SUM(D73:O73)</f>
        <v>3</v>
      </c>
    </row>
    <row r="74" spans="1:16" ht="27" x14ac:dyDescent="0.3">
      <c r="A74" s="328"/>
      <c r="B74" s="24" t="s">
        <v>103</v>
      </c>
      <c r="C74" s="5" t="s">
        <v>3</v>
      </c>
      <c r="D74" s="26">
        <f>Balaka!D74+Liwonde!D74+Machinga!D74+Ntaja!D74</f>
        <v>0</v>
      </c>
      <c r="E74" s="26">
        <f>Balaka!E74+Liwonde!E74+Machinga!E74+Ntaja!E74</f>
        <v>0</v>
      </c>
      <c r="F74" s="26">
        <f>Balaka!F74+Liwonde!F74+Machinga!F74+Ntaja!F74</f>
        <v>0</v>
      </c>
      <c r="G74" s="26">
        <f>Balaka!G74+Liwonde!G74+Machinga!G74+Ntaja!G74</f>
        <v>1</v>
      </c>
      <c r="H74" s="26">
        <f>Balaka!H74+Liwonde!H74+Machinga!H74+Ntaja!H74</f>
        <v>0</v>
      </c>
      <c r="I74" s="26">
        <f>Balaka!I74+Liwonde!I74+Machinga!I74+Ntaja!I74</f>
        <v>0</v>
      </c>
      <c r="J74" s="26">
        <f>Balaka!J74+Liwonde!J74+Machinga!J74+Ntaja!J74</f>
        <v>0</v>
      </c>
      <c r="K74" s="26">
        <f>Balaka!K74+Liwonde!K74+Machinga!K74+Ntaja!K74</f>
        <v>0</v>
      </c>
      <c r="L74" s="26">
        <f>Balaka!L74+Liwonde!L74+Machinga!L74+Ntaja!L74</f>
        <v>0</v>
      </c>
      <c r="M74" s="26">
        <f>Balaka!M74+Liwonde!M74+Machinga!M74+Ntaja!M74</f>
        <v>0</v>
      </c>
      <c r="N74" s="26">
        <f>Balaka!N74+Liwonde!N74+Machinga!N74+Ntaja!N74</f>
        <v>1</v>
      </c>
      <c r="O74" s="26">
        <f>Balaka!O74+Liwonde!O74+Machinga!O74+Ntaja!O74</f>
        <v>0</v>
      </c>
      <c r="P74" s="35">
        <f>SUM(D74:O74)</f>
        <v>2</v>
      </c>
    </row>
    <row r="75" spans="1:16" s="2" customFormat="1" ht="27" x14ac:dyDescent="0.3">
      <c r="A75" s="328"/>
      <c r="B75" s="24" t="s">
        <v>102</v>
      </c>
      <c r="C75" s="11" t="s">
        <v>3</v>
      </c>
      <c r="D75" s="26">
        <f>Balaka!D75+Liwonde!D75+Machinga!D75+Ntaja!D75</f>
        <v>0</v>
      </c>
      <c r="E75" s="26">
        <f>Balaka!E75+Liwonde!E75+Machinga!E75+Ntaja!E75</f>
        <v>0</v>
      </c>
      <c r="F75" s="26">
        <f>Balaka!F75+Liwonde!F75+Machinga!F75+Ntaja!F75</f>
        <v>0</v>
      </c>
      <c r="G75" s="26">
        <f>Balaka!G75+Liwonde!G75+Machinga!G75+Ntaja!G75</f>
        <v>0</v>
      </c>
      <c r="H75" s="26">
        <f>Balaka!H75+Liwonde!H75+Machinga!H75+Ntaja!H75</f>
        <v>1</v>
      </c>
      <c r="I75" s="26">
        <f>Balaka!I75+Liwonde!I75+Machinga!I75+Ntaja!I75</f>
        <v>0</v>
      </c>
      <c r="J75" s="26">
        <f>Balaka!J75+Liwonde!J75+Machinga!J75+Ntaja!J75</f>
        <v>0</v>
      </c>
      <c r="K75" s="26">
        <f>Balaka!K75+Liwonde!K75+Machinga!K75+Ntaja!K75</f>
        <v>0</v>
      </c>
      <c r="L75" s="26">
        <f>Balaka!L75+Liwonde!L75+Machinga!L75+Ntaja!L75</f>
        <v>0</v>
      </c>
      <c r="M75" s="26">
        <f>Balaka!M75+Liwonde!M75+Machinga!M75+Ntaja!M75</f>
        <v>0</v>
      </c>
      <c r="N75" s="26">
        <f>Balaka!N75+Liwonde!N75+Machinga!N75+Ntaja!N75</f>
        <v>0</v>
      </c>
      <c r="O75" s="26">
        <f>Balaka!O75+Liwonde!O75+Machinga!O75+Ntaja!O75</f>
        <v>0</v>
      </c>
      <c r="P75" s="74"/>
    </row>
    <row r="76" spans="1:16" s="2" customFormat="1" x14ac:dyDescent="0.3">
      <c r="A76" s="328"/>
      <c r="B76" s="24" t="s">
        <v>188</v>
      </c>
      <c r="C76" s="11" t="s">
        <v>3</v>
      </c>
      <c r="D76" s="4">
        <f>D74+D75</f>
        <v>0</v>
      </c>
      <c r="E76" s="4">
        <f t="shared" ref="E76:H76" si="25">E74+E75</f>
        <v>0</v>
      </c>
      <c r="F76" s="4">
        <f t="shared" si="25"/>
        <v>0</v>
      </c>
      <c r="G76" s="4">
        <f t="shared" si="25"/>
        <v>1</v>
      </c>
      <c r="H76" s="4">
        <f t="shared" si="25"/>
        <v>1</v>
      </c>
      <c r="I76" s="4">
        <f t="shared" ref="I76:O76" si="26">I74+I75</f>
        <v>0</v>
      </c>
      <c r="J76" s="4">
        <f t="shared" si="26"/>
        <v>0</v>
      </c>
      <c r="K76" s="4">
        <f t="shared" si="26"/>
        <v>0</v>
      </c>
      <c r="L76" s="4">
        <f t="shared" si="26"/>
        <v>0</v>
      </c>
      <c r="M76" s="4">
        <f t="shared" si="26"/>
        <v>0</v>
      </c>
      <c r="N76" s="4">
        <f t="shared" si="26"/>
        <v>1</v>
      </c>
      <c r="O76" s="4">
        <f t="shared" si="26"/>
        <v>0</v>
      </c>
      <c r="P76" s="105">
        <f t="shared" ref="P76" si="27">P74+P75</f>
        <v>2</v>
      </c>
    </row>
    <row r="77" spans="1:16" x14ac:dyDescent="0.3">
      <c r="A77" s="329"/>
      <c r="B77" s="37" t="s">
        <v>81</v>
      </c>
      <c r="C77" s="5" t="s">
        <v>3</v>
      </c>
      <c r="D77" s="26">
        <f>D72+D73-D76</f>
        <v>0</v>
      </c>
      <c r="E77" s="26">
        <f t="shared" ref="E77:H77" si="28">E72+E73-E76</f>
        <v>0</v>
      </c>
      <c r="F77" s="26">
        <f t="shared" si="28"/>
        <v>0</v>
      </c>
      <c r="G77" s="26">
        <f t="shared" si="28"/>
        <v>0</v>
      </c>
      <c r="H77" s="26">
        <f t="shared" si="28"/>
        <v>0</v>
      </c>
      <c r="I77" s="26">
        <f t="shared" ref="I77:O77" si="29">I72+I73-I76</f>
        <v>0</v>
      </c>
      <c r="J77" s="26">
        <f t="shared" si="29"/>
        <v>0</v>
      </c>
      <c r="K77" s="26">
        <f t="shared" si="29"/>
        <v>0</v>
      </c>
      <c r="L77" s="26">
        <f t="shared" si="29"/>
        <v>0</v>
      </c>
      <c r="M77" s="26">
        <f t="shared" si="29"/>
        <v>0</v>
      </c>
      <c r="N77" s="26">
        <f t="shared" si="29"/>
        <v>0</v>
      </c>
      <c r="O77" s="26">
        <f t="shared" si="29"/>
        <v>0</v>
      </c>
      <c r="P77" s="106">
        <f t="shared" ref="P77" si="30">P73+P74-P76</f>
        <v>3</v>
      </c>
    </row>
    <row r="78" spans="1:16" ht="15.6" customHeight="1" x14ac:dyDescent="0.3">
      <c r="A78" s="327" t="s">
        <v>107</v>
      </c>
      <c r="B78" s="37" t="s">
        <v>85</v>
      </c>
      <c r="C78" s="5" t="s">
        <v>3</v>
      </c>
      <c r="D78" s="26">
        <f>Balaka!D78+Liwonde!D78+Machinga!D78+Ntaja!D78</f>
        <v>0</v>
      </c>
      <c r="E78" s="26">
        <f>Balaka!E78+Liwonde!E78+Machinga!E78+Ntaja!E78</f>
        <v>0</v>
      </c>
      <c r="F78" s="26">
        <f>Balaka!F78+Liwonde!F78+Machinga!F78+Ntaja!F78</f>
        <v>0</v>
      </c>
      <c r="G78" s="26">
        <f>Balaka!G78+Liwonde!G78+Machinga!G78+Ntaja!G78</f>
        <v>0</v>
      </c>
      <c r="H78" s="26">
        <f>Balaka!H78+Liwonde!H78+Machinga!H78+Ntaja!H78</f>
        <v>0</v>
      </c>
      <c r="I78" s="26">
        <f>Balaka!I78+Liwonde!I78+Machinga!I78+Ntaja!I78</f>
        <v>0</v>
      </c>
      <c r="J78" s="26">
        <f>Balaka!J78+Liwonde!J78+Machinga!J78+Ntaja!J78</f>
        <v>0</v>
      </c>
      <c r="K78" s="26">
        <f>Balaka!K78+Liwonde!K78+Machinga!K78+Ntaja!K78</f>
        <v>0</v>
      </c>
      <c r="L78" s="26">
        <f>Balaka!L78+Liwonde!L78+Machinga!L78+Ntaja!L78</f>
        <v>0</v>
      </c>
      <c r="M78" s="26">
        <f>Balaka!M78+Liwonde!M78+Machinga!M78+Ntaja!M78</f>
        <v>0</v>
      </c>
      <c r="N78" s="26">
        <f>Balaka!N78+Liwonde!N78+Machinga!N78+Ntaja!N78</f>
        <v>0</v>
      </c>
      <c r="O78" s="26">
        <f>Balaka!O78+Liwonde!O78+Machinga!O78+Ntaja!O78</f>
        <v>0</v>
      </c>
      <c r="P78" s="35">
        <f>D78</f>
        <v>0</v>
      </c>
    </row>
    <row r="79" spans="1:16" x14ac:dyDescent="0.3">
      <c r="A79" s="328"/>
      <c r="B79" s="24" t="s">
        <v>104</v>
      </c>
      <c r="C79" s="5" t="s">
        <v>3</v>
      </c>
      <c r="D79" s="26">
        <f>Balaka!D79+Liwonde!D79+Machinga!D79+Ntaja!D79</f>
        <v>0</v>
      </c>
      <c r="E79" s="26">
        <f>Balaka!E79+Liwonde!E79+Machinga!E79+Ntaja!E79</f>
        <v>0</v>
      </c>
      <c r="F79" s="26">
        <f>Balaka!F79+Liwonde!F79+Machinga!F79+Ntaja!F79</f>
        <v>0</v>
      </c>
      <c r="G79" s="26">
        <f>Balaka!G79+Liwonde!G79+Machinga!G79+Ntaja!G79</f>
        <v>0</v>
      </c>
      <c r="H79" s="26">
        <f>Balaka!H79+Liwonde!H79+Machinga!H79+Ntaja!H79</f>
        <v>0</v>
      </c>
      <c r="I79" s="26">
        <f>Balaka!I79+Liwonde!I79+Machinga!I79+Ntaja!I79</f>
        <v>0</v>
      </c>
      <c r="J79" s="26">
        <f>Balaka!J79+Liwonde!J79+Machinga!J79+Ntaja!J79</f>
        <v>0</v>
      </c>
      <c r="K79" s="26">
        <f>Balaka!K79+Liwonde!K79+Machinga!K79+Ntaja!K79</f>
        <v>0</v>
      </c>
      <c r="L79" s="26">
        <f>Balaka!L79+Liwonde!L79+Machinga!L79+Ntaja!L79</f>
        <v>0</v>
      </c>
      <c r="M79" s="26">
        <f>Balaka!M79+Liwonde!M79+Machinga!M79+Ntaja!M79</f>
        <v>0</v>
      </c>
      <c r="N79" s="26">
        <f>Balaka!N79+Liwonde!N79+Machinga!N79+Ntaja!N79</f>
        <v>0</v>
      </c>
      <c r="O79" s="26">
        <f>Balaka!O79+Liwonde!O79+Machinga!O79+Ntaja!O79</f>
        <v>0</v>
      </c>
      <c r="P79" s="35">
        <f>SUM(D79:O79)</f>
        <v>0</v>
      </c>
    </row>
    <row r="80" spans="1:16" ht="27" x14ac:dyDescent="0.3">
      <c r="A80" s="328"/>
      <c r="B80" s="24" t="s">
        <v>103</v>
      </c>
      <c r="C80" s="5" t="s">
        <v>3</v>
      </c>
      <c r="D80" s="26">
        <f>Balaka!D80+Liwonde!D80+Machinga!D80+Ntaja!D80</f>
        <v>0</v>
      </c>
      <c r="E80" s="26">
        <f>Balaka!E80+Liwonde!E80+Machinga!E80+Ntaja!E80</f>
        <v>0</v>
      </c>
      <c r="F80" s="26">
        <f>Balaka!F80+Liwonde!F80+Machinga!F80+Ntaja!F80</f>
        <v>0</v>
      </c>
      <c r="G80" s="26">
        <f>Balaka!G80+Liwonde!G80+Machinga!G80+Ntaja!G80</f>
        <v>0</v>
      </c>
      <c r="H80" s="26">
        <f>Balaka!H80+Liwonde!H80+Machinga!H80+Ntaja!H80</f>
        <v>0</v>
      </c>
      <c r="I80" s="26">
        <f>Balaka!I80+Liwonde!I80+Machinga!I80+Ntaja!I80</f>
        <v>0</v>
      </c>
      <c r="J80" s="26">
        <f>Balaka!J80+Liwonde!J80+Machinga!J80+Ntaja!J80</f>
        <v>0</v>
      </c>
      <c r="K80" s="26">
        <f>Balaka!K80+Liwonde!K80+Machinga!K80+Ntaja!K80</f>
        <v>0</v>
      </c>
      <c r="L80" s="26">
        <f>Balaka!L80+Liwonde!L80+Machinga!L80+Ntaja!L80</f>
        <v>0</v>
      </c>
      <c r="M80" s="26">
        <f>Balaka!M80+Liwonde!M80+Machinga!M80+Ntaja!M80</f>
        <v>0</v>
      </c>
      <c r="N80" s="26">
        <f>Balaka!N80+Liwonde!N80+Machinga!N80+Ntaja!N80</f>
        <v>0</v>
      </c>
      <c r="O80" s="26">
        <f>Balaka!O80+Liwonde!O80+Machinga!O80+Ntaja!O80</f>
        <v>0</v>
      </c>
      <c r="P80" s="35"/>
    </row>
    <row r="81" spans="1:16" s="2" customFormat="1" ht="27" x14ac:dyDescent="0.3">
      <c r="A81" s="328"/>
      <c r="B81" s="24" t="s">
        <v>102</v>
      </c>
      <c r="C81" s="11" t="s">
        <v>3</v>
      </c>
      <c r="D81" s="26">
        <f>Balaka!D81+Liwonde!D81+Machinga!D81+Ntaja!D81</f>
        <v>0</v>
      </c>
      <c r="E81" s="26">
        <f>Balaka!E81+Liwonde!E81+Machinga!E81+Ntaja!E81</f>
        <v>0</v>
      </c>
      <c r="F81" s="26">
        <f>Balaka!F81+Liwonde!F81+Machinga!F81+Ntaja!F81</f>
        <v>0</v>
      </c>
      <c r="G81" s="26">
        <f>Balaka!G81+Liwonde!G81+Machinga!G81+Ntaja!G81</f>
        <v>0</v>
      </c>
      <c r="H81" s="26">
        <f>Balaka!H81+Liwonde!H81+Machinga!H81+Ntaja!H81</f>
        <v>0</v>
      </c>
      <c r="I81" s="26">
        <f>Balaka!I81+Liwonde!I81+Machinga!I81+Ntaja!I81</f>
        <v>0</v>
      </c>
      <c r="J81" s="26">
        <f>Balaka!J81+Liwonde!J81+Machinga!J81+Ntaja!J81</f>
        <v>0</v>
      </c>
      <c r="K81" s="26">
        <f>Balaka!K81+Liwonde!K81+Machinga!K81+Ntaja!K81</f>
        <v>0</v>
      </c>
      <c r="L81" s="26">
        <f>Balaka!L81+Liwonde!L81+Machinga!L81+Ntaja!L81</f>
        <v>0</v>
      </c>
      <c r="M81" s="26">
        <f>Balaka!M81+Liwonde!M81+Machinga!M81+Ntaja!M81</f>
        <v>0</v>
      </c>
      <c r="N81" s="26">
        <f>Balaka!N81+Liwonde!N81+Machinga!N81+Ntaja!N81</f>
        <v>0</v>
      </c>
      <c r="O81" s="26">
        <f>Balaka!O81+Liwonde!O81+Machinga!O81+Ntaja!O81</f>
        <v>0</v>
      </c>
      <c r="P81" s="74">
        <f>SUM(D81:O81)</f>
        <v>0</v>
      </c>
    </row>
    <row r="82" spans="1:16" s="2" customFormat="1" x14ac:dyDescent="0.3">
      <c r="A82" s="328"/>
      <c r="B82" s="24" t="s">
        <v>188</v>
      </c>
      <c r="C82" s="11" t="s">
        <v>3</v>
      </c>
      <c r="D82" s="4">
        <f>D81+D80</f>
        <v>0</v>
      </c>
      <c r="E82" s="4">
        <f t="shared" ref="E82:P82" si="31">E81+E80</f>
        <v>0</v>
      </c>
      <c r="F82" s="4">
        <f t="shared" ref="F82:G82" si="32">F81+F80</f>
        <v>0</v>
      </c>
      <c r="G82" s="4">
        <f t="shared" si="32"/>
        <v>0</v>
      </c>
      <c r="H82" s="4">
        <f t="shared" ref="H82:O82" si="33">H81+H80</f>
        <v>0</v>
      </c>
      <c r="I82" s="4">
        <f t="shared" si="33"/>
        <v>0</v>
      </c>
      <c r="J82" s="4">
        <f t="shared" si="33"/>
        <v>0</v>
      </c>
      <c r="K82" s="4">
        <f t="shared" si="33"/>
        <v>0</v>
      </c>
      <c r="L82" s="4">
        <f t="shared" si="33"/>
        <v>0</v>
      </c>
      <c r="M82" s="4">
        <f t="shared" si="33"/>
        <v>0</v>
      </c>
      <c r="N82" s="4">
        <f t="shared" si="33"/>
        <v>0</v>
      </c>
      <c r="O82" s="4">
        <f t="shared" si="33"/>
        <v>0</v>
      </c>
      <c r="P82" s="105">
        <f t="shared" si="31"/>
        <v>0</v>
      </c>
    </row>
    <row r="83" spans="1:16" x14ac:dyDescent="0.3">
      <c r="A83" s="329"/>
      <c r="B83" s="37" t="s">
        <v>81</v>
      </c>
      <c r="C83" s="5" t="s">
        <v>3</v>
      </c>
      <c r="D83" s="26">
        <f>D78+D79-D82</f>
        <v>0</v>
      </c>
      <c r="E83" s="26">
        <f t="shared" ref="E83:P83" si="34">E78+E79-E82</f>
        <v>0</v>
      </c>
      <c r="F83" s="26">
        <f t="shared" ref="F83:G83" si="35">F78+F79-F82</f>
        <v>0</v>
      </c>
      <c r="G83" s="26">
        <f t="shared" si="35"/>
        <v>0</v>
      </c>
      <c r="H83" s="26">
        <f t="shared" ref="H83:O83" si="36">H78+H79-H82</f>
        <v>0</v>
      </c>
      <c r="I83" s="26">
        <f t="shared" si="36"/>
        <v>0</v>
      </c>
      <c r="J83" s="26">
        <f t="shared" si="36"/>
        <v>0</v>
      </c>
      <c r="K83" s="26">
        <f t="shared" si="36"/>
        <v>0</v>
      </c>
      <c r="L83" s="26">
        <f t="shared" si="36"/>
        <v>0</v>
      </c>
      <c r="M83" s="26">
        <f t="shared" si="36"/>
        <v>0</v>
      </c>
      <c r="N83" s="26">
        <f t="shared" si="36"/>
        <v>0</v>
      </c>
      <c r="O83" s="26">
        <f t="shared" si="36"/>
        <v>0</v>
      </c>
      <c r="P83" s="106">
        <f t="shared" si="34"/>
        <v>0</v>
      </c>
    </row>
    <row r="84" spans="1:16" x14ac:dyDescent="0.3">
      <c r="A84" s="265" t="s">
        <v>106</v>
      </c>
      <c r="B84" s="37" t="s">
        <v>85</v>
      </c>
      <c r="C84" s="5" t="s">
        <v>3</v>
      </c>
      <c r="D84" s="26">
        <f>Balaka!D84+Liwonde!D84+Machinga!D84+Ntaja!D84</f>
        <v>0</v>
      </c>
      <c r="E84" s="26">
        <f>Balaka!E84+Liwonde!E84+Machinga!E84+Ntaja!E84</f>
        <v>0</v>
      </c>
      <c r="F84" s="26">
        <f>Balaka!F84+Liwonde!F84+Machinga!F84+Ntaja!F84</f>
        <v>0</v>
      </c>
      <c r="G84" s="26">
        <f>Balaka!G84+Liwonde!G84+Machinga!G84+Ntaja!G84</f>
        <v>0</v>
      </c>
      <c r="H84" s="26">
        <f>Balaka!H84+Liwonde!H84+Machinga!H84+Ntaja!H84</f>
        <v>0</v>
      </c>
      <c r="I84" s="26">
        <f>Balaka!I84+Liwonde!I84+Machinga!I84+Ntaja!I84</f>
        <v>0</v>
      </c>
      <c r="J84" s="26">
        <f>Balaka!J84+Liwonde!J84+Machinga!J84+Ntaja!J84</f>
        <v>0</v>
      </c>
      <c r="K84" s="26">
        <f>Balaka!K84+Liwonde!K84+Machinga!K84+Ntaja!K84</f>
        <v>0</v>
      </c>
      <c r="L84" s="26">
        <f>Balaka!L84+Liwonde!L84+Machinga!L84+Ntaja!L84</f>
        <v>0</v>
      </c>
      <c r="M84" s="26">
        <f>Balaka!M84+Liwonde!M84+Machinga!M84+Ntaja!M84</f>
        <v>0</v>
      </c>
      <c r="N84" s="26">
        <f>Balaka!N84+Liwonde!N84+Machinga!N84+Ntaja!N84</f>
        <v>0</v>
      </c>
      <c r="O84" s="26">
        <f>Balaka!O84+Liwonde!O84+Machinga!O84+Ntaja!O84</f>
        <v>0</v>
      </c>
      <c r="P84" s="35">
        <f>D84</f>
        <v>0</v>
      </c>
    </row>
    <row r="85" spans="1:16" x14ac:dyDescent="0.3">
      <c r="A85" s="266"/>
      <c r="B85" s="37" t="s">
        <v>104</v>
      </c>
      <c r="C85" s="5" t="s">
        <v>3</v>
      </c>
      <c r="D85" s="26">
        <f>Balaka!D85+Liwonde!D85+Machinga!D85+Ntaja!D85</f>
        <v>0</v>
      </c>
      <c r="E85" s="26">
        <f>Balaka!E85+Liwonde!E85+Machinga!E85+Ntaja!E85</f>
        <v>0</v>
      </c>
      <c r="F85" s="26">
        <f>Balaka!F85+Liwonde!F85+Machinga!F85+Ntaja!F85</f>
        <v>0</v>
      </c>
      <c r="G85" s="26">
        <f>Balaka!G85+Liwonde!G85+Machinga!G85+Ntaja!G85</f>
        <v>0</v>
      </c>
      <c r="H85" s="26">
        <f>Balaka!H85+Liwonde!H85+Machinga!H85+Ntaja!H85</f>
        <v>0</v>
      </c>
      <c r="I85" s="26">
        <f>Balaka!I85+Liwonde!I85+Machinga!I85+Ntaja!I85</f>
        <v>0</v>
      </c>
      <c r="J85" s="26">
        <f>Balaka!J85+Liwonde!J85+Machinga!J85+Ntaja!J85</f>
        <v>0</v>
      </c>
      <c r="K85" s="26">
        <f>Balaka!K85+Liwonde!K85+Machinga!K85+Ntaja!K85</f>
        <v>0</v>
      </c>
      <c r="L85" s="26">
        <f>Balaka!L85+Liwonde!L85+Machinga!L85+Ntaja!L85</f>
        <v>0</v>
      </c>
      <c r="M85" s="26">
        <f>Balaka!M85+Liwonde!M85+Machinga!M85+Ntaja!M85</f>
        <v>0</v>
      </c>
      <c r="N85" s="26">
        <f>Balaka!N85+Liwonde!N85+Machinga!N85+Ntaja!N85</f>
        <v>0</v>
      </c>
      <c r="O85" s="26">
        <f>Balaka!O85+Liwonde!O85+Machinga!O85+Ntaja!O85</f>
        <v>0</v>
      </c>
      <c r="P85" s="35">
        <f>SUM(D85:O85)</f>
        <v>0</v>
      </c>
    </row>
    <row r="86" spans="1:16" ht="27" x14ac:dyDescent="0.3">
      <c r="A86" s="266"/>
      <c r="B86" s="37" t="s">
        <v>103</v>
      </c>
      <c r="C86" s="5" t="s">
        <v>3</v>
      </c>
      <c r="D86" s="26">
        <f>Balaka!D86+Liwonde!D86+Machinga!D86+Ntaja!D86</f>
        <v>0</v>
      </c>
      <c r="E86" s="26">
        <f>Balaka!E86+Liwonde!E86+Machinga!E86+Ntaja!E86</f>
        <v>0</v>
      </c>
      <c r="F86" s="26">
        <f>Balaka!F86+Liwonde!F86+Machinga!F86+Ntaja!F86</f>
        <v>0</v>
      </c>
      <c r="G86" s="26">
        <f>Balaka!G86+Liwonde!G86+Machinga!G86+Ntaja!G86</f>
        <v>0</v>
      </c>
      <c r="H86" s="26">
        <f>Balaka!H86+Liwonde!H86+Machinga!H86+Ntaja!H86</f>
        <v>0</v>
      </c>
      <c r="I86" s="26">
        <f>Balaka!I86+Liwonde!I86+Machinga!I86+Ntaja!I86</f>
        <v>0</v>
      </c>
      <c r="J86" s="26">
        <f>Balaka!J86+Liwonde!J86+Machinga!J86+Ntaja!J86</f>
        <v>0</v>
      </c>
      <c r="K86" s="26">
        <f>Balaka!K86+Liwonde!K86+Machinga!K86+Ntaja!K86</f>
        <v>0</v>
      </c>
      <c r="L86" s="26">
        <f>Balaka!L86+Liwonde!L86+Machinga!L86+Ntaja!L86</f>
        <v>0</v>
      </c>
      <c r="M86" s="26">
        <f>Balaka!M86+Liwonde!M86+Machinga!M86+Ntaja!M86</f>
        <v>0</v>
      </c>
      <c r="N86" s="26">
        <f>Balaka!N86+Liwonde!N86+Machinga!N86+Ntaja!N86</f>
        <v>0</v>
      </c>
      <c r="O86" s="26">
        <f>Balaka!O86+Liwonde!O86+Machinga!O86+Ntaja!O86</f>
        <v>0</v>
      </c>
      <c r="P86" s="35"/>
    </row>
    <row r="87" spans="1:16" s="2" customFormat="1" ht="27" x14ac:dyDescent="0.3">
      <c r="A87" s="266"/>
      <c r="B87" s="24" t="s">
        <v>102</v>
      </c>
      <c r="C87" s="11" t="s">
        <v>3</v>
      </c>
      <c r="D87" s="26">
        <f>Balaka!D87+Liwonde!D87+Machinga!D87+Ntaja!D87</f>
        <v>0</v>
      </c>
      <c r="E87" s="26">
        <f>Balaka!E87+Liwonde!E87+Machinga!E87+Ntaja!E87</f>
        <v>0</v>
      </c>
      <c r="F87" s="26">
        <f>Balaka!F87+Liwonde!F87+Machinga!F87+Ntaja!F87</f>
        <v>0</v>
      </c>
      <c r="G87" s="26">
        <f>Balaka!G87+Liwonde!G87+Machinga!G87+Ntaja!G87</f>
        <v>0</v>
      </c>
      <c r="H87" s="26">
        <f>Balaka!H87+Liwonde!H87+Machinga!H87+Ntaja!H87</f>
        <v>0</v>
      </c>
      <c r="I87" s="26">
        <f>Balaka!I87+Liwonde!I87+Machinga!I87+Ntaja!I87</f>
        <v>0</v>
      </c>
      <c r="J87" s="26">
        <f>Balaka!J87+Liwonde!J87+Machinga!J87+Ntaja!J87</f>
        <v>0</v>
      </c>
      <c r="K87" s="26">
        <f>Balaka!K87+Liwonde!K87+Machinga!K87+Ntaja!K87</f>
        <v>0</v>
      </c>
      <c r="L87" s="26">
        <f>Balaka!L87+Liwonde!L87+Machinga!L87+Ntaja!L87</f>
        <v>0</v>
      </c>
      <c r="M87" s="26">
        <f>Balaka!M87+Liwonde!M87+Machinga!M87+Ntaja!M87</f>
        <v>0</v>
      </c>
      <c r="N87" s="26">
        <f>Balaka!N87+Liwonde!N87+Machinga!N87+Ntaja!N87</f>
        <v>0</v>
      </c>
      <c r="O87" s="26">
        <f>Balaka!O87+Liwonde!O87+Machinga!O87+Ntaja!O87</f>
        <v>0</v>
      </c>
      <c r="P87" s="74">
        <f>SUM(D87:O87)</f>
        <v>0</v>
      </c>
    </row>
    <row r="88" spans="1:16" s="2" customFormat="1" x14ac:dyDescent="0.3">
      <c r="A88" s="266"/>
      <c r="B88" s="24" t="s">
        <v>188</v>
      </c>
      <c r="C88" s="11" t="s">
        <v>3</v>
      </c>
      <c r="D88" s="4">
        <f>D87+D86</f>
        <v>0</v>
      </c>
      <c r="E88" s="4">
        <f>E87+E86</f>
        <v>0</v>
      </c>
      <c r="F88" s="4">
        <f>F87+F86</f>
        <v>0</v>
      </c>
      <c r="G88" s="4">
        <f>G87+G86</f>
        <v>0</v>
      </c>
      <c r="H88" s="4">
        <f>H87+H86</f>
        <v>0</v>
      </c>
      <c r="I88" s="4">
        <f t="shared" ref="I88:O88" si="37">I87+I86</f>
        <v>0</v>
      </c>
      <c r="J88" s="4">
        <f t="shared" si="37"/>
        <v>0</v>
      </c>
      <c r="K88" s="4">
        <f t="shared" si="37"/>
        <v>0</v>
      </c>
      <c r="L88" s="4">
        <f t="shared" si="37"/>
        <v>0</v>
      </c>
      <c r="M88" s="4">
        <f t="shared" si="37"/>
        <v>0</v>
      </c>
      <c r="N88" s="4">
        <f t="shared" si="37"/>
        <v>0</v>
      </c>
      <c r="O88" s="4">
        <f t="shared" si="37"/>
        <v>0</v>
      </c>
      <c r="P88" s="74"/>
    </row>
    <row r="89" spans="1:16" x14ac:dyDescent="0.3">
      <c r="A89" s="267"/>
      <c r="B89" s="36" t="s">
        <v>81</v>
      </c>
      <c r="C89" s="5" t="s">
        <v>3</v>
      </c>
      <c r="D89" s="26">
        <f>D84+D85-D88</f>
        <v>0</v>
      </c>
      <c r="E89" s="26">
        <f>E84+E85-E88</f>
        <v>0</v>
      </c>
      <c r="F89" s="26">
        <f>F84+F85-F88</f>
        <v>0</v>
      </c>
      <c r="G89" s="26">
        <f>G84+G85-G88</f>
        <v>0</v>
      </c>
      <c r="H89" s="26">
        <f>H84+H85-H88</f>
        <v>0</v>
      </c>
      <c r="I89" s="26">
        <f t="shared" ref="I89:O89" si="38">I84+I85-I88</f>
        <v>0</v>
      </c>
      <c r="J89" s="26">
        <f t="shared" si="38"/>
        <v>0</v>
      </c>
      <c r="K89" s="26">
        <f t="shared" si="38"/>
        <v>0</v>
      </c>
      <c r="L89" s="26">
        <f t="shared" si="38"/>
        <v>0</v>
      </c>
      <c r="M89" s="26">
        <f t="shared" si="38"/>
        <v>0</v>
      </c>
      <c r="N89" s="26">
        <f t="shared" si="38"/>
        <v>0</v>
      </c>
      <c r="O89" s="26">
        <f t="shared" si="38"/>
        <v>0</v>
      </c>
      <c r="P89" s="106">
        <f t="shared" ref="P89" si="39">P84+P85-P86-P87</f>
        <v>0</v>
      </c>
    </row>
    <row r="90" spans="1:16" x14ac:dyDescent="0.3">
      <c r="A90" s="268" t="s">
        <v>105</v>
      </c>
      <c r="B90" s="24" t="s">
        <v>85</v>
      </c>
      <c r="C90" s="11" t="s">
        <v>3</v>
      </c>
      <c r="D90" s="136">
        <f>D66+D72+D78+D84</f>
        <v>747</v>
      </c>
      <c r="E90" s="136">
        <f>E66+E72+E78+E84</f>
        <v>750</v>
      </c>
      <c r="F90" s="136">
        <f>F66+F72+F78+F84</f>
        <v>750</v>
      </c>
      <c r="G90" s="136">
        <f>G66+G72+G78+G84</f>
        <v>764</v>
      </c>
      <c r="H90" s="136">
        <f>H66+H72+H78+H84</f>
        <v>790</v>
      </c>
      <c r="I90" s="136">
        <f t="shared" ref="I90:O90" si="40">I66+I72+I78+I84</f>
        <v>824</v>
      </c>
      <c r="J90" s="136">
        <f t="shared" si="40"/>
        <v>838</v>
      </c>
      <c r="K90" s="136">
        <f t="shared" si="40"/>
        <v>818</v>
      </c>
      <c r="L90" s="136">
        <f t="shared" si="40"/>
        <v>802</v>
      </c>
      <c r="M90" s="136">
        <f t="shared" si="40"/>
        <v>817</v>
      </c>
      <c r="N90" s="136">
        <f t="shared" si="40"/>
        <v>832</v>
      </c>
      <c r="O90" s="136">
        <f t="shared" si="40"/>
        <v>842</v>
      </c>
      <c r="P90" s="35">
        <f>D90</f>
        <v>747</v>
      </c>
    </row>
    <row r="91" spans="1:16" x14ac:dyDescent="0.3">
      <c r="A91" s="269"/>
      <c r="B91" s="24" t="s">
        <v>104</v>
      </c>
      <c r="C91" s="11" t="s">
        <v>3</v>
      </c>
      <c r="D91" s="136">
        <f t="shared" ref="D91:E93" si="41">D67+D73+D79+D85</f>
        <v>45</v>
      </c>
      <c r="E91" s="136">
        <f t="shared" si="41"/>
        <v>88</v>
      </c>
      <c r="F91" s="136">
        <f t="shared" ref="F91:G91" si="42">F67+F73+F79+F85</f>
        <v>116</v>
      </c>
      <c r="G91" s="136">
        <f t="shared" si="42"/>
        <v>121</v>
      </c>
      <c r="H91" s="136">
        <f t="shared" ref="H91:O91" si="43">H67+H73+H79+H85</f>
        <v>173</v>
      </c>
      <c r="I91" s="136">
        <f t="shared" si="43"/>
        <v>82</v>
      </c>
      <c r="J91" s="136">
        <f t="shared" si="43"/>
        <v>76</v>
      </c>
      <c r="K91" s="136">
        <f t="shared" si="43"/>
        <v>57</v>
      </c>
      <c r="L91" s="136">
        <f t="shared" si="43"/>
        <v>83</v>
      </c>
      <c r="M91" s="136">
        <f t="shared" si="43"/>
        <v>59</v>
      </c>
      <c r="N91" s="136">
        <f t="shared" si="43"/>
        <v>88</v>
      </c>
      <c r="O91" s="136">
        <f t="shared" si="43"/>
        <v>71</v>
      </c>
      <c r="P91" s="35">
        <f>SUM(D91:O91)</f>
        <v>1059</v>
      </c>
    </row>
    <row r="92" spans="1:16" ht="27" x14ac:dyDescent="0.3">
      <c r="A92" s="269"/>
      <c r="B92" s="24" t="s">
        <v>103</v>
      </c>
      <c r="C92" s="11" t="s">
        <v>3</v>
      </c>
      <c r="D92" s="136">
        <f t="shared" si="41"/>
        <v>34</v>
      </c>
      <c r="E92" s="136">
        <f t="shared" si="41"/>
        <v>40</v>
      </c>
      <c r="F92" s="136">
        <f t="shared" ref="F92:G92" si="44">F68+F74+F80+F86</f>
        <v>78</v>
      </c>
      <c r="G92" s="136">
        <f t="shared" si="44"/>
        <v>64</v>
      </c>
      <c r="H92" s="136">
        <f t="shared" ref="H92:O92" si="45">H68+H74+H80+H86</f>
        <v>107</v>
      </c>
      <c r="I92" s="136">
        <f t="shared" si="45"/>
        <v>64</v>
      </c>
      <c r="J92" s="136">
        <f t="shared" si="45"/>
        <v>96</v>
      </c>
      <c r="K92" s="136">
        <f t="shared" si="45"/>
        <v>73</v>
      </c>
      <c r="L92" s="136">
        <f t="shared" si="45"/>
        <v>68</v>
      </c>
      <c r="M92" s="136">
        <f t="shared" si="45"/>
        <v>44</v>
      </c>
      <c r="N92" s="136">
        <f t="shared" si="45"/>
        <v>78</v>
      </c>
      <c r="O92" s="136">
        <f t="shared" si="45"/>
        <v>37</v>
      </c>
      <c r="P92" s="35">
        <f>SUM(D92:O92)</f>
        <v>783</v>
      </c>
    </row>
    <row r="93" spans="1:16" s="2" customFormat="1" ht="27" x14ac:dyDescent="0.3">
      <c r="A93" s="269"/>
      <c r="B93" s="24" t="s">
        <v>102</v>
      </c>
      <c r="C93" s="11"/>
      <c r="D93" s="136">
        <f t="shared" si="41"/>
        <v>8</v>
      </c>
      <c r="E93" s="136">
        <f t="shared" si="41"/>
        <v>48</v>
      </c>
      <c r="F93" s="136">
        <f t="shared" ref="F93:G93" si="46">F69+F75+F81+F87</f>
        <v>24</v>
      </c>
      <c r="G93" s="136">
        <f t="shared" si="46"/>
        <v>31</v>
      </c>
      <c r="H93" s="136">
        <f t="shared" ref="H93:O93" si="47">H69+H75+H81+H87</f>
        <v>32</v>
      </c>
      <c r="I93" s="136">
        <f t="shared" si="47"/>
        <v>4</v>
      </c>
      <c r="J93" s="136">
        <f t="shared" si="47"/>
        <v>0</v>
      </c>
      <c r="K93" s="136">
        <f t="shared" si="47"/>
        <v>0</v>
      </c>
      <c r="L93" s="136">
        <f t="shared" si="47"/>
        <v>0</v>
      </c>
      <c r="M93" s="136">
        <f t="shared" si="47"/>
        <v>0</v>
      </c>
      <c r="N93" s="136">
        <f t="shared" si="47"/>
        <v>0</v>
      </c>
      <c r="O93" s="136">
        <f t="shared" si="47"/>
        <v>3</v>
      </c>
      <c r="P93" s="35">
        <f>SUM(D93:O93)</f>
        <v>150</v>
      </c>
    </row>
    <row r="94" spans="1:16" s="2" customFormat="1" x14ac:dyDescent="0.3">
      <c r="A94" s="269"/>
      <c r="B94" s="24" t="s">
        <v>188</v>
      </c>
      <c r="C94" s="11" t="s">
        <v>3</v>
      </c>
      <c r="D94" s="137">
        <f>D93+D92</f>
        <v>42</v>
      </c>
      <c r="E94" s="137">
        <f t="shared" ref="E94:P94" si="48">E93+E92</f>
        <v>88</v>
      </c>
      <c r="F94" s="137">
        <f t="shared" si="48"/>
        <v>102</v>
      </c>
      <c r="G94" s="137">
        <f t="shared" ref="G94:H94" si="49">G93+G92</f>
        <v>95</v>
      </c>
      <c r="H94" s="137">
        <f t="shared" si="49"/>
        <v>139</v>
      </c>
      <c r="I94" s="137">
        <f t="shared" ref="I94:O94" si="50">I93+I92</f>
        <v>68</v>
      </c>
      <c r="J94" s="137">
        <f t="shared" si="50"/>
        <v>96</v>
      </c>
      <c r="K94" s="137">
        <f t="shared" si="50"/>
        <v>73</v>
      </c>
      <c r="L94" s="137">
        <f t="shared" si="50"/>
        <v>68</v>
      </c>
      <c r="M94" s="137">
        <f t="shared" si="50"/>
        <v>44</v>
      </c>
      <c r="N94" s="137">
        <f t="shared" si="50"/>
        <v>78</v>
      </c>
      <c r="O94" s="137">
        <f t="shared" si="50"/>
        <v>40</v>
      </c>
      <c r="P94" s="144">
        <f t="shared" si="48"/>
        <v>933</v>
      </c>
    </row>
    <row r="95" spans="1:16" ht="16.2" thickBot="1" x14ac:dyDescent="0.35">
      <c r="A95" s="270"/>
      <c r="B95" s="24" t="s">
        <v>81</v>
      </c>
      <c r="C95" s="11" t="s">
        <v>3</v>
      </c>
      <c r="D95" s="138">
        <f>D90+D91-D94</f>
        <v>750</v>
      </c>
      <c r="E95" s="138">
        <f t="shared" ref="E95:H95" si="51">E90+E91-E94</f>
        <v>750</v>
      </c>
      <c r="F95" s="138">
        <f t="shared" si="51"/>
        <v>764</v>
      </c>
      <c r="G95" s="138">
        <f t="shared" si="51"/>
        <v>790</v>
      </c>
      <c r="H95" s="138">
        <f t="shared" si="51"/>
        <v>824</v>
      </c>
      <c r="I95" s="138">
        <f t="shared" ref="I95:O95" si="52">I90+I91-I94</f>
        <v>838</v>
      </c>
      <c r="J95" s="138">
        <f t="shared" si="52"/>
        <v>818</v>
      </c>
      <c r="K95" s="138">
        <f t="shared" si="52"/>
        <v>802</v>
      </c>
      <c r="L95" s="138">
        <f t="shared" si="52"/>
        <v>817</v>
      </c>
      <c r="M95" s="138">
        <f t="shared" si="52"/>
        <v>832</v>
      </c>
      <c r="N95" s="138">
        <f t="shared" si="52"/>
        <v>842</v>
      </c>
      <c r="O95" s="138">
        <f t="shared" si="52"/>
        <v>873</v>
      </c>
      <c r="P95" s="145">
        <f t="shared" ref="P95" si="53">P90+P91-P94</f>
        <v>873</v>
      </c>
    </row>
    <row r="96" spans="1:16" ht="16.2" thickBot="1" x14ac:dyDescent="0.35">
      <c r="A96" s="87"/>
      <c r="B96" s="67"/>
      <c r="C96" s="68"/>
      <c r="D96" s="65"/>
      <c r="E96" s="65"/>
      <c r="F96" s="65"/>
      <c r="G96" s="65"/>
      <c r="H96" s="65"/>
      <c r="I96" s="65"/>
      <c r="J96" s="66"/>
      <c r="K96" s="66"/>
      <c r="L96" s="66"/>
      <c r="M96" s="66"/>
      <c r="N96" s="66"/>
      <c r="O96" s="66"/>
      <c r="P96" s="107"/>
    </row>
    <row r="97" spans="1:16" s="2" customFormat="1" ht="15.75" customHeight="1" thickBot="1" x14ac:dyDescent="0.35">
      <c r="A97" s="271" t="s">
        <v>189</v>
      </c>
      <c r="B97" s="272"/>
      <c r="C97" s="272"/>
      <c r="D97" s="272"/>
      <c r="E97" s="272"/>
      <c r="F97" s="272"/>
      <c r="G97" s="272"/>
      <c r="H97" s="272"/>
      <c r="I97" s="272"/>
      <c r="J97" s="272"/>
      <c r="K97" s="272"/>
      <c r="L97" s="272"/>
      <c r="M97" s="272"/>
      <c r="N97" s="272"/>
      <c r="O97" s="272"/>
      <c r="P97" s="273"/>
    </row>
    <row r="98" spans="1:16" x14ac:dyDescent="0.3">
      <c r="A98" s="88" t="s">
        <v>190</v>
      </c>
      <c r="B98" s="69"/>
      <c r="C98" s="11" t="s">
        <v>3</v>
      </c>
      <c r="D98" s="26">
        <f>Balaka!D98+Liwonde!D98+Machinga!D98+Ntaja!D98</f>
        <v>1783</v>
      </c>
      <c r="E98" s="26">
        <f>Balaka!E98+Liwonde!E98+Machinga!E98+Ntaja!E98</f>
        <v>1881</v>
      </c>
      <c r="F98" s="26">
        <f>Balaka!F98+Liwonde!F98+Machinga!F98+Ntaja!F98</f>
        <v>1831</v>
      </c>
      <c r="G98" s="26">
        <f>Balaka!G98+Liwonde!G98+Machinga!G98+Ntaja!G98</f>
        <v>1816</v>
      </c>
      <c r="H98" s="26">
        <f>Balaka!H98+Liwonde!H98+Machinga!H98+Ntaja!H98</f>
        <v>1823</v>
      </c>
      <c r="I98" s="26">
        <f>Balaka!I98+Liwonde!I98+Machinga!I98+Ntaja!I98</f>
        <v>1795</v>
      </c>
      <c r="J98" s="26">
        <f>Balaka!J98+Liwonde!J98+Machinga!J98+Ntaja!J98</f>
        <v>1791</v>
      </c>
      <c r="K98" s="26">
        <f>Balaka!K98+Liwonde!K98+Machinga!K98+Ntaja!K98</f>
        <v>1791</v>
      </c>
      <c r="L98" s="26">
        <f>Balaka!L98+Liwonde!L98+Machinga!L98+Ntaja!L98</f>
        <v>1791</v>
      </c>
      <c r="M98" s="26">
        <f>Balaka!M98+Liwonde!M98+Machinga!M98+Ntaja!M98</f>
        <v>1791</v>
      </c>
      <c r="N98" s="26">
        <f>Balaka!N98+Liwonde!N98+Machinga!N98+Ntaja!N98</f>
        <v>1795</v>
      </c>
      <c r="O98" s="26">
        <f>Balaka!O98+Liwonde!O98+Machinga!O98+Ntaja!O98</f>
        <v>1841</v>
      </c>
      <c r="P98" s="108">
        <f>SUM(D98:O98)</f>
        <v>21729</v>
      </c>
    </row>
    <row r="99" spans="1:16" x14ac:dyDescent="0.3">
      <c r="A99" s="88"/>
      <c r="B99" s="24"/>
      <c r="C99" s="11"/>
      <c r="D99" s="65"/>
      <c r="E99" s="65"/>
      <c r="F99" s="65"/>
      <c r="G99" s="65"/>
      <c r="H99" s="65"/>
      <c r="I99" s="65"/>
      <c r="J99" s="66"/>
      <c r="K99" s="66"/>
      <c r="L99" s="66"/>
      <c r="M99" s="66"/>
      <c r="N99" s="66"/>
      <c r="O99" s="66"/>
      <c r="P99" s="107"/>
    </row>
    <row r="100" spans="1:16" s="2" customFormat="1" ht="14.4" x14ac:dyDescent="0.3">
      <c r="A100" s="276" t="s">
        <v>101</v>
      </c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8"/>
    </row>
    <row r="101" spans="1:16" x14ac:dyDescent="0.3">
      <c r="A101" s="237" t="s">
        <v>100</v>
      </c>
      <c r="B101" s="238"/>
      <c r="C101" s="11" t="s">
        <v>3</v>
      </c>
      <c r="D101" s="26">
        <f>Balaka!D101+Liwonde!D101+Machinga!D101+Ntaja!D101</f>
        <v>4167</v>
      </c>
      <c r="E101" s="26">
        <f>Balaka!E101+Liwonde!E101+Machinga!E101+Ntaja!E101</f>
        <v>3286</v>
      </c>
      <c r="F101" s="26">
        <f>Balaka!F101+Liwonde!F101+Machinga!F101+Ntaja!F101</f>
        <v>3249</v>
      </c>
      <c r="G101" s="26">
        <f>Balaka!G101+Liwonde!G101+Machinga!G101+Ntaja!G101</f>
        <v>3209</v>
      </c>
      <c r="H101" s="26">
        <f>Balaka!H101+Liwonde!H101+Machinga!H101+Ntaja!H101</f>
        <v>3155</v>
      </c>
      <c r="I101" s="26">
        <f>Balaka!I101+Liwonde!I101+Machinga!I101+Ntaja!I101</f>
        <v>3278</v>
      </c>
      <c r="J101" s="26">
        <f>Balaka!J101+Liwonde!J101+Machinga!J101+Ntaja!J101</f>
        <v>3522</v>
      </c>
      <c r="K101" s="26">
        <f>Balaka!K101+Liwonde!K101+Machinga!K101+Ntaja!K101</f>
        <v>3599</v>
      </c>
      <c r="L101" s="26">
        <f>Balaka!L101+Liwonde!L101+Machinga!L101+Ntaja!L101</f>
        <v>3691</v>
      </c>
      <c r="M101" s="26">
        <f>Balaka!M101+Liwonde!M101+Machinga!M101+Ntaja!M101</f>
        <v>3819</v>
      </c>
      <c r="N101" s="26">
        <f>Balaka!N101+Liwonde!N101+Machinga!N101+Ntaja!N101</f>
        <v>3803</v>
      </c>
      <c r="O101" s="26">
        <f>Balaka!O101+Liwonde!O101+Machinga!O101+Ntaja!O101</f>
        <v>3675</v>
      </c>
      <c r="P101" s="32">
        <f t="shared" ref="P101:P111" si="54">O101</f>
        <v>3675</v>
      </c>
    </row>
    <row r="102" spans="1:16" x14ac:dyDescent="0.3">
      <c r="A102" s="237" t="s">
        <v>99</v>
      </c>
      <c r="B102" s="238"/>
      <c r="C102" s="11" t="s">
        <v>3</v>
      </c>
      <c r="D102" s="26">
        <f>Balaka!D102+Liwonde!D102+Machinga!D102+Ntaja!D102</f>
        <v>156</v>
      </c>
      <c r="E102" s="26">
        <f>Balaka!E102+Liwonde!E102+Machinga!E102+Ntaja!E102</f>
        <v>77</v>
      </c>
      <c r="F102" s="26">
        <f>Balaka!F102+Liwonde!F102+Machinga!F102+Ntaja!F102</f>
        <v>77</v>
      </c>
      <c r="G102" s="26">
        <f>Balaka!G102+Liwonde!G102+Machinga!G102+Ntaja!G102</f>
        <v>79</v>
      </c>
      <c r="H102" s="26">
        <f>Balaka!H102+Liwonde!H102+Machinga!H102+Ntaja!H102</f>
        <v>78</v>
      </c>
      <c r="I102" s="26">
        <f>Balaka!I102+Liwonde!I102+Machinga!I102+Ntaja!I102</f>
        <v>80</v>
      </c>
      <c r="J102" s="26">
        <f>Balaka!J102+Liwonde!J102+Machinga!J102+Ntaja!J102</f>
        <v>78</v>
      </c>
      <c r="K102" s="26">
        <f>Balaka!K102+Liwonde!K102+Machinga!K102+Ntaja!K102</f>
        <v>78</v>
      </c>
      <c r="L102" s="26">
        <f>Balaka!L102+Liwonde!L102+Machinga!L102+Ntaja!L102</f>
        <v>77</v>
      </c>
      <c r="M102" s="26">
        <f>Balaka!M102+Liwonde!M102+Machinga!M102+Ntaja!M102</f>
        <v>82</v>
      </c>
      <c r="N102" s="26">
        <f>Balaka!N102+Liwonde!N102+Machinga!N102+Ntaja!N102</f>
        <v>82</v>
      </c>
      <c r="O102" s="26">
        <f>Balaka!O102+Liwonde!O102+Machinga!O102+Ntaja!O102</f>
        <v>82</v>
      </c>
      <c r="P102" s="32">
        <f t="shared" si="54"/>
        <v>82</v>
      </c>
    </row>
    <row r="103" spans="1:16" ht="15.6" customHeight="1" x14ac:dyDescent="0.3">
      <c r="A103" s="243" t="s">
        <v>98</v>
      </c>
      <c r="B103" s="244"/>
      <c r="C103" s="11" t="s">
        <v>3</v>
      </c>
      <c r="D103" s="26">
        <f>Balaka!D103+Liwonde!D103+Machinga!D103+Ntaja!D103</f>
        <v>351</v>
      </c>
      <c r="E103" s="26">
        <f>Balaka!E103+Liwonde!E103+Machinga!E103+Ntaja!E103</f>
        <v>163</v>
      </c>
      <c r="F103" s="26">
        <f>Balaka!F103+Liwonde!F103+Machinga!F103+Ntaja!F103</f>
        <v>163</v>
      </c>
      <c r="G103" s="26">
        <f>Balaka!G103+Liwonde!G103+Machinga!G103+Ntaja!G103</f>
        <v>160</v>
      </c>
      <c r="H103" s="26">
        <f>Balaka!H103+Liwonde!H103+Machinga!H103+Ntaja!H103</f>
        <v>159</v>
      </c>
      <c r="I103" s="26">
        <f>Balaka!I103+Liwonde!I103+Machinga!I103+Ntaja!I103</f>
        <v>162</v>
      </c>
      <c r="J103" s="26">
        <f>Balaka!J103+Liwonde!J103+Machinga!J103+Ntaja!J103</f>
        <v>167</v>
      </c>
      <c r="K103" s="26">
        <f>Balaka!K103+Liwonde!K103+Machinga!K103+Ntaja!K103</f>
        <v>165</v>
      </c>
      <c r="L103" s="26">
        <f>Balaka!L103+Liwonde!L103+Machinga!L103+Ntaja!L103</f>
        <v>167</v>
      </c>
      <c r="M103" s="26">
        <f>Balaka!M103+Liwonde!M103+Machinga!M103+Ntaja!M103</f>
        <v>193</v>
      </c>
      <c r="N103" s="26">
        <f>Balaka!N103+Liwonde!N103+Machinga!N103+Ntaja!N103</f>
        <v>189</v>
      </c>
      <c r="O103" s="26">
        <f>Balaka!O103+Liwonde!O103+Machinga!O103+Ntaja!O103</f>
        <v>186</v>
      </c>
      <c r="P103" s="32">
        <f t="shared" si="54"/>
        <v>186</v>
      </c>
    </row>
    <row r="104" spans="1:16" x14ac:dyDescent="0.3">
      <c r="A104" s="243" t="s">
        <v>97</v>
      </c>
      <c r="B104" s="244"/>
      <c r="C104" s="11" t="s">
        <v>3</v>
      </c>
      <c r="D104" s="26">
        <f>Balaka!D104+Liwonde!D104+Machinga!D104+Ntaja!D104</f>
        <v>32</v>
      </c>
      <c r="E104" s="26">
        <f>Balaka!E104+Liwonde!E104+Machinga!E104+Ntaja!E104</f>
        <v>44</v>
      </c>
      <c r="F104" s="26">
        <f>Balaka!F104+Liwonde!F104+Machinga!F104+Ntaja!F104</f>
        <v>47</v>
      </c>
      <c r="G104" s="26">
        <f>Balaka!G104+Liwonde!G104+Machinga!G104+Ntaja!G104</f>
        <v>47</v>
      </c>
      <c r="H104" s="26">
        <f>Balaka!H104+Liwonde!H104+Machinga!H104+Ntaja!H104</f>
        <v>47</v>
      </c>
      <c r="I104" s="26">
        <f>Balaka!I104+Liwonde!I104+Machinga!I104+Ntaja!I104</f>
        <v>47</v>
      </c>
      <c r="J104" s="26">
        <f>Balaka!J104+Liwonde!J104+Machinga!J104+Ntaja!J104</f>
        <v>47</v>
      </c>
      <c r="K104" s="26">
        <f>Balaka!K104+Liwonde!K104+Machinga!K104+Ntaja!K104</f>
        <v>47</v>
      </c>
      <c r="L104" s="26">
        <f>Balaka!L104+Liwonde!L104+Machinga!L104+Ntaja!L104</f>
        <v>47</v>
      </c>
      <c r="M104" s="26">
        <f>Balaka!M104+Liwonde!M104+Machinga!M104+Ntaja!M104</f>
        <v>47</v>
      </c>
      <c r="N104" s="26">
        <f>Balaka!N104+Liwonde!N104+Machinga!N104+Ntaja!N104</f>
        <v>47</v>
      </c>
      <c r="O104" s="26">
        <f>Balaka!O104+Liwonde!O104+Machinga!O104+Ntaja!O104</f>
        <v>47</v>
      </c>
      <c r="P104" s="32">
        <f t="shared" si="54"/>
        <v>47</v>
      </c>
    </row>
    <row r="105" spans="1:16" x14ac:dyDescent="0.3">
      <c r="A105" s="263" t="s">
        <v>96</v>
      </c>
      <c r="B105" s="264"/>
      <c r="C105" s="11" t="s">
        <v>3</v>
      </c>
      <c r="D105" s="33">
        <f>SUM(D101:D104)</f>
        <v>4706</v>
      </c>
      <c r="E105" s="33">
        <f t="shared" ref="E105:O105" si="55">SUM(E101:E104)</f>
        <v>3570</v>
      </c>
      <c r="F105" s="33">
        <f t="shared" si="55"/>
        <v>3536</v>
      </c>
      <c r="G105" s="33">
        <f t="shared" ref="G105" si="56">SUM(G101:G104)</f>
        <v>3495</v>
      </c>
      <c r="H105" s="33">
        <f t="shared" si="55"/>
        <v>3439</v>
      </c>
      <c r="I105" s="33">
        <f t="shared" si="55"/>
        <v>3567</v>
      </c>
      <c r="J105" s="33">
        <f t="shared" si="55"/>
        <v>3814</v>
      </c>
      <c r="K105" s="33">
        <f t="shared" si="55"/>
        <v>3889</v>
      </c>
      <c r="L105" s="33">
        <f t="shared" si="55"/>
        <v>3982</v>
      </c>
      <c r="M105" s="33">
        <f t="shared" si="55"/>
        <v>4141</v>
      </c>
      <c r="N105" s="33">
        <f t="shared" si="55"/>
        <v>4121</v>
      </c>
      <c r="O105" s="33">
        <f t="shared" si="55"/>
        <v>3990</v>
      </c>
      <c r="P105" s="32">
        <f t="shared" si="54"/>
        <v>3990</v>
      </c>
    </row>
    <row r="106" spans="1:16" s="2" customFormat="1" ht="15.6" customHeight="1" x14ac:dyDescent="0.3">
      <c r="A106" s="295" t="s">
        <v>210</v>
      </c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6"/>
      <c r="P106" s="297"/>
    </row>
    <row r="107" spans="1:16" x14ac:dyDescent="0.3">
      <c r="A107" s="237" t="s">
        <v>193</v>
      </c>
      <c r="B107" s="238"/>
      <c r="C107" s="11" t="s">
        <v>3</v>
      </c>
      <c r="D107" s="26">
        <f>Balaka!D107+Liwonde!D107+Machinga!D107+Ntaja!D107</f>
        <v>6621</v>
      </c>
      <c r="E107" s="26">
        <f>Balaka!E107+Liwonde!E107+Machinga!E107+Ntaja!E107</f>
        <v>6564</v>
      </c>
      <c r="F107" s="26">
        <f>Balaka!F107+Liwonde!F107+Machinga!F107+Ntaja!F107</f>
        <v>6610</v>
      </c>
      <c r="G107" s="26">
        <f>Balaka!G107+Liwonde!G107+Machinga!G107+Ntaja!G107</f>
        <v>6731</v>
      </c>
      <c r="H107" s="26">
        <f>Balaka!H107+Liwonde!H107+Machinga!H107+Ntaja!H107</f>
        <v>6864</v>
      </c>
      <c r="I107" s="26">
        <f>Balaka!I107+Liwonde!I107+Machinga!I107+Ntaja!I107</f>
        <v>6806</v>
      </c>
      <c r="J107" s="26">
        <f>Balaka!J107+Liwonde!J107+Machinga!J107+Ntaja!J107</f>
        <v>6624</v>
      </c>
      <c r="K107" s="26">
        <f>Balaka!K107+Liwonde!K107+Machinga!K107+Ntaja!K107</f>
        <v>6600</v>
      </c>
      <c r="L107" s="26">
        <f>Balaka!L107+Liwonde!L107+Machinga!L107+Ntaja!L107</f>
        <v>6601</v>
      </c>
      <c r="M107" s="26">
        <f>Balaka!M107+Liwonde!M107+Machinga!M107+Ntaja!M107</f>
        <v>6482</v>
      </c>
      <c r="N107" s="26">
        <f>Balaka!N107+Liwonde!N107+Machinga!N107+Ntaja!N107</f>
        <v>6547</v>
      </c>
      <c r="O107" s="26">
        <f>Balaka!O107+Liwonde!O107+Machinga!O107+Ntaja!O107</f>
        <v>6700</v>
      </c>
      <c r="P107" s="32">
        <f t="shared" si="54"/>
        <v>6700</v>
      </c>
    </row>
    <row r="108" spans="1:16" x14ac:dyDescent="0.3">
      <c r="A108" s="237" t="s">
        <v>194</v>
      </c>
      <c r="B108" s="238"/>
      <c r="C108" s="11" t="s">
        <v>3</v>
      </c>
      <c r="D108" s="26">
        <f>Balaka!D108+Liwonde!D108+Machinga!D108+Ntaja!D108</f>
        <v>28</v>
      </c>
      <c r="E108" s="26">
        <f>Balaka!E108+Liwonde!E108+Machinga!E108+Ntaja!E108</f>
        <v>32</v>
      </c>
      <c r="F108" s="26">
        <f>Balaka!F108+Liwonde!F108+Machinga!F108+Ntaja!F108</f>
        <v>32</v>
      </c>
      <c r="G108" s="26">
        <f>Balaka!G108+Liwonde!G108+Machinga!G108+Ntaja!G108</f>
        <v>28</v>
      </c>
      <c r="H108" s="26">
        <f>Balaka!H108+Liwonde!H108+Machinga!H108+Ntaja!H108</f>
        <v>31</v>
      </c>
      <c r="I108" s="26">
        <f>Balaka!I108+Liwonde!I108+Machinga!I108+Ntaja!I108</f>
        <v>28</v>
      </c>
      <c r="J108" s="26">
        <f>Balaka!J108+Liwonde!J108+Machinga!J108+Ntaja!J108</f>
        <v>29</v>
      </c>
      <c r="K108" s="26">
        <f>Balaka!K108+Liwonde!K108+Machinga!K108+Ntaja!K108</f>
        <v>27</v>
      </c>
      <c r="L108" s="26">
        <f>Balaka!L108+Liwonde!L108+Machinga!L108+Ntaja!L108</f>
        <v>26</v>
      </c>
      <c r="M108" s="26">
        <f>Balaka!M108+Liwonde!M108+Machinga!M108+Ntaja!M108</f>
        <v>29</v>
      </c>
      <c r="N108" s="26">
        <f>Balaka!N108+Liwonde!N108+Machinga!N108+Ntaja!N108</f>
        <v>31</v>
      </c>
      <c r="O108" s="26">
        <f>Balaka!O108+Liwonde!O108+Machinga!O108+Ntaja!O108</f>
        <v>34</v>
      </c>
      <c r="P108" s="32">
        <f t="shared" si="54"/>
        <v>34</v>
      </c>
    </row>
    <row r="109" spans="1:16" x14ac:dyDescent="0.3">
      <c r="A109" s="237" t="s">
        <v>195</v>
      </c>
      <c r="B109" s="238"/>
      <c r="C109" s="11" t="s">
        <v>3</v>
      </c>
      <c r="D109" s="26">
        <f>Balaka!D109+Liwonde!D109+Machinga!D109+Ntaja!D109</f>
        <v>32</v>
      </c>
      <c r="E109" s="26">
        <f>Balaka!E109+Liwonde!E109+Machinga!E109+Ntaja!E109</f>
        <v>34</v>
      </c>
      <c r="F109" s="26">
        <f>Balaka!F109+Liwonde!F109+Machinga!F109+Ntaja!F109</f>
        <v>34</v>
      </c>
      <c r="G109" s="26">
        <f>Balaka!G109+Liwonde!G109+Machinga!G109+Ntaja!G109</f>
        <v>37</v>
      </c>
      <c r="H109" s="26">
        <f>Balaka!H109+Liwonde!H109+Machinga!H109+Ntaja!H109</f>
        <v>41</v>
      </c>
      <c r="I109" s="26">
        <f>Balaka!I109+Liwonde!I109+Machinga!I109+Ntaja!I109</f>
        <v>37</v>
      </c>
      <c r="J109" s="26">
        <f>Balaka!J109+Liwonde!J109+Machinga!J109+Ntaja!J109</f>
        <v>30</v>
      </c>
      <c r="K109" s="26">
        <f>Balaka!K109+Liwonde!K109+Machinga!K109+Ntaja!K109</f>
        <v>32</v>
      </c>
      <c r="L109" s="26">
        <f>Balaka!L109+Liwonde!L109+Machinga!L109+Ntaja!L109</f>
        <v>31</v>
      </c>
      <c r="M109" s="26">
        <f>Balaka!M109+Liwonde!M109+Machinga!M109+Ntaja!M109</f>
        <v>24</v>
      </c>
      <c r="N109" s="26">
        <f>Balaka!N109+Liwonde!N109+Machinga!N109+Ntaja!N109</f>
        <v>31</v>
      </c>
      <c r="O109" s="26">
        <f>Balaka!O109+Liwonde!O109+Machinga!O109+Ntaja!O109</f>
        <v>34</v>
      </c>
      <c r="P109" s="32">
        <f t="shared" si="54"/>
        <v>34</v>
      </c>
    </row>
    <row r="110" spans="1:16" x14ac:dyDescent="0.3">
      <c r="A110" s="237" t="s">
        <v>196</v>
      </c>
      <c r="B110" s="238"/>
      <c r="C110" s="11" t="s">
        <v>3</v>
      </c>
      <c r="D110" s="26">
        <f>Balaka!D110+Liwonde!D110+Machinga!D110+Ntaja!D110</f>
        <v>27</v>
      </c>
      <c r="E110" s="26">
        <f>Balaka!E110+Liwonde!E110+Machinga!E110+Ntaja!E110</f>
        <v>27</v>
      </c>
      <c r="F110" s="26">
        <f>Balaka!F110+Liwonde!F110+Machinga!F110+Ntaja!F110</f>
        <v>27</v>
      </c>
      <c r="G110" s="26">
        <f>Balaka!G110+Liwonde!G110+Machinga!G110+Ntaja!G110</f>
        <v>27</v>
      </c>
      <c r="H110" s="26">
        <f>Balaka!H110+Liwonde!H110+Machinga!H110+Ntaja!H110</f>
        <v>27</v>
      </c>
      <c r="I110" s="26">
        <f>Balaka!I110+Liwonde!I110+Machinga!I110+Ntaja!I110</f>
        <v>26</v>
      </c>
      <c r="J110" s="26">
        <f>Balaka!J110+Liwonde!J110+Machinga!J110+Ntaja!J110</f>
        <v>25</v>
      </c>
      <c r="K110" s="26">
        <f>Balaka!K110+Liwonde!K110+Machinga!K110+Ntaja!K110</f>
        <v>25</v>
      </c>
      <c r="L110" s="26">
        <f>Balaka!L110+Liwonde!L110+Machinga!L110+Ntaja!L110</f>
        <v>26</v>
      </c>
      <c r="M110" s="26">
        <f>Balaka!M110+Liwonde!M110+Machinga!M110+Ntaja!M110</f>
        <v>26</v>
      </c>
      <c r="N110" s="26">
        <f>Balaka!N110+Liwonde!N110+Machinga!N110+Ntaja!N110</f>
        <v>26</v>
      </c>
      <c r="O110" s="26">
        <f>Balaka!O110+Liwonde!O110+Machinga!O110+Ntaja!O110</f>
        <v>26</v>
      </c>
      <c r="P110" s="32">
        <f t="shared" si="54"/>
        <v>26</v>
      </c>
    </row>
    <row r="111" spans="1:16" x14ac:dyDescent="0.3">
      <c r="A111" s="239" t="s">
        <v>95</v>
      </c>
      <c r="B111" s="240"/>
      <c r="C111" s="11" t="s">
        <v>3</v>
      </c>
      <c r="D111" s="33">
        <f>SUM(D107:D110)</f>
        <v>6708</v>
      </c>
      <c r="E111" s="33">
        <f t="shared" ref="E111:O111" si="57">SUM(E107:E110)</f>
        <v>6657</v>
      </c>
      <c r="F111" s="33">
        <f t="shared" si="57"/>
        <v>6703</v>
      </c>
      <c r="G111" s="33">
        <f t="shared" ref="G111" si="58">SUM(G107:G110)</f>
        <v>6823</v>
      </c>
      <c r="H111" s="33">
        <f t="shared" si="57"/>
        <v>6963</v>
      </c>
      <c r="I111" s="33">
        <f t="shared" si="57"/>
        <v>6897</v>
      </c>
      <c r="J111" s="33">
        <f t="shared" si="57"/>
        <v>6708</v>
      </c>
      <c r="K111" s="33">
        <f t="shared" si="57"/>
        <v>6684</v>
      </c>
      <c r="L111" s="33">
        <f t="shared" si="57"/>
        <v>6684</v>
      </c>
      <c r="M111" s="33">
        <f t="shared" si="57"/>
        <v>6561</v>
      </c>
      <c r="N111" s="33">
        <f t="shared" si="57"/>
        <v>6635</v>
      </c>
      <c r="O111" s="33">
        <f t="shared" si="57"/>
        <v>6794</v>
      </c>
      <c r="P111" s="32">
        <f t="shared" si="54"/>
        <v>6794</v>
      </c>
    </row>
    <row r="112" spans="1:16" s="2" customFormat="1" ht="15.6" customHeight="1" x14ac:dyDescent="0.3">
      <c r="A112" s="276" t="s">
        <v>210</v>
      </c>
      <c r="B112" s="277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8"/>
    </row>
    <row r="113" spans="1:16" x14ac:dyDescent="0.3">
      <c r="A113" s="237" t="s">
        <v>197</v>
      </c>
      <c r="B113" s="238"/>
      <c r="C113" s="11" t="s">
        <v>3</v>
      </c>
      <c r="D113" s="26">
        <f>Balaka!D113+Liwonde!D113+Machinga!D113+Ntaja!D113</f>
        <v>1190</v>
      </c>
      <c r="E113" s="26">
        <f>Balaka!E113+Liwonde!E113+Machinga!E113+Ntaja!E113</f>
        <v>2169</v>
      </c>
      <c r="F113" s="26">
        <f>Balaka!F113+Liwonde!F113+Machinga!F113+Ntaja!F113</f>
        <v>1319</v>
      </c>
      <c r="G113" s="26">
        <f>Balaka!G113+Liwonde!G113+Machinga!G113+Ntaja!G113</f>
        <v>2293</v>
      </c>
      <c r="H113" s="26">
        <f>Balaka!H113+Liwonde!H113+Machinga!H113+Ntaja!H113</f>
        <v>2293</v>
      </c>
      <c r="I113" s="26">
        <f>Balaka!I113+Liwonde!I113+Machinga!I113+Ntaja!I113</f>
        <v>2297</v>
      </c>
      <c r="J113" s="26">
        <f>Balaka!J113+Liwonde!J113+Machinga!J113+Ntaja!J113</f>
        <v>2320</v>
      </c>
      <c r="K113" s="26">
        <f>Balaka!K113+Liwonde!K113+Machinga!K113+Ntaja!K113</f>
        <v>2351</v>
      </c>
      <c r="L113" s="26">
        <f>Balaka!L113+Liwonde!L113+Machinga!L113+Ntaja!L113</f>
        <v>2351</v>
      </c>
      <c r="M113" s="26">
        <f>Balaka!M113+Liwonde!M113+Machinga!M113+Ntaja!M113</f>
        <v>2351</v>
      </c>
      <c r="N113" s="26">
        <f>Balaka!N113+Liwonde!N113+Machinga!N113+Ntaja!N113</f>
        <v>2351</v>
      </c>
      <c r="O113" s="26">
        <f>Balaka!O113+Liwonde!O113+Machinga!O113+Ntaja!O113</f>
        <v>2354</v>
      </c>
      <c r="P113" s="32">
        <f>O113</f>
        <v>2354</v>
      </c>
    </row>
    <row r="114" spans="1:16" x14ac:dyDescent="0.3">
      <c r="A114" s="237" t="s">
        <v>198</v>
      </c>
      <c r="B114" s="238"/>
      <c r="C114" s="11" t="s">
        <v>3</v>
      </c>
      <c r="D114" s="26">
        <f>Balaka!D114+Liwonde!D114+Machinga!D114+Ntaja!D114</f>
        <v>106</v>
      </c>
      <c r="E114" s="26">
        <f>Balaka!E114+Liwonde!E114+Machinga!E114+Ntaja!E114</f>
        <v>180</v>
      </c>
      <c r="F114" s="26">
        <f>Balaka!F114+Liwonde!F114+Machinga!F114+Ntaja!F114</f>
        <v>182</v>
      </c>
      <c r="G114" s="26">
        <f>Balaka!G114+Liwonde!G114+Machinga!G114+Ntaja!G114</f>
        <v>183</v>
      </c>
      <c r="H114" s="26">
        <f>Balaka!H114+Liwonde!H114+Machinga!H114+Ntaja!H114</f>
        <v>184</v>
      </c>
      <c r="I114" s="26">
        <f>Balaka!I114+Liwonde!I114+Machinga!I114+Ntaja!I114</f>
        <v>188</v>
      </c>
      <c r="J114" s="26">
        <f>Balaka!J114+Liwonde!J114+Machinga!J114+Ntaja!J114</f>
        <v>183</v>
      </c>
      <c r="K114" s="26">
        <f>Balaka!K114+Liwonde!K114+Machinga!K114+Ntaja!K114</f>
        <v>183</v>
      </c>
      <c r="L114" s="26">
        <f>Balaka!L114+Liwonde!L114+Machinga!L114+Ntaja!L114</f>
        <v>189</v>
      </c>
      <c r="M114" s="26">
        <f>Balaka!M114+Liwonde!M114+Machinga!M114+Ntaja!M114</f>
        <v>187</v>
      </c>
      <c r="N114" s="26">
        <f>Balaka!N114+Liwonde!N114+Machinga!N114+Ntaja!N114</f>
        <v>186</v>
      </c>
      <c r="O114" s="26">
        <f>Balaka!O114+Liwonde!O114+Machinga!O114+Ntaja!O114</f>
        <v>183</v>
      </c>
      <c r="P114" s="32">
        <f>O114</f>
        <v>183</v>
      </c>
    </row>
    <row r="115" spans="1:16" x14ac:dyDescent="0.3">
      <c r="A115" s="237" t="s">
        <v>199</v>
      </c>
      <c r="B115" s="238"/>
      <c r="C115" s="11" t="s">
        <v>3</v>
      </c>
      <c r="D115" s="26">
        <f>Balaka!D115+Liwonde!D115+Machinga!D115+Ntaja!D115</f>
        <v>101</v>
      </c>
      <c r="E115" s="26">
        <f>Balaka!E115+Liwonde!E115+Machinga!E115+Ntaja!E115</f>
        <v>290</v>
      </c>
      <c r="F115" s="26">
        <f>Balaka!F115+Liwonde!F115+Machinga!F115+Ntaja!F115</f>
        <v>293</v>
      </c>
      <c r="G115" s="26">
        <f>Balaka!G115+Liwonde!G115+Machinga!G115+Ntaja!G115</f>
        <v>291</v>
      </c>
      <c r="H115" s="26">
        <f>Balaka!H115+Liwonde!H115+Machinga!H115+Ntaja!H115</f>
        <v>291</v>
      </c>
      <c r="I115" s="26">
        <f>Balaka!I115+Liwonde!I115+Machinga!I115+Ntaja!I115</f>
        <v>291</v>
      </c>
      <c r="J115" s="26">
        <f>Balaka!J115+Liwonde!J115+Machinga!J115+Ntaja!J115</f>
        <v>291</v>
      </c>
      <c r="K115" s="26">
        <f>Balaka!K115+Liwonde!K115+Machinga!K115+Ntaja!K115</f>
        <v>287</v>
      </c>
      <c r="L115" s="26">
        <f>Balaka!L115+Liwonde!L115+Machinga!L115+Ntaja!L115</f>
        <v>291</v>
      </c>
      <c r="M115" s="26">
        <f>Balaka!M115+Liwonde!M115+Machinga!M115+Ntaja!M115</f>
        <v>291</v>
      </c>
      <c r="N115" s="26">
        <f>Balaka!N115+Liwonde!N115+Machinga!N115+Ntaja!N115</f>
        <v>292</v>
      </c>
      <c r="O115" s="26">
        <f>Balaka!O115+Liwonde!O115+Machinga!O115+Ntaja!O115</f>
        <v>287</v>
      </c>
      <c r="P115" s="32">
        <f t="shared" ref="P115:P116" si="59">O115</f>
        <v>287</v>
      </c>
    </row>
    <row r="116" spans="1:16" x14ac:dyDescent="0.3">
      <c r="A116" s="237" t="s">
        <v>200</v>
      </c>
      <c r="B116" s="238"/>
      <c r="C116" s="11" t="s">
        <v>3</v>
      </c>
      <c r="D116" s="26">
        <f>Balaka!D116+Liwonde!D116+Machinga!D116+Ntaja!D116</f>
        <v>3</v>
      </c>
      <c r="E116" s="26">
        <f>Balaka!E116+Liwonde!E116+Machinga!E116+Ntaja!E116</f>
        <v>3</v>
      </c>
      <c r="F116" s="26">
        <f>Balaka!F116+Liwonde!F116+Machinga!F116+Ntaja!F116</f>
        <v>3</v>
      </c>
      <c r="G116" s="26">
        <f>Balaka!G116+Liwonde!G116+Machinga!G116+Ntaja!G116</f>
        <v>3</v>
      </c>
      <c r="H116" s="26">
        <f>Balaka!H116+Liwonde!H116+Machinga!H116+Ntaja!H116</f>
        <v>3</v>
      </c>
      <c r="I116" s="26">
        <f>Balaka!I116+Liwonde!I116+Machinga!I116+Ntaja!I116</f>
        <v>2</v>
      </c>
      <c r="J116" s="26">
        <f>Balaka!J116+Liwonde!J116+Machinga!J116+Ntaja!J116</f>
        <v>2</v>
      </c>
      <c r="K116" s="26">
        <f>Balaka!K116+Liwonde!K116+Machinga!K116+Ntaja!K116</f>
        <v>2</v>
      </c>
      <c r="L116" s="26">
        <f>Balaka!L116+Liwonde!L116+Machinga!L116+Ntaja!L116</f>
        <v>2</v>
      </c>
      <c r="M116" s="26">
        <f>Balaka!M116+Liwonde!M116+Machinga!M116+Ntaja!M116</f>
        <v>2</v>
      </c>
      <c r="N116" s="26">
        <f>Balaka!N116+Liwonde!N116+Machinga!N116+Ntaja!N116</f>
        <v>3</v>
      </c>
      <c r="O116" s="26">
        <f>Balaka!O116+Liwonde!O116+Machinga!O116+Ntaja!O116</f>
        <v>4</v>
      </c>
      <c r="P116" s="32">
        <f t="shared" si="59"/>
        <v>4</v>
      </c>
    </row>
    <row r="117" spans="1:16" x14ac:dyDescent="0.3">
      <c r="A117" s="239" t="s">
        <v>94</v>
      </c>
      <c r="B117" s="240"/>
      <c r="C117" s="11" t="s">
        <v>3</v>
      </c>
      <c r="D117" s="33">
        <f>SUM(D113:D116)</f>
        <v>1400</v>
      </c>
      <c r="E117" s="33">
        <f>SUM(E113:E116)</f>
        <v>2642</v>
      </c>
      <c r="F117" s="33">
        <f>SUM(F113:F116)</f>
        <v>1797</v>
      </c>
      <c r="G117" s="33">
        <f>SUM(G113:G116)</f>
        <v>2770</v>
      </c>
      <c r="H117" s="33">
        <f>SUM(H113:H116)</f>
        <v>2771</v>
      </c>
      <c r="I117" s="33">
        <f t="shared" ref="I117:O117" si="60">SUM(I113:I116)</f>
        <v>2778</v>
      </c>
      <c r="J117" s="33">
        <f t="shared" si="60"/>
        <v>2796</v>
      </c>
      <c r="K117" s="33">
        <f t="shared" si="60"/>
        <v>2823</v>
      </c>
      <c r="L117" s="33">
        <f t="shared" si="60"/>
        <v>2833</v>
      </c>
      <c r="M117" s="33">
        <f t="shared" si="60"/>
        <v>2831</v>
      </c>
      <c r="N117" s="33">
        <f t="shared" si="60"/>
        <v>2832</v>
      </c>
      <c r="O117" s="33">
        <f t="shared" si="60"/>
        <v>2828</v>
      </c>
      <c r="P117" s="55">
        <f t="shared" ref="P117" si="61">SUM(P113:P116)</f>
        <v>2828</v>
      </c>
    </row>
    <row r="118" spans="1:16" s="2" customFormat="1" x14ac:dyDescent="0.3">
      <c r="A118" s="322" t="s">
        <v>191</v>
      </c>
      <c r="B118" s="323"/>
      <c r="C118" s="11" t="s">
        <v>3</v>
      </c>
      <c r="D118" s="33">
        <f>D111+D117</f>
        <v>8108</v>
      </c>
      <c r="E118" s="33">
        <f>E111+E117</f>
        <v>9299</v>
      </c>
      <c r="F118" s="33">
        <f>F111+F117</f>
        <v>8500</v>
      </c>
      <c r="G118" s="33">
        <f>G111+G117</f>
        <v>9593</v>
      </c>
      <c r="H118" s="33">
        <f>H111+H117</f>
        <v>9734</v>
      </c>
      <c r="I118" s="33">
        <f t="shared" ref="I118:P118" si="62">I111+I117</f>
        <v>9675</v>
      </c>
      <c r="J118" s="33">
        <f t="shared" si="62"/>
        <v>9504</v>
      </c>
      <c r="K118" s="33">
        <f t="shared" si="62"/>
        <v>9507</v>
      </c>
      <c r="L118" s="33">
        <f t="shared" si="62"/>
        <v>9517</v>
      </c>
      <c r="M118" s="33">
        <f t="shared" si="62"/>
        <v>9392</v>
      </c>
      <c r="N118" s="33">
        <f t="shared" si="62"/>
        <v>9467</v>
      </c>
      <c r="O118" s="33">
        <f t="shared" si="62"/>
        <v>9622</v>
      </c>
      <c r="P118" s="55">
        <f t="shared" si="62"/>
        <v>9622</v>
      </c>
    </row>
    <row r="119" spans="1:16" x14ac:dyDescent="0.3">
      <c r="A119" s="239" t="s">
        <v>192</v>
      </c>
      <c r="B119" s="240"/>
      <c r="C119" s="11" t="s">
        <v>3</v>
      </c>
      <c r="D119" s="33">
        <f>D118+D105</f>
        <v>12814</v>
      </c>
      <c r="E119" s="33">
        <f>E118+E105</f>
        <v>12869</v>
      </c>
      <c r="F119" s="33">
        <f>F118+F105</f>
        <v>12036</v>
      </c>
      <c r="G119" s="33">
        <f>G118+G105</f>
        <v>13088</v>
      </c>
      <c r="H119" s="33">
        <f>H118+H105</f>
        <v>13173</v>
      </c>
      <c r="I119" s="33">
        <f t="shared" ref="I119:P119" si="63">I118+I105</f>
        <v>13242</v>
      </c>
      <c r="J119" s="33">
        <f t="shared" si="63"/>
        <v>13318</v>
      </c>
      <c r="K119" s="33">
        <f t="shared" si="63"/>
        <v>13396</v>
      </c>
      <c r="L119" s="33">
        <f t="shared" si="63"/>
        <v>13499</v>
      </c>
      <c r="M119" s="33">
        <f t="shared" si="63"/>
        <v>13533</v>
      </c>
      <c r="N119" s="33">
        <f t="shared" si="63"/>
        <v>13588</v>
      </c>
      <c r="O119" s="33">
        <f t="shared" si="63"/>
        <v>13612</v>
      </c>
      <c r="P119" s="55">
        <f t="shared" si="63"/>
        <v>13612</v>
      </c>
    </row>
    <row r="120" spans="1:16" ht="14.4" x14ac:dyDescent="0.3">
      <c r="A120" s="280" t="s">
        <v>201</v>
      </c>
      <c r="B120" s="281"/>
      <c r="C120" s="281"/>
      <c r="D120" s="281"/>
      <c r="E120" s="281"/>
      <c r="F120" s="281"/>
      <c r="G120" s="281"/>
      <c r="H120" s="281"/>
      <c r="I120" s="281"/>
      <c r="J120" s="281"/>
      <c r="K120" s="281"/>
      <c r="L120" s="281"/>
      <c r="M120" s="281"/>
      <c r="N120" s="281"/>
      <c r="O120" s="281"/>
      <c r="P120" s="282"/>
    </row>
    <row r="121" spans="1:16" x14ac:dyDescent="0.3">
      <c r="A121" s="237" t="s">
        <v>93</v>
      </c>
      <c r="B121" s="238"/>
      <c r="C121" s="5" t="s">
        <v>3</v>
      </c>
      <c r="D121" s="26">
        <f>Balaka!D121+Liwonde!D121+Machinga!D121+Ntaja!D121</f>
        <v>71800</v>
      </c>
      <c r="E121" s="26">
        <f>Balaka!E121+Liwonde!E121+Machinga!E121+Ntaja!E121</f>
        <v>71821</v>
      </c>
      <c r="F121" s="26">
        <f>Balaka!F121+Liwonde!F121+Machinga!F121+Ntaja!F121</f>
        <v>71842</v>
      </c>
      <c r="G121" s="26">
        <f>Balaka!G121+Liwonde!G121+Machinga!G121+Ntaja!G121</f>
        <v>71863</v>
      </c>
      <c r="H121" s="26">
        <f>Balaka!H121+Liwonde!H121+Machinga!H121+Ntaja!H121</f>
        <v>71884</v>
      </c>
      <c r="I121" s="26">
        <f>Balaka!I121+Liwonde!I121+Machinga!I121+Ntaja!I121</f>
        <v>71905</v>
      </c>
      <c r="J121" s="26">
        <f>Balaka!J121+Liwonde!J121+Machinga!J121+Ntaja!J121</f>
        <v>71926</v>
      </c>
      <c r="K121" s="26">
        <f>Balaka!K121+Liwonde!K121+Machinga!K121+Ntaja!K121</f>
        <v>71947</v>
      </c>
      <c r="L121" s="26">
        <f>Balaka!L121+Liwonde!L121+Machinga!L121+Ntaja!L121</f>
        <v>71968</v>
      </c>
      <c r="M121" s="26">
        <f>Balaka!M121+Liwonde!M121+Machinga!M121+Ntaja!M121</f>
        <v>71989</v>
      </c>
      <c r="N121" s="26">
        <f>Balaka!N121+Liwonde!N121+Machinga!N121+Ntaja!N121</f>
        <v>72391</v>
      </c>
      <c r="O121" s="26">
        <f>Balaka!O121+Liwonde!O121+Machinga!O121+Ntaja!O121</f>
        <v>72516</v>
      </c>
      <c r="P121" s="31">
        <f>O121</f>
        <v>72516</v>
      </c>
    </row>
    <row r="122" spans="1:16" x14ac:dyDescent="0.3">
      <c r="A122" s="237" t="s">
        <v>92</v>
      </c>
      <c r="B122" s="238"/>
      <c r="C122" s="5" t="s">
        <v>3</v>
      </c>
      <c r="D122" s="26">
        <f>Balaka!D122+Liwonde!D122+Machinga!D122+Ntaja!D122</f>
        <v>61397.5</v>
      </c>
      <c r="E122" s="26">
        <f>Balaka!E122+Liwonde!E122+Machinga!E122+Ntaja!E122</f>
        <v>61683</v>
      </c>
      <c r="F122" s="26">
        <f>Balaka!F122+Liwonde!F122+Machinga!F122+Ntaja!F122</f>
        <v>62090</v>
      </c>
      <c r="G122" s="26">
        <f>Balaka!G122+Liwonde!G122+Machinga!G122+Ntaja!G122</f>
        <v>62315</v>
      </c>
      <c r="H122" s="26">
        <f>Balaka!H122+Liwonde!H122+Machinga!H122+Ntaja!H122</f>
        <v>59575</v>
      </c>
      <c r="I122" s="26">
        <f>Balaka!I122+Liwonde!I122+Machinga!I122+Ntaja!I122</f>
        <v>63101.5</v>
      </c>
      <c r="J122" s="26">
        <f>Balaka!J122+Liwonde!J122+Machinga!J122+Ntaja!J122</f>
        <v>63551</v>
      </c>
      <c r="K122" s="26">
        <f>Balaka!K122+Liwonde!K122+Machinga!K122+Ntaja!K122</f>
        <v>63893.5</v>
      </c>
      <c r="L122" s="26">
        <f>Balaka!L122+Liwonde!L122+Machinga!L122+Ntaja!L122</f>
        <v>64210</v>
      </c>
      <c r="M122" s="26">
        <f>Balaka!M122+Liwonde!M122+Machinga!M122+Ntaja!M122</f>
        <v>64398</v>
      </c>
      <c r="N122" s="26">
        <f>Balaka!N122+Liwonde!N122+Machinga!N122+Ntaja!N122</f>
        <v>61410</v>
      </c>
      <c r="O122" s="26">
        <f>Balaka!O122+Liwonde!O122+Machinga!O122+Ntaja!O122</f>
        <v>61515</v>
      </c>
      <c r="P122" s="31">
        <f>O122</f>
        <v>61515</v>
      </c>
    </row>
    <row r="123" spans="1:16" x14ac:dyDescent="0.3">
      <c r="A123" s="283" t="s">
        <v>91</v>
      </c>
      <c r="B123" s="284"/>
      <c r="C123" s="30" t="s">
        <v>6</v>
      </c>
      <c r="D123" s="29">
        <f t="shared" ref="D123:P123" si="64">D122/D121</f>
        <v>0.85511838440111421</v>
      </c>
      <c r="E123" s="29">
        <f t="shared" si="64"/>
        <v>0.85884351373553691</v>
      </c>
      <c r="F123" s="29">
        <f t="shared" si="64"/>
        <v>0.86425767656802432</v>
      </c>
      <c r="G123" s="29">
        <f t="shared" si="64"/>
        <v>0.86713607837134543</v>
      </c>
      <c r="H123" s="29">
        <f t="shared" si="64"/>
        <v>0.82876578932724942</v>
      </c>
      <c r="I123" s="29">
        <f t="shared" si="64"/>
        <v>0.87756762394826504</v>
      </c>
      <c r="J123" s="29">
        <f t="shared" si="64"/>
        <v>0.88356088201762928</v>
      </c>
      <c r="K123" s="29">
        <f t="shared" si="64"/>
        <v>0.88806343558452749</v>
      </c>
      <c r="L123" s="29">
        <f t="shared" si="64"/>
        <v>0.89220208981769678</v>
      </c>
      <c r="M123" s="29">
        <f t="shared" si="64"/>
        <v>0.89455333453722097</v>
      </c>
      <c r="N123" s="29">
        <f t="shared" si="64"/>
        <v>0.84830987277423986</v>
      </c>
      <c r="O123" s="29">
        <f t="shared" si="64"/>
        <v>0.8482955485685918</v>
      </c>
      <c r="P123" s="109">
        <f t="shared" si="64"/>
        <v>0.8482955485685918</v>
      </c>
    </row>
    <row r="124" spans="1:16" ht="14.4" x14ac:dyDescent="0.3">
      <c r="A124" s="306" t="s">
        <v>90</v>
      </c>
      <c r="B124" s="307"/>
      <c r="C124" s="307"/>
      <c r="D124" s="307"/>
      <c r="E124" s="307"/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8"/>
    </row>
    <row r="125" spans="1:16" x14ac:dyDescent="0.3">
      <c r="A125" s="247" t="s">
        <v>235</v>
      </c>
      <c r="B125" s="24" t="s">
        <v>85</v>
      </c>
      <c r="C125" s="11" t="s">
        <v>3</v>
      </c>
      <c r="D125" s="142">
        <f>Balaka!D125+Liwonde!D125+Machinga!D125+Ntaja!D125</f>
        <v>3</v>
      </c>
      <c r="E125" s="142">
        <f>Balaka!E125+Liwonde!E125+Machinga!E125+Ntaja!E125</f>
        <v>2</v>
      </c>
      <c r="F125" s="142">
        <f>Balaka!F125+Liwonde!F125+Machinga!F125+Ntaja!F125</f>
        <v>2</v>
      </c>
      <c r="G125" s="142">
        <f>Balaka!G125+Liwonde!G125+Machinga!G125+Ntaja!G125</f>
        <v>0</v>
      </c>
      <c r="H125" s="142">
        <f>Balaka!H125+Liwonde!H125+Machinga!H125+Ntaja!H125</f>
        <v>0</v>
      </c>
      <c r="I125" s="142">
        <f>Balaka!I125+Liwonde!I125+Machinga!I125+Ntaja!I125</f>
        <v>0</v>
      </c>
      <c r="J125" s="142">
        <f>Balaka!J125+Liwonde!J125+Machinga!J125+Ntaja!J125</f>
        <v>0</v>
      </c>
      <c r="K125" s="142">
        <f>Balaka!K125+Liwonde!K125+Machinga!K125+Ntaja!K125</f>
        <v>0</v>
      </c>
      <c r="L125" s="142">
        <f>Balaka!L125+Liwonde!L125+Machinga!L125+Ntaja!L125</f>
        <v>0</v>
      </c>
      <c r="M125" s="142">
        <f>Balaka!M125+Liwonde!M125+Machinga!M125+Ntaja!M125</f>
        <v>0</v>
      </c>
      <c r="N125" s="142">
        <f>Balaka!N125+Liwonde!N125+Machinga!N125+Ntaja!N125</f>
        <v>0</v>
      </c>
      <c r="O125" s="142">
        <f>Balaka!O125+Liwonde!O125+Machinga!O125+Ntaja!O125</f>
        <v>0</v>
      </c>
      <c r="P125" s="35">
        <f>D125</f>
        <v>3</v>
      </c>
    </row>
    <row r="126" spans="1:16" x14ac:dyDescent="0.3">
      <c r="A126" s="279"/>
      <c r="B126" s="24" t="s">
        <v>84</v>
      </c>
      <c r="C126" s="11" t="s">
        <v>3</v>
      </c>
      <c r="D126" s="142">
        <f>Balaka!D126+Liwonde!D126+Machinga!D126+Ntaja!D126</f>
        <v>0</v>
      </c>
      <c r="E126" s="142">
        <f>Balaka!E126+Liwonde!E126+Machinga!E126+Ntaja!E126</f>
        <v>1</v>
      </c>
      <c r="F126" s="142">
        <f>Balaka!F126+Liwonde!F126+Machinga!F126+Ntaja!F126</f>
        <v>0</v>
      </c>
      <c r="G126" s="142">
        <f>Balaka!G126+Liwonde!G126+Machinga!G126+Ntaja!G126</f>
        <v>0</v>
      </c>
      <c r="H126" s="142">
        <f>Balaka!H126+Liwonde!H126+Machinga!H126+Ntaja!H126</f>
        <v>0</v>
      </c>
      <c r="I126" s="142">
        <f>Balaka!I126+Liwonde!I126+Machinga!I126+Ntaja!I126</f>
        <v>0</v>
      </c>
      <c r="J126" s="142">
        <f>Balaka!J126+Liwonde!J126+Machinga!J126+Ntaja!J126</f>
        <v>0</v>
      </c>
      <c r="K126" s="142">
        <f>Balaka!K126+Liwonde!K126+Machinga!K126+Ntaja!K126</f>
        <v>0</v>
      </c>
      <c r="L126" s="142">
        <f>Balaka!L126+Liwonde!L126+Machinga!L126+Ntaja!L126</f>
        <v>0</v>
      </c>
      <c r="M126" s="142">
        <f>Balaka!M126+Liwonde!M126+Machinga!M126+Ntaja!M126</f>
        <v>0</v>
      </c>
      <c r="N126" s="142">
        <f>Balaka!N126+Liwonde!N126+Machinga!N126+Ntaja!N126</f>
        <v>0</v>
      </c>
      <c r="O126" s="142">
        <f>Balaka!O126+Liwonde!O126+Machinga!O126+Ntaja!O126</f>
        <v>0</v>
      </c>
      <c r="P126" s="74">
        <f>SUM(D126:O126)</f>
        <v>1</v>
      </c>
    </row>
    <row r="127" spans="1:16" x14ac:dyDescent="0.3">
      <c r="A127" s="279"/>
      <c r="B127" s="82" t="s">
        <v>88</v>
      </c>
      <c r="C127" s="11" t="s">
        <v>3</v>
      </c>
      <c r="D127" s="142">
        <f>Balaka!D127+Liwonde!D127+Machinga!D127+Ntaja!D127</f>
        <v>1</v>
      </c>
      <c r="E127" s="142">
        <f>Balaka!E127+Liwonde!E127+Machinga!E127+Ntaja!E127</f>
        <v>1</v>
      </c>
      <c r="F127" s="142">
        <f>Balaka!F127+Liwonde!F127+Machinga!F127+Ntaja!F127</f>
        <v>2</v>
      </c>
      <c r="G127" s="142">
        <f>Balaka!G127+Liwonde!G127+Machinga!G127+Ntaja!G127</f>
        <v>0</v>
      </c>
      <c r="H127" s="142">
        <f>Balaka!H127+Liwonde!H127+Machinga!H127+Ntaja!H127</f>
        <v>0</v>
      </c>
      <c r="I127" s="142">
        <f>Balaka!I127+Liwonde!I127+Machinga!I127+Ntaja!I127</f>
        <v>0</v>
      </c>
      <c r="J127" s="142">
        <f>Balaka!J127+Liwonde!J127+Machinga!J127+Ntaja!J127</f>
        <v>0</v>
      </c>
      <c r="K127" s="142">
        <f>Balaka!K127+Liwonde!K127+Machinga!K127+Ntaja!K127</f>
        <v>0</v>
      </c>
      <c r="L127" s="142">
        <f>Balaka!L127+Liwonde!L127+Machinga!L127+Ntaja!L127</f>
        <v>0</v>
      </c>
      <c r="M127" s="142">
        <f>Balaka!M127+Liwonde!M127+Machinga!M127+Ntaja!M127</f>
        <v>0</v>
      </c>
      <c r="N127" s="142">
        <f>Balaka!N127+Liwonde!N127+Machinga!N127+Ntaja!N127</f>
        <v>0</v>
      </c>
      <c r="O127" s="142">
        <f>Balaka!O127+Liwonde!O127+Machinga!O127+Ntaja!O127</f>
        <v>0</v>
      </c>
      <c r="P127" s="74">
        <f>SUM(D127:O127)</f>
        <v>4</v>
      </c>
    </row>
    <row r="128" spans="1:16" x14ac:dyDescent="0.3">
      <c r="A128" s="279"/>
      <c r="B128" s="24" t="s">
        <v>82</v>
      </c>
      <c r="C128" s="11" t="s">
        <v>3</v>
      </c>
      <c r="D128" s="142">
        <f>Balaka!D128+Liwonde!D128+Machinga!D128+Ntaja!D128</f>
        <v>0</v>
      </c>
      <c r="E128" s="142">
        <f>Balaka!E128+Liwonde!E128+Machinga!E128+Ntaja!E128</f>
        <v>0</v>
      </c>
      <c r="F128" s="142">
        <f>Balaka!F128+Liwonde!F128+Machinga!F128+Ntaja!F128</f>
        <v>0</v>
      </c>
      <c r="G128" s="142">
        <f>Balaka!G128+Liwonde!G128+Machinga!G128+Ntaja!G128</f>
        <v>0</v>
      </c>
      <c r="H128" s="142">
        <f>Balaka!H128+Liwonde!H128+Machinga!H128+Ntaja!H128</f>
        <v>0</v>
      </c>
      <c r="I128" s="142">
        <f>Balaka!I128+Liwonde!I128+Machinga!I128+Ntaja!I128</f>
        <v>0</v>
      </c>
      <c r="J128" s="142">
        <f>Balaka!J128+Liwonde!J128+Machinga!J128+Ntaja!J128</f>
        <v>0</v>
      </c>
      <c r="K128" s="142">
        <f>Balaka!K128+Liwonde!K128+Machinga!K128+Ntaja!K128</f>
        <v>0</v>
      </c>
      <c r="L128" s="142">
        <f>Balaka!L128+Liwonde!L128+Machinga!L128+Ntaja!L128</f>
        <v>0</v>
      </c>
      <c r="M128" s="142">
        <f>Balaka!M128+Liwonde!M128+Machinga!M128+Ntaja!M128</f>
        <v>0</v>
      </c>
      <c r="N128" s="142">
        <f>Balaka!N128+Liwonde!N128+Machinga!N128+Ntaja!N128</f>
        <v>0</v>
      </c>
      <c r="O128" s="142">
        <f>Balaka!O128+Liwonde!O128+Machinga!O128+Ntaja!O128</f>
        <v>0</v>
      </c>
      <c r="P128" s="74">
        <f>SUM(D128:O128)</f>
        <v>0</v>
      </c>
    </row>
    <row r="129" spans="1:16" x14ac:dyDescent="0.3">
      <c r="A129" s="248"/>
      <c r="B129" s="24" t="s">
        <v>81</v>
      </c>
      <c r="C129" s="11" t="s">
        <v>3</v>
      </c>
      <c r="D129" s="140">
        <f>D125+D126-D127-D128</f>
        <v>2</v>
      </c>
      <c r="E129" s="140">
        <f>E125+E126-E127-E128</f>
        <v>2</v>
      </c>
      <c r="F129" s="140">
        <f>F125+F126-F127-F128</f>
        <v>0</v>
      </c>
      <c r="G129" s="140">
        <f>G125+G126-G127-G128</f>
        <v>0</v>
      </c>
      <c r="H129" s="140">
        <f>H125+H126-H127-H128</f>
        <v>0</v>
      </c>
      <c r="I129" s="140">
        <f t="shared" ref="I129:O129" si="65">I125+I126-I127-I128</f>
        <v>0</v>
      </c>
      <c r="J129" s="140">
        <f t="shared" si="65"/>
        <v>0</v>
      </c>
      <c r="K129" s="140">
        <f t="shared" si="65"/>
        <v>0</v>
      </c>
      <c r="L129" s="140">
        <f t="shared" si="65"/>
        <v>0</v>
      </c>
      <c r="M129" s="140">
        <f t="shared" si="65"/>
        <v>0</v>
      </c>
      <c r="N129" s="140">
        <f t="shared" si="65"/>
        <v>0</v>
      </c>
      <c r="O129" s="140">
        <f t="shared" si="65"/>
        <v>0</v>
      </c>
      <c r="P129" s="35">
        <f>P125+P126-P127-P128</f>
        <v>0</v>
      </c>
    </row>
    <row r="130" spans="1:16" x14ac:dyDescent="0.3">
      <c r="A130" s="247" t="s">
        <v>236</v>
      </c>
      <c r="B130" s="28" t="s">
        <v>85</v>
      </c>
      <c r="C130" s="27" t="s">
        <v>3</v>
      </c>
      <c r="D130" s="142">
        <f>Balaka!D130+Liwonde!D130+Machinga!D130+Ntaja!D130</f>
        <v>0</v>
      </c>
      <c r="E130" s="142">
        <f>Balaka!E130+Liwonde!E130+Machinga!E130+Ntaja!E130</f>
        <v>0</v>
      </c>
      <c r="F130" s="142">
        <f>Balaka!F130+Liwonde!F130+Machinga!F130+Ntaja!F130</f>
        <v>0</v>
      </c>
      <c r="G130" s="142">
        <f>Balaka!G130+Liwonde!G130+Machinga!G130+Ntaja!G130</f>
        <v>0</v>
      </c>
      <c r="H130" s="142">
        <f>Balaka!H130+Liwonde!H130+Machinga!H130+Ntaja!H130</f>
        <v>0</v>
      </c>
      <c r="I130" s="142">
        <f>Balaka!I130+Liwonde!I130+Machinga!I130+Ntaja!I130</f>
        <v>0</v>
      </c>
      <c r="J130" s="142">
        <f>Balaka!J130+Liwonde!J130+Machinga!J130+Ntaja!J130</f>
        <v>0</v>
      </c>
      <c r="K130" s="142">
        <f>Balaka!K130+Liwonde!K130+Machinga!K130+Ntaja!K130</f>
        <v>0</v>
      </c>
      <c r="L130" s="142">
        <f>Balaka!L130+Liwonde!L130+Machinga!L130+Ntaja!L130</f>
        <v>0</v>
      </c>
      <c r="M130" s="142">
        <f>Balaka!M130+Liwonde!M130+Machinga!M130+Ntaja!M130</f>
        <v>0</v>
      </c>
      <c r="N130" s="142">
        <f>Balaka!N130+Liwonde!N130+Machinga!N130+Ntaja!N130</f>
        <v>0</v>
      </c>
      <c r="O130" s="142">
        <f>Balaka!O130+Liwonde!O130+Machinga!O130+Ntaja!O130</f>
        <v>0</v>
      </c>
      <c r="P130" s="35">
        <f>D130</f>
        <v>0</v>
      </c>
    </row>
    <row r="131" spans="1:16" x14ac:dyDescent="0.3">
      <c r="A131" s="279"/>
      <c r="B131" s="24" t="s">
        <v>84</v>
      </c>
      <c r="C131" s="11" t="s">
        <v>3</v>
      </c>
      <c r="D131" s="142">
        <f>Balaka!D131+Liwonde!D131+Machinga!D131+Ntaja!D131</f>
        <v>0</v>
      </c>
      <c r="E131" s="142">
        <f>Balaka!E131+Liwonde!E131+Machinga!E131+Ntaja!E131</f>
        <v>0</v>
      </c>
      <c r="F131" s="142">
        <f>Balaka!F131+Liwonde!F131+Machinga!F131+Ntaja!F131</f>
        <v>0</v>
      </c>
      <c r="G131" s="142">
        <f>Balaka!G131+Liwonde!G131+Machinga!G131+Ntaja!G131</f>
        <v>0</v>
      </c>
      <c r="H131" s="142">
        <f>Balaka!H131+Liwonde!H131+Machinga!H131+Ntaja!H131</f>
        <v>0</v>
      </c>
      <c r="I131" s="142">
        <f>Balaka!I131+Liwonde!I131+Machinga!I131+Ntaja!I131</f>
        <v>0</v>
      </c>
      <c r="J131" s="142">
        <f>Balaka!J131+Liwonde!J131+Machinga!J131+Ntaja!J131</f>
        <v>0</v>
      </c>
      <c r="K131" s="142">
        <f>Balaka!K131+Liwonde!K131+Machinga!K131+Ntaja!K131</f>
        <v>0</v>
      </c>
      <c r="L131" s="142">
        <f>Balaka!L131+Liwonde!L131+Machinga!L131+Ntaja!L131</f>
        <v>0</v>
      </c>
      <c r="M131" s="142">
        <f>Balaka!M131+Liwonde!M131+Machinga!M131+Ntaja!M131</f>
        <v>0</v>
      </c>
      <c r="N131" s="142">
        <f>Balaka!N131+Liwonde!N131+Machinga!N131+Ntaja!N131</f>
        <v>0</v>
      </c>
      <c r="O131" s="142">
        <f>Balaka!O131+Liwonde!O131+Machinga!O131+Ntaja!O131</f>
        <v>0</v>
      </c>
      <c r="P131" s="74">
        <f>SUM(D131:O131)</f>
        <v>0</v>
      </c>
    </row>
    <row r="132" spans="1:16" x14ac:dyDescent="0.3">
      <c r="A132" s="279"/>
      <c r="B132" s="82" t="s">
        <v>88</v>
      </c>
      <c r="C132" s="11" t="s">
        <v>3</v>
      </c>
      <c r="D132" s="142">
        <f>Balaka!D132+Liwonde!D132+Machinga!D132+Ntaja!D132</f>
        <v>0</v>
      </c>
      <c r="E132" s="142">
        <f>Balaka!E132+Liwonde!E132+Machinga!E132+Ntaja!E132</f>
        <v>0</v>
      </c>
      <c r="F132" s="142">
        <f>Balaka!F132+Liwonde!F132+Machinga!F132+Ntaja!F132</f>
        <v>0</v>
      </c>
      <c r="G132" s="142">
        <f>Balaka!G132+Liwonde!G132+Machinga!G132+Ntaja!G132</f>
        <v>0</v>
      </c>
      <c r="H132" s="142">
        <f>Balaka!H132+Liwonde!H132+Machinga!H132+Ntaja!H132</f>
        <v>0</v>
      </c>
      <c r="I132" s="142">
        <f>Balaka!I132+Liwonde!I132+Machinga!I132+Ntaja!I132</f>
        <v>0</v>
      </c>
      <c r="J132" s="142">
        <f>Balaka!J132+Liwonde!J132+Machinga!J132+Ntaja!J132</f>
        <v>0</v>
      </c>
      <c r="K132" s="142">
        <f>Balaka!K132+Liwonde!K132+Machinga!K132+Ntaja!K132</f>
        <v>0</v>
      </c>
      <c r="L132" s="142">
        <f>Balaka!L132+Liwonde!L132+Machinga!L132+Ntaja!L132</f>
        <v>0</v>
      </c>
      <c r="M132" s="142">
        <f>Balaka!M132+Liwonde!M132+Machinga!M132+Ntaja!M132</f>
        <v>0</v>
      </c>
      <c r="N132" s="142">
        <f>Balaka!N132+Liwonde!N132+Machinga!N132+Ntaja!N132</f>
        <v>0</v>
      </c>
      <c r="O132" s="142">
        <f>Balaka!O132+Liwonde!O132+Machinga!O132+Ntaja!O132</f>
        <v>0</v>
      </c>
      <c r="P132" s="74">
        <f>SUM(D132:O132)</f>
        <v>0</v>
      </c>
    </row>
    <row r="133" spans="1:16" x14ac:dyDescent="0.3">
      <c r="A133" s="279"/>
      <c r="B133" s="24" t="s">
        <v>82</v>
      </c>
      <c r="C133" s="11" t="s">
        <v>3</v>
      </c>
      <c r="D133" s="142">
        <f>Balaka!D133+Liwonde!D133+Machinga!D133+Ntaja!D133</f>
        <v>0</v>
      </c>
      <c r="E133" s="142">
        <f>Balaka!E133+Liwonde!E133+Machinga!E133+Ntaja!E133</f>
        <v>0</v>
      </c>
      <c r="F133" s="142">
        <f>Balaka!F133+Liwonde!F133+Machinga!F133+Ntaja!F133</f>
        <v>0</v>
      </c>
      <c r="G133" s="142">
        <f>Balaka!G133+Liwonde!G133+Machinga!G133+Ntaja!G133</f>
        <v>0</v>
      </c>
      <c r="H133" s="142">
        <f>Balaka!H133+Liwonde!H133+Machinga!H133+Ntaja!H133</f>
        <v>0</v>
      </c>
      <c r="I133" s="142">
        <f>Balaka!I133+Liwonde!I133+Machinga!I133+Ntaja!I133</f>
        <v>0</v>
      </c>
      <c r="J133" s="142">
        <f>Balaka!J133+Liwonde!J133+Machinga!J133+Ntaja!J133</f>
        <v>0</v>
      </c>
      <c r="K133" s="142">
        <f>Balaka!K133+Liwonde!K133+Machinga!K133+Ntaja!K133</f>
        <v>0</v>
      </c>
      <c r="L133" s="142">
        <f>Balaka!L133+Liwonde!L133+Machinga!L133+Ntaja!L133</f>
        <v>0</v>
      </c>
      <c r="M133" s="142">
        <f>Balaka!M133+Liwonde!M133+Machinga!M133+Ntaja!M133</f>
        <v>0</v>
      </c>
      <c r="N133" s="142">
        <f>Balaka!N133+Liwonde!N133+Machinga!N133+Ntaja!N133</f>
        <v>0</v>
      </c>
      <c r="O133" s="142">
        <f>Balaka!O133+Liwonde!O133+Machinga!O133+Ntaja!O133</f>
        <v>0</v>
      </c>
      <c r="P133" s="74">
        <f>SUM(D133:O133)</f>
        <v>0</v>
      </c>
    </row>
    <row r="134" spans="1:16" x14ac:dyDescent="0.3">
      <c r="A134" s="248"/>
      <c r="B134" s="24" t="s">
        <v>81</v>
      </c>
      <c r="C134" s="11" t="s">
        <v>3</v>
      </c>
      <c r="D134" s="140">
        <f>D130+D131-D132-D133</f>
        <v>0</v>
      </c>
      <c r="E134" s="140">
        <f>E130+E131-E132-E133</f>
        <v>0</v>
      </c>
      <c r="F134" s="140">
        <f>F130+F131-F132-F133</f>
        <v>0</v>
      </c>
      <c r="G134" s="140">
        <f>G130+G131-G132-G133</f>
        <v>0</v>
      </c>
      <c r="H134" s="140">
        <f>H130+H131-H132-H133</f>
        <v>0</v>
      </c>
      <c r="I134" s="140">
        <f t="shared" ref="I134:O134" si="66">I130+I131-I132-I133</f>
        <v>0</v>
      </c>
      <c r="J134" s="140">
        <f t="shared" si="66"/>
        <v>0</v>
      </c>
      <c r="K134" s="140">
        <f t="shared" si="66"/>
        <v>0</v>
      </c>
      <c r="L134" s="140">
        <f t="shared" si="66"/>
        <v>0</v>
      </c>
      <c r="M134" s="140">
        <f t="shared" si="66"/>
        <v>0</v>
      </c>
      <c r="N134" s="140">
        <f t="shared" si="66"/>
        <v>0</v>
      </c>
      <c r="O134" s="140">
        <f t="shared" si="66"/>
        <v>0</v>
      </c>
      <c r="P134" s="35">
        <f>P130+P131-P132-P133</f>
        <v>0</v>
      </c>
    </row>
    <row r="135" spans="1:16" x14ac:dyDescent="0.3">
      <c r="A135" s="247" t="s">
        <v>89</v>
      </c>
      <c r="B135" s="24" t="s">
        <v>85</v>
      </c>
      <c r="C135" s="11" t="s">
        <v>3</v>
      </c>
      <c r="D135" s="142">
        <f>Balaka!D135+Liwonde!D135+Machinga!D135+Ntaja!D135</f>
        <v>0</v>
      </c>
      <c r="E135" s="142">
        <f>Balaka!E135+Liwonde!E135+Machinga!E135+Ntaja!E135</f>
        <v>0</v>
      </c>
      <c r="F135" s="142">
        <f>Balaka!F135+Liwonde!F135+Machinga!F135+Ntaja!F135</f>
        <v>0</v>
      </c>
      <c r="G135" s="142">
        <f>Balaka!G135+Liwonde!G135+Machinga!G135+Ntaja!G135</f>
        <v>0</v>
      </c>
      <c r="H135" s="142">
        <f>Balaka!H135+Liwonde!H135+Machinga!H135+Ntaja!H135</f>
        <v>0</v>
      </c>
      <c r="I135" s="142">
        <f>Balaka!I135+Liwonde!I135+Machinga!I135+Ntaja!I135</f>
        <v>0</v>
      </c>
      <c r="J135" s="142">
        <f>Balaka!J135+Liwonde!J135+Machinga!J135+Ntaja!J135</f>
        <v>0</v>
      </c>
      <c r="K135" s="142">
        <f>Balaka!K135+Liwonde!K135+Machinga!K135+Ntaja!K135</f>
        <v>0</v>
      </c>
      <c r="L135" s="142">
        <f>Balaka!L135+Liwonde!L135+Machinga!L135+Ntaja!L135</f>
        <v>0</v>
      </c>
      <c r="M135" s="142">
        <f>Balaka!M135+Liwonde!M135+Machinga!M135+Ntaja!M135</f>
        <v>0</v>
      </c>
      <c r="N135" s="142">
        <f>Balaka!N135+Liwonde!N135+Machinga!N135+Ntaja!N135</f>
        <v>0</v>
      </c>
      <c r="O135" s="142">
        <f>Balaka!O135+Liwonde!O135+Machinga!O135+Ntaja!O135</f>
        <v>0</v>
      </c>
      <c r="P135" s="35">
        <f>D135</f>
        <v>0</v>
      </c>
    </row>
    <row r="136" spans="1:16" x14ac:dyDescent="0.3">
      <c r="A136" s="279"/>
      <c r="B136" s="24" t="s">
        <v>84</v>
      </c>
      <c r="C136" s="11" t="s">
        <v>3</v>
      </c>
      <c r="D136" s="142">
        <f>Balaka!D136+Liwonde!D136+Machinga!D136+Ntaja!D136</f>
        <v>0</v>
      </c>
      <c r="E136" s="142">
        <f>Balaka!E136+Liwonde!E136+Machinga!E136+Ntaja!E136</f>
        <v>0</v>
      </c>
      <c r="F136" s="142">
        <f>Balaka!F136+Liwonde!F136+Machinga!F136+Ntaja!F136</f>
        <v>0</v>
      </c>
      <c r="G136" s="142">
        <f>Balaka!G136+Liwonde!G136+Machinga!G136+Ntaja!G136</f>
        <v>0</v>
      </c>
      <c r="H136" s="142">
        <f>Balaka!H136+Liwonde!H136+Machinga!H136+Ntaja!H136</f>
        <v>0</v>
      </c>
      <c r="I136" s="142">
        <f>Balaka!I136+Liwonde!I136+Machinga!I136+Ntaja!I136</f>
        <v>0</v>
      </c>
      <c r="J136" s="142">
        <f>Balaka!J136+Liwonde!J136+Machinga!J136+Ntaja!J136</f>
        <v>0</v>
      </c>
      <c r="K136" s="142">
        <f>Balaka!K136+Liwonde!K136+Machinga!K136+Ntaja!K136</f>
        <v>0</v>
      </c>
      <c r="L136" s="142">
        <f>Balaka!L136+Liwonde!L136+Machinga!L136+Ntaja!L136</f>
        <v>0</v>
      </c>
      <c r="M136" s="142">
        <f>Balaka!M136+Liwonde!M136+Machinga!M136+Ntaja!M136</f>
        <v>0</v>
      </c>
      <c r="N136" s="142">
        <f>Balaka!N136+Liwonde!N136+Machinga!N136+Ntaja!N136</f>
        <v>0</v>
      </c>
      <c r="O136" s="142">
        <f>Balaka!O136+Liwonde!O136+Machinga!O136+Ntaja!O136</f>
        <v>0</v>
      </c>
      <c r="P136" s="74">
        <f>SUM(D136:O136)</f>
        <v>0</v>
      </c>
    </row>
    <row r="137" spans="1:16" x14ac:dyDescent="0.3">
      <c r="A137" s="279"/>
      <c r="B137" s="82" t="s">
        <v>88</v>
      </c>
      <c r="C137" s="11" t="s">
        <v>3</v>
      </c>
      <c r="D137" s="142">
        <f>Balaka!D137+Liwonde!D137+Machinga!D137+Ntaja!D137</f>
        <v>0</v>
      </c>
      <c r="E137" s="142">
        <f>Balaka!E137+Liwonde!E137+Machinga!E137+Ntaja!E137</f>
        <v>0</v>
      </c>
      <c r="F137" s="142">
        <f>Balaka!F137+Liwonde!F137+Machinga!F137+Ntaja!F137</f>
        <v>0</v>
      </c>
      <c r="G137" s="142">
        <f>Balaka!G137+Liwonde!G137+Machinga!G137+Ntaja!G137</f>
        <v>0</v>
      </c>
      <c r="H137" s="142">
        <f>Balaka!H137+Liwonde!H137+Machinga!H137+Ntaja!H137</f>
        <v>0</v>
      </c>
      <c r="I137" s="142">
        <f>Balaka!I137+Liwonde!I137+Machinga!I137+Ntaja!I137</f>
        <v>0</v>
      </c>
      <c r="J137" s="142">
        <f>Balaka!J137+Liwonde!J137+Machinga!J137+Ntaja!J137</f>
        <v>0</v>
      </c>
      <c r="K137" s="142">
        <f>Balaka!K137+Liwonde!K137+Machinga!K137+Ntaja!K137</f>
        <v>0</v>
      </c>
      <c r="L137" s="142">
        <f>Balaka!L137+Liwonde!L137+Machinga!L137+Ntaja!L137</f>
        <v>0</v>
      </c>
      <c r="M137" s="142">
        <f>Balaka!M137+Liwonde!M137+Machinga!M137+Ntaja!M137</f>
        <v>0</v>
      </c>
      <c r="N137" s="142">
        <f>Balaka!N137+Liwonde!N137+Machinga!N137+Ntaja!N137</f>
        <v>0</v>
      </c>
      <c r="O137" s="142">
        <f>Balaka!O137+Liwonde!O137+Machinga!O137+Ntaja!O137</f>
        <v>0</v>
      </c>
      <c r="P137" s="74">
        <f>SUM(D137:O137)</f>
        <v>0</v>
      </c>
    </row>
    <row r="138" spans="1:16" x14ac:dyDescent="0.3">
      <c r="A138" s="279"/>
      <c r="B138" s="24" t="s">
        <v>82</v>
      </c>
      <c r="C138" s="11" t="s">
        <v>3</v>
      </c>
      <c r="D138" s="142">
        <f>Balaka!D138+Liwonde!D138+Machinga!D138+Ntaja!D138</f>
        <v>0</v>
      </c>
      <c r="E138" s="142">
        <f>Balaka!E138+Liwonde!E138+Machinga!E138+Ntaja!E138</f>
        <v>0</v>
      </c>
      <c r="F138" s="142">
        <f>Balaka!F138+Liwonde!F138+Machinga!F138+Ntaja!F138</f>
        <v>0</v>
      </c>
      <c r="G138" s="142">
        <f>Balaka!G138+Liwonde!G138+Machinga!G138+Ntaja!G138</f>
        <v>0</v>
      </c>
      <c r="H138" s="142">
        <f>Balaka!H138+Liwonde!H138+Machinga!H138+Ntaja!H138</f>
        <v>0</v>
      </c>
      <c r="I138" s="142">
        <f>Balaka!I138+Liwonde!I138+Machinga!I138+Ntaja!I138</f>
        <v>0</v>
      </c>
      <c r="J138" s="142">
        <f>Balaka!J138+Liwonde!J138+Machinga!J138+Ntaja!J138</f>
        <v>0</v>
      </c>
      <c r="K138" s="142">
        <f>Balaka!K138+Liwonde!K138+Machinga!K138+Ntaja!K138</f>
        <v>0</v>
      </c>
      <c r="L138" s="142">
        <f>Balaka!L138+Liwonde!L138+Machinga!L138+Ntaja!L138</f>
        <v>0</v>
      </c>
      <c r="M138" s="142">
        <f>Balaka!M138+Liwonde!M138+Machinga!M138+Ntaja!M138</f>
        <v>0</v>
      </c>
      <c r="N138" s="142">
        <f>Balaka!N138+Liwonde!N138+Machinga!N138+Ntaja!N138</f>
        <v>0</v>
      </c>
      <c r="O138" s="142">
        <f>Balaka!O138+Liwonde!O138+Machinga!O138+Ntaja!O138</f>
        <v>0</v>
      </c>
      <c r="P138" s="74">
        <f>SUM(D138:O138)</f>
        <v>0</v>
      </c>
    </row>
    <row r="139" spans="1:16" x14ac:dyDescent="0.3">
      <c r="A139" s="248"/>
      <c r="B139" s="24" t="s">
        <v>81</v>
      </c>
      <c r="C139" s="11" t="s">
        <v>3</v>
      </c>
      <c r="D139" s="140">
        <f>D135+D136-D137-D138</f>
        <v>0</v>
      </c>
      <c r="E139" s="140">
        <f>E135+E136-E137-E138</f>
        <v>0</v>
      </c>
      <c r="F139" s="140">
        <f>F135+F136-F137-F138</f>
        <v>0</v>
      </c>
      <c r="G139" s="140">
        <f>G135+G136-G137-G138</f>
        <v>0</v>
      </c>
      <c r="H139" s="140">
        <f>H135+H136-H137-H138</f>
        <v>0</v>
      </c>
      <c r="I139" s="140">
        <f t="shared" ref="I139:O139" si="67">I135+I136-I137-I138</f>
        <v>0</v>
      </c>
      <c r="J139" s="140">
        <f t="shared" si="67"/>
        <v>0</v>
      </c>
      <c r="K139" s="140">
        <f t="shared" si="67"/>
        <v>0</v>
      </c>
      <c r="L139" s="140">
        <f t="shared" si="67"/>
        <v>0</v>
      </c>
      <c r="M139" s="140">
        <f t="shared" si="67"/>
        <v>0</v>
      </c>
      <c r="N139" s="140">
        <f t="shared" si="67"/>
        <v>0</v>
      </c>
      <c r="O139" s="140">
        <f t="shared" si="67"/>
        <v>0</v>
      </c>
      <c r="P139" s="35">
        <f>P135+P136-P137-P138</f>
        <v>0</v>
      </c>
    </row>
    <row r="140" spans="1:16" x14ac:dyDescent="0.3">
      <c r="A140" s="247" t="s">
        <v>87</v>
      </c>
      <c r="B140" s="24" t="s">
        <v>85</v>
      </c>
      <c r="C140" s="11" t="s">
        <v>3</v>
      </c>
      <c r="D140" s="142">
        <f>Balaka!D140+Liwonde!D140+Machinga!D140+Ntaja!D140</f>
        <v>1607</v>
      </c>
      <c r="E140" s="142">
        <f>Balaka!E140+Liwonde!E140+Machinga!E140+Ntaja!E140</f>
        <v>1659</v>
      </c>
      <c r="F140" s="142">
        <f>Balaka!F140+Liwonde!F140+Machinga!F140+Ntaja!F140</f>
        <v>1647</v>
      </c>
      <c r="G140" s="142">
        <f>Balaka!G140+Liwonde!G140+Machinga!G140+Ntaja!G140</f>
        <v>1636</v>
      </c>
      <c r="H140" s="142">
        <f>Balaka!H140+Liwonde!H140+Machinga!H140+Ntaja!H140</f>
        <v>1691</v>
      </c>
      <c r="I140" s="142">
        <f>Balaka!I140+Liwonde!I140+Machinga!I140+Ntaja!I140</f>
        <v>1620</v>
      </c>
      <c r="J140" s="142">
        <f>Balaka!J140+Liwonde!J140+Machinga!J140+Ntaja!J140</f>
        <v>1521</v>
      </c>
      <c r="K140" s="142">
        <f>Balaka!K140+Liwonde!K140+Machinga!K140+Ntaja!K140</f>
        <v>1499</v>
      </c>
      <c r="L140" s="142">
        <f>Balaka!L140+Liwonde!L140+Machinga!L140+Ntaja!L140</f>
        <v>1516</v>
      </c>
      <c r="M140" s="142">
        <f>Balaka!M140+Liwonde!M140+Machinga!M140+Ntaja!M140</f>
        <v>1531</v>
      </c>
      <c r="N140" s="142">
        <f>Balaka!N140+Liwonde!N140+Machinga!N140+Ntaja!N140</f>
        <v>484</v>
      </c>
      <c r="O140" s="142">
        <f>Balaka!O140+Liwonde!O140+Machinga!O140+Ntaja!O140</f>
        <v>279</v>
      </c>
      <c r="P140" s="35">
        <f>D140</f>
        <v>1607</v>
      </c>
    </row>
    <row r="141" spans="1:16" x14ac:dyDescent="0.3">
      <c r="A141" s="279"/>
      <c r="B141" s="24" t="s">
        <v>84</v>
      </c>
      <c r="C141" s="11" t="s">
        <v>3</v>
      </c>
      <c r="D141" s="142">
        <f>Balaka!D141+Liwonde!D141+Machinga!D141+Ntaja!D141</f>
        <v>179</v>
      </c>
      <c r="E141" s="142">
        <f>Balaka!E141+Liwonde!E141+Machinga!E141+Ntaja!E141</f>
        <v>89</v>
      </c>
      <c r="F141" s="142">
        <f>Balaka!F141+Liwonde!F141+Machinga!F141+Ntaja!F141</f>
        <v>52</v>
      </c>
      <c r="G141" s="142">
        <f>Balaka!G141+Liwonde!G141+Machinga!G141+Ntaja!G141</f>
        <v>133</v>
      </c>
      <c r="H141" s="142">
        <f>Balaka!H141+Liwonde!H141+Machinga!H141+Ntaja!H141</f>
        <v>67</v>
      </c>
      <c r="I141" s="142">
        <f>Balaka!I141+Liwonde!I141+Machinga!I141+Ntaja!I141</f>
        <v>78</v>
      </c>
      <c r="J141" s="142">
        <f>Balaka!J141+Liwonde!J141+Machinga!J141+Ntaja!J141</f>
        <v>54</v>
      </c>
      <c r="K141" s="142">
        <f>Balaka!K141+Liwonde!K141+Machinga!K141+Ntaja!K141</f>
        <v>78</v>
      </c>
      <c r="L141" s="142">
        <f>Balaka!L141+Liwonde!L141+Machinga!L141+Ntaja!L141</f>
        <v>63</v>
      </c>
      <c r="M141" s="142">
        <f>Balaka!M141+Liwonde!M141+Machinga!M141+Ntaja!M141</f>
        <v>230</v>
      </c>
      <c r="N141" s="142">
        <f>Balaka!N141+Liwonde!N141+Machinga!N141+Ntaja!N141</f>
        <v>14</v>
      </c>
      <c r="O141" s="142">
        <f>Balaka!O141+Liwonde!O141+Machinga!O141+Ntaja!O141</f>
        <v>114</v>
      </c>
      <c r="P141" s="74">
        <f>SUM(D141:O141)</f>
        <v>1151</v>
      </c>
    </row>
    <row r="142" spans="1:16" x14ac:dyDescent="0.3">
      <c r="A142" s="279"/>
      <c r="B142" s="24" t="s">
        <v>83</v>
      </c>
      <c r="C142" s="11" t="s">
        <v>3</v>
      </c>
      <c r="D142" s="142">
        <f>Balaka!D142+Liwonde!D142+Machinga!D142+Ntaja!D142</f>
        <v>45</v>
      </c>
      <c r="E142" s="142">
        <f>Balaka!E142+Liwonde!E142+Machinga!E142+Ntaja!E142</f>
        <v>73</v>
      </c>
      <c r="F142" s="142">
        <f>Balaka!F142+Liwonde!F142+Machinga!F142+Ntaja!F142</f>
        <v>33</v>
      </c>
      <c r="G142" s="142">
        <f>Balaka!G142+Liwonde!G142+Machinga!G142+Ntaja!G142</f>
        <v>64</v>
      </c>
      <c r="H142" s="142">
        <f>Balaka!H142+Liwonde!H142+Machinga!H142+Ntaja!H142</f>
        <v>79</v>
      </c>
      <c r="I142" s="142">
        <f>Balaka!I142+Liwonde!I142+Machinga!I142+Ntaja!I142</f>
        <v>37</v>
      </c>
      <c r="J142" s="142">
        <f>Balaka!J142+Liwonde!J142+Machinga!J142+Ntaja!J142</f>
        <v>30</v>
      </c>
      <c r="K142" s="142">
        <f>Balaka!K142+Liwonde!K142+Machinga!K142+Ntaja!K142</f>
        <v>35</v>
      </c>
      <c r="L142" s="142">
        <f>Balaka!L142+Liwonde!L142+Machinga!L142+Ntaja!L142</f>
        <v>1</v>
      </c>
      <c r="M142" s="142">
        <f>Balaka!M142+Liwonde!M142+Machinga!M142+Ntaja!M142</f>
        <v>37</v>
      </c>
      <c r="N142" s="142">
        <f>Balaka!N142+Liwonde!N142+Machinga!N142+Ntaja!N142</f>
        <v>106</v>
      </c>
      <c r="O142" s="142">
        <f>Balaka!O142+Liwonde!O142+Machinga!O142+Ntaja!O142</f>
        <v>14</v>
      </c>
      <c r="P142" s="74">
        <f>SUM(D142:O142)</f>
        <v>554</v>
      </c>
    </row>
    <row r="143" spans="1:16" x14ac:dyDescent="0.3">
      <c r="A143" s="279"/>
      <c r="B143" s="24" t="s">
        <v>82</v>
      </c>
      <c r="C143" s="11" t="s">
        <v>3</v>
      </c>
      <c r="D143" s="142">
        <f>Balaka!D143+Liwonde!D143+Machinga!D143+Ntaja!D143</f>
        <v>82</v>
      </c>
      <c r="E143" s="142">
        <f>Balaka!E143+Liwonde!E143+Machinga!E143+Ntaja!E143</f>
        <v>28</v>
      </c>
      <c r="F143" s="142">
        <f>Balaka!F143+Liwonde!F143+Machinga!F143+Ntaja!F143</f>
        <v>30</v>
      </c>
      <c r="G143" s="142">
        <f>Balaka!G143+Liwonde!G143+Machinga!G143+Ntaja!G143</f>
        <v>14</v>
      </c>
      <c r="H143" s="142">
        <f>Balaka!H143+Liwonde!H143+Machinga!H143+Ntaja!H143</f>
        <v>59</v>
      </c>
      <c r="I143" s="142">
        <f>Balaka!I143+Liwonde!I143+Machinga!I143+Ntaja!I143</f>
        <v>136</v>
      </c>
      <c r="J143" s="142">
        <f>Balaka!J143+Liwonde!J143+Machinga!J143+Ntaja!J143</f>
        <v>46</v>
      </c>
      <c r="K143" s="142">
        <f>Balaka!K143+Liwonde!K143+Machinga!K143+Ntaja!K143</f>
        <v>26</v>
      </c>
      <c r="L143" s="142">
        <f>Balaka!L143+Liwonde!L143+Machinga!L143+Ntaja!L143</f>
        <v>48</v>
      </c>
      <c r="M143" s="142">
        <f>Balaka!M143+Liwonde!M143+Machinga!M143+Ntaja!M143</f>
        <v>1240</v>
      </c>
      <c r="N143" s="142">
        <f>Balaka!N143+Liwonde!N143+Machinga!N143+Ntaja!N143</f>
        <v>113</v>
      </c>
      <c r="O143" s="142">
        <f>Balaka!O143+Liwonde!O143+Machinga!O143+Ntaja!O143</f>
        <v>8</v>
      </c>
      <c r="P143" s="74">
        <f>SUM(D143:O143)</f>
        <v>1830</v>
      </c>
    </row>
    <row r="144" spans="1:16" x14ac:dyDescent="0.3">
      <c r="A144" s="248"/>
      <c r="B144" s="24" t="s">
        <v>81</v>
      </c>
      <c r="C144" s="11" t="s">
        <v>3</v>
      </c>
      <c r="D144" s="140">
        <f>D140+D141-D142-D143</f>
        <v>1659</v>
      </c>
      <c r="E144" s="141">
        <f t="shared" ref="E144:O144" si="68">E140+E141-E142-E143</f>
        <v>1647</v>
      </c>
      <c r="F144" s="141">
        <f t="shared" si="68"/>
        <v>1636</v>
      </c>
      <c r="G144" s="141">
        <f t="shared" si="68"/>
        <v>1691</v>
      </c>
      <c r="H144" s="141">
        <f t="shared" si="68"/>
        <v>1620</v>
      </c>
      <c r="I144" s="141">
        <f t="shared" si="68"/>
        <v>1525</v>
      </c>
      <c r="J144" s="141">
        <f t="shared" si="68"/>
        <v>1499</v>
      </c>
      <c r="K144" s="141">
        <f t="shared" si="68"/>
        <v>1516</v>
      </c>
      <c r="L144" s="141">
        <f t="shared" si="68"/>
        <v>1530</v>
      </c>
      <c r="M144" s="141">
        <f t="shared" si="68"/>
        <v>484</v>
      </c>
      <c r="N144" s="141">
        <f t="shared" si="68"/>
        <v>279</v>
      </c>
      <c r="O144" s="141">
        <f t="shared" si="68"/>
        <v>371</v>
      </c>
      <c r="P144" s="35">
        <f>P140+P141-P142-P143</f>
        <v>374</v>
      </c>
    </row>
    <row r="145" spans="1:16" s="2" customFormat="1" x14ac:dyDescent="0.3">
      <c r="A145" s="247" t="s">
        <v>86</v>
      </c>
      <c r="B145" s="24" t="s">
        <v>85</v>
      </c>
      <c r="C145" s="11" t="s">
        <v>3</v>
      </c>
      <c r="D145" s="141">
        <f>D125+D130+D135+D140</f>
        <v>1610</v>
      </c>
      <c r="E145" s="141">
        <f t="shared" ref="E145:O145" si="69">E125+E130+E135+E140</f>
        <v>1661</v>
      </c>
      <c r="F145" s="141">
        <f t="shared" si="69"/>
        <v>1649</v>
      </c>
      <c r="G145" s="141">
        <f t="shared" si="69"/>
        <v>1636</v>
      </c>
      <c r="H145" s="141">
        <f t="shared" si="69"/>
        <v>1691</v>
      </c>
      <c r="I145" s="141">
        <f t="shared" si="69"/>
        <v>1620</v>
      </c>
      <c r="J145" s="141">
        <f t="shared" si="69"/>
        <v>1521</v>
      </c>
      <c r="K145" s="141">
        <f t="shared" si="69"/>
        <v>1499</v>
      </c>
      <c r="L145" s="141">
        <f t="shared" si="69"/>
        <v>1516</v>
      </c>
      <c r="M145" s="141">
        <f t="shared" si="69"/>
        <v>1531</v>
      </c>
      <c r="N145" s="141">
        <f t="shared" si="69"/>
        <v>484</v>
      </c>
      <c r="O145" s="141">
        <f t="shared" si="69"/>
        <v>279</v>
      </c>
      <c r="P145" s="110">
        <f t="shared" ref="P145:P149" si="70">P125+P130+P135+P140</f>
        <v>1610</v>
      </c>
    </row>
    <row r="146" spans="1:16" x14ac:dyDescent="0.3">
      <c r="A146" s="279"/>
      <c r="B146" s="24" t="s">
        <v>84</v>
      </c>
      <c r="C146" s="11" t="s">
        <v>3</v>
      </c>
      <c r="D146" s="141">
        <f t="shared" ref="D146:O148" si="71">D126+D131+D136+D141</f>
        <v>179</v>
      </c>
      <c r="E146" s="141">
        <f t="shared" si="71"/>
        <v>90</v>
      </c>
      <c r="F146" s="141">
        <f t="shared" si="71"/>
        <v>52</v>
      </c>
      <c r="G146" s="141">
        <f t="shared" si="71"/>
        <v>133</v>
      </c>
      <c r="H146" s="141">
        <f t="shared" si="71"/>
        <v>67</v>
      </c>
      <c r="I146" s="141">
        <f t="shared" si="71"/>
        <v>78</v>
      </c>
      <c r="J146" s="141">
        <f t="shared" si="71"/>
        <v>54</v>
      </c>
      <c r="K146" s="141">
        <f t="shared" si="71"/>
        <v>78</v>
      </c>
      <c r="L146" s="141">
        <f t="shared" si="71"/>
        <v>63</v>
      </c>
      <c r="M146" s="141">
        <f t="shared" si="71"/>
        <v>230</v>
      </c>
      <c r="N146" s="141">
        <f t="shared" si="71"/>
        <v>14</v>
      </c>
      <c r="O146" s="141">
        <f t="shared" si="71"/>
        <v>114</v>
      </c>
      <c r="P146" s="110">
        <f t="shared" si="70"/>
        <v>1152</v>
      </c>
    </row>
    <row r="147" spans="1:16" x14ac:dyDescent="0.3">
      <c r="A147" s="279"/>
      <c r="B147" s="24" t="s">
        <v>83</v>
      </c>
      <c r="C147" s="11" t="s">
        <v>3</v>
      </c>
      <c r="D147" s="141">
        <f t="shared" si="71"/>
        <v>46</v>
      </c>
      <c r="E147" s="141">
        <f t="shared" si="71"/>
        <v>74</v>
      </c>
      <c r="F147" s="141">
        <f t="shared" si="71"/>
        <v>35</v>
      </c>
      <c r="G147" s="141">
        <f t="shared" si="71"/>
        <v>64</v>
      </c>
      <c r="H147" s="141">
        <f t="shared" si="71"/>
        <v>79</v>
      </c>
      <c r="I147" s="141">
        <f t="shared" si="71"/>
        <v>37</v>
      </c>
      <c r="J147" s="141">
        <f t="shared" si="71"/>
        <v>30</v>
      </c>
      <c r="K147" s="141">
        <f t="shared" si="71"/>
        <v>35</v>
      </c>
      <c r="L147" s="141">
        <f t="shared" si="71"/>
        <v>1</v>
      </c>
      <c r="M147" s="141">
        <f t="shared" si="71"/>
        <v>37</v>
      </c>
      <c r="N147" s="141">
        <f t="shared" si="71"/>
        <v>106</v>
      </c>
      <c r="O147" s="141">
        <f t="shared" si="71"/>
        <v>14</v>
      </c>
      <c r="P147" s="110">
        <f t="shared" si="70"/>
        <v>558</v>
      </c>
    </row>
    <row r="148" spans="1:16" x14ac:dyDescent="0.3">
      <c r="A148" s="279"/>
      <c r="B148" s="24" t="s">
        <v>82</v>
      </c>
      <c r="C148" s="11" t="s">
        <v>3</v>
      </c>
      <c r="D148" s="141">
        <f t="shared" si="71"/>
        <v>82</v>
      </c>
      <c r="E148" s="141">
        <f t="shared" si="71"/>
        <v>28</v>
      </c>
      <c r="F148" s="141">
        <f t="shared" si="71"/>
        <v>30</v>
      </c>
      <c r="G148" s="141">
        <f t="shared" si="71"/>
        <v>14</v>
      </c>
      <c r="H148" s="141">
        <f t="shared" si="71"/>
        <v>59</v>
      </c>
      <c r="I148" s="141">
        <f t="shared" si="71"/>
        <v>136</v>
      </c>
      <c r="J148" s="141">
        <f t="shared" si="71"/>
        <v>46</v>
      </c>
      <c r="K148" s="141">
        <f t="shared" si="71"/>
        <v>26</v>
      </c>
      <c r="L148" s="141">
        <f t="shared" si="71"/>
        <v>48</v>
      </c>
      <c r="M148" s="141">
        <f t="shared" si="71"/>
        <v>1240</v>
      </c>
      <c r="N148" s="141">
        <f t="shared" si="71"/>
        <v>113</v>
      </c>
      <c r="O148" s="141">
        <f t="shared" si="71"/>
        <v>8</v>
      </c>
      <c r="P148" s="110">
        <f t="shared" si="70"/>
        <v>1830</v>
      </c>
    </row>
    <row r="149" spans="1:16" x14ac:dyDescent="0.3">
      <c r="A149" s="248"/>
      <c r="B149" s="24" t="s">
        <v>81</v>
      </c>
      <c r="C149" s="11" t="s">
        <v>3</v>
      </c>
      <c r="D149" s="140">
        <f>D145+D146-D147-D148</f>
        <v>1661</v>
      </c>
      <c r="E149" s="140">
        <f t="shared" ref="E149:O149" si="72">E145+E146-E147-E148</f>
        <v>1649</v>
      </c>
      <c r="F149" s="140">
        <f t="shared" si="72"/>
        <v>1636</v>
      </c>
      <c r="G149" s="140">
        <f t="shared" si="72"/>
        <v>1691</v>
      </c>
      <c r="H149" s="140">
        <f t="shared" si="72"/>
        <v>1620</v>
      </c>
      <c r="I149" s="140">
        <f t="shared" si="72"/>
        <v>1525</v>
      </c>
      <c r="J149" s="140">
        <f t="shared" si="72"/>
        <v>1499</v>
      </c>
      <c r="K149" s="140">
        <f t="shared" si="72"/>
        <v>1516</v>
      </c>
      <c r="L149" s="140">
        <f t="shared" si="72"/>
        <v>1530</v>
      </c>
      <c r="M149" s="140">
        <f t="shared" si="72"/>
        <v>484</v>
      </c>
      <c r="N149" s="140">
        <f t="shared" si="72"/>
        <v>279</v>
      </c>
      <c r="O149" s="140">
        <f t="shared" si="72"/>
        <v>371</v>
      </c>
      <c r="P149" s="110">
        <f t="shared" si="70"/>
        <v>374</v>
      </c>
    </row>
    <row r="150" spans="1:16" ht="14.4" x14ac:dyDescent="0.3">
      <c r="A150" s="280" t="s">
        <v>80</v>
      </c>
      <c r="B150" s="281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1"/>
      <c r="P150" s="282"/>
    </row>
    <row r="151" spans="1:16" x14ac:dyDescent="0.3">
      <c r="A151" s="237" t="s">
        <v>79</v>
      </c>
      <c r="B151" s="238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9"/>
    </row>
    <row r="152" spans="1:16" x14ac:dyDescent="0.3">
      <c r="A152" s="290" t="s">
        <v>78</v>
      </c>
      <c r="B152" s="92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9"/>
    </row>
    <row r="153" spans="1:16" x14ac:dyDescent="0.3">
      <c r="A153" s="291"/>
      <c r="B153" s="19" t="s">
        <v>73</v>
      </c>
      <c r="C153" s="11" t="s">
        <v>57</v>
      </c>
      <c r="D153" s="142">
        <f>Balaka!D153+Liwonde!D153+Machinga!D153+Ntaja!D153</f>
        <v>352</v>
      </c>
      <c r="E153" s="142">
        <f>Balaka!E153+Liwonde!E153+Machinga!E153+Ntaja!E153</f>
        <v>304</v>
      </c>
      <c r="F153" s="142">
        <f>Balaka!F153+Liwonde!F153+Machinga!F153+Ntaja!F153</f>
        <v>429</v>
      </c>
      <c r="G153" s="142">
        <f>Balaka!G153+Liwonde!G153+Machinga!G153+Ntaja!G153</f>
        <v>381</v>
      </c>
      <c r="H153" s="142">
        <f>Balaka!H153+Liwonde!H153+Machinga!H153+Ntaja!H153</f>
        <v>465</v>
      </c>
      <c r="I153" s="142">
        <f>Balaka!I153+Liwonde!I153+Machinga!I153+Ntaja!I153</f>
        <v>423</v>
      </c>
      <c r="J153" s="142">
        <f>Balaka!J153+Liwonde!J153+Machinga!J153+Ntaja!J153</f>
        <v>420</v>
      </c>
      <c r="K153" s="142">
        <f>Balaka!K153+Liwonde!K153+Machinga!K153+Ntaja!K153</f>
        <v>386</v>
      </c>
      <c r="L153" s="142">
        <f>Balaka!L153+Liwonde!L153+Machinga!L153+Ntaja!L153</f>
        <v>348</v>
      </c>
      <c r="M153" s="142">
        <f>Balaka!M153+Liwonde!M153+Machinga!M153+Ntaja!M153</f>
        <v>364</v>
      </c>
      <c r="N153" s="142">
        <f>Balaka!N153+Liwonde!N153+Machinga!N153+Ntaja!N153</f>
        <v>354</v>
      </c>
      <c r="O153" s="142">
        <f>Balaka!O153+Liwonde!O153+Machinga!O153+Ntaja!O153</f>
        <v>331</v>
      </c>
      <c r="P153" s="74">
        <f t="shared" ref="P153:P165" si="73">SUM(D153:O153)</f>
        <v>4557</v>
      </c>
    </row>
    <row r="154" spans="1:16" x14ac:dyDescent="0.3">
      <c r="A154" s="291"/>
      <c r="B154" s="19" t="s">
        <v>72</v>
      </c>
      <c r="C154" s="11" t="s">
        <v>57</v>
      </c>
      <c r="D154" s="142">
        <f>Balaka!D154+Liwonde!D154+Machinga!D154+Ntaja!D154</f>
        <v>168</v>
      </c>
      <c r="E154" s="142">
        <f>Balaka!E154+Liwonde!E154+Machinga!E154+Ntaja!E154</f>
        <v>216</v>
      </c>
      <c r="F154" s="142">
        <f>Balaka!F154+Liwonde!F154+Machinga!F154+Ntaja!F154</f>
        <v>203</v>
      </c>
      <c r="G154" s="142">
        <f>Balaka!G154+Liwonde!G154+Machinga!G154+Ntaja!G154</f>
        <v>229</v>
      </c>
      <c r="H154" s="142">
        <f>Balaka!H154+Liwonde!H154+Machinga!H154+Ntaja!H154</f>
        <v>264</v>
      </c>
      <c r="I154" s="142">
        <f>Balaka!I154+Liwonde!I154+Machinga!I154+Ntaja!I154</f>
        <v>258</v>
      </c>
      <c r="J154" s="142">
        <f>Balaka!J154+Liwonde!J154+Machinga!J154+Ntaja!J154</f>
        <v>248</v>
      </c>
      <c r="K154" s="142">
        <f>Balaka!K154+Liwonde!K154+Machinga!K154+Ntaja!K154</f>
        <v>215</v>
      </c>
      <c r="L154" s="142">
        <f>Balaka!L154+Liwonde!L154+Machinga!L154+Ntaja!L154</f>
        <v>193</v>
      </c>
      <c r="M154" s="142">
        <f>Balaka!M154+Liwonde!M154+Machinga!M154+Ntaja!M154</f>
        <v>223</v>
      </c>
      <c r="N154" s="142">
        <f>Balaka!N154+Liwonde!N154+Machinga!N154+Ntaja!N154</f>
        <v>176</v>
      </c>
      <c r="O154" s="142">
        <f>Balaka!O154+Liwonde!O154+Machinga!O154+Ntaja!O154</f>
        <v>147</v>
      </c>
      <c r="P154" s="74">
        <f t="shared" si="73"/>
        <v>2540</v>
      </c>
    </row>
    <row r="155" spans="1:16" x14ac:dyDescent="0.3">
      <c r="A155" s="291"/>
      <c r="B155" s="19" t="s">
        <v>53</v>
      </c>
      <c r="C155" s="11" t="s">
        <v>57</v>
      </c>
      <c r="D155" s="142">
        <f>Balaka!D155+Liwonde!D155+Machinga!D155+Ntaja!D155</f>
        <v>43</v>
      </c>
      <c r="E155" s="142">
        <f>Balaka!E155+Liwonde!E155+Machinga!E155+Ntaja!E155</f>
        <v>48</v>
      </c>
      <c r="F155" s="142">
        <f>Balaka!F155+Liwonde!F155+Machinga!F155+Ntaja!F155</f>
        <v>40</v>
      </c>
      <c r="G155" s="142">
        <f>Balaka!G155+Liwonde!G155+Machinga!G155+Ntaja!G155</f>
        <v>44</v>
      </c>
      <c r="H155" s="142">
        <f>Balaka!H155+Liwonde!H155+Machinga!H155+Ntaja!H155</f>
        <v>57</v>
      </c>
      <c r="I155" s="142">
        <f>Balaka!I155+Liwonde!I155+Machinga!I155+Ntaja!I155</f>
        <v>74</v>
      </c>
      <c r="J155" s="142">
        <f>Balaka!J155+Liwonde!J155+Machinga!J155+Ntaja!J155</f>
        <v>41</v>
      </c>
      <c r="K155" s="142">
        <f>Balaka!K155+Liwonde!K155+Machinga!K155+Ntaja!K155</f>
        <v>44</v>
      </c>
      <c r="L155" s="142">
        <f>Balaka!L155+Liwonde!L155+Machinga!L155+Ntaja!L155</f>
        <v>38</v>
      </c>
      <c r="M155" s="142">
        <f>Balaka!M155+Liwonde!M155+Machinga!M155+Ntaja!M155</f>
        <v>49</v>
      </c>
      <c r="N155" s="142">
        <f>Balaka!N155+Liwonde!N155+Machinga!N155+Ntaja!N155</f>
        <v>41</v>
      </c>
      <c r="O155" s="142">
        <f>Balaka!O155+Liwonde!O155+Machinga!O155+Ntaja!O155</f>
        <v>45</v>
      </c>
      <c r="P155" s="74">
        <f t="shared" si="73"/>
        <v>564</v>
      </c>
    </row>
    <row r="156" spans="1:16" x14ac:dyDescent="0.3">
      <c r="A156" s="291"/>
      <c r="B156" s="19" t="s">
        <v>71</v>
      </c>
      <c r="C156" s="11" t="s">
        <v>57</v>
      </c>
      <c r="D156" s="142">
        <f>Balaka!D156+Liwonde!D156+Machinga!D156+Ntaja!D156</f>
        <v>10</v>
      </c>
      <c r="E156" s="142">
        <f>Balaka!E156+Liwonde!E156+Machinga!E156+Ntaja!E156</f>
        <v>16</v>
      </c>
      <c r="F156" s="142">
        <f>Balaka!F156+Liwonde!F156+Machinga!F156+Ntaja!F156</f>
        <v>21</v>
      </c>
      <c r="G156" s="142">
        <f>Balaka!G156+Liwonde!G156+Machinga!G156+Ntaja!G156</f>
        <v>19</v>
      </c>
      <c r="H156" s="142">
        <f>Balaka!H156+Liwonde!H156+Machinga!H156+Ntaja!H156</f>
        <v>12</v>
      </c>
      <c r="I156" s="142">
        <f>Balaka!I156+Liwonde!I156+Machinga!I156+Ntaja!I156</f>
        <v>12</v>
      </c>
      <c r="J156" s="142">
        <f>Balaka!J156+Liwonde!J156+Machinga!J156+Ntaja!J156</f>
        <v>17</v>
      </c>
      <c r="K156" s="142">
        <f>Balaka!K156+Liwonde!K156+Machinga!K156+Ntaja!K156</f>
        <v>11</v>
      </c>
      <c r="L156" s="142">
        <f>Balaka!L156+Liwonde!L156+Machinga!L156+Ntaja!L156</f>
        <v>9</v>
      </c>
      <c r="M156" s="142">
        <f>Balaka!M156+Liwonde!M156+Machinga!M156+Ntaja!M156</f>
        <v>13</v>
      </c>
      <c r="N156" s="142">
        <f>Balaka!N156+Liwonde!N156+Machinga!N156+Ntaja!N156</f>
        <v>8</v>
      </c>
      <c r="O156" s="142">
        <f>Balaka!O156+Liwonde!O156+Machinga!O156+Ntaja!O156</f>
        <v>5</v>
      </c>
      <c r="P156" s="74">
        <f t="shared" si="73"/>
        <v>153</v>
      </c>
    </row>
    <row r="157" spans="1:16" x14ac:dyDescent="0.3">
      <c r="A157" s="291"/>
      <c r="B157" s="19" t="s">
        <v>52</v>
      </c>
      <c r="C157" s="11" t="s">
        <v>57</v>
      </c>
      <c r="D157" s="142">
        <f>Balaka!D157+Liwonde!D157+Machinga!D157+Ntaja!D157</f>
        <v>20</v>
      </c>
      <c r="E157" s="142">
        <f>Balaka!E157+Liwonde!E157+Machinga!E157+Ntaja!E157</f>
        <v>15</v>
      </c>
      <c r="F157" s="142">
        <f>Balaka!F157+Liwonde!F157+Machinga!F157+Ntaja!F157</f>
        <v>20</v>
      </c>
      <c r="G157" s="142">
        <f>Balaka!G157+Liwonde!G157+Machinga!G157+Ntaja!G157</f>
        <v>16</v>
      </c>
      <c r="H157" s="142">
        <f>Balaka!H157+Liwonde!H157+Machinga!H157+Ntaja!H157</f>
        <v>21</v>
      </c>
      <c r="I157" s="142">
        <f>Balaka!I157+Liwonde!I157+Machinga!I157+Ntaja!I157</f>
        <v>18</v>
      </c>
      <c r="J157" s="142">
        <f>Balaka!J157+Liwonde!J157+Machinga!J157+Ntaja!J157</f>
        <v>20</v>
      </c>
      <c r="K157" s="142">
        <f>Balaka!K157+Liwonde!K157+Machinga!K157+Ntaja!K157</f>
        <v>21</v>
      </c>
      <c r="L157" s="142">
        <f>Balaka!L157+Liwonde!L157+Machinga!L157+Ntaja!L157</f>
        <v>19</v>
      </c>
      <c r="M157" s="142">
        <f>Balaka!M157+Liwonde!M157+Machinga!M157+Ntaja!M157</f>
        <v>29</v>
      </c>
      <c r="N157" s="142">
        <f>Balaka!N157+Liwonde!N157+Machinga!N157+Ntaja!N157</f>
        <v>20</v>
      </c>
      <c r="O157" s="142">
        <f>Balaka!O157+Liwonde!O157+Machinga!O157+Ntaja!O157</f>
        <v>21</v>
      </c>
      <c r="P157" s="74">
        <f t="shared" si="73"/>
        <v>240</v>
      </c>
    </row>
    <row r="158" spans="1:16" x14ac:dyDescent="0.3">
      <c r="A158" s="291"/>
      <c r="B158" s="19" t="s">
        <v>51</v>
      </c>
      <c r="C158" s="11" t="s">
        <v>57</v>
      </c>
      <c r="D158" s="142">
        <f>Balaka!D158+Liwonde!D158+Machinga!D158+Ntaja!D158</f>
        <v>23</v>
      </c>
      <c r="E158" s="142">
        <f>Balaka!E158+Liwonde!E158+Machinga!E158+Ntaja!E158</f>
        <v>23</v>
      </c>
      <c r="F158" s="142">
        <f>Balaka!F158+Liwonde!F158+Machinga!F158+Ntaja!F158</f>
        <v>33</v>
      </c>
      <c r="G158" s="142">
        <f>Balaka!G158+Liwonde!G158+Machinga!G158+Ntaja!G158</f>
        <v>41</v>
      </c>
      <c r="H158" s="142">
        <f>Balaka!H158+Liwonde!H158+Machinga!H158+Ntaja!H158</f>
        <v>19</v>
      </c>
      <c r="I158" s="142">
        <f>Balaka!I158+Liwonde!I158+Machinga!I158+Ntaja!I158</f>
        <v>18</v>
      </c>
      <c r="J158" s="142">
        <f>Balaka!J158+Liwonde!J158+Machinga!J158+Ntaja!J158</f>
        <v>24</v>
      </c>
      <c r="K158" s="142">
        <f>Balaka!K158+Liwonde!K158+Machinga!K158+Ntaja!K158</f>
        <v>19</v>
      </c>
      <c r="L158" s="142">
        <f>Balaka!L158+Liwonde!L158+Machinga!L158+Ntaja!L158</f>
        <v>23</v>
      </c>
      <c r="M158" s="142">
        <f>Balaka!M158+Liwonde!M158+Machinga!M158+Ntaja!M158</f>
        <v>21</v>
      </c>
      <c r="N158" s="142">
        <f>Balaka!N158+Liwonde!N158+Machinga!N158+Ntaja!N158</f>
        <v>27</v>
      </c>
      <c r="O158" s="142">
        <f>Balaka!O158+Liwonde!O158+Machinga!O158+Ntaja!O158</f>
        <v>21</v>
      </c>
      <c r="P158" s="74">
        <f t="shared" si="73"/>
        <v>292</v>
      </c>
    </row>
    <row r="159" spans="1:16" x14ac:dyDescent="0.3">
      <c r="A159" s="291"/>
      <c r="B159" s="19" t="s">
        <v>62</v>
      </c>
      <c r="C159" s="11" t="s">
        <v>57</v>
      </c>
      <c r="D159" s="142">
        <f>Balaka!D159+Liwonde!D159+Machinga!D159+Ntaja!D159</f>
        <v>0</v>
      </c>
      <c r="E159" s="142">
        <f>Balaka!E159+Liwonde!E159+Machinga!E159+Ntaja!E159</f>
        <v>0</v>
      </c>
      <c r="F159" s="142">
        <f>Balaka!F159+Liwonde!F159+Machinga!F159+Ntaja!F159</f>
        <v>2</v>
      </c>
      <c r="G159" s="142">
        <f>Balaka!G159+Liwonde!G159+Machinga!G159+Ntaja!G159</f>
        <v>1</v>
      </c>
      <c r="H159" s="142">
        <f>Balaka!H159+Liwonde!H159+Machinga!H159+Ntaja!H159</f>
        <v>0</v>
      </c>
      <c r="I159" s="142">
        <f>Balaka!I159+Liwonde!I159+Machinga!I159+Ntaja!I159</f>
        <v>0</v>
      </c>
      <c r="J159" s="142">
        <f>Balaka!J159+Liwonde!J159+Machinga!J159+Ntaja!J159</f>
        <v>0</v>
      </c>
      <c r="K159" s="142">
        <f>Balaka!K159+Liwonde!K159+Machinga!K159+Ntaja!K159</f>
        <v>0</v>
      </c>
      <c r="L159" s="142">
        <f>Balaka!L159+Liwonde!L159+Machinga!L159+Ntaja!L159</f>
        <v>0</v>
      </c>
      <c r="M159" s="142">
        <f>Balaka!M159+Liwonde!M159+Machinga!M159+Ntaja!M159</f>
        <v>1</v>
      </c>
      <c r="N159" s="142">
        <f>Balaka!N159+Liwonde!N159+Machinga!N159+Ntaja!N159</f>
        <v>1</v>
      </c>
      <c r="O159" s="142">
        <f>Balaka!O159+Liwonde!O159+Machinga!O159+Ntaja!O159</f>
        <v>0</v>
      </c>
      <c r="P159" s="74">
        <f t="shared" si="73"/>
        <v>5</v>
      </c>
    </row>
    <row r="160" spans="1:16" x14ac:dyDescent="0.3">
      <c r="A160" s="291"/>
      <c r="B160" s="19" t="s">
        <v>50</v>
      </c>
      <c r="C160" s="11" t="s">
        <v>57</v>
      </c>
      <c r="D160" s="142">
        <f>Balaka!D160+Liwonde!D160+Machinga!D160+Ntaja!D160</f>
        <v>9</v>
      </c>
      <c r="E160" s="142">
        <f>Balaka!E160+Liwonde!E160+Machinga!E160+Ntaja!E160</f>
        <v>5</v>
      </c>
      <c r="F160" s="142">
        <f>Balaka!F160+Liwonde!F160+Machinga!F160+Ntaja!F160</f>
        <v>9</v>
      </c>
      <c r="G160" s="142">
        <f>Balaka!G160+Liwonde!G160+Machinga!G160+Ntaja!G160</f>
        <v>6</v>
      </c>
      <c r="H160" s="142">
        <f>Balaka!H160+Liwonde!H160+Machinga!H160+Ntaja!H160</f>
        <v>6</v>
      </c>
      <c r="I160" s="142">
        <f>Balaka!I160+Liwonde!I160+Machinga!I160+Ntaja!I160</f>
        <v>8</v>
      </c>
      <c r="J160" s="142">
        <f>Balaka!J160+Liwonde!J160+Machinga!J160+Ntaja!J160</f>
        <v>4</v>
      </c>
      <c r="K160" s="142">
        <f>Balaka!K160+Liwonde!K160+Machinga!K160+Ntaja!K160</f>
        <v>5</v>
      </c>
      <c r="L160" s="142">
        <f>Balaka!L160+Liwonde!L160+Machinga!L160+Ntaja!L160</f>
        <v>0</v>
      </c>
      <c r="M160" s="142">
        <f>Balaka!M160+Liwonde!M160+Machinga!M160+Ntaja!M160</f>
        <v>2</v>
      </c>
      <c r="N160" s="142">
        <f>Balaka!N160+Liwonde!N160+Machinga!N160+Ntaja!N160</f>
        <v>3</v>
      </c>
      <c r="O160" s="142">
        <f>Balaka!O160+Liwonde!O160+Machinga!O160+Ntaja!O160</f>
        <v>5</v>
      </c>
      <c r="P160" s="74">
        <f t="shared" si="73"/>
        <v>62</v>
      </c>
    </row>
    <row r="161" spans="1:16" x14ac:dyDescent="0.3">
      <c r="A161" s="291"/>
      <c r="B161" s="19" t="s">
        <v>49</v>
      </c>
      <c r="C161" s="11" t="s">
        <v>57</v>
      </c>
      <c r="D161" s="142">
        <f>Balaka!D161+Liwonde!D161+Machinga!D161+Ntaja!D161</f>
        <v>3</v>
      </c>
      <c r="E161" s="142">
        <f>Balaka!E161+Liwonde!E161+Machinga!E161+Ntaja!E161</f>
        <v>8</v>
      </c>
      <c r="F161" s="142">
        <f>Balaka!F161+Liwonde!F161+Machinga!F161+Ntaja!F161</f>
        <v>15</v>
      </c>
      <c r="G161" s="142">
        <f>Balaka!G161+Liwonde!G161+Machinga!G161+Ntaja!G161</f>
        <v>6</v>
      </c>
      <c r="H161" s="142">
        <f>Balaka!H161+Liwonde!H161+Machinga!H161+Ntaja!H161</f>
        <v>5</v>
      </c>
      <c r="I161" s="142">
        <f>Balaka!I161+Liwonde!I161+Machinga!I161+Ntaja!I161</f>
        <v>5</v>
      </c>
      <c r="J161" s="142">
        <f>Balaka!J161+Liwonde!J161+Machinga!J161+Ntaja!J161</f>
        <v>6</v>
      </c>
      <c r="K161" s="142">
        <f>Balaka!K161+Liwonde!K161+Machinga!K161+Ntaja!K161</f>
        <v>1</v>
      </c>
      <c r="L161" s="142">
        <f>Balaka!L161+Liwonde!L161+Machinga!L161+Ntaja!L161</f>
        <v>9</v>
      </c>
      <c r="M161" s="142">
        <f>Balaka!M161+Liwonde!M161+Machinga!M161+Ntaja!M161</f>
        <v>12</v>
      </c>
      <c r="N161" s="142">
        <f>Balaka!N161+Liwonde!N161+Machinga!N161+Ntaja!N161</f>
        <v>13</v>
      </c>
      <c r="O161" s="142">
        <f>Balaka!O161+Liwonde!O161+Machinga!O161+Ntaja!O161</f>
        <v>17</v>
      </c>
      <c r="P161" s="74">
        <f t="shared" si="73"/>
        <v>100</v>
      </c>
    </row>
    <row r="162" spans="1:16" x14ac:dyDescent="0.3">
      <c r="A162" s="291"/>
      <c r="B162" s="19" t="s">
        <v>77</v>
      </c>
      <c r="C162" s="11" t="s">
        <v>57</v>
      </c>
      <c r="D162" s="142">
        <f>Balaka!D162+Liwonde!D162+Machinga!D162+Ntaja!D162</f>
        <v>2</v>
      </c>
      <c r="E162" s="142">
        <f>Balaka!E162+Liwonde!E162+Machinga!E162+Ntaja!E162</f>
        <v>3</v>
      </c>
      <c r="F162" s="142">
        <f>Balaka!F162+Liwonde!F162+Machinga!F162+Ntaja!F162</f>
        <v>9</v>
      </c>
      <c r="G162" s="142">
        <f>Balaka!G162+Liwonde!G162+Machinga!G162+Ntaja!G162</f>
        <v>5</v>
      </c>
      <c r="H162" s="142">
        <f>Balaka!H162+Liwonde!H162+Machinga!H162+Ntaja!H162</f>
        <v>1</v>
      </c>
      <c r="I162" s="142">
        <f>Balaka!I162+Liwonde!I162+Machinga!I162+Ntaja!I162</f>
        <v>3</v>
      </c>
      <c r="J162" s="142">
        <f>Balaka!J162+Liwonde!J162+Machinga!J162+Ntaja!J162</f>
        <v>1</v>
      </c>
      <c r="K162" s="142">
        <f>Balaka!K162+Liwonde!K162+Machinga!K162+Ntaja!K162</f>
        <v>0</v>
      </c>
      <c r="L162" s="142">
        <f>Balaka!L162+Liwonde!L162+Machinga!L162+Ntaja!L162</f>
        <v>3</v>
      </c>
      <c r="M162" s="142">
        <f>Balaka!M162+Liwonde!M162+Machinga!M162+Ntaja!M162</f>
        <v>2</v>
      </c>
      <c r="N162" s="142">
        <f>Balaka!N162+Liwonde!N162+Machinga!N162+Ntaja!N162</f>
        <v>7</v>
      </c>
      <c r="O162" s="142">
        <f>Balaka!O162+Liwonde!O162+Machinga!O162+Ntaja!O162</f>
        <v>2</v>
      </c>
      <c r="P162" s="74">
        <f t="shared" si="73"/>
        <v>38</v>
      </c>
    </row>
    <row r="163" spans="1:16" x14ac:dyDescent="0.3">
      <c r="A163" s="291"/>
      <c r="B163" s="19" t="s">
        <v>69</v>
      </c>
      <c r="C163" s="11" t="s">
        <v>57</v>
      </c>
      <c r="D163" s="142">
        <f>Balaka!D163+Liwonde!D163+Machinga!D163+Ntaja!D163</f>
        <v>0</v>
      </c>
      <c r="E163" s="142">
        <f>Balaka!E163+Liwonde!E163+Machinga!E163+Ntaja!E163</f>
        <v>1</v>
      </c>
      <c r="F163" s="142">
        <f>Balaka!F163+Liwonde!F163+Machinga!F163+Ntaja!F163</f>
        <v>15</v>
      </c>
      <c r="G163" s="142">
        <f>Balaka!G163+Liwonde!G163+Machinga!G163+Ntaja!G163</f>
        <v>4</v>
      </c>
      <c r="H163" s="142">
        <f>Balaka!H163+Liwonde!H163+Machinga!H163+Ntaja!H163</f>
        <v>6</v>
      </c>
      <c r="I163" s="142">
        <f>Balaka!I163+Liwonde!I163+Machinga!I163+Ntaja!I163</f>
        <v>1</v>
      </c>
      <c r="J163" s="142">
        <f>Balaka!J163+Liwonde!J163+Machinga!J163+Ntaja!J163</f>
        <v>2</v>
      </c>
      <c r="K163" s="142">
        <f>Balaka!K163+Liwonde!K163+Machinga!K163+Ntaja!K163</f>
        <v>6</v>
      </c>
      <c r="L163" s="142">
        <f>Balaka!L163+Liwonde!L163+Machinga!L163+Ntaja!L163</f>
        <v>6</v>
      </c>
      <c r="M163" s="142">
        <f>Balaka!M163+Liwonde!M163+Machinga!M163+Ntaja!M163</f>
        <v>2</v>
      </c>
      <c r="N163" s="142">
        <f>Balaka!N163+Liwonde!N163+Machinga!N163+Ntaja!N163</f>
        <v>1</v>
      </c>
      <c r="O163" s="142">
        <f>Balaka!O163+Liwonde!O163+Machinga!O163+Ntaja!O163</f>
        <v>0</v>
      </c>
      <c r="P163" s="74">
        <f t="shared" si="73"/>
        <v>44</v>
      </c>
    </row>
    <row r="164" spans="1:16" x14ac:dyDescent="0.3">
      <c r="A164" s="291"/>
      <c r="B164" s="19" t="s">
        <v>68</v>
      </c>
      <c r="C164" s="11" t="s">
        <v>57</v>
      </c>
      <c r="D164" s="142">
        <f>Balaka!D164+Liwonde!D164+Machinga!D164+Ntaja!D164</f>
        <v>1</v>
      </c>
      <c r="E164" s="142">
        <f>Balaka!E164+Liwonde!E164+Machinga!E164+Ntaja!E164</f>
        <v>0</v>
      </c>
      <c r="F164" s="142">
        <f>Balaka!F164+Liwonde!F164+Machinga!F164+Ntaja!F164</f>
        <v>2</v>
      </c>
      <c r="G164" s="142">
        <f>Balaka!G164+Liwonde!G164+Machinga!G164+Ntaja!G164</f>
        <v>0</v>
      </c>
      <c r="H164" s="142">
        <f>Balaka!H164+Liwonde!H164+Machinga!H164+Ntaja!H164</f>
        <v>0</v>
      </c>
      <c r="I164" s="142">
        <f>Balaka!I164+Liwonde!I164+Machinga!I164+Ntaja!I164</f>
        <v>0</v>
      </c>
      <c r="J164" s="142">
        <f>Balaka!J164+Liwonde!J164+Machinga!J164+Ntaja!J164</f>
        <v>0</v>
      </c>
      <c r="K164" s="142">
        <f>Balaka!K164+Liwonde!K164+Machinga!K164+Ntaja!K164</f>
        <v>0</v>
      </c>
      <c r="L164" s="142">
        <f>Balaka!L164+Liwonde!L164+Machinga!L164+Ntaja!L164</f>
        <v>0</v>
      </c>
      <c r="M164" s="142">
        <f>Balaka!M164+Liwonde!M164+Machinga!M164+Ntaja!M164</f>
        <v>1</v>
      </c>
      <c r="N164" s="142">
        <f>Balaka!N164+Liwonde!N164+Machinga!N164+Ntaja!N164</f>
        <v>2</v>
      </c>
      <c r="O164" s="142">
        <f>Balaka!O164+Liwonde!O164+Machinga!O164+Ntaja!O164</f>
        <v>0</v>
      </c>
      <c r="P164" s="74">
        <f t="shared" si="73"/>
        <v>6</v>
      </c>
    </row>
    <row r="165" spans="1:16" x14ac:dyDescent="0.3">
      <c r="A165" s="292"/>
      <c r="B165" s="19" t="s">
        <v>76</v>
      </c>
      <c r="C165" s="11" t="s">
        <v>57</v>
      </c>
      <c r="D165" s="142">
        <f>Balaka!D165+Liwonde!D165+Machinga!D165+Ntaja!D165</f>
        <v>0</v>
      </c>
      <c r="E165" s="142">
        <f>Balaka!E165+Liwonde!E165+Machinga!E165+Ntaja!E165</f>
        <v>0</v>
      </c>
      <c r="F165" s="142">
        <f>Balaka!F165+Liwonde!F165+Machinga!F165+Ntaja!F165</f>
        <v>0</v>
      </c>
      <c r="G165" s="142">
        <f>Balaka!G165+Liwonde!G165+Machinga!G165+Ntaja!G165</f>
        <v>0</v>
      </c>
      <c r="H165" s="142">
        <f>Balaka!H165+Liwonde!H165+Machinga!H165+Ntaja!H165</f>
        <v>0</v>
      </c>
      <c r="I165" s="142">
        <f>Balaka!I165+Liwonde!I165+Machinga!I165+Ntaja!I165</f>
        <v>0</v>
      </c>
      <c r="J165" s="142">
        <f>Balaka!J165+Liwonde!J165+Machinga!J165+Ntaja!J165</f>
        <v>0</v>
      </c>
      <c r="K165" s="142">
        <f>Balaka!K165+Liwonde!K165+Machinga!K165+Ntaja!K165</f>
        <v>0</v>
      </c>
      <c r="L165" s="142">
        <f>Balaka!L165+Liwonde!L165+Machinga!L165+Ntaja!L165</f>
        <v>0</v>
      </c>
      <c r="M165" s="142">
        <f>Balaka!M165+Liwonde!M165+Machinga!M165+Ntaja!M165</f>
        <v>0</v>
      </c>
      <c r="N165" s="142">
        <f>Balaka!N165+Liwonde!N165+Machinga!N165+Ntaja!N165</f>
        <v>0</v>
      </c>
      <c r="O165" s="142">
        <f>Balaka!O165+Liwonde!O165+Machinga!O165+Ntaja!O165</f>
        <v>0</v>
      </c>
      <c r="P165" s="74">
        <f t="shared" si="73"/>
        <v>0</v>
      </c>
    </row>
    <row r="166" spans="1:16" x14ac:dyDescent="0.3">
      <c r="A166" s="290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74"/>
    </row>
    <row r="167" spans="1:16" x14ac:dyDescent="0.3">
      <c r="A167" s="291"/>
      <c r="B167" s="19" t="s">
        <v>74</v>
      </c>
      <c r="C167" s="11" t="s">
        <v>57</v>
      </c>
      <c r="D167" s="142">
        <f>Balaka!D167+Liwonde!D167+Machinga!D167+Ntaja!D167</f>
        <v>4</v>
      </c>
      <c r="E167" s="142">
        <f>Balaka!E167+Liwonde!E167+Machinga!E167+Ntaja!E167</f>
        <v>1</v>
      </c>
      <c r="F167" s="142">
        <f>Balaka!F167+Liwonde!F167+Machinga!F167+Ntaja!F167</f>
        <v>16</v>
      </c>
      <c r="G167" s="142">
        <f>Balaka!G167+Liwonde!G167+Machinga!G167+Ntaja!G167</f>
        <v>2</v>
      </c>
      <c r="H167" s="142">
        <f>Balaka!H167+Liwonde!H167+Machinga!H167+Ntaja!H167</f>
        <v>1</v>
      </c>
      <c r="I167" s="142">
        <f>Balaka!I167+Liwonde!I167+Machinga!I167+Ntaja!I167</f>
        <v>4</v>
      </c>
      <c r="J167" s="142">
        <f>Balaka!J167+Liwonde!J167+Machinga!J167+Ntaja!J167</f>
        <v>2</v>
      </c>
      <c r="K167" s="142">
        <f>Balaka!K167+Liwonde!K167+Machinga!K167+Ntaja!K167</f>
        <v>2</v>
      </c>
      <c r="L167" s="142">
        <f>Balaka!L167+Liwonde!L167+Machinga!L167+Ntaja!L167</f>
        <v>4</v>
      </c>
      <c r="M167" s="142">
        <f>Balaka!M167+Liwonde!M167+Machinga!M167+Ntaja!M167</f>
        <v>11</v>
      </c>
      <c r="N167" s="142">
        <f>Balaka!N167+Liwonde!N167+Machinga!N167+Ntaja!N167</f>
        <v>3</v>
      </c>
      <c r="O167" s="142">
        <f>Balaka!O167+Liwonde!O167+Machinga!O167+Ntaja!O167</f>
        <v>0</v>
      </c>
      <c r="P167" s="74">
        <f t="shared" ref="P167:P175" si="74">SUM(D167:O167)</f>
        <v>50</v>
      </c>
    </row>
    <row r="168" spans="1:16" x14ac:dyDescent="0.3">
      <c r="A168" s="291"/>
      <c r="B168" s="19" t="s">
        <v>73</v>
      </c>
      <c r="C168" s="11" t="s">
        <v>57</v>
      </c>
      <c r="D168" s="142">
        <f>Balaka!D168+Liwonde!D168+Machinga!D168+Ntaja!D168</f>
        <v>0</v>
      </c>
      <c r="E168" s="142">
        <f>Balaka!E168+Liwonde!E168+Machinga!E168+Ntaja!E168</f>
        <v>0</v>
      </c>
      <c r="F168" s="142">
        <f>Balaka!F168+Liwonde!F168+Machinga!F168+Ntaja!F168</f>
        <v>5</v>
      </c>
      <c r="G168" s="142">
        <f>Balaka!G168+Liwonde!G168+Machinga!G168+Ntaja!G168</f>
        <v>0</v>
      </c>
      <c r="H168" s="142">
        <f>Balaka!H168+Liwonde!H168+Machinga!H168+Ntaja!H168</f>
        <v>0</v>
      </c>
      <c r="I168" s="142">
        <f>Balaka!I168+Liwonde!I168+Machinga!I168+Ntaja!I168</f>
        <v>0</v>
      </c>
      <c r="J168" s="142">
        <f>Balaka!J168+Liwonde!J168+Machinga!J168+Ntaja!J168</f>
        <v>3</v>
      </c>
      <c r="K168" s="142">
        <f>Balaka!K168+Liwonde!K168+Machinga!K168+Ntaja!K168</f>
        <v>0</v>
      </c>
      <c r="L168" s="142">
        <f>Balaka!L168+Liwonde!L168+Machinga!L168+Ntaja!L168</f>
        <v>2</v>
      </c>
      <c r="M168" s="142">
        <f>Balaka!M168+Liwonde!M168+Machinga!M168+Ntaja!M168</f>
        <v>1</v>
      </c>
      <c r="N168" s="142">
        <f>Balaka!N168+Liwonde!N168+Machinga!N168+Ntaja!N168</f>
        <v>3</v>
      </c>
      <c r="O168" s="142">
        <f>Balaka!O168+Liwonde!O168+Machinga!O168+Ntaja!O168</f>
        <v>2</v>
      </c>
      <c r="P168" s="74">
        <f t="shared" si="74"/>
        <v>16</v>
      </c>
    </row>
    <row r="169" spans="1:16" x14ac:dyDescent="0.3">
      <c r="A169" s="291"/>
      <c r="B169" s="19" t="s">
        <v>72</v>
      </c>
      <c r="C169" s="11" t="s">
        <v>57</v>
      </c>
      <c r="D169" s="142">
        <f>Balaka!D169+Liwonde!D169+Machinga!D169+Ntaja!D169</f>
        <v>0</v>
      </c>
      <c r="E169" s="142">
        <f>Balaka!E169+Liwonde!E169+Machinga!E169+Ntaja!E169</f>
        <v>0</v>
      </c>
      <c r="F169" s="142">
        <f>Balaka!F169+Liwonde!F169+Machinga!F169+Ntaja!F169</f>
        <v>2</v>
      </c>
      <c r="G169" s="142">
        <f>Balaka!G169+Liwonde!G169+Machinga!G169+Ntaja!G169</f>
        <v>0</v>
      </c>
      <c r="H169" s="142">
        <f>Balaka!H169+Liwonde!H169+Machinga!H169+Ntaja!H169</f>
        <v>0</v>
      </c>
      <c r="I169" s="142">
        <f>Balaka!I169+Liwonde!I169+Machinga!I169+Ntaja!I169</f>
        <v>0</v>
      </c>
      <c r="J169" s="142">
        <f>Balaka!J169+Liwonde!J169+Machinga!J169+Ntaja!J169</f>
        <v>0</v>
      </c>
      <c r="K169" s="142">
        <f>Balaka!K169+Liwonde!K169+Machinga!K169+Ntaja!K169</f>
        <v>0</v>
      </c>
      <c r="L169" s="142">
        <f>Balaka!L169+Liwonde!L169+Machinga!L169+Ntaja!L169</f>
        <v>0</v>
      </c>
      <c r="M169" s="142">
        <f>Balaka!M169+Liwonde!M169+Machinga!M169+Ntaja!M169</f>
        <v>0</v>
      </c>
      <c r="N169" s="142">
        <f>Balaka!N169+Liwonde!N169+Machinga!N169+Ntaja!N169</f>
        <v>0</v>
      </c>
      <c r="O169" s="142">
        <f>Balaka!O169+Liwonde!O169+Machinga!O169+Ntaja!O169</f>
        <v>0</v>
      </c>
      <c r="P169" s="74">
        <f t="shared" si="74"/>
        <v>2</v>
      </c>
    </row>
    <row r="170" spans="1:16" x14ac:dyDescent="0.3">
      <c r="A170" s="291"/>
      <c r="B170" s="19" t="s">
        <v>71</v>
      </c>
      <c r="C170" s="11" t="s">
        <v>57</v>
      </c>
      <c r="D170" s="142">
        <f>Balaka!D170+Liwonde!D170+Machinga!D170+Ntaja!D170</f>
        <v>0</v>
      </c>
      <c r="E170" s="142">
        <f>Balaka!E170+Liwonde!E170+Machinga!E170+Ntaja!E170</f>
        <v>0</v>
      </c>
      <c r="F170" s="142">
        <f>Balaka!F170+Liwonde!F170+Machinga!F170+Ntaja!F170</f>
        <v>1</v>
      </c>
      <c r="G170" s="142">
        <f>Balaka!G170+Liwonde!G170+Machinga!G170+Ntaja!G170</f>
        <v>0</v>
      </c>
      <c r="H170" s="142">
        <f>Balaka!H170+Liwonde!H170+Machinga!H170+Ntaja!H170</f>
        <v>0</v>
      </c>
      <c r="I170" s="142">
        <f>Balaka!I170+Liwonde!I170+Machinga!I170+Ntaja!I170</f>
        <v>0</v>
      </c>
      <c r="J170" s="142">
        <f>Balaka!J170+Liwonde!J170+Machinga!J170+Ntaja!J170</f>
        <v>0</v>
      </c>
      <c r="K170" s="142">
        <f>Balaka!K170+Liwonde!K170+Machinga!K170+Ntaja!K170</f>
        <v>0</v>
      </c>
      <c r="L170" s="142">
        <f>Balaka!L170+Liwonde!L170+Machinga!L170+Ntaja!L170</f>
        <v>0</v>
      </c>
      <c r="M170" s="142">
        <f>Balaka!M170+Liwonde!M170+Machinga!M170+Ntaja!M170</f>
        <v>0</v>
      </c>
      <c r="N170" s="142">
        <f>Balaka!N170+Liwonde!N170+Machinga!N170+Ntaja!N170</f>
        <v>0</v>
      </c>
      <c r="O170" s="142">
        <f>Balaka!O170+Liwonde!O170+Machinga!O170+Ntaja!O170</f>
        <v>0</v>
      </c>
      <c r="P170" s="74">
        <f t="shared" si="74"/>
        <v>1</v>
      </c>
    </row>
    <row r="171" spans="1:16" x14ac:dyDescent="0.3">
      <c r="A171" s="291"/>
      <c r="B171" s="19" t="s">
        <v>52</v>
      </c>
      <c r="C171" s="11" t="s">
        <v>57</v>
      </c>
      <c r="D171" s="142">
        <f>Balaka!D171+Liwonde!D171+Machinga!D171+Ntaja!D171</f>
        <v>0</v>
      </c>
      <c r="E171" s="142">
        <f>Balaka!E171+Liwonde!E171+Machinga!E171+Ntaja!E171</f>
        <v>0</v>
      </c>
      <c r="F171" s="142">
        <f>Balaka!F171+Liwonde!F171+Machinga!F171+Ntaja!F171</f>
        <v>0</v>
      </c>
      <c r="G171" s="142">
        <f>Balaka!G171+Liwonde!G171+Machinga!G171+Ntaja!G171</f>
        <v>0</v>
      </c>
      <c r="H171" s="142">
        <f>Balaka!H171+Liwonde!H171+Machinga!H171+Ntaja!H171</f>
        <v>2</v>
      </c>
      <c r="I171" s="142">
        <f>Balaka!I171+Liwonde!I171+Machinga!I171+Ntaja!I171</f>
        <v>2</v>
      </c>
      <c r="J171" s="142">
        <f>Balaka!J171+Liwonde!J171+Machinga!J171+Ntaja!J171</f>
        <v>0</v>
      </c>
      <c r="K171" s="142">
        <f>Balaka!K171+Liwonde!K171+Machinga!K171+Ntaja!K171</f>
        <v>4</v>
      </c>
      <c r="L171" s="142">
        <f>Balaka!L171+Liwonde!L171+Machinga!L171+Ntaja!L171</f>
        <v>2</v>
      </c>
      <c r="M171" s="142">
        <f>Balaka!M171+Liwonde!M171+Machinga!M171+Ntaja!M171</f>
        <v>2</v>
      </c>
      <c r="N171" s="142">
        <f>Balaka!N171+Liwonde!N171+Machinga!N171+Ntaja!N171</f>
        <v>2</v>
      </c>
      <c r="O171" s="142">
        <f>Balaka!O171+Liwonde!O171+Machinga!O171+Ntaja!O171</f>
        <v>0</v>
      </c>
      <c r="P171" s="74">
        <f t="shared" si="74"/>
        <v>14</v>
      </c>
    </row>
    <row r="172" spans="1:16" x14ac:dyDescent="0.3">
      <c r="A172" s="291"/>
      <c r="B172" s="19" t="s">
        <v>62</v>
      </c>
      <c r="C172" s="11" t="s">
        <v>57</v>
      </c>
      <c r="D172" s="142">
        <f>Balaka!D172+Liwonde!D172+Machinga!D172+Ntaja!D172</f>
        <v>0</v>
      </c>
      <c r="E172" s="142">
        <f>Balaka!E172+Liwonde!E172+Machinga!E172+Ntaja!E172</f>
        <v>0</v>
      </c>
      <c r="F172" s="142">
        <f>Balaka!F172+Liwonde!F172+Machinga!F172+Ntaja!F172</f>
        <v>0</v>
      </c>
      <c r="G172" s="142">
        <f>Balaka!G172+Liwonde!G172+Machinga!G172+Ntaja!G172</f>
        <v>0</v>
      </c>
      <c r="H172" s="142">
        <f>Balaka!H172+Liwonde!H172+Machinga!H172+Ntaja!H172</f>
        <v>0</v>
      </c>
      <c r="I172" s="142">
        <f>Balaka!I172+Liwonde!I172+Machinga!I172+Ntaja!I172</f>
        <v>0</v>
      </c>
      <c r="J172" s="142">
        <f>Balaka!J172+Liwonde!J172+Machinga!J172+Ntaja!J172</f>
        <v>0</v>
      </c>
      <c r="K172" s="142">
        <f>Balaka!K172+Liwonde!K172+Machinga!K172+Ntaja!K172</f>
        <v>0</v>
      </c>
      <c r="L172" s="142">
        <f>Balaka!L172+Liwonde!L172+Machinga!L172+Ntaja!L172</f>
        <v>0</v>
      </c>
      <c r="M172" s="142">
        <f>Balaka!M172+Liwonde!M172+Machinga!M172+Ntaja!M172</f>
        <v>0</v>
      </c>
      <c r="N172" s="142">
        <f>Balaka!N172+Liwonde!N172+Machinga!N172+Ntaja!N172</f>
        <v>0</v>
      </c>
      <c r="O172" s="142">
        <f>Balaka!O172+Liwonde!O172+Machinga!O172+Ntaja!O172</f>
        <v>0</v>
      </c>
      <c r="P172" s="74">
        <f t="shared" si="74"/>
        <v>0</v>
      </c>
    </row>
    <row r="173" spans="1:16" x14ac:dyDescent="0.3">
      <c r="A173" s="291"/>
      <c r="B173" s="19" t="s">
        <v>61</v>
      </c>
      <c r="C173" s="11" t="s">
        <v>57</v>
      </c>
      <c r="D173" s="142">
        <f>Balaka!D173+Liwonde!D173+Machinga!D173+Ntaja!D173</f>
        <v>0</v>
      </c>
      <c r="E173" s="142">
        <f>Balaka!E173+Liwonde!E173+Machinga!E173+Ntaja!E173</f>
        <v>0</v>
      </c>
      <c r="F173" s="142">
        <f>Balaka!F173+Liwonde!F173+Machinga!F173+Ntaja!F173</f>
        <v>0</v>
      </c>
      <c r="G173" s="142">
        <f>Balaka!G173+Liwonde!G173+Machinga!G173+Ntaja!G173</f>
        <v>0</v>
      </c>
      <c r="H173" s="142">
        <f>Balaka!H173+Liwonde!H173+Machinga!H173+Ntaja!H173</f>
        <v>0</v>
      </c>
      <c r="I173" s="142">
        <f>Balaka!I173+Liwonde!I173+Machinga!I173+Ntaja!I173</f>
        <v>0</v>
      </c>
      <c r="J173" s="142">
        <f>Balaka!J173+Liwonde!J173+Machinga!J173+Ntaja!J173</f>
        <v>0</v>
      </c>
      <c r="K173" s="142">
        <f>Balaka!K173+Liwonde!K173+Machinga!K173+Ntaja!K173</f>
        <v>0</v>
      </c>
      <c r="L173" s="142">
        <f>Balaka!L173+Liwonde!L173+Machinga!L173+Ntaja!L173</f>
        <v>0</v>
      </c>
      <c r="M173" s="142">
        <f>Balaka!M173+Liwonde!M173+Machinga!M173+Ntaja!M173</f>
        <v>0</v>
      </c>
      <c r="N173" s="142">
        <f>Balaka!N173+Liwonde!N173+Machinga!N173+Ntaja!N173</f>
        <v>0</v>
      </c>
      <c r="O173" s="142">
        <f>Balaka!O173+Liwonde!O173+Machinga!O173+Ntaja!O173</f>
        <v>0</v>
      </c>
      <c r="P173" s="74">
        <f t="shared" si="74"/>
        <v>0</v>
      </c>
    </row>
    <row r="174" spans="1:16" x14ac:dyDescent="0.3">
      <c r="A174" s="291"/>
      <c r="B174" s="19" t="s">
        <v>60</v>
      </c>
      <c r="C174" s="11" t="s">
        <v>57</v>
      </c>
      <c r="D174" s="142">
        <f>Balaka!D174+Liwonde!D174+Machinga!D174+Ntaja!D174</f>
        <v>0</v>
      </c>
      <c r="E174" s="142">
        <f>Balaka!E174+Liwonde!E174+Machinga!E174+Ntaja!E174</f>
        <v>0</v>
      </c>
      <c r="F174" s="142">
        <f>Balaka!F174+Liwonde!F174+Machinga!F174+Ntaja!F174</f>
        <v>0</v>
      </c>
      <c r="G174" s="142">
        <f>Balaka!G174+Liwonde!G174+Machinga!G174+Ntaja!G174</f>
        <v>0</v>
      </c>
      <c r="H174" s="142">
        <f>Balaka!H174+Liwonde!H174+Machinga!H174+Ntaja!H174</f>
        <v>0</v>
      </c>
      <c r="I174" s="142">
        <f>Balaka!I174+Liwonde!I174+Machinga!I174+Ntaja!I174</f>
        <v>0</v>
      </c>
      <c r="J174" s="142">
        <f>Balaka!J174+Liwonde!J174+Machinga!J174+Ntaja!J174</f>
        <v>0</v>
      </c>
      <c r="K174" s="142">
        <f>Balaka!K174+Liwonde!K174+Machinga!K174+Ntaja!K174</f>
        <v>0</v>
      </c>
      <c r="L174" s="142">
        <f>Balaka!L174+Liwonde!L174+Machinga!L174+Ntaja!L174</f>
        <v>0</v>
      </c>
      <c r="M174" s="142">
        <f>Balaka!M174+Liwonde!M174+Machinga!M174+Ntaja!M174</f>
        <v>0</v>
      </c>
      <c r="N174" s="142">
        <f>Balaka!N174+Liwonde!N174+Machinga!N174+Ntaja!N174</f>
        <v>0</v>
      </c>
      <c r="O174" s="142">
        <f>Balaka!O174+Liwonde!O174+Machinga!O174+Ntaja!O174</f>
        <v>0</v>
      </c>
      <c r="P174" s="74">
        <f t="shared" si="74"/>
        <v>0</v>
      </c>
    </row>
    <row r="175" spans="1:16" x14ac:dyDescent="0.3">
      <c r="A175" s="292"/>
      <c r="B175" s="19" t="s">
        <v>69</v>
      </c>
      <c r="C175" s="11" t="s">
        <v>57</v>
      </c>
      <c r="D175" s="142">
        <f>Balaka!D175+Liwonde!D175+Machinga!D175+Ntaja!D175</f>
        <v>0</v>
      </c>
      <c r="E175" s="142">
        <f>Balaka!E175+Liwonde!E175+Machinga!E175+Ntaja!E175</f>
        <v>0</v>
      </c>
      <c r="F175" s="142">
        <f>Balaka!F175+Liwonde!F175+Machinga!F175+Ntaja!F175</f>
        <v>0</v>
      </c>
      <c r="G175" s="142">
        <f>Balaka!G175+Liwonde!G175+Machinga!G175+Ntaja!G175</f>
        <v>0</v>
      </c>
      <c r="H175" s="142">
        <f>Balaka!H175+Liwonde!H175+Machinga!H175+Ntaja!H175</f>
        <v>0</v>
      </c>
      <c r="I175" s="142">
        <f>Balaka!I175+Liwonde!I175+Machinga!I175+Ntaja!I175</f>
        <v>0</v>
      </c>
      <c r="J175" s="142">
        <f>Balaka!J175+Liwonde!J175+Machinga!J175+Ntaja!J175</f>
        <v>0</v>
      </c>
      <c r="K175" s="142">
        <f>Balaka!K175+Liwonde!K175+Machinga!K175+Ntaja!K175</f>
        <v>0</v>
      </c>
      <c r="L175" s="142">
        <f>Balaka!L175+Liwonde!L175+Machinga!L175+Ntaja!L175</f>
        <v>0</v>
      </c>
      <c r="M175" s="142">
        <f>Balaka!M175+Liwonde!M175+Machinga!M175+Ntaja!M175</f>
        <v>0</v>
      </c>
      <c r="N175" s="142">
        <f>Balaka!N175+Liwonde!N175+Machinga!N175+Ntaja!N175</f>
        <v>0</v>
      </c>
      <c r="O175" s="142">
        <f>Balaka!O175+Liwonde!O175+Machinga!O175+Ntaja!O175</f>
        <v>0</v>
      </c>
      <c r="P175" s="74">
        <f t="shared" si="74"/>
        <v>0</v>
      </c>
    </row>
    <row r="176" spans="1:16" x14ac:dyDescent="0.3">
      <c r="A176" s="290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74"/>
    </row>
    <row r="177" spans="1:16" x14ac:dyDescent="0.3">
      <c r="A177" s="291"/>
      <c r="B177" s="19" t="s">
        <v>60</v>
      </c>
      <c r="C177" s="11" t="s">
        <v>57</v>
      </c>
      <c r="D177" s="142">
        <f>Balaka!D177+Liwonde!D177+Machinga!D177+Ntaja!D177</f>
        <v>0</v>
      </c>
      <c r="E177" s="142">
        <f>Balaka!E177+Liwonde!E177+Machinga!E177+Ntaja!E177</f>
        <v>0</v>
      </c>
      <c r="F177" s="142">
        <f>Balaka!F177+Liwonde!F177+Machinga!F177+Ntaja!F177</f>
        <v>0</v>
      </c>
      <c r="G177" s="142">
        <f>Balaka!G177+Liwonde!G177+Machinga!G177+Ntaja!G177</f>
        <v>0</v>
      </c>
      <c r="H177" s="142">
        <f>Balaka!H177+Liwonde!H177+Machinga!H177+Ntaja!H177</f>
        <v>0</v>
      </c>
      <c r="I177" s="142">
        <f>Balaka!I177+Liwonde!I177+Machinga!I177+Ntaja!I177</f>
        <v>0</v>
      </c>
      <c r="J177" s="142">
        <f>Balaka!J177+Liwonde!J177+Machinga!J177+Ntaja!J177</f>
        <v>0</v>
      </c>
      <c r="K177" s="142">
        <f>Balaka!K177+Liwonde!K177+Machinga!K177+Ntaja!K177</f>
        <v>0</v>
      </c>
      <c r="L177" s="142">
        <f>Balaka!L177+Liwonde!L177+Machinga!L177+Ntaja!L177</f>
        <v>0</v>
      </c>
      <c r="M177" s="142">
        <f>Balaka!M177+Liwonde!M177+Machinga!M177+Ntaja!M177</f>
        <v>0</v>
      </c>
      <c r="N177" s="142">
        <f>Balaka!N177+Liwonde!N177+Machinga!N177+Ntaja!N177</f>
        <v>0</v>
      </c>
      <c r="O177" s="142">
        <f>Balaka!O177+Liwonde!O177+Machinga!O177+Ntaja!O177</f>
        <v>0</v>
      </c>
      <c r="P177" s="74">
        <f t="shared" ref="P177:P182" si="75">SUM(D177:O177)</f>
        <v>0</v>
      </c>
    </row>
    <row r="178" spans="1:16" x14ac:dyDescent="0.3">
      <c r="A178" s="291"/>
      <c r="B178" s="19" t="s">
        <v>69</v>
      </c>
      <c r="C178" s="11" t="s">
        <v>57</v>
      </c>
      <c r="D178" s="142">
        <f>Balaka!D178+Liwonde!D178+Machinga!D178+Ntaja!D178</f>
        <v>0</v>
      </c>
      <c r="E178" s="142">
        <f>Balaka!E178+Liwonde!E178+Machinga!E178+Ntaja!E178</f>
        <v>0</v>
      </c>
      <c r="F178" s="142">
        <f>Balaka!F178+Liwonde!F178+Machinga!F178+Ntaja!F178</f>
        <v>0</v>
      </c>
      <c r="G178" s="142">
        <f>Balaka!G178+Liwonde!G178+Machinga!G178+Ntaja!G178</f>
        <v>0</v>
      </c>
      <c r="H178" s="142">
        <f>Balaka!H178+Liwonde!H178+Machinga!H178+Ntaja!H178</f>
        <v>0</v>
      </c>
      <c r="I178" s="142">
        <f>Balaka!I178+Liwonde!I178+Machinga!I178+Ntaja!I178</f>
        <v>0</v>
      </c>
      <c r="J178" s="142">
        <f>Balaka!J178+Liwonde!J178+Machinga!J178+Ntaja!J178</f>
        <v>0</v>
      </c>
      <c r="K178" s="142">
        <f>Balaka!K178+Liwonde!K178+Machinga!K178+Ntaja!K178</f>
        <v>0</v>
      </c>
      <c r="L178" s="142">
        <f>Balaka!L178+Liwonde!L178+Machinga!L178+Ntaja!L178</f>
        <v>0</v>
      </c>
      <c r="M178" s="142">
        <f>Balaka!M178+Liwonde!M178+Machinga!M178+Ntaja!M178</f>
        <v>0</v>
      </c>
      <c r="N178" s="142">
        <f>Balaka!N178+Liwonde!N178+Machinga!N178+Ntaja!N178</f>
        <v>0</v>
      </c>
      <c r="O178" s="142">
        <f>Balaka!O178+Liwonde!O178+Machinga!O178+Ntaja!O178</f>
        <v>0</v>
      </c>
      <c r="P178" s="74">
        <f t="shared" si="75"/>
        <v>0</v>
      </c>
    </row>
    <row r="179" spans="1:16" x14ac:dyDescent="0.3">
      <c r="A179" s="291"/>
      <c r="B179" s="19" t="s">
        <v>68</v>
      </c>
      <c r="C179" s="11" t="s">
        <v>57</v>
      </c>
      <c r="D179" s="142">
        <f>Balaka!D179+Liwonde!D179+Machinga!D179+Ntaja!D179</f>
        <v>0</v>
      </c>
      <c r="E179" s="142">
        <f>Balaka!E179+Liwonde!E179+Machinga!E179+Ntaja!E179</f>
        <v>0</v>
      </c>
      <c r="F179" s="142">
        <f>Balaka!F179+Liwonde!F179+Machinga!F179+Ntaja!F179</f>
        <v>0</v>
      </c>
      <c r="G179" s="142">
        <f>Balaka!G179+Liwonde!G179+Machinga!G179+Ntaja!G179</f>
        <v>0</v>
      </c>
      <c r="H179" s="142">
        <f>Balaka!H179+Liwonde!H179+Machinga!H179+Ntaja!H179</f>
        <v>0</v>
      </c>
      <c r="I179" s="142">
        <f>Balaka!I179+Liwonde!I179+Machinga!I179+Ntaja!I179</f>
        <v>0</v>
      </c>
      <c r="J179" s="142">
        <f>Balaka!J179+Liwonde!J179+Machinga!J179+Ntaja!J179</f>
        <v>0</v>
      </c>
      <c r="K179" s="142">
        <f>Balaka!K179+Liwonde!K179+Machinga!K179+Ntaja!K179</f>
        <v>0</v>
      </c>
      <c r="L179" s="142">
        <f>Balaka!L179+Liwonde!L179+Machinga!L179+Ntaja!L179</f>
        <v>0</v>
      </c>
      <c r="M179" s="142">
        <f>Balaka!M179+Liwonde!M179+Machinga!M179+Ntaja!M179</f>
        <v>0</v>
      </c>
      <c r="N179" s="142">
        <f>Balaka!N179+Liwonde!N179+Machinga!N179+Ntaja!N179</f>
        <v>0</v>
      </c>
      <c r="O179" s="142">
        <f>Balaka!O179+Liwonde!O179+Machinga!O179+Ntaja!O179</f>
        <v>0</v>
      </c>
      <c r="P179" s="74">
        <f t="shared" si="75"/>
        <v>0</v>
      </c>
    </row>
    <row r="180" spans="1:16" x14ac:dyDescent="0.3">
      <c r="A180" s="291"/>
      <c r="B180" s="19" t="s">
        <v>67</v>
      </c>
      <c r="C180" s="11" t="s">
        <v>57</v>
      </c>
      <c r="D180" s="142">
        <f>Balaka!D180+Liwonde!D180+Machinga!D180+Ntaja!D180</f>
        <v>0</v>
      </c>
      <c r="E180" s="142">
        <f>Balaka!E180+Liwonde!E180+Machinga!E180+Ntaja!E180</f>
        <v>0</v>
      </c>
      <c r="F180" s="142">
        <f>Balaka!F180+Liwonde!F180+Machinga!F180+Ntaja!F180</f>
        <v>0</v>
      </c>
      <c r="G180" s="142">
        <f>Balaka!G180+Liwonde!G180+Machinga!G180+Ntaja!G180</f>
        <v>0</v>
      </c>
      <c r="H180" s="142">
        <f>Balaka!H180+Liwonde!H180+Machinga!H180+Ntaja!H180</f>
        <v>0</v>
      </c>
      <c r="I180" s="142">
        <f>Balaka!I180+Liwonde!I180+Machinga!I180+Ntaja!I180</f>
        <v>0</v>
      </c>
      <c r="J180" s="142">
        <f>Balaka!J180+Liwonde!J180+Machinga!J180+Ntaja!J180</f>
        <v>0</v>
      </c>
      <c r="K180" s="142">
        <f>Balaka!K180+Liwonde!K180+Machinga!K180+Ntaja!K180</f>
        <v>0</v>
      </c>
      <c r="L180" s="142">
        <f>Balaka!L180+Liwonde!L180+Machinga!L180+Ntaja!L180</f>
        <v>0</v>
      </c>
      <c r="M180" s="142">
        <f>Balaka!M180+Liwonde!M180+Machinga!M180+Ntaja!M180</f>
        <v>0</v>
      </c>
      <c r="N180" s="142">
        <f>Balaka!N180+Liwonde!N180+Machinga!N180+Ntaja!N180</f>
        <v>0</v>
      </c>
      <c r="O180" s="142">
        <f>Balaka!O180+Liwonde!O180+Machinga!O180+Ntaja!O180</f>
        <v>0</v>
      </c>
      <c r="P180" s="74">
        <f t="shared" si="75"/>
        <v>0</v>
      </c>
    </row>
    <row r="181" spans="1:16" x14ac:dyDescent="0.3">
      <c r="A181" s="291"/>
      <c r="B181" s="19" t="s">
        <v>66</v>
      </c>
      <c r="C181" s="11" t="s">
        <v>57</v>
      </c>
      <c r="D181" s="142">
        <f>Balaka!D181+Liwonde!D181+Machinga!D181+Ntaja!D181</f>
        <v>0</v>
      </c>
      <c r="E181" s="142">
        <f>Balaka!E181+Liwonde!E181+Machinga!E181+Ntaja!E181</f>
        <v>0</v>
      </c>
      <c r="F181" s="142">
        <f>Balaka!F181+Liwonde!F181+Machinga!F181+Ntaja!F181</f>
        <v>0</v>
      </c>
      <c r="G181" s="142">
        <f>Balaka!G181+Liwonde!G181+Machinga!G181+Ntaja!G181</f>
        <v>0</v>
      </c>
      <c r="H181" s="142">
        <f>Balaka!H181+Liwonde!H181+Machinga!H181+Ntaja!H181</f>
        <v>0</v>
      </c>
      <c r="I181" s="142">
        <f>Balaka!I181+Liwonde!I181+Machinga!I181+Ntaja!I181</f>
        <v>0</v>
      </c>
      <c r="J181" s="142">
        <f>Balaka!J181+Liwonde!J181+Machinga!J181+Ntaja!J181</f>
        <v>0</v>
      </c>
      <c r="K181" s="142">
        <f>Balaka!K181+Liwonde!K181+Machinga!K181+Ntaja!K181</f>
        <v>0</v>
      </c>
      <c r="L181" s="142">
        <f>Balaka!L181+Liwonde!L181+Machinga!L181+Ntaja!L181</f>
        <v>0</v>
      </c>
      <c r="M181" s="142">
        <f>Balaka!M181+Liwonde!M181+Machinga!M181+Ntaja!M181</f>
        <v>0</v>
      </c>
      <c r="N181" s="142">
        <f>Balaka!N181+Liwonde!N181+Machinga!N181+Ntaja!N181</f>
        <v>0</v>
      </c>
      <c r="O181" s="142">
        <f>Balaka!O181+Liwonde!O181+Machinga!O181+Ntaja!O181</f>
        <v>0</v>
      </c>
      <c r="P181" s="74">
        <f t="shared" si="75"/>
        <v>0</v>
      </c>
    </row>
    <row r="182" spans="1:16" x14ac:dyDescent="0.3">
      <c r="A182" s="292"/>
      <c r="B182" s="19" t="s">
        <v>65</v>
      </c>
      <c r="C182" s="11" t="s">
        <v>57</v>
      </c>
      <c r="D182" s="142">
        <f>Balaka!D182+Liwonde!D182+Machinga!D182+Ntaja!D182</f>
        <v>0</v>
      </c>
      <c r="E182" s="142">
        <f>Balaka!E182+Liwonde!E182+Machinga!E182+Ntaja!E182</f>
        <v>0</v>
      </c>
      <c r="F182" s="142">
        <f>Balaka!F182+Liwonde!F182+Machinga!F182+Ntaja!F182</f>
        <v>0</v>
      </c>
      <c r="G182" s="142">
        <f>Balaka!G182+Liwonde!G182+Machinga!G182+Ntaja!G182</f>
        <v>0</v>
      </c>
      <c r="H182" s="142">
        <f>Balaka!H182+Liwonde!H182+Machinga!H182+Ntaja!H182</f>
        <v>0</v>
      </c>
      <c r="I182" s="142">
        <f>Balaka!I182+Liwonde!I182+Machinga!I182+Ntaja!I182</f>
        <v>0</v>
      </c>
      <c r="J182" s="142">
        <f>Balaka!J182+Liwonde!J182+Machinga!J182+Ntaja!J182</f>
        <v>0</v>
      </c>
      <c r="K182" s="142">
        <f>Balaka!K182+Liwonde!K182+Machinga!K182+Ntaja!K182</f>
        <v>0</v>
      </c>
      <c r="L182" s="142">
        <f>Balaka!L182+Liwonde!L182+Machinga!L182+Ntaja!L182</f>
        <v>0</v>
      </c>
      <c r="M182" s="142">
        <f>Balaka!M182+Liwonde!M182+Machinga!M182+Ntaja!M182</f>
        <v>0</v>
      </c>
      <c r="N182" s="142">
        <f>Balaka!N182+Liwonde!N182+Machinga!N182+Ntaja!N182</f>
        <v>0</v>
      </c>
      <c r="O182" s="142">
        <f>Balaka!O182+Liwonde!O182+Machinga!O182+Ntaja!O182</f>
        <v>0</v>
      </c>
      <c r="P182" s="74">
        <f t="shared" si="75"/>
        <v>0</v>
      </c>
    </row>
    <row r="183" spans="1:16" x14ac:dyDescent="0.3">
      <c r="A183" s="290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74"/>
    </row>
    <row r="184" spans="1:16" x14ac:dyDescent="0.3">
      <c r="A184" s="291"/>
      <c r="B184" s="19" t="s">
        <v>73</v>
      </c>
      <c r="C184" s="11" t="s">
        <v>57</v>
      </c>
      <c r="D184" s="142">
        <f>Balaka!D184+Liwonde!D184+Machinga!D184+Ntaja!D184</f>
        <v>0</v>
      </c>
      <c r="E184" s="142">
        <f>Balaka!E184+Liwonde!E184+Machinga!E184+Ntaja!E184</f>
        <v>0</v>
      </c>
      <c r="F184" s="142">
        <f>Balaka!F184+Liwonde!F184+Machinga!F184+Ntaja!F184</f>
        <v>0</v>
      </c>
      <c r="G184" s="142">
        <f>Balaka!G184+Liwonde!G184+Machinga!G184+Ntaja!G184</f>
        <v>0</v>
      </c>
      <c r="H184" s="142">
        <f>Balaka!H184+Liwonde!H184+Machinga!H184+Ntaja!H184</f>
        <v>0</v>
      </c>
      <c r="I184" s="142">
        <f>Balaka!I184+Liwonde!I184+Machinga!I184+Ntaja!I184</f>
        <v>0</v>
      </c>
      <c r="J184" s="142">
        <f>Balaka!J184+Liwonde!J184+Machinga!J184+Ntaja!J184</f>
        <v>0</v>
      </c>
      <c r="K184" s="142">
        <f>Balaka!K184+Liwonde!K184+Machinga!K184+Ntaja!K184</f>
        <v>0</v>
      </c>
      <c r="L184" s="142">
        <f>Balaka!L184+Liwonde!L184+Machinga!L184+Ntaja!L184</f>
        <v>0</v>
      </c>
      <c r="M184" s="142">
        <f>Balaka!M184+Liwonde!M184+Machinga!M184+Ntaja!M184</f>
        <v>0</v>
      </c>
      <c r="N184" s="142">
        <f>Balaka!N184+Liwonde!N184+Machinga!N184+Ntaja!N184</f>
        <v>0</v>
      </c>
      <c r="O184" s="142">
        <f>Balaka!O184+Liwonde!O184+Machinga!O184+Ntaja!O184</f>
        <v>0</v>
      </c>
      <c r="P184" s="74">
        <f>SUM(D184:O184)</f>
        <v>0</v>
      </c>
    </row>
    <row r="185" spans="1:16" x14ac:dyDescent="0.3">
      <c r="A185" s="291"/>
      <c r="B185" s="19" t="s">
        <v>72</v>
      </c>
      <c r="C185" s="11" t="s">
        <v>57</v>
      </c>
      <c r="D185" s="142">
        <f>Balaka!D185+Liwonde!D185+Machinga!D185+Ntaja!D185</f>
        <v>0</v>
      </c>
      <c r="E185" s="142">
        <f>Balaka!E185+Liwonde!E185+Machinga!E185+Ntaja!E185</f>
        <v>0</v>
      </c>
      <c r="F185" s="142">
        <f>Balaka!F185+Liwonde!F185+Machinga!F185+Ntaja!F185</f>
        <v>0</v>
      </c>
      <c r="G185" s="142">
        <f>Balaka!G185+Liwonde!G185+Machinga!G185+Ntaja!G185</f>
        <v>0</v>
      </c>
      <c r="H185" s="142">
        <f>Balaka!H185+Liwonde!H185+Machinga!H185+Ntaja!H185</f>
        <v>0</v>
      </c>
      <c r="I185" s="142">
        <f>Balaka!I185+Liwonde!I185+Machinga!I185+Ntaja!I185</f>
        <v>0</v>
      </c>
      <c r="J185" s="142">
        <f>Balaka!J185+Liwonde!J185+Machinga!J185+Ntaja!J185</f>
        <v>0</v>
      </c>
      <c r="K185" s="142">
        <f>Balaka!K185+Liwonde!K185+Machinga!K185+Ntaja!K185</f>
        <v>0</v>
      </c>
      <c r="L185" s="142">
        <f>Balaka!L185+Liwonde!L185+Machinga!L185+Ntaja!L185</f>
        <v>0</v>
      </c>
      <c r="M185" s="142">
        <f>Balaka!M185+Liwonde!M185+Machinga!M185+Ntaja!M185</f>
        <v>0</v>
      </c>
      <c r="N185" s="142">
        <f>Balaka!N185+Liwonde!N185+Machinga!N185+Ntaja!N185</f>
        <v>0</v>
      </c>
      <c r="O185" s="142">
        <f>Balaka!O185+Liwonde!O185+Machinga!O185+Ntaja!O185</f>
        <v>0</v>
      </c>
      <c r="P185" s="74">
        <f>SUM(D185:O185)</f>
        <v>0</v>
      </c>
    </row>
    <row r="186" spans="1:16" x14ac:dyDescent="0.3">
      <c r="A186" s="291"/>
      <c r="B186" s="19" t="s">
        <v>53</v>
      </c>
      <c r="C186" s="11" t="s">
        <v>57</v>
      </c>
      <c r="D186" s="142">
        <f>Balaka!D186+Liwonde!D186+Machinga!D186+Ntaja!D186</f>
        <v>0</v>
      </c>
      <c r="E186" s="142">
        <f>Balaka!E186+Liwonde!E186+Machinga!E186+Ntaja!E186</f>
        <v>0</v>
      </c>
      <c r="F186" s="142">
        <f>Balaka!F186+Liwonde!F186+Machinga!F186+Ntaja!F186</f>
        <v>0</v>
      </c>
      <c r="G186" s="142">
        <f>Balaka!G186+Liwonde!G186+Machinga!G186+Ntaja!G186</f>
        <v>0</v>
      </c>
      <c r="H186" s="142">
        <f>Balaka!H186+Liwonde!H186+Machinga!H186+Ntaja!H186</f>
        <v>0</v>
      </c>
      <c r="I186" s="142">
        <f>Balaka!I186+Liwonde!I186+Machinga!I186+Ntaja!I186</f>
        <v>0</v>
      </c>
      <c r="J186" s="142">
        <f>Balaka!J186+Liwonde!J186+Machinga!J186+Ntaja!J186</f>
        <v>0</v>
      </c>
      <c r="K186" s="142">
        <f>Balaka!K186+Liwonde!K186+Machinga!K186+Ntaja!K186</f>
        <v>0</v>
      </c>
      <c r="L186" s="142">
        <f>Balaka!L186+Liwonde!L186+Machinga!L186+Ntaja!L186</f>
        <v>0</v>
      </c>
      <c r="M186" s="142">
        <f>Balaka!M186+Liwonde!M186+Machinga!M186+Ntaja!M186</f>
        <v>0</v>
      </c>
      <c r="N186" s="142">
        <f>Balaka!N186+Liwonde!N186+Machinga!N186+Ntaja!N186</f>
        <v>0</v>
      </c>
      <c r="O186" s="142">
        <f>Balaka!O186+Liwonde!O186+Machinga!O186+Ntaja!O186</f>
        <v>0</v>
      </c>
      <c r="P186" s="74">
        <f>SUM(D186:O186)</f>
        <v>0</v>
      </c>
    </row>
    <row r="187" spans="1:16" x14ac:dyDescent="0.3">
      <c r="A187" s="292"/>
      <c r="B187" s="19" t="s">
        <v>52</v>
      </c>
      <c r="C187" s="11" t="s">
        <v>57</v>
      </c>
      <c r="D187" s="142">
        <f>Balaka!D187+Liwonde!D187+Machinga!D187+Ntaja!D187</f>
        <v>0</v>
      </c>
      <c r="E187" s="142">
        <f>Balaka!E187+Liwonde!E187+Machinga!E187+Ntaja!E187</f>
        <v>0</v>
      </c>
      <c r="F187" s="142">
        <f>Balaka!F187+Liwonde!F187+Machinga!F187+Ntaja!F187</f>
        <v>0</v>
      </c>
      <c r="G187" s="142">
        <f>Balaka!G187+Liwonde!G187+Machinga!G187+Ntaja!G187</f>
        <v>0</v>
      </c>
      <c r="H187" s="142">
        <f>Balaka!H187+Liwonde!H187+Machinga!H187+Ntaja!H187</f>
        <v>0</v>
      </c>
      <c r="I187" s="142">
        <f>Balaka!I187+Liwonde!I187+Machinga!I187+Ntaja!I187</f>
        <v>0</v>
      </c>
      <c r="J187" s="142">
        <f>Balaka!J187+Liwonde!J187+Machinga!J187+Ntaja!J187</f>
        <v>0</v>
      </c>
      <c r="K187" s="142">
        <f>Balaka!K187+Liwonde!K187+Machinga!K187+Ntaja!K187</f>
        <v>0</v>
      </c>
      <c r="L187" s="142">
        <f>Balaka!L187+Liwonde!L187+Machinga!L187+Ntaja!L187</f>
        <v>0</v>
      </c>
      <c r="M187" s="142">
        <f>Balaka!M187+Liwonde!M187+Machinga!M187+Ntaja!M187</f>
        <v>0</v>
      </c>
      <c r="N187" s="142">
        <f>Balaka!N187+Liwonde!N187+Machinga!N187+Ntaja!N187</f>
        <v>0</v>
      </c>
      <c r="O187" s="142">
        <f>Balaka!O187+Liwonde!O187+Machinga!O187+Ntaja!O187</f>
        <v>0</v>
      </c>
      <c r="P187" s="74">
        <f>SUM(D187:O187)</f>
        <v>0</v>
      </c>
    </row>
    <row r="188" spans="1:16" x14ac:dyDescent="0.3">
      <c r="A188" s="290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74"/>
    </row>
    <row r="189" spans="1:16" x14ac:dyDescent="0.3">
      <c r="A189" s="291"/>
      <c r="B189" s="20" t="s">
        <v>52</v>
      </c>
      <c r="C189" s="11" t="s">
        <v>57</v>
      </c>
      <c r="D189" s="142">
        <f>Balaka!D189+Liwonde!D189+Machinga!D189+Ntaja!D189</f>
        <v>0</v>
      </c>
      <c r="E189" s="142">
        <f>Balaka!E189+Liwonde!E189+Machinga!E189+Ntaja!E189</f>
        <v>0</v>
      </c>
      <c r="F189" s="142">
        <f>Balaka!F189+Liwonde!F189+Machinga!F189+Ntaja!F189</f>
        <v>0</v>
      </c>
      <c r="G189" s="142">
        <f>Balaka!G189+Liwonde!G189+Machinga!G189+Ntaja!G189</f>
        <v>0</v>
      </c>
      <c r="H189" s="142">
        <f>Balaka!H189+Liwonde!H189+Machinga!H189+Ntaja!H189</f>
        <v>0</v>
      </c>
      <c r="I189" s="142">
        <f>Balaka!I189+Liwonde!I189+Machinga!I189+Ntaja!I189</f>
        <v>0</v>
      </c>
      <c r="J189" s="142">
        <f>Balaka!J189+Liwonde!J189+Machinga!J189+Ntaja!J189</f>
        <v>0</v>
      </c>
      <c r="K189" s="142">
        <f>Balaka!K189+Liwonde!K189+Machinga!K189+Ntaja!K189</f>
        <v>0</v>
      </c>
      <c r="L189" s="142">
        <f>Balaka!L189+Liwonde!L189+Machinga!L189+Ntaja!L189</f>
        <v>0</v>
      </c>
      <c r="M189" s="142">
        <f>Balaka!M189+Liwonde!M189+Machinga!M189+Ntaja!M189</f>
        <v>0</v>
      </c>
      <c r="N189" s="142">
        <f>Balaka!N189+Liwonde!N189+Machinga!N189+Ntaja!N189</f>
        <v>0</v>
      </c>
      <c r="O189" s="142">
        <f>Balaka!O189+Liwonde!O189+Machinga!O189+Ntaja!O189</f>
        <v>0</v>
      </c>
      <c r="P189" s="74">
        <f>SUM(D189:O189)</f>
        <v>0</v>
      </c>
    </row>
    <row r="190" spans="1:16" x14ac:dyDescent="0.3">
      <c r="A190" s="291"/>
      <c r="B190" s="19" t="s">
        <v>62</v>
      </c>
      <c r="C190" s="11" t="s">
        <v>57</v>
      </c>
      <c r="D190" s="142">
        <f>Balaka!D190+Liwonde!D190+Machinga!D190+Ntaja!D190</f>
        <v>0</v>
      </c>
      <c r="E190" s="142">
        <f>Balaka!E190+Liwonde!E190+Machinga!E190+Ntaja!E190</f>
        <v>0</v>
      </c>
      <c r="F190" s="142">
        <f>Balaka!F190+Liwonde!F190+Machinga!F190+Ntaja!F190</f>
        <v>0</v>
      </c>
      <c r="G190" s="142">
        <f>Balaka!G190+Liwonde!G190+Machinga!G190+Ntaja!G190</f>
        <v>0</v>
      </c>
      <c r="H190" s="142">
        <f>Balaka!H190+Liwonde!H190+Machinga!H190+Ntaja!H190</f>
        <v>0</v>
      </c>
      <c r="I190" s="142">
        <f>Balaka!I190+Liwonde!I190+Machinga!I190+Ntaja!I190</f>
        <v>0</v>
      </c>
      <c r="J190" s="142">
        <f>Balaka!J190+Liwonde!J190+Machinga!J190+Ntaja!J190</f>
        <v>0</v>
      </c>
      <c r="K190" s="142">
        <f>Balaka!K190+Liwonde!K190+Machinga!K190+Ntaja!K190</f>
        <v>0</v>
      </c>
      <c r="L190" s="142">
        <f>Balaka!L190+Liwonde!L190+Machinga!L190+Ntaja!L190</f>
        <v>0</v>
      </c>
      <c r="M190" s="142">
        <f>Balaka!M190+Liwonde!M190+Machinga!M190+Ntaja!M190</f>
        <v>0</v>
      </c>
      <c r="N190" s="142">
        <f>Balaka!N190+Liwonde!N190+Machinga!N190+Ntaja!N190</f>
        <v>0</v>
      </c>
      <c r="O190" s="142">
        <f>Balaka!O190+Liwonde!O190+Machinga!O190+Ntaja!O190</f>
        <v>0</v>
      </c>
      <c r="P190" s="74">
        <f>SUM(D190:O190)</f>
        <v>0</v>
      </c>
    </row>
    <row r="191" spans="1:16" x14ac:dyDescent="0.3">
      <c r="A191" s="291"/>
      <c r="B191" s="19" t="s">
        <v>61</v>
      </c>
      <c r="C191" s="11" t="s">
        <v>57</v>
      </c>
      <c r="D191" s="142">
        <f>Balaka!D191+Liwonde!D191+Machinga!D191+Ntaja!D191</f>
        <v>0</v>
      </c>
      <c r="E191" s="142">
        <f>Balaka!E191+Liwonde!E191+Machinga!E191+Ntaja!E191</f>
        <v>0</v>
      </c>
      <c r="F191" s="142">
        <f>Balaka!F191+Liwonde!F191+Machinga!F191+Ntaja!F191</f>
        <v>0</v>
      </c>
      <c r="G191" s="142">
        <f>Balaka!G191+Liwonde!G191+Machinga!G191+Ntaja!G191</f>
        <v>0</v>
      </c>
      <c r="H191" s="142">
        <f>Balaka!H191+Liwonde!H191+Machinga!H191+Ntaja!H191</f>
        <v>0</v>
      </c>
      <c r="I191" s="142">
        <f>Balaka!I191+Liwonde!I191+Machinga!I191+Ntaja!I191</f>
        <v>0</v>
      </c>
      <c r="J191" s="142">
        <f>Balaka!J191+Liwonde!J191+Machinga!J191+Ntaja!J191</f>
        <v>0</v>
      </c>
      <c r="K191" s="142">
        <f>Balaka!K191+Liwonde!K191+Machinga!K191+Ntaja!K191</f>
        <v>0</v>
      </c>
      <c r="L191" s="142">
        <f>Balaka!L191+Liwonde!L191+Machinga!L191+Ntaja!L191</f>
        <v>0</v>
      </c>
      <c r="M191" s="142">
        <f>Balaka!M191+Liwonde!M191+Machinga!M191+Ntaja!M191</f>
        <v>0</v>
      </c>
      <c r="N191" s="142">
        <f>Balaka!N191+Liwonde!N191+Machinga!N191+Ntaja!N191</f>
        <v>0</v>
      </c>
      <c r="O191" s="142">
        <f>Balaka!O191+Liwonde!O191+Machinga!O191+Ntaja!O191</f>
        <v>0</v>
      </c>
      <c r="P191" s="74">
        <f>SUM(D191:O191)</f>
        <v>0</v>
      </c>
    </row>
    <row r="192" spans="1:16" x14ac:dyDescent="0.3">
      <c r="A192" s="292"/>
      <c r="B192" s="19" t="s">
        <v>60</v>
      </c>
      <c r="C192" s="11" t="s">
        <v>57</v>
      </c>
      <c r="D192" s="142">
        <f>Balaka!D192+Liwonde!D192+Machinga!D192+Ntaja!D192</f>
        <v>0</v>
      </c>
      <c r="E192" s="142">
        <f>Balaka!E192+Liwonde!E192+Machinga!E192+Ntaja!E192</f>
        <v>0</v>
      </c>
      <c r="F192" s="142">
        <f>Balaka!F192+Liwonde!F192+Machinga!F192+Ntaja!F192</f>
        <v>0</v>
      </c>
      <c r="G192" s="142">
        <f>Balaka!G192+Liwonde!G192+Machinga!G192+Ntaja!G192</f>
        <v>0</v>
      </c>
      <c r="H192" s="142">
        <f>Balaka!H192+Liwonde!H192+Machinga!H192+Ntaja!H192</f>
        <v>0</v>
      </c>
      <c r="I192" s="142">
        <f>Balaka!I192+Liwonde!I192+Machinga!I192+Ntaja!I192</f>
        <v>0</v>
      </c>
      <c r="J192" s="142">
        <f>Balaka!J192+Liwonde!J192+Machinga!J192+Ntaja!J192</f>
        <v>0</v>
      </c>
      <c r="K192" s="142">
        <f>Balaka!K192+Liwonde!K192+Machinga!K192+Ntaja!K192</f>
        <v>0</v>
      </c>
      <c r="L192" s="142">
        <f>Balaka!L192+Liwonde!L192+Machinga!L192+Ntaja!L192</f>
        <v>0</v>
      </c>
      <c r="M192" s="142">
        <f>Balaka!M192+Liwonde!M192+Machinga!M192+Ntaja!M192</f>
        <v>0</v>
      </c>
      <c r="N192" s="142">
        <f>Balaka!N192+Liwonde!N192+Machinga!N192+Ntaja!N192</f>
        <v>0</v>
      </c>
      <c r="O192" s="142">
        <f>Balaka!O192+Liwonde!O192+Machinga!O192+Ntaja!O192</f>
        <v>0</v>
      </c>
      <c r="P192" s="74">
        <f>SUM(D192:O192)</f>
        <v>0</v>
      </c>
    </row>
    <row r="193" spans="1:16" x14ac:dyDescent="0.3">
      <c r="A193" s="84" t="s">
        <v>59</v>
      </c>
      <c r="B193" s="17"/>
      <c r="C193" s="11"/>
      <c r="D193" s="10">
        <f>SUM(D153:D192)</f>
        <v>635</v>
      </c>
      <c r="E193" s="10">
        <f t="shared" ref="E193:P193" si="76">SUM(E153:E192)</f>
        <v>640</v>
      </c>
      <c r="F193" s="10">
        <f t="shared" si="76"/>
        <v>822</v>
      </c>
      <c r="G193" s="10">
        <f t="shared" ref="G193:H193" si="77">SUM(G153:G192)</f>
        <v>754</v>
      </c>
      <c r="H193" s="10">
        <f t="shared" si="77"/>
        <v>859</v>
      </c>
      <c r="I193" s="10">
        <f t="shared" ref="I193:O193" si="78">SUM(I153:I192)</f>
        <v>826</v>
      </c>
      <c r="J193" s="10">
        <f t="shared" si="78"/>
        <v>788</v>
      </c>
      <c r="K193" s="10">
        <f t="shared" si="78"/>
        <v>714</v>
      </c>
      <c r="L193" s="10">
        <f t="shared" si="78"/>
        <v>656</v>
      </c>
      <c r="M193" s="10">
        <f t="shared" si="78"/>
        <v>733</v>
      </c>
      <c r="N193" s="10">
        <f t="shared" si="78"/>
        <v>661</v>
      </c>
      <c r="O193" s="10">
        <f t="shared" si="78"/>
        <v>596</v>
      </c>
      <c r="P193" s="40">
        <f t="shared" si="76"/>
        <v>8684</v>
      </c>
    </row>
    <row r="194" spans="1:16" x14ac:dyDescent="0.3">
      <c r="A194" s="285" t="s">
        <v>58</v>
      </c>
      <c r="B194" s="286"/>
      <c r="C194" s="11" t="s">
        <v>57</v>
      </c>
      <c r="D194" s="132">
        <f>Balaka!D194+Liwonde!D194+Machinga!D194+Ntaja!D194</f>
        <v>5</v>
      </c>
      <c r="E194" s="132">
        <f>Balaka!E194+Liwonde!E194+Machinga!E194+Ntaja!E194</f>
        <v>5</v>
      </c>
      <c r="F194" s="132">
        <f>Balaka!F194+Liwonde!F194+Machinga!F194+Ntaja!F194</f>
        <v>3</v>
      </c>
      <c r="G194" s="132">
        <f>Balaka!G194+Liwonde!G194+Machinga!G194+Ntaja!G194</f>
        <v>3</v>
      </c>
      <c r="H194" s="132">
        <f>Balaka!H194+Liwonde!H194+Machinga!H194+Ntaja!H194</f>
        <v>3</v>
      </c>
      <c r="I194" s="132">
        <f>Balaka!I194+Liwonde!I194+Machinga!I194+Ntaja!I194</f>
        <v>3</v>
      </c>
      <c r="J194" s="132">
        <f>Balaka!J194+Liwonde!J194+Machinga!J194+Ntaja!J194</f>
        <v>3</v>
      </c>
      <c r="K194" s="132">
        <f>Balaka!K194+Liwonde!K194+Machinga!K194+Ntaja!K194</f>
        <v>3</v>
      </c>
      <c r="L194" s="132">
        <f>Balaka!L194+Liwonde!L194+Machinga!L194+Ntaja!L194</f>
        <v>3</v>
      </c>
      <c r="M194" s="132">
        <f>Balaka!M194+Liwonde!M194+Machinga!M194+Ntaja!M194</f>
        <v>3</v>
      </c>
      <c r="N194" s="132">
        <f>Balaka!N194+Liwonde!N194+Machinga!N194+Ntaja!N194</f>
        <v>4</v>
      </c>
      <c r="O194" s="132">
        <f>Balaka!O194+Liwonde!O194+Machinga!O194+Ntaja!O194</f>
        <v>4</v>
      </c>
      <c r="P194" s="39">
        <f>SUM(D194:O194)</f>
        <v>42</v>
      </c>
    </row>
    <row r="195" spans="1:16" x14ac:dyDescent="0.3">
      <c r="A195" s="287"/>
      <c r="B195" s="288"/>
      <c r="C195" s="16" t="s">
        <v>55</v>
      </c>
      <c r="D195" s="132">
        <f>Balaka!D195+Liwonde!D195+Machinga!D195+Ntaja!D195</f>
        <v>2184</v>
      </c>
      <c r="E195" s="132">
        <f>Balaka!E195+Liwonde!E195+Machinga!E195+Ntaja!E195</f>
        <v>984</v>
      </c>
      <c r="F195" s="132">
        <f>Balaka!F195+Liwonde!F195+Machinga!F195+Ntaja!F195</f>
        <v>720</v>
      </c>
      <c r="G195" s="132">
        <f>Balaka!G195+Liwonde!G195+Machinga!G195+Ntaja!G195</f>
        <v>720</v>
      </c>
      <c r="H195" s="132">
        <f>Balaka!H195+Liwonde!H195+Machinga!H195+Ntaja!H195</f>
        <v>1104</v>
      </c>
      <c r="I195" s="132">
        <f>Balaka!I195+Liwonde!I195+Machinga!I195+Ntaja!I195</f>
        <v>1080</v>
      </c>
      <c r="J195" s="132">
        <f>Balaka!J195+Liwonde!J195+Machinga!J195+Ntaja!J195</f>
        <v>938</v>
      </c>
      <c r="K195" s="132">
        <f>Balaka!K195+Liwonde!K195+Machinga!K195+Ntaja!K195</f>
        <v>921</v>
      </c>
      <c r="L195" s="132">
        <f>Balaka!L195+Liwonde!L195+Machinga!L195+Ntaja!L195</f>
        <v>933</v>
      </c>
      <c r="M195" s="132">
        <f>Balaka!M195+Liwonde!M195+Machinga!M195+Ntaja!M195</f>
        <v>82</v>
      </c>
      <c r="N195" s="132">
        <f>Balaka!N195+Liwonde!N195+Machinga!N195+Ntaja!N195</f>
        <v>572</v>
      </c>
      <c r="O195" s="132">
        <f>Balaka!O195+Liwonde!O195+Machinga!O195+Ntaja!O195</f>
        <v>678</v>
      </c>
      <c r="P195" s="39">
        <f>SUM(D195:O195)</f>
        <v>10916</v>
      </c>
    </row>
    <row r="196" spans="1:16" x14ac:dyDescent="0.3">
      <c r="A196" s="330" t="s">
        <v>202</v>
      </c>
      <c r="B196" s="331"/>
      <c r="C196" s="16" t="s">
        <v>55</v>
      </c>
      <c r="D196" s="132">
        <f>Balaka!D196+Liwonde!D196+Machinga!D196+Ntaja!D196</f>
        <v>2662</v>
      </c>
      <c r="E196" s="132">
        <f>Balaka!E196+Liwonde!E196+Machinga!E196+Ntaja!E196</f>
        <v>3352</v>
      </c>
      <c r="F196" s="132">
        <f>Balaka!F196+Liwonde!F196+Machinga!F196+Ntaja!F196</f>
        <v>3312</v>
      </c>
      <c r="G196" s="132">
        <f>Balaka!G196+Liwonde!G196+Machinga!G196+Ntaja!G196</f>
        <v>3347</v>
      </c>
      <c r="H196" s="132">
        <f>Balaka!H196+Liwonde!H196+Machinga!H196+Ntaja!H196</f>
        <v>3393</v>
      </c>
      <c r="I196" s="132">
        <f>Balaka!I196+Liwonde!I196+Machinga!I196+Ntaja!I196</f>
        <v>3360</v>
      </c>
      <c r="J196" s="132">
        <f>Balaka!J196+Liwonde!J196+Machinga!J196+Ntaja!J196</f>
        <v>2808</v>
      </c>
      <c r="K196" s="132">
        <f>Balaka!K196+Liwonde!K196+Machinga!K196+Ntaja!K196</f>
        <v>2784</v>
      </c>
      <c r="L196" s="132">
        <f>Balaka!L196+Liwonde!L196+Machinga!L196+Ntaja!L196</f>
        <v>2208</v>
      </c>
      <c r="M196" s="132">
        <f>Balaka!M196+Liwonde!M196+Machinga!M196+Ntaja!M196</f>
        <v>2880</v>
      </c>
      <c r="N196" s="132">
        <f>Balaka!N196+Liwonde!N196+Machinga!N196+Ntaja!N196</f>
        <v>2726</v>
      </c>
      <c r="O196" s="132">
        <f>Balaka!O196+Liwonde!O196+Machinga!O196+Ntaja!O196</f>
        <v>2808</v>
      </c>
      <c r="P196" s="39"/>
    </row>
    <row r="197" spans="1:16" x14ac:dyDescent="0.3">
      <c r="A197" s="237" t="s">
        <v>56</v>
      </c>
      <c r="B197" s="238"/>
      <c r="C197" s="16" t="s">
        <v>55</v>
      </c>
      <c r="D197" s="132">
        <f>Balaka!D197+Liwonde!D197+Machinga!D197+Ntaja!D197</f>
        <v>278</v>
      </c>
      <c r="E197" s="132">
        <f>Balaka!E197+Liwonde!E197+Machinga!E197+Ntaja!E197</f>
        <v>112</v>
      </c>
      <c r="F197" s="132">
        <f>Balaka!F197+Liwonde!F197+Machinga!F197+Ntaja!F197</f>
        <v>95</v>
      </c>
      <c r="G197" s="132">
        <f>Balaka!G197+Liwonde!G197+Machinga!G197+Ntaja!G197</f>
        <v>122</v>
      </c>
      <c r="H197" s="132">
        <f>Balaka!H197+Liwonde!H197+Machinga!H197+Ntaja!H197</f>
        <v>78</v>
      </c>
      <c r="I197" s="132">
        <f>Balaka!I197+Liwonde!I197+Machinga!I197+Ntaja!I197</f>
        <v>37</v>
      </c>
      <c r="J197" s="132">
        <f>Balaka!J197+Liwonde!J197+Machinga!J197+Ntaja!J197</f>
        <v>46</v>
      </c>
      <c r="K197" s="132">
        <f>Balaka!K197+Liwonde!K197+Machinga!K197+Ntaja!K197</f>
        <v>125.5</v>
      </c>
      <c r="L197" s="132">
        <f>Balaka!L197+Liwonde!L197+Machinga!L197+Ntaja!L197</f>
        <v>231.5</v>
      </c>
      <c r="M197" s="132">
        <f>Balaka!M197+Liwonde!M197+Machinga!M197+Ntaja!M197</f>
        <v>94</v>
      </c>
      <c r="N197" s="132">
        <f>Balaka!N197+Liwonde!N197+Machinga!N197+Ntaja!N197</f>
        <v>123</v>
      </c>
      <c r="O197" s="132">
        <f>Balaka!O197+Liwonde!O197+Machinga!O197+Ntaja!O197</f>
        <v>231</v>
      </c>
      <c r="P197" s="39">
        <f>SUM(D197:O197)</f>
        <v>1573</v>
      </c>
    </row>
    <row r="198" spans="1:16" ht="14.4" x14ac:dyDescent="0.3">
      <c r="A198" s="280" t="s">
        <v>203</v>
      </c>
      <c r="B198" s="281"/>
      <c r="C198" s="281"/>
      <c r="D198" s="281"/>
      <c r="E198" s="281"/>
      <c r="F198" s="281"/>
      <c r="G198" s="281"/>
      <c r="H198" s="281"/>
      <c r="I198" s="281"/>
      <c r="J198" s="281"/>
      <c r="K198" s="281"/>
      <c r="L198" s="281"/>
      <c r="M198" s="281"/>
      <c r="N198" s="281"/>
      <c r="O198" s="281"/>
      <c r="P198" s="282"/>
    </row>
    <row r="199" spans="1:16" x14ac:dyDescent="0.3">
      <c r="A199" s="285" t="s">
        <v>54</v>
      </c>
      <c r="B199" s="321" t="s">
        <v>53</v>
      </c>
      <c r="C199" s="11" t="s">
        <v>47</v>
      </c>
      <c r="D199" s="132">
        <f>Balaka!D199+Liwonde!D199+Machinga!D199+Ntaja!D199</f>
        <v>0</v>
      </c>
      <c r="E199" s="132">
        <f>Balaka!E199+Liwonde!E199+Machinga!E199+Ntaja!E199</f>
        <v>0</v>
      </c>
      <c r="F199" s="132">
        <f>Balaka!F199+Liwonde!F199+Machinga!F199+Ntaja!F199</f>
        <v>0</v>
      </c>
      <c r="G199" s="132">
        <f>Balaka!G199+Liwonde!G199+Machinga!G199+Ntaja!G199</f>
        <v>0</v>
      </c>
      <c r="H199" s="132">
        <f>Balaka!H199+Liwonde!H199+Machinga!H199+Ntaja!H199</f>
        <v>1750</v>
      </c>
      <c r="I199" s="132">
        <f>Balaka!I199+Liwonde!I199+Machinga!I199+Ntaja!I199</f>
        <v>0</v>
      </c>
      <c r="J199" s="132">
        <f>Balaka!J199+Liwonde!J199+Machinga!J199+Ntaja!J199</f>
        <v>0</v>
      </c>
      <c r="K199" s="132">
        <f>Balaka!K199+Liwonde!K199+Machinga!K199+Ntaja!K199</f>
        <v>0</v>
      </c>
      <c r="L199" s="132">
        <f>Balaka!L199+Liwonde!L199+Machinga!L199+Ntaja!L199</f>
        <v>0</v>
      </c>
      <c r="M199" s="132">
        <f>Balaka!M199+Liwonde!M199+Machinga!M199+Ntaja!M199</f>
        <v>0</v>
      </c>
      <c r="N199" s="132">
        <f>Balaka!N199+Liwonde!N199+Machinga!N199+Ntaja!N199</f>
        <v>0</v>
      </c>
      <c r="O199" s="132">
        <f>Balaka!O199+Liwonde!O199+Machinga!O199+Ntaja!O199</f>
        <v>36</v>
      </c>
      <c r="P199" s="39">
        <f t="shared" ref="P199:P204" si="79">SUM(D199:O199)</f>
        <v>1786</v>
      </c>
    </row>
    <row r="200" spans="1:16" x14ac:dyDescent="0.3">
      <c r="A200" s="289"/>
      <c r="B200" s="321" t="s">
        <v>52</v>
      </c>
      <c r="C200" s="11" t="s">
        <v>47</v>
      </c>
      <c r="D200" s="132">
        <f>Balaka!D200+Liwonde!D200+Machinga!D200+Ntaja!D200</f>
        <v>0</v>
      </c>
      <c r="E200" s="132">
        <f>Balaka!E200+Liwonde!E200+Machinga!E200+Ntaja!E200</f>
        <v>0</v>
      </c>
      <c r="F200" s="132">
        <f>Balaka!F200+Liwonde!F200+Machinga!F200+Ntaja!F200</f>
        <v>0</v>
      </c>
      <c r="G200" s="132">
        <f>Balaka!G200+Liwonde!G200+Machinga!G200+Ntaja!G200</f>
        <v>0</v>
      </c>
      <c r="H200" s="132">
        <f>Balaka!H200+Liwonde!H200+Machinga!H200+Ntaja!H200</f>
        <v>0</v>
      </c>
      <c r="I200" s="132">
        <f>Balaka!I200+Liwonde!I200+Machinga!I200+Ntaja!I200</f>
        <v>0</v>
      </c>
      <c r="J200" s="132">
        <f>Balaka!J200+Liwonde!J200+Machinga!J200+Ntaja!J200</f>
        <v>0</v>
      </c>
      <c r="K200" s="132">
        <f>Balaka!K200+Liwonde!K200+Machinga!K200+Ntaja!K200</f>
        <v>300</v>
      </c>
      <c r="L200" s="132">
        <f>Balaka!L200+Liwonde!L200+Machinga!L200+Ntaja!L200</f>
        <v>210</v>
      </c>
      <c r="M200" s="132">
        <f>Balaka!M200+Liwonde!M200+Machinga!M200+Ntaja!M200</f>
        <v>0</v>
      </c>
      <c r="N200" s="132">
        <f>Balaka!N200+Liwonde!N200+Machinga!N200+Ntaja!N200</f>
        <v>0</v>
      </c>
      <c r="O200" s="132">
        <f>Balaka!O200+Liwonde!O200+Machinga!O200+Ntaja!O200</f>
        <v>0</v>
      </c>
      <c r="P200" s="39">
        <f t="shared" si="79"/>
        <v>510</v>
      </c>
    </row>
    <row r="201" spans="1:16" x14ac:dyDescent="0.3">
      <c r="A201" s="289"/>
      <c r="B201" s="321" t="s">
        <v>51</v>
      </c>
      <c r="C201" s="11" t="s">
        <v>47</v>
      </c>
      <c r="D201" s="132">
        <f>Balaka!D201+Liwonde!D201+Machinga!D201+Ntaja!D201</f>
        <v>0</v>
      </c>
      <c r="E201" s="132">
        <f>Balaka!E201+Liwonde!E201+Machinga!E201+Ntaja!E201</f>
        <v>0</v>
      </c>
      <c r="F201" s="132">
        <f>Balaka!F201+Liwonde!F201+Machinga!F201+Ntaja!F201</f>
        <v>300</v>
      </c>
      <c r="G201" s="132">
        <f>Balaka!G201+Liwonde!G201+Machinga!G201+Ntaja!G201</f>
        <v>0</v>
      </c>
      <c r="H201" s="132">
        <f>Balaka!H201+Liwonde!H201+Machinga!H201+Ntaja!H201</f>
        <v>150</v>
      </c>
      <c r="I201" s="132">
        <f>Balaka!I201+Liwonde!I201+Machinga!I201+Ntaja!I201</f>
        <v>120</v>
      </c>
      <c r="J201" s="132">
        <f>Balaka!J201+Liwonde!J201+Machinga!J201+Ntaja!J201</f>
        <v>0</v>
      </c>
      <c r="K201" s="132">
        <f>Balaka!K201+Liwonde!K201+Machinga!K201+Ntaja!K201</f>
        <v>2490</v>
      </c>
      <c r="L201" s="132">
        <f>Balaka!L201+Liwonde!L200+Machinga!L201+Ntaja!L201</f>
        <v>210</v>
      </c>
      <c r="M201" s="132">
        <f>Balaka!M201+Liwonde!M201+Machinga!M201+Ntaja!M201</f>
        <v>0</v>
      </c>
      <c r="N201" s="132">
        <f>Balaka!N201+Liwonde!N201+Machinga!N201+Ntaja!N201</f>
        <v>0</v>
      </c>
      <c r="O201" s="132">
        <f>Balaka!O201+Liwonde!O201+Machinga!O201+Ntaja!O201</f>
        <v>150</v>
      </c>
      <c r="P201" s="39">
        <f t="shared" si="79"/>
        <v>3420</v>
      </c>
    </row>
    <row r="202" spans="1:16" x14ac:dyDescent="0.3">
      <c r="A202" s="289"/>
      <c r="B202" s="321" t="s">
        <v>50</v>
      </c>
      <c r="C202" s="11" t="s">
        <v>47</v>
      </c>
      <c r="D202" s="132">
        <f>Balaka!D202+Liwonde!D202+Machinga!D202+Ntaja!D202</f>
        <v>0</v>
      </c>
      <c r="E202" s="132">
        <f>Balaka!E202+Liwonde!E202+Machinga!E202+Ntaja!E202</f>
        <v>0</v>
      </c>
      <c r="F202" s="132">
        <f>Balaka!F202+Liwonde!F202+Machinga!F202+Ntaja!F202</f>
        <v>0</v>
      </c>
      <c r="G202" s="132">
        <f>Balaka!G202+Liwonde!G202+Machinga!G202+Ntaja!G202</f>
        <v>0</v>
      </c>
      <c r="H202" s="132">
        <f>Balaka!H202+Liwonde!H202+Machinga!H202+Ntaja!H202</f>
        <v>0</v>
      </c>
      <c r="I202" s="132">
        <f>Balaka!I202+Liwonde!I202+Machinga!I202+Ntaja!I202</f>
        <v>0</v>
      </c>
      <c r="J202" s="132">
        <f>Balaka!J202+Liwonde!J202+Machinga!J202+Ntaja!J202</f>
        <v>0</v>
      </c>
      <c r="K202" s="132">
        <f>Balaka!K202+Liwonde!K202+Machinga!K202+Ntaja!K202</f>
        <v>0</v>
      </c>
      <c r="L202" s="132">
        <f>Balaka!L202+Liwonde!L202+Machinga!L202+Ntaja!L202</f>
        <v>0</v>
      </c>
      <c r="M202" s="132">
        <f>Balaka!M202+Liwonde!M202+Machinga!M202+Ntaja!M202</f>
        <v>0</v>
      </c>
      <c r="N202" s="132">
        <f>Balaka!N202+Liwonde!N202+Machinga!N202+Ntaja!N202</f>
        <v>0</v>
      </c>
      <c r="O202" s="132">
        <f>Balaka!O202+Liwonde!O202+Machinga!O202+Ntaja!O202</f>
        <v>0</v>
      </c>
      <c r="P202" s="39">
        <f t="shared" si="79"/>
        <v>0</v>
      </c>
    </row>
    <row r="203" spans="1:16" x14ac:dyDescent="0.3">
      <c r="A203" s="287"/>
      <c r="B203" s="321" t="s">
        <v>49</v>
      </c>
      <c r="C203" s="11" t="s">
        <v>47</v>
      </c>
      <c r="D203" s="132">
        <f>Balaka!D203+Liwonde!D203+Machinga!D203+Ntaja!D203</f>
        <v>0</v>
      </c>
      <c r="E203" s="132">
        <f>Balaka!E203+Liwonde!E203+Machinga!E203+Ntaja!E203</f>
        <v>0</v>
      </c>
      <c r="F203" s="132">
        <f>Balaka!F203+Liwonde!F203+Machinga!F203+Ntaja!F203</f>
        <v>0</v>
      </c>
      <c r="G203" s="132">
        <f>Balaka!G203+Liwonde!G203+Machinga!G203+Ntaja!G203</f>
        <v>0</v>
      </c>
      <c r="H203" s="132">
        <f>Balaka!H203+Liwonde!H203+Machinga!H203+Ntaja!H203</f>
        <v>120</v>
      </c>
      <c r="I203" s="132">
        <f>Balaka!I203+Liwonde!I203+Machinga!I203+Ntaja!I203</f>
        <v>0</v>
      </c>
      <c r="J203" s="132">
        <f>Balaka!J203+Liwonde!J203+Machinga!J203+Ntaja!J203</f>
        <v>0</v>
      </c>
      <c r="K203" s="132">
        <f>Balaka!K203+Liwonde!K203+Machinga!K203+Ntaja!K203</f>
        <v>0</v>
      </c>
      <c r="L203" s="132">
        <f>Balaka!L203+Liwonde!L203+Machinga!L203+Ntaja!L203</f>
        <v>0</v>
      </c>
      <c r="M203" s="132">
        <f>Balaka!M203+Liwonde!M203+Machinga!M203+Ntaja!M203</f>
        <v>0</v>
      </c>
      <c r="N203" s="132">
        <f>Balaka!N203+Liwonde!N203+Machinga!N203+Ntaja!N203</f>
        <v>0</v>
      </c>
      <c r="O203" s="132">
        <f>Balaka!O203+Liwonde!O203+Machinga!O203+Ntaja!O203</f>
        <v>0</v>
      </c>
      <c r="P203" s="39">
        <f t="shared" si="79"/>
        <v>120</v>
      </c>
    </row>
    <row r="204" spans="1:16" x14ac:dyDescent="0.3">
      <c r="A204" s="83" t="s">
        <v>48</v>
      </c>
      <c r="B204" s="321"/>
      <c r="C204" s="11" t="s">
        <v>47</v>
      </c>
      <c r="D204" s="15">
        <f t="shared" ref="D204:H204" si="80">SUM(D199:D203)</f>
        <v>0</v>
      </c>
      <c r="E204" s="15">
        <f>SUM(E199:E203)</f>
        <v>0</v>
      </c>
      <c r="F204" s="15">
        <f>SUM(F199:F203)</f>
        <v>300</v>
      </c>
      <c r="G204" s="10">
        <f t="shared" si="80"/>
        <v>0</v>
      </c>
      <c r="H204" s="10">
        <f t="shared" si="80"/>
        <v>2020</v>
      </c>
      <c r="I204" s="10">
        <f t="shared" ref="I204:O204" si="81">SUM(I199:I203)</f>
        <v>120</v>
      </c>
      <c r="J204" s="10">
        <f t="shared" si="81"/>
        <v>0</v>
      </c>
      <c r="K204" s="10">
        <f t="shared" si="81"/>
        <v>2790</v>
      </c>
      <c r="L204" s="10">
        <f t="shared" si="81"/>
        <v>420</v>
      </c>
      <c r="M204" s="10">
        <f t="shared" si="81"/>
        <v>0</v>
      </c>
      <c r="N204" s="10">
        <f t="shared" si="81"/>
        <v>0</v>
      </c>
      <c r="O204" s="10">
        <f t="shared" si="81"/>
        <v>186</v>
      </c>
      <c r="P204" s="111">
        <f t="shared" si="79"/>
        <v>5836</v>
      </c>
    </row>
    <row r="205" spans="1:16" s="2" customFormat="1" ht="14.4" x14ac:dyDescent="0.3">
      <c r="A205" s="280" t="s">
        <v>46</v>
      </c>
      <c r="B205" s="281"/>
      <c r="C205" s="281"/>
      <c r="D205" s="281"/>
      <c r="E205" s="281"/>
      <c r="F205" s="281"/>
      <c r="G205" s="281"/>
      <c r="H205" s="281"/>
      <c r="I205" s="281"/>
      <c r="J205" s="281"/>
      <c r="K205" s="281"/>
      <c r="L205" s="281"/>
      <c r="M205" s="281"/>
      <c r="N205" s="281"/>
      <c r="O205" s="281"/>
      <c r="P205" s="282"/>
    </row>
    <row r="206" spans="1:16" x14ac:dyDescent="0.3">
      <c r="A206" s="237" t="s">
        <v>43</v>
      </c>
      <c r="B206" s="238"/>
      <c r="C206" s="11" t="s">
        <v>31</v>
      </c>
      <c r="D206" s="15">
        <f>Balaka!D206+Liwonde!D206+Machinga!D206+Ntaja!D206</f>
        <v>20892485.460000001</v>
      </c>
      <c r="E206" s="15">
        <f>Balaka!E206+Liwonde!E206+Machinga!E206+Ntaja!E206</f>
        <v>60520044.390000001</v>
      </c>
      <c r="F206" s="15">
        <f>Balaka!F206+Liwonde!F206+Machinga!F206+Ntaja!F206</f>
        <v>35386326.120000005</v>
      </c>
      <c r="G206" s="15">
        <f>Balaka!G206+Liwonde!G206+Machinga!G206+Ntaja!G206</f>
        <v>40008540.090000004</v>
      </c>
      <c r="H206" s="15">
        <f>Balaka!H206+Liwonde!H206+Machinga!H206+Ntaja!H206</f>
        <v>61787322.689999998</v>
      </c>
      <c r="I206" s="15">
        <f>Balaka!I206+Liwonde!I206+Machinga!I206+Ntaja!I206</f>
        <v>81662094.039999992</v>
      </c>
      <c r="J206" s="15">
        <f>Balaka!J206+Liwonde!J206+Machinga!J206+Ntaja!J206</f>
        <v>44061512.069999993</v>
      </c>
      <c r="K206" s="15">
        <f>Balaka!K206+Liwonde!K206+Machinga!K206+Ntaja!K206</f>
        <v>88113882.50999999</v>
      </c>
      <c r="L206" s="15">
        <f>Balaka!L206+Liwonde!L206+Machinga!L206+Ntaja!L206</f>
        <v>24327981.800000001</v>
      </c>
      <c r="M206" s="15">
        <f>Balaka!M206+Liwonde!M206+Machinga!M206+Ntaja!M206</f>
        <v>60087867.789999999</v>
      </c>
      <c r="N206" s="15">
        <f>Balaka!N206+Liwonde!N206+Machinga!N206+Ntaja!N206</f>
        <v>42428959.329999998</v>
      </c>
      <c r="O206" s="15">
        <f>Balaka!O206+Liwonde!O206+Machinga!O206+Ntaja!O206</f>
        <v>80084522.390000001</v>
      </c>
      <c r="P206" s="40">
        <f>SUM(D206:O206)</f>
        <v>639361538.67999995</v>
      </c>
    </row>
    <row r="207" spans="1:16" x14ac:dyDescent="0.3">
      <c r="A207" s="237" t="s">
        <v>42</v>
      </c>
      <c r="B207" s="238"/>
      <c r="C207" s="11" t="s">
        <v>31</v>
      </c>
      <c r="D207" s="15">
        <f>Balaka!D207+Liwonde!D207+Machinga!D207+Ntaja!D207</f>
        <v>79600</v>
      </c>
      <c r="E207" s="15">
        <f>Balaka!E207+Liwonde!E207+Machinga!E207+Ntaja!E207</f>
        <v>619300</v>
      </c>
      <c r="F207" s="15">
        <f>Balaka!F207+Liwonde!F207+Machinga!F207+Ntaja!F207</f>
        <v>265442.93</v>
      </c>
      <c r="G207" s="15">
        <f>Balaka!G207+Liwonde!G207+Machinga!G207+Ntaja!G207</f>
        <v>316700</v>
      </c>
      <c r="H207" s="15">
        <f>Balaka!H207+Liwonde!H207+Machinga!H207+Ntaja!H207</f>
        <v>376000</v>
      </c>
      <c r="I207" s="15">
        <f>Balaka!I207+Liwonde!I207+Machinga!I207+Ntaja!I207</f>
        <v>879042.93</v>
      </c>
      <c r="J207" s="15">
        <f>Balaka!J207+Liwonde!J207+Machinga!J207+Ntaja!J207</f>
        <v>230100</v>
      </c>
      <c r="K207" s="15">
        <f>Balaka!K207+Liwonde!K207+Machinga!K207+Ntaja!K207</f>
        <v>477500</v>
      </c>
      <c r="L207" s="15">
        <f>Balaka!L207+Liwonde!L207+Machinga!L207+Ntaja!L207</f>
        <v>131000</v>
      </c>
      <c r="M207" s="15">
        <f>Balaka!M207+Liwonde!M207+Machinga!M207+Ntaja!M207</f>
        <v>400600</v>
      </c>
      <c r="N207" s="15">
        <f>Balaka!N207+Liwonde!N207+Machinga!N207+Ntaja!N207</f>
        <v>162200</v>
      </c>
      <c r="O207" s="15">
        <f>Balaka!O207+Liwonde!O207+Machinga!O207+Ntaja!O207</f>
        <v>342800</v>
      </c>
      <c r="P207" s="40">
        <f>SUM(D207:O207)</f>
        <v>4280285.8599999994</v>
      </c>
    </row>
    <row r="208" spans="1:16" x14ac:dyDescent="0.3">
      <c r="A208" s="243" t="s">
        <v>41</v>
      </c>
      <c r="B208" s="244"/>
      <c r="C208" s="11" t="s">
        <v>31</v>
      </c>
      <c r="D208" s="15">
        <f>Balaka!D208+Liwonde!D208+Machinga!D208+Ntaja!D208</f>
        <v>80018</v>
      </c>
      <c r="E208" s="15">
        <f>Balaka!E208+Liwonde!E208+Machinga!E208+Ntaja!E208</f>
        <v>624845.80000000005</v>
      </c>
      <c r="F208" s="15">
        <f>Balaka!F208+Liwonde!F208+Machinga!F208+Ntaja!F208</f>
        <v>368750</v>
      </c>
      <c r="G208" s="15">
        <f>Balaka!G208+Liwonde!G208+Machinga!G208+Ntaja!G208</f>
        <v>225450</v>
      </c>
      <c r="H208" s="15">
        <f>Balaka!H208+Liwonde!H208+Machinga!H208+Ntaja!H208</f>
        <v>1022751</v>
      </c>
      <c r="I208" s="15">
        <f>Balaka!I208+Liwonde!I208+Machinga!I208+Ntaja!I208</f>
        <v>570250</v>
      </c>
      <c r="J208" s="15">
        <f>Balaka!J208+Liwonde!J208+Machinga!J208+Ntaja!J208</f>
        <v>265520</v>
      </c>
      <c r="K208" s="15">
        <f>Balaka!K208+Liwonde!K208+Machinga!K208+Ntaja!K208</f>
        <v>1121020.93</v>
      </c>
      <c r="L208" s="15">
        <f>Balaka!L208+Liwonde!L208+Machinga!L208+Ntaja!L208</f>
        <v>1278232</v>
      </c>
      <c r="M208" s="15">
        <f>Balaka!M208+Liwonde!M208+Machinga!M208+Ntaja!M208</f>
        <v>1909805.3199999998</v>
      </c>
      <c r="N208" s="15">
        <f>Balaka!N208+Liwonde!N208+Machinga!N208+Ntaja!N208</f>
        <v>597150</v>
      </c>
      <c r="O208" s="15">
        <f>Balaka!O208+Liwonde!O208+Machinga!O208+Ntaja!O208</f>
        <v>2355850</v>
      </c>
      <c r="P208" s="40">
        <f>SUM(D208:O208)</f>
        <v>10419643.049999999</v>
      </c>
    </row>
    <row r="209" spans="1:16" x14ac:dyDescent="0.3">
      <c r="A209" s="237" t="s">
        <v>40</v>
      </c>
      <c r="B209" s="238"/>
      <c r="C209" s="11" t="s">
        <v>31</v>
      </c>
      <c r="D209" s="15">
        <f>Balaka!D209+Liwonde!D209+Machinga!D209+Ntaja!D209</f>
        <v>117828.62</v>
      </c>
      <c r="E209" s="15">
        <f>Balaka!E209+Liwonde!E209+Machinga!E209+Ntaja!E209</f>
        <v>3323185</v>
      </c>
      <c r="F209" s="15">
        <f>Balaka!F209+Liwonde!F209+Machinga!F209+Ntaja!F209</f>
        <v>45000</v>
      </c>
      <c r="G209" s="15">
        <f>Balaka!G209+Liwonde!G209+Machinga!G209+Ntaja!G209</f>
        <v>25000</v>
      </c>
      <c r="H209" s="15">
        <f>Balaka!H209+Liwonde!H209+Machinga!H209+Ntaja!H209</f>
        <v>3591612</v>
      </c>
      <c r="I209" s="15">
        <f>Balaka!I209+Liwonde!I209+Machinga!I209+Ntaja!I209</f>
        <v>60400</v>
      </c>
      <c r="J209" s="15">
        <f>Balaka!J209+Liwonde!J209+Machinga!J209+Ntaja!J209</f>
        <v>163893</v>
      </c>
      <c r="K209" s="15">
        <f>Balaka!K209+Liwonde!K209+Machinga!K209+Ntaja!K209</f>
        <v>687479</v>
      </c>
      <c r="L209" s="15">
        <f>Balaka!L209+Liwonde!L209+Machinga!L209+Ntaja!L209</f>
        <v>32000</v>
      </c>
      <c r="M209" s="15">
        <f>Balaka!M209+Liwonde!M209+Machinga!M209+Ntaja!M209</f>
        <v>69510678.549999997</v>
      </c>
      <c r="N209" s="15">
        <f>Balaka!N209+Liwonde!N209+Machinga!N209+Ntaja!N209</f>
        <v>445700</v>
      </c>
      <c r="O209" s="15">
        <f>Balaka!O209+Liwonde!O209+Machinga!O209+Ntaja!O209</f>
        <v>151000</v>
      </c>
      <c r="P209" s="40">
        <f>SUM(D209:O209)</f>
        <v>78153776.170000002</v>
      </c>
    </row>
    <row r="210" spans="1:16" x14ac:dyDescent="0.3">
      <c r="A210" s="293" t="s">
        <v>45</v>
      </c>
      <c r="B210" s="294"/>
      <c r="C210" s="11" t="s">
        <v>31</v>
      </c>
      <c r="D210" s="10">
        <f t="shared" ref="D210:O210" si="82">SUM(D206:D209)</f>
        <v>21169932.080000002</v>
      </c>
      <c r="E210" s="10">
        <f t="shared" si="82"/>
        <v>65087375.189999998</v>
      </c>
      <c r="F210" s="10">
        <f t="shared" si="82"/>
        <v>36065519.050000004</v>
      </c>
      <c r="G210" s="10">
        <f t="shared" si="82"/>
        <v>40575690.090000004</v>
      </c>
      <c r="H210" s="10">
        <f t="shared" si="82"/>
        <v>66777685.689999998</v>
      </c>
      <c r="I210" s="10">
        <f t="shared" si="82"/>
        <v>83171786.969999999</v>
      </c>
      <c r="J210" s="10">
        <f t="shared" si="82"/>
        <v>44721025.069999993</v>
      </c>
      <c r="K210" s="10">
        <f t="shared" si="82"/>
        <v>90399882.439999998</v>
      </c>
      <c r="L210" s="10">
        <f t="shared" si="82"/>
        <v>25769213.800000001</v>
      </c>
      <c r="M210" s="10">
        <f t="shared" si="82"/>
        <v>131908951.66</v>
      </c>
      <c r="N210" s="10">
        <f t="shared" si="82"/>
        <v>43634009.329999998</v>
      </c>
      <c r="O210" s="10">
        <f t="shared" si="82"/>
        <v>82934172.390000001</v>
      </c>
      <c r="P210" s="40">
        <f>SUM(D210:O210)</f>
        <v>732215243.75999999</v>
      </c>
    </row>
    <row r="211" spans="1:16" s="2" customFormat="1" ht="14.4" x14ac:dyDescent="0.3">
      <c r="A211" s="280" t="s">
        <v>44</v>
      </c>
      <c r="B211" s="281"/>
      <c r="C211" s="281"/>
      <c r="D211" s="281"/>
      <c r="E211" s="281"/>
      <c r="F211" s="281"/>
      <c r="G211" s="281"/>
      <c r="H211" s="281"/>
      <c r="I211" s="281"/>
      <c r="J211" s="281"/>
      <c r="K211" s="281"/>
      <c r="L211" s="281"/>
      <c r="M211" s="281"/>
      <c r="N211" s="281"/>
      <c r="O211" s="281"/>
      <c r="P211" s="282"/>
    </row>
    <row r="212" spans="1:16" x14ac:dyDescent="0.3">
      <c r="A212" s="237" t="s">
        <v>43</v>
      </c>
      <c r="B212" s="238"/>
      <c r="C212" s="11" t="s">
        <v>31</v>
      </c>
      <c r="D212" s="15">
        <f>Balaka!D212+Liwonde!D212+Machinga!D212+Ntaja!D212</f>
        <v>24550349.950000003</v>
      </c>
      <c r="E212" s="15">
        <f>Balaka!E212+Liwonde!E212+Machinga!E212+Ntaja!E212</f>
        <v>45039094.890000001</v>
      </c>
      <c r="F212" s="15">
        <f>Balaka!F212+Liwonde!F212+Machinga!F212+Ntaja!F212</f>
        <v>23296452.199999999</v>
      </c>
      <c r="G212" s="15">
        <f>Balaka!G212+Liwonde!G212+Machinga!G212+Ntaja!G212</f>
        <v>31933138.709999997</v>
      </c>
      <c r="H212" s="15">
        <f>Balaka!H212+Liwonde!H212+Machinga!H212+Ntaja!H212</f>
        <v>36160410.030000001</v>
      </c>
      <c r="I212" s="15">
        <f>Balaka!I212+Liwonde!I212+Machinga!I212+Ntaja!I212</f>
        <v>35474839.790000007</v>
      </c>
      <c r="J212" s="15">
        <f>Balaka!J212+Liwonde!J212+Machinga!J212+Ntaja!J212</f>
        <v>34989347.090000004</v>
      </c>
      <c r="K212" s="15">
        <f>Balaka!K212+Liwonde!K212+Machinga!K212+Ntaja!K212</f>
        <v>34133583.07</v>
      </c>
      <c r="L212" s="15">
        <f>Balaka!L212+Liwonde!L212+Machinga!L212+Ntaja!L212</f>
        <v>39623352.75</v>
      </c>
      <c r="M212" s="15">
        <f>Balaka!M212+Liwonde!M212+Machinga!M212+Ntaja!M212</f>
        <v>31577567.560000002</v>
      </c>
      <c r="N212" s="15">
        <f>Balaka!N212+Liwonde!N212+Machinga!N212+Ntaja!N212</f>
        <v>63492210.930000007</v>
      </c>
      <c r="O212" s="15">
        <f>Balaka!O212+Liwonde!O212+Machinga!O212+Ntaja!O212</f>
        <v>29560731.260000002</v>
      </c>
      <c r="P212" s="40">
        <f>SUM(D212:O212)</f>
        <v>429831078.23000002</v>
      </c>
    </row>
    <row r="213" spans="1:16" x14ac:dyDescent="0.3">
      <c r="A213" s="237" t="s">
        <v>42</v>
      </c>
      <c r="B213" s="238"/>
      <c r="C213" s="11" t="s">
        <v>31</v>
      </c>
      <c r="D213" s="15">
        <f>Balaka!D213+Liwonde!D213+Machinga!D213+Ntaja!D213</f>
        <v>0</v>
      </c>
      <c r="E213" s="15">
        <f>Balaka!E213+Liwonde!E213+Machinga!E213+Ntaja!E213</f>
        <v>0</v>
      </c>
      <c r="F213" s="15">
        <f>Balaka!F213+Liwonde!F213+Machinga!F213+Ntaja!F213</f>
        <v>0</v>
      </c>
      <c r="G213" s="15">
        <f>Balaka!G213+Liwonde!G213+Machinga!G213+Ntaja!G213</f>
        <v>0</v>
      </c>
      <c r="H213" s="15">
        <f>Balaka!H213+Liwonde!H213+Machinga!H213+Ntaja!H213</f>
        <v>0</v>
      </c>
      <c r="I213" s="15">
        <f>Balaka!I213+Liwonde!I213+Machinga!I213+Ntaja!I213</f>
        <v>0</v>
      </c>
      <c r="J213" s="15">
        <f>Balaka!J213+Liwonde!J213+Machinga!J213+Ntaja!J213</f>
        <v>0</v>
      </c>
      <c r="K213" s="15">
        <f>Balaka!K213+Liwonde!K213+Machinga!K213+Ntaja!K213</f>
        <v>0</v>
      </c>
      <c r="L213" s="15">
        <f>Balaka!L213+Liwonde!L213+Machinga!L213+Ntaja!L213</f>
        <v>0</v>
      </c>
      <c r="M213" s="15">
        <f>Balaka!M213+Liwonde!M213+Machinga!M213+Ntaja!M213</f>
        <v>0</v>
      </c>
      <c r="N213" s="15">
        <f>Balaka!N213+Liwonde!N213+Machinga!N213+Ntaja!N213</f>
        <v>0</v>
      </c>
      <c r="O213" s="15">
        <f>Balaka!O213+Liwonde!O213+Machinga!O213+Ntaja!O213</f>
        <v>2500</v>
      </c>
      <c r="P213" s="40">
        <f>SUM(D213:O213)</f>
        <v>2500</v>
      </c>
    </row>
    <row r="214" spans="1:16" x14ac:dyDescent="0.3">
      <c r="A214" s="243" t="s">
        <v>41</v>
      </c>
      <c r="B214" s="244"/>
      <c r="C214" s="11" t="s">
        <v>31</v>
      </c>
      <c r="D214" s="15">
        <f>Balaka!D214+Liwonde!D214+Machinga!D214+Ntaja!D214</f>
        <v>0</v>
      </c>
      <c r="E214" s="15">
        <f>Balaka!E214+Liwonde!E214+Machinga!E214+Ntaja!E214</f>
        <v>0</v>
      </c>
      <c r="F214" s="15">
        <f>Balaka!F214+Liwonde!F214+Machinga!F214+Ntaja!F214</f>
        <v>0</v>
      </c>
      <c r="G214" s="15">
        <f>Balaka!G214+Liwonde!G214+Machinga!G214+Ntaja!G214</f>
        <v>0</v>
      </c>
      <c r="H214" s="15">
        <f>Balaka!H214+Liwonde!H214+Machinga!H214+Ntaja!H214</f>
        <v>0</v>
      </c>
      <c r="I214" s="15">
        <f>Balaka!I214+Liwonde!I214+Machinga!I214+Ntaja!I214</f>
        <v>0</v>
      </c>
      <c r="J214" s="15">
        <f>Balaka!J214+Liwonde!J214+Machinga!J214+Ntaja!J214</f>
        <v>0</v>
      </c>
      <c r="K214" s="15">
        <f>Balaka!K214+Liwonde!K214+Machinga!K214+Ntaja!K214</f>
        <v>0</v>
      </c>
      <c r="L214" s="15">
        <f>Balaka!L214+Liwonde!L214+Machinga!L214+Ntaja!L214</f>
        <v>0</v>
      </c>
      <c r="M214" s="15">
        <f>Balaka!M214+Liwonde!M214+Machinga!M214+Ntaja!M214</f>
        <v>0</v>
      </c>
      <c r="N214" s="15">
        <f>Balaka!N214+Liwonde!N214+Machinga!N214+Ntaja!N214</f>
        <v>0</v>
      </c>
      <c r="O214" s="15">
        <f>Balaka!O214+Liwonde!O214+Machinga!O214+Ntaja!O214</f>
        <v>1591500</v>
      </c>
      <c r="P214" s="40">
        <f>SUM(D214:O214)</f>
        <v>1591500</v>
      </c>
    </row>
    <row r="215" spans="1:16" x14ac:dyDescent="0.3">
      <c r="A215" s="237" t="s">
        <v>40</v>
      </c>
      <c r="B215" s="238"/>
      <c r="C215" s="11" t="s">
        <v>31</v>
      </c>
      <c r="D215" s="15">
        <f>Balaka!D215+Liwonde!D215+Machinga!D215+Ntaja!D215</f>
        <v>0</v>
      </c>
      <c r="E215" s="15">
        <f>Balaka!E215+Liwonde!E215+Machinga!E215+Ntaja!E215</f>
        <v>0</v>
      </c>
      <c r="F215" s="15">
        <f>Balaka!F215+Liwonde!F215+Machinga!F215+Ntaja!F215</f>
        <v>0</v>
      </c>
      <c r="G215" s="15">
        <f>Balaka!G215+Liwonde!G215+Machinga!G215+Ntaja!G215</f>
        <v>0</v>
      </c>
      <c r="H215" s="15">
        <f>Balaka!H215+Liwonde!H215+Machinga!H215+Ntaja!H215</f>
        <v>0</v>
      </c>
      <c r="I215" s="15">
        <f>Balaka!I215+Liwonde!I215+Machinga!I215+Ntaja!I215</f>
        <v>0</v>
      </c>
      <c r="J215" s="15">
        <f>Balaka!J215+Liwonde!J215+Machinga!J215+Ntaja!J215</f>
        <v>0</v>
      </c>
      <c r="K215" s="15">
        <f>Balaka!K215+Liwonde!K215+Machinga!K215+Ntaja!K215</f>
        <v>0</v>
      </c>
      <c r="L215" s="15">
        <f>Balaka!L215+Liwonde!L215+Machinga!L215+Ntaja!L215</f>
        <v>0</v>
      </c>
      <c r="M215" s="15">
        <f>Balaka!M215+Liwonde!M215+Machinga!M215+Ntaja!M215</f>
        <v>0</v>
      </c>
      <c r="N215" s="15">
        <f>Balaka!N215+Liwonde!N215+Machinga!N215+Ntaja!N215</f>
        <v>0</v>
      </c>
      <c r="O215" s="15">
        <f>Balaka!O215+Liwonde!O215+Machinga!O215+Ntaja!O215</f>
        <v>1083163.0900000001</v>
      </c>
      <c r="P215" s="40">
        <f>SUM(D215:O215)</f>
        <v>1083163.0900000001</v>
      </c>
    </row>
    <row r="216" spans="1:16" x14ac:dyDescent="0.3">
      <c r="A216" s="293" t="s">
        <v>39</v>
      </c>
      <c r="B216" s="294"/>
      <c r="C216" s="11" t="s">
        <v>31</v>
      </c>
      <c r="D216" s="10">
        <f t="shared" ref="D216:H216" si="83">SUM(D212:D215)</f>
        <v>24550349.950000003</v>
      </c>
      <c r="E216" s="10">
        <f t="shared" si="83"/>
        <v>45039094.890000001</v>
      </c>
      <c r="F216" s="10">
        <f t="shared" si="83"/>
        <v>23296452.199999999</v>
      </c>
      <c r="G216" s="10">
        <f t="shared" ref="G216" si="84">SUM(G212:G215)</f>
        <v>31933138.709999997</v>
      </c>
      <c r="H216" s="10">
        <f t="shared" si="83"/>
        <v>36160410.030000001</v>
      </c>
      <c r="I216" s="10">
        <f t="shared" ref="I216:O216" si="85">SUM(I212:I215)</f>
        <v>35474839.790000007</v>
      </c>
      <c r="J216" s="10">
        <f t="shared" si="85"/>
        <v>34989347.090000004</v>
      </c>
      <c r="K216" s="10">
        <f t="shared" si="85"/>
        <v>34133583.07</v>
      </c>
      <c r="L216" s="10">
        <f t="shared" si="85"/>
        <v>39623352.75</v>
      </c>
      <c r="M216" s="10">
        <f t="shared" si="85"/>
        <v>31577567.560000002</v>
      </c>
      <c r="N216" s="10">
        <f t="shared" si="85"/>
        <v>63492210.930000007</v>
      </c>
      <c r="O216" s="10">
        <f t="shared" si="85"/>
        <v>32237894.350000001</v>
      </c>
      <c r="P216" s="40">
        <f>SUM(D216:O216)</f>
        <v>432508241.32000005</v>
      </c>
    </row>
    <row r="217" spans="1:16" s="2" customFormat="1" x14ac:dyDescent="0.3">
      <c r="A217" s="332" t="s">
        <v>38</v>
      </c>
      <c r="B217" s="333"/>
      <c r="C217" s="11" t="s">
        <v>31</v>
      </c>
      <c r="D217" s="10">
        <f>D210+D216</f>
        <v>45720282.030000001</v>
      </c>
      <c r="E217" s="10">
        <f t="shared" ref="E217:P217" si="86">E210+E216</f>
        <v>110126470.08</v>
      </c>
      <c r="F217" s="10">
        <f t="shared" si="86"/>
        <v>59361971.25</v>
      </c>
      <c r="G217" s="10">
        <f t="shared" si="86"/>
        <v>72508828.799999997</v>
      </c>
      <c r="H217" s="10">
        <f t="shared" si="86"/>
        <v>102938095.72</v>
      </c>
      <c r="I217" s="10">
        <f t="shared" ref="I217:O217" si="87">I210+I216</f>
        <v>118646626.76000001</v>
      </c>
      <c r="J217" s="10">
        <f t="shared" si="87"/>
        <v>79710372.159999996</v>
      </c>
      <c r="K217" s="10">
        <f t="shared" si="87"/>
        <v>124533465.50999999</v>
      </c>
      <c r="L217" s="10">
        <f t="shared" si="87"/>
        <v>65392566.549999997</v>
      </c>
      <c r="M217" s="10">
        <f t="shared" si="87"/>
        <v>163486519.22</v>
      </c>
      <c r="N217" s="10">
        <f t="shared" si="87"/>
        <v>107126220.26000001</v>
      </c>
      <c r="O217" s="10">
        <f t="shared" si="87"/>
        <v>115172066.74000001</v>
      </c>
      <c r="P217" s="40">
        <f t="shared" si="86"/>
        <v>1164723485.0799999</v>
      </c>
    </row>
    <row r="218" spans="1:16" s="2" customFormat="1" ht="14.4" x14ac:dyDescent="0.3">
      <c r="A218" s="280" t="s">
        <v>37</v>
      </c>
      <c r="B218" s="281"/>
      <c r="C218" s="281"/>
      <c r="D218" s="281"/>
      <c r="E218" s="281"/>
      <c r="F218" s="281"/>
      <c r="G218" s="281"/>
      <c r="H218" s="281"/>
      <c r="I218" s="281"/>
      <c r="J218" s="281"/>
      <c r="K218" s="281"/>
      <c r="L218" s="281"/>
      <c r="M218" s="281"/>
      <c r="N218" s="281"/>
      <c r="O218" s="281"/>
      <c r="P218" s="282"/>
    </row>
    <row r="219" spans="1:16" x14ac:dyDescent="0.3">
      <c r="A219" s="237" t="s">
        <v>35</v>
      </c>
      <c r="B219" s="238"/>
      <c r="C219" s="11" t="s">
        <v>31</v>
      </c>
      <c r="D219" s="15">
        <f>Balaka!D219+Liwonde!D219+Machinga!D219+Ntaja!D219</f>
        <v>26599932.899999999</v>
      </c>
      <c r="E219" s="15">
        <f>Balaka!E219+Liwonde!E219+Machinga!E219+Ntaja!E219</f>
        <v>45588447.219999999</v>
      </c>
      <c r="F219" s="15">
        <f>Balaka!F219+Liwonde!F219+Machinga!F219+Ntaja!F219</f>
        <v>46489569.43</v>
      </c>
      <c r="G219" s="15">
        <f>Balaka!G219+Liwonde!G219+Machinga!G219+Ntaja!G219</f>
        <v>45116308.689999998</v>
      </c>
      <c r="H219" s="15">
        <f>Balaka!H219+Liwonde!H219+Machinga!H219+Ntaja!H219</f>
        <v>48457267.870000005</v>
      </c>
      <c r="I219" s="15">
        <f>Balaka!I219+Liwonde!I219+Machinga!I219+Ntaja!I219</f>
        <v>52188741.560000002</v>
      </c>
      <c r="J219" s="15">
        <f>Balaka!J219+Liwonde!J219+Machinga!J219+Ntaja!J219</f>
        <v>54468379.189999998</v>
      </c>
      <c r="K219" s="15">
        <f>Balaka!K219+Liwonde!K219+Machinga!K219+Ntaja!K219</f>
        <v>57540058.579999998</v>
      </c>
      <c r="L219" s="15">
        <f>Balaka!L219+Liwonde!L219+Machinga!L219+Ntaja!L219</f>
        <v>52341623.68</v>
      </c>
      <c r="M219" s="15">
        <f>Balaka!M219+Liwonde!M219+Machinga!M219+Ntaja!M219</f>
        <v>67122096.430000395</v>
      </c>
      <c r="N219" s="15">
        <f>Balaka!N219+Liwonde!N219+Machinga!N219+Ntaja!N219</f>
        <v>53797915.310000002</v>
      </c>
      <c r="O219" s="15">
        <f>Balaka!O219+Liwonde!O219+Machinga!O219+Ntaja!O219</f>
        <v>49713411.489999995</v>
      </c>
      <c r="P219" s="40">
        <f>SUM(D219:O219)</f>
        <v>599423752.35000038</v>
      </c>
    </row>
    <row r="220" spans="1:16" x14ac:dyDescent="0.3">
      <c r="A220" s="237" t="s">
        <v>34</v>
      </c>
      <c r="B220" s="238"/>
      <c r="C220" s="11" t="s">
        <v>31</v>
      </c>
      <c r="D220" s="15">
        <f>Balaka!D220+Liwonde!D220+Machinga!D220+Ntaja!D220</f>
        <v>229882.15</v>
      </c>
      <c r="E220" s="15">
        <f>Balaka!E220+Liwonde!E220+Machinga!E220+Ntaja!E220</f>
        <v>250054</v>
      </c>
      <c r="F220" s="15">
        <f>Balaka!F220+Liwonde!F220+Machinga!F220+Ntaja!F220</f>
        <v>280832.45999999996</v>
      </c>
      <c r="G220" s="15">
        <f>Balaka!G220+Liwonde!G220+Machinga!G220+Ntaja!G220</f>
        <v>256835.61</v>
      </c>
      <c r="H220" s="15">
        <f>Balaka!H220+Liwonde!H220+Machinga!H220+Ntaja!H220</f>
        <v>308829.06</v>
      </c>
      <c r="I220" s="15">
        <f>Balaka!I220+Liwonde!I220+Machinga!I220+Ntaja!I220</f>
        <v>300133.92000000004</v>
      </c>
      <c r="J220" s="15">
        <f>Balaka!J220+Liwonde!J220+Machinga!J220+Ntaja!J220</f>
        <v>331086.46999999997</v>
      </c>
      <c r="K220" s="15">
        <f>Balaka!K220+Liwonde!K220+Machinga!K220+Ntaja!K220</f>
        <v>294743.41000000003</v>
      </c>
      <c r="L220" s="15">
        <f>Balaka!L220+Liwonde!L220+Machinga!L220+Ntaja!L220</f>
        <v>294569.96999999997</v>
      </c>
      <c r="M220" s="15">
        <f>Balaka!M220+Liwonde!M220+Machinga!M220+Ntaja!M220</f>
        <v>259443.93</v>
      </c>
      <c r="N220" s="15">
        <f>Balaka!N220+Liwonde!N220+Machinga!N220+Ntaja!N220</f>
        <v>301525.63</v>
      </c>
      <c r="O220" s="15">
        <f>Balaka!O220+Liwonde!O220+Machinga!O220+Ntaja!O220</f>
        <v>229882.16</v>
      </c>
      <c r="P220" s="40">
        <f>SUM(D220:O220)</f>
        <v>3337818.77</v>
      </c>
    </row>
    <row r="221" spans="1:16" x14ac:dyDescent="0.3">
      <c r="A221" s="237" t="s">
        <v>33</v>
      </c>
      <c r="B221" s="238"/>
      <c r="C221" s="11" t="s">
        <v>31</v>
      </c>
      <c r="D221" s="15">
        <f>Balaka!D221+Liwonde!D221+Machinga!D221+Ntaja!D221</f>
        <v>8808107.9699999988</v>
      </c>
      <c r="E221" s="15">
        <f>Balaka!E221+Liwonde!E221+Machinga!E221+Ntaja!E221</f>
        <v>12829165.83</v>
      </c>
      <c r="F221" s="15">
        <f>Balaka!F221+Liwonde!F221+Machinga!F221+Ntaja!F221</f>
        <v>9153034.6099999994</v>
      </c>
      <c r="G221" s="15">
        <f>Balaka!G221+Liwonde!G221+Machinga!G221+Ntaja!G221</f>
        <v>8105143.2999999998</v>
      </c>
      <c r="H221" s="15">
        <f>Balaka!H221+Liwonde!H221+Machinga!H221+Ntaja!H221</f>
        <v>8199141.9299999997</v>
      </c>
      <c r="I221" s="15">
        <f>Balaka!I221+Liwonde!I221+Machinga!I221+Ntaja!I221</f>
        <v>8641936.25</v>
      </c>
      <c r="J221" s="15">
        <f>Balaka!J221+Liwonde!J221+Machinga!J221+Ntaja!J221</f>
        <v>8916057.9499999993</v>
      </c>
      <c r="K221" s="15">
        <f>Balaka!K221+Liwonde!K221+Machinga!K221+Ntaja!K221</f>
        <v>8962357.7799999993</v>
      </c>
      <c r="L221" s="15">
        <f>Balaka!L221+Liwonde!L221+Machinga!L221+Ntaja!L221</f>
        <v>9084885.1199999992</v>
      </c>
      <c r="M221" s="15">
        <f>Balaka!M221+Liwonde!M221+Machinga!M221+Ntaja!M221</f>
        <v>4650478.7300000004</v>
      </c>
      <c r="N221" s="15">
        <f>Balaka!N221+Liwonde!N221+Machinga!N221+Ntaja!N221</f>
        <v>2920294.39</v>
      </c>
      <c r="O221" s="15">
        <f>Balaka!O221+Liwonde!O221+Machinga!O221+Ntaja!O221</f>
        <v>3154872.7800000003</v>
      </c>
      <c r="P221" s="40">
        <f>SUM(D221:O221)</f>
        <v>93425476.640000001</v>
      </c>
    </row>
    <row r="222" spans="1:16" x14ac:dyDescent="0.3">
      <c r="A222" s="237" t="s">
        <v>32</v>
      </c>
      <c r="B222" s="238"/>
      <c r="C222" s="11" t="s">
        <v>31</v>
      </c>
      <c r="D222" s="15">
        <f>Balaka!D222+Liwonde!D222+Machinga!D222+Ntaja!D222</f>
        <v>380949.87</v>
      </c>
      <c r="E222" s="15">
        <f>Balaka!E222+Liwonde!E222+Machinga!E222+Ntaja!E222</f>
        <v>636021.26</v>
      </c>
      <c r="F222" s="15">
        <f>Balaka!F222+Liwonde!F222+Machinga!F222+Ntaja!F222</f>
        <v>642875.25</v>
      </c>
      <c r="G222" s="15">
        <f>Balaka!G222+Liwonde!G222+Machinga!G222+Ntaja!G222</f>
        <v>766456.86</v>
      </c>
      <c r="H222" s="15">
        <f>Balaka!H222+Liwonde!H222+Machinga!H222+Ntaja!H222</f>
        <v>1320530.6000000001</v>
      </c>
      <c r="I222" s="15">
        <f>Balaka!I222+Liwonde!I222+Machinga!I222+Ntaja!I222</f>
        <v>1382597.05</v>
      </c>
      <c r="J222" s="15">
        <f>Balaka!J222+Liwonde!J222+Machinga!J222+Ntaja!J222</f>
        <v>1212410.74</v>
      </c>
      <c r="K222" s="15">
        <f>Balaka!K222+Liwonde!K222+Machinga!K222+Ntaja!K222</f>
        <v>1007234.71</v>
      </c>
      <c r="L222" s="15">
        <f>Balaka!L222+Liwonde!L222+Machinga!L222+Ntaja!L222</f>
        <v>1661543.21</v>
      </c>
      <c r="M222" s="15">
        <f>Balaka!M222+Liwonde!M222+Machinga!M222+Ntaja!M222</f>
        <v>884770.7</v>
      </c>
      <c r="N222" s="15">
        <f>Balaka!N222+Liwonde!N222+Machinga!N222+Ntaja!N222</f>
        <v>2191830.69</v>
      </c>
      <c r="O222" s="15">
        <f>Balaka!O222+Liwonde!O222+Machinga!O222+Ntaja!O222</f>
        <v>2448679.5300000003</v>
      </c>
      <c r="P222" s="40">
        <f>SUM(D222:O222)</f>
        <v>14535900.469999999</v>
      </c>
    </row>
    <row r="223" spans="1:16" x14ac:dyDescent="0.3">
      <c r="A223" s="293" t="s">
        <v>36</v>
      </c>
      <c r="B223" s="294"/>
      <c r="C223" s="11" t="s">
        <v>31</v>
      </c>
      <c r="D223" s="12">
        <f t="shared" ref="D223:O223" si="88">SUM(D219:D222)</f>
        <v>36018872.889999993</v>
      </c>
      <c r="E223" s="10">
        <f t="shared" si="88"/>
        <v>59303688.309999995</v>
      </c>
      <c r="F223" s="10">
        <f t="shared" si="88"/>
        <v>56566311.75</v>
      </c>
      <c r="G223" s="10">
        <f t="shared" si="88"/>
        <v>54244744.459999993</v>
      </c>
      <c r="H223" s="10">
        <f t="shared" si="88"/>
        <v>58285769.460000008</v>
      </c>
      <c r="I223" s="10">
        <f t="shared" si="88"/>
        <v>62513408.780000001</v>
      </c>
      <c r="J223" s="14">
        <f t="shared" si="88"/>
        <v>64927934.350000001</v>
      </c>
      <c r="K223" s="14">
        <f t="shared" si="88"/>
        <v>67804394.479999989</v>
      </c>
      <c r="L223" s="14">
        <f t="shared" si="88"/>
        <v>63382621.979999997</v>
      </c>
      <c r="M223" s="14">
        <f t="shared" si="88"/>
        <v>72916789.790000409</v>
      </c>
      <c r="N223" s="14">
        <f t="shared" si="88"/>
        <v>59211566.020000003</v>
      </c>
      <c r="O223" s="14">
        <f t="shared" si="88"/>
        <v>55546845.959999993</v>
      </c>
      <c r="P223" s="40">
        <f>SUM(D223:O223)</f>
        <v>710722948.2300005</v>
      </c>
    </row>
    <row r="224" spans="1:16" ht="14.4" x14ac:dyDescent="0.3">
      <c r="A224" s="280" t="s">
        <v>211</v>
      </c>
      <c r="B224" s="281"/>
      <c r="C224" s="281"/>
      <c r="D224" s="281"/>
      <c r="E224" s="281"/>
      <c r="F224" s="281"/>
      <c r="G224" s="281"/>
      <c r="H224" s="281"/>
      <c r="I224" s="281"/>
      <c r="J224" s="281"/>
      <c r="K224" s="281"/>
      <c r="L224" s="281"/>
      <c r="M224" s="281"/>
      <c r="N224" s="281"/>
      <c r="O224" s="281"/>
      <c r="P224" s="282"/>
    </row>
    <row r="225" spans="1:16" x14ac:dyDescent="0.3">
      <c r="A225" s="237" t="s">
        <v>35</v>
      </c>
      <c r="B225" s="238"/>
      <c r="C225" s="11" t="s">
        <v>31</v>
      </c>
      <c r="D225" s="15">
        <f>Balaka!D225+Liwonde!D225+Machinga!D225+Ntaja!D225</f>
        <v>0</v>
      </c>
      <c r="E225" s="15">
        <f>Balaka!E225+Liwonde!E225+Machinga!E225+Ntaja!E225</f>
        <v>0</v>
      </c>
      <c r="F225" s="15">
        <f>Balaka!F225+Liwonde!F225+Machinga!F225+Ntaja!F225</f>
        <v>0</v>
      </c>
      <c r="G225" s="15">
        <f>Balaka!G225+Liwonde!G225+Machinga!G225+Ntaja!G225</f>
        <v>0</v>
      </c>
      <c r="H225" s="15">
        <f>Balaka!H225+Liwonde!H225+Machinga!H225+Ntaja!H225</f>
        <v>0</v>
      </c>
      <c r="I225" s="15">
        <f>Balaka!I225+Liwonde!I225+Machinga!I225+Ntaja!I225</f>
        <v>0</v>
      </c>
      <c r="J225" s="15">
        <f>Balaka!J225+Liwonde!J225+Machinga!J225+Ntaja!J225</f>
        <v>0</v>
      </c>
      <c r="K225" s="15">
        <f>Balaka!K225+Liwonde!K225+Machinga!K225+Ntaja!K225</f>
        <v>0</v>
      </c>
      <c r="L225" s="15">
        <f>Balaka!L225+Liwonde!L225+Machinga!L225+Ntaja!L225</f>
        <v>0</v>
      </c>
      <c r="M225" s="15">
        <f>Balaka!M225+Liwonde!M225+Machinga!M225+Ntaja!M225</f>
        <v>0</v>
      </c>
      <c r="N225" s="15">
        <f>Balaka!N225+Liwonde!N225+Machinga!N225+Ntaja!N225</f>
        <v>0</v>
      </c>
      <c r="O225" s="15">
        <f>Balaka!O225+Liwonde!O225+Machinga!O225+Ntaja!O225</f>
        <v>0</v>
      </c>
      <c r="P225" s="40">
        <f t="shared" ref="P225:P230" si="89">SUM(D225:O225)</f>
        <v>0</v>
      </c>
    </row>
    <row r="226" spans="1:16" x14ac:dyDescent="0.3">
      <c r="A226" s="237" t="s">
        <v>34</v>
      </c>
      <c r="B226" s="238"/>
      <c r="C226" s="11" t="s">
        <v>31</v>
      </c>
      <c r="D226" s="15">
        <f>Balaka!D226+Liwonde!D226+Machinga!D226+Ntaja!D226</f>
        <v>0</v>
      </c>
      <c r="E226" s="15">
        <f>Balaka!E226+Liwonde!E226+Machinga!E226+Ntaja!E226</f>
        <v>0</v>
      </c>
      <c r="F226" s="15">
        <f>Balaka!F226+Liwonde!F226+Machinga!F226+Ntaja!F226</f>
        <v>0</v>
      </c>
      <c r="G226" s="15">
        <f>Balaka!G226+Liwonde!G226+Machinga!G226+Ntaja!G226</f>
        <v>0</v>
      </c>
      <c r="H226" s="15">
        <f>Balaka!H226+Liwonde!H226+Machinga!H226+Ntaja!H226</f>
        <v>0</v>
      </c>
      <c r="I226" s="15">
        <f>Balaka!I226+Liwonde!I226+Machinga!I226+Ntaja!I226</f>
        <v>0</v>
      </c>
      <c r="J226" s="15">
        <f>Balaka!J226+Liwonde!J226+Machinga!J226+Ntaja!J226</f>
        <v>0</v>
      </c>
      <c r="K226" s="15">
        <f>Balaka!K226+Liwonde!K226+Machinga!K226+Ntaja!K226</f>
        <v>0</v>
      </c>
      <c r="L226" s="15">
        <f>Balaka!L226+Liwonde!L226+Machinga!L226+Ntaja!L226</f>
        <v>0</v>
      </c>
      <c r="M226" s="15">
        <f>Balaka!M226+Liwonde!M226+Machinga!M226+Ntaja!M226</f>
        <v>0</v>
      </c>
      <c r="N226" s="15">
        <f>Balaka!N226+Liwonde!N226+Machinga!N226+Ntaja!N226</f>
        <v>0</v>
      </c>
      <c r="O226" s="15">
        <f>Balaka!O226+Liwonde!O226+Machinga!O226+Ntaja!O226</f>
        <v>0</v>
      </c>
      <c r="P226" s="40">
        <f t="shared" si="89"/>
        <v>0</v>
      </c>
    </row>
    <row r="227" spans="1:16" x14ac:dyDescent="0.3">
      <c r="A227" s="237" t="s">
        <v>33</v>
      </c>
      <c r="B227" s="238"/>
      <c r="C227" s="11" t="s">
        <v>31</v>
      </c>
      <c r="D227" s="15">
        <f>Balaka!D227+Liwonde!D227+Machinga!D227+Ntaja!D227</f>
        <v>0</v>
      </c>
      <c r="E227" s="15">
        <f>Balaka!E227+Liwonde!E227+Machinga!E227+Ntaja!E227</f>
        <v>0</v>
      </c>
      <c r="F227" s="15">
        <f>Balaka!F227+Liwonde!F227+Machinga!F227+Ntaja!F227</f>
        <v>0</v>
      </c>
      <c r="G227" s="15">
        <f>Balaka!G227+Liwonde!G227+Machinga!G227+Ntaja!G227</f>
        <v>0</v>
      </c>
      <c r="H227" s="15">
        <f>Balaka!H227+Liwonde!H227+Machinga!H227+Ntaja!H227</f>
        <v>0</v>
      </c>
      <c r="I227" s="15">
        <f>Balaka!I227+Liwonde!I227+Machinga!I227+Ntaja!I227</f>
        <v>0</v>
      </c>
      <c r="J227" s="15">
        <f>Balaka!J227+Liwonde!J227+Machinga!J227+Ntaja!J227</f>
        <v>0</v>
      </c>
      <c r="K227" s="15">
        <f>Balaka!K227+Liwonde!K227+Machinga!K227+Ntaja!K227</f>
        <v>0</v>
      </c>
      <c r="L227" s="15">
        <f>Balaka!L227+Liwonde!L227+Machinga!L227+Ntaja!L227</f>
        <v>0</v>
      </c>
      <c r="M227" s="15">
        <f>Balaka!M227+Liwonde!M227+Machinga!M227+Ntaja!M227</f>
        <v>0</v>
      </c>
      <c r="N227" s="15">
        <f>Balaka!N227+Liwonde!N227+Machinga!N227+Ntaja!N227</f>
        <v>0</v>
      </c>
      <c r="O227" s="15">
        <f>Balaka!O227+Liwonde!O227+Machinga!O227+Ntaja!O227</f>
        <v>0</v>
      </c>
      <c r="P227" s="40">
        <f t="shared" si="89"/>
        <v>0</v>
      </c>
    </row>
    <row r="228" spans="1:16" x14ac:dyDescent="0.3">
      <c r="A228" s="237" t="s">
        <v>32</v>
      </c>
      <c r="B228" s="238"/>
      <c r="C228" s="11" t="s">
        <v>31</v>
      </c>
      <c r="D228" s="15">
        <f>Balaka!D228+Liwonde!D228+Machinga!D228+Ntaja!D228</f>
        <v>0</v>
      </c>
      <c r="E228" s="15">
        <f>Balaka!E228+Liwonde!E228+Machinga!E228+Ntaja!E228</f>
        <v>0</v>
      </c>
      <c r="F228" s="15">
        <f>Balaka!F228+Liwonde!F228+Machinga!F228+Ntaja!F228</f>
        <v>0</v>
      </c>
      <c r="G228" s="15">
        <f>Balaka!G228+Liwonde!G228+Machinga!G228+Ntaja!G228</f>
        <v>0</v>
      </c>
      <c r="H228" s="15">
        <f>Balaka!H228+Liwonde!H228+Machinga!H228+Ntaja!H228</f>
        <v>0</v>
      </c>
      <c r="I228" s="15">
        <f>Balaka!I228+Liwonde!I228+Machinga!I228+Ntaja!I228</f>
        <v>0</v>
      </c>
      <c r="J228" s="15">
        <f>Balaka!J228+Liwonde!J228+Machinga!J228+Ntaja!J228</f>
        <v>0</v>
      </c>
      <c r="K228" s="15">
        <f>Balaka!K228+Liwonde!K228+Machinga!K228+Ntaja!K228</f>
        <v>0</v>
      </c>
      <c r="L228" s="15">
        <f>Balaka!L228+Liwonde!L228+Machinga!L228+Ntaja!L228</f>
        <v>0</v>
      </c>
      <c r="M228" s="15">
        <f>Balaka!M228+Liwonde!M228+Machinga!M228+Ntaja!M228</f>
        <v>0</v>
      </c>
      <c r="N228" s="15">
        <f>Balaka!N228+Liwonde!N228+Machinga!N228+Ntaja!N228</f>
        <v>0</v>
      </c>
      <c r="O228" s="15">
        <f>Balaka!O228+Liwonde!O228+Machinga!O228+Ntaja!O228</f>
        <v>0</v>
      </c>
      <c r="P228" s="40">
        <f t="shared" si="89"/>
        <v>0</v>
      </c>
    </row>
    <row r="229" spans="1:16" x14ac:dyDescent="0.3">
      <c r="A229" s="293" t="s">
        <v>212</v>
      </c>
      <c r="B229" s="294"/>
      <c r="C229" s="11" t="s">
        <v>31</v>
      </c>
      <c r="D229" s="12">
        <f t="shared" ref="D229:H229" si="90">SUM(D225:D228)</f>
        <v>0</v>
      </c>
      <c r="E229" s="10">
        <f t="shared" si="90"/>
        <v>0</v>
      </c>
      <c r="F229" s="10">
        <f t="shared" si="90"/>
        <v>0</v>
      </c>
      <c r="G229" s="10">
        <f t="shared" si="90"/>
        <v>0</v>
      </c>
      <c r="H229" s="10">
        <f t="shared" si="90"/>
        <v>0</v>
      </c>
      <c r="I229" s="10">
        <f t="shared" ref="I229:O229" si="91">SUM(I225:I228)</f>
        <v>0</v>
      </c>
      <c r="J229" s="10">
        <f t="shared" si="91"/>
        <v>0</v>
      </c>
      <c r="K229" s="10">
        <f t="shared" si="91"/>
        <v>0</v>
      </c>
      <c r="L229" s="10">
        <f t="shared" si="91"/>
        <v>0</v>
      </c>
      <c r="M229" s="10">
        <f t="shared" si="91"/>
        <v>0</v>
      </c>
      <c r="N229" s="10">
        <f t="shared" si="91"/>
        <v>0</v>
      </c>
      <c r="O229" s="10">
        <f t="shared" si="91"/>
        <v>0</v>
      </c>
      <c r="P229" s="40">
        <f t="shared" si="89"/>
        <v>0</v>
      </c>
    </row>
    <row r="230" spans="1:16" x14ac:dyDescent="0.3">
      <c r="A230" s="332" t="s">
        <v>213</v>
      </c>
      <c r="B230" s="120"/>
      <c r="C230" s="11" t="s">
        <v>31</v>
      </c>
      <c r="D230" s="12">
        <f>D223+D229</f>
        <v>36018872.889999993</v>
      </c>
      <c r="E230" s="12">
        <f t="shared" ref="E230:O230" si="92">E223+E229</f>
        <v>59303688.309999995</v>
      </c>
      <c r="F230" s="12">
        <f t="shared" si="92"/>
        <v>56566311.75</v>
      </c>
      <c r="G230" s="12">
        <f t="shared" si="92"/>
        <v>54244744.459999993</v>
      </c>
      <c r="H230" s="12">
        <f t="shared" si="92"/>
        <v>58285769.460000008</v>
      </c>
      <c r="I230" s="12">
        <f t="shared" si="92"/>
        <v>62513408.780000001</v>
      </c>
      <c r="J230" s="12">
        <f t="shared" si="92"/>
        <v>64927934.350000001</v>
      </c>
      <c r="K230" s="12">
        <f t="shared" si="92"/>
        <v>67804394.479999989</v>
      </c>
      <c r="L230" s="12">
        <f t="shared" si="92"/>
        <v>63382621.979999997</v>
      </c>
      <c r="M230" s="12">
        <f t="shared" si="92"/>
        <v>72916789.790000409</v>
      </c>
      <c r="N230" s="12">
        <f t="shared" si="92"/>
        <v>59211566.020000003</v>
      </c>
      <c r="O230" s="12">
        <f t="shared" si="92"/>
        <v>55546845.959999993</v>
      </c>
      <c r="P230" s="40">
        <f t="shared" si="89"/>
        <v>710722948.2300005</v>
      </c>
    </row>
    <row r="231" spans="1:16" ht="14.4" x14ac:dyDescent="0.3">
      <c r="A231" s="280" t="s">
        <v>30</v>
      </c>
      <c r="B231" s="281"/>
      <c r="C231" s="281"/>
      <c r="D231" s="281"/>
      <c r="E231" s="281"/>
      <c r="F231" s="281"/>
      <c r="G231" s="281"/>
      <c r="H231" s="281"/>
      <c r="I231" s="281"/>
      <c r="J231" s="281"/>
      <c r="K231" s="281"/>
      <c r="L231" s="281"/>
      <c r="M231" s="281"/>
      <c r="N231" s="281"/>
      <c r="O231" s="281"/>
      <c r="P231" s="282"/>
    </row>
    <row r="232" spans="1:16" x14ac:dyDescent="0.3">
      <c r="A232" s="237" t="s">
        <v>29</v>
      </c>
      <c r="B232" s="238"/>
      <c r="C232" s="11" t="s">
        <v>18</v>
      </c>
      <c r="D232" s="15">
        <f>Balaka!D232+Liwonde!D232+Machinga!D232+Ntaja!D232</f>
        <v>2057899.8</v>
      </c>
      <c r="E232" s="15">
        <f>Balaka!E232+Liwonde!E232+Machinga!E232+Ntaja!E232</f>
        <v>3156095.63</v>
      </c>
      <c r="F232" s="15">
        <f>Balaka!F232+Liwonde!F232+Machinga!F232+Ntaja!F232</f>
        <v>3157238.98</v>
      </c>
      <c r="G232" s="15">
        <f>Balaka!G232+Liwonde!G232+Machinga!G232+Ntaja!G232</f>
        <v>3216600.5300000003</v>
      </c>
      <c r="H232" s="15">
        <f>Balaka!H232+Liwonde!H232+Machinga!H232+Ntaja!H232</f>
        <v>3283392.3899999997</v>
      </c>
      <c r="I232" s="15">
        <f>Balaka!I232+Liwonde!I232+Machinga!I232+Ntaja!I232</f>
        <v>3259665.15</v>
      </c>
      <c r="J232" s="15">
        <f>Balaka!J232+Liwonde!J232+Machinga!J232+Ntaja!J232</f>
        <v>3179439.23</v>
      </c>
      <c r="K232" s="15">
        <f>Balaka!K232+Liwonde!K232+Machinga!K232+Ntaja!K232</f>
        <v>3230561.08</v>
      </c>
      <c r="L232" s="15">
        <f>Balaka!L232+Liwonde!L232+Machinga!L232+Ntaja!L232</f>
        <v>3180563.63</v>
      </c>
      <c r="M232" s="15">
        <f>Balaka!M232+Liwonde!M232+Machinga!M232+Ntaja!M232</f>
        <v>3126090.5899999072</v>
      </c>
      <c r="N232" s="15">
        <f>Balaka!N232+Liwonde!N232+Machinga!N232+Ntaja!N232</f>
        <v>3157000.33</v>
      </c>
      <c r="O232" s="15">
        <f>Balaka!O232+Liwonde!O232+Machinga!O232+Ntaja!O232</f>
        <v>3230210.4699999997</v>
      </c>
      <c r="P232" s="40">
        <f>SUM(D232:O232)</f>
        <v>37234757.809999906</v>
      </c>
    </row>
    <row r="233" spans="1:16" x14ac:dyDescent="0.3">
      <c r="A233" s="237" t="s">
        <v>28</v>
      </c>
      <c r="B233" s="238"/>
      <c r="C233" s="11" t="s">
        <v>18</v>
      </c>
      <c r="D233" s="15">
        <f>Balaka!D233+Liwonde!D233+Machinga!D233+Ntaja!D233</f>
        <v>4695.46</v>
      </c>
      <c r="E233" s="15">
        <f>Balaka!E233+Liwonde!E233+Machinga!E233+Ntaja!E233</f>
        <v>4695.46</v>
      </c>
      <c r="F233" s="15">
        <f>Balaka!F233+Liwonde!F233+Machinga!F233+Ntaja!F233</f>
        <v>4695.46</v>
      </c>
      <c r="G233" s="15">
        <f>Balaka!G233+Liwonde!G233+Machinga!G233+Ntaja!G233</f>
        <v>4695.46</v>
      </c>
      <c r="H233" s="15">
        <f>Balaka!H233+Liwonde!H233+Machinga!H233+Ntaja!H233</f>
        <v>4869.3500000000004</v>
      </c>
      <c r="I233" s="15">
        <f>Balaka!I233+Liwonde!I233+Machinga!I233+Ntaja!I233</f>
        <v>4521.57</v>
      </c>
      <c r="J233" s="15">
        <f>Balaka!J233+Liwonde!J233+Machinga!J233+Ntaja!J233</f>
        <v>4347.68</v>
      </c>
      <c r="K233" s="15">
        <f>Balaka!K233+Liwonde!K233+Machinga!L233+Ntaja!K233</f>
        <v>4347.68</v>
      </c>
      <c r="L233" s="15">
        <f>Balaka!L233+Liwonde!L233+Machinga!L233+Ntaja!L233</f>
        <v>4521.57</v>
      </c>
      <c r="M233" s="15">
        <f>Balaka!M233+Liwonde!M233+Machinga!M233+Ntaja!M233</f>
        <v>4521.57</v>
      </c>
      <c r="N233" s="15">
        <f>Balaka!N233+Liwonde!N233+Machinga!N233+Ntaja!N233</f>
        <v>4521.57</v>
      </c>
      <c r="O233" s="15">
        <f>Balaka!O233+Liwonde!O233+Machinga!O233+Ntaja!O233</f>
        <v>4521.57</v>
      </c>
      <c r="P233" s="40">
        <f>SUM(D233:O233)</f>
        <v>54954.400000000001</v>
      </c>
    </row>
    <row r="234" spans="1:16" x14ac:dyDescent="0.3">
      <c r="A234" s="237" t="s">
        <v>27</v>
      </c>
      <c r="B234" s="238"/>
      <c r="C234" s="11" t="s">
        <v>18</v>
      </c>
      <c r="D234" s="15">
        <f>Balaka!D234+Liwonde!D234+Machinga!D234+Ntaja!D234</f>
        <v>57588.5</v>
      </c>
      <c r="E234" s="15">
        <f>Balaka!E234+Liwonde!E234+Machinga!E234+Ntaja!E234</f>
        <v>104893.95</v>
      </c>
      <c r="F234" s="15">
        <f>Balaka!F234+Liwonde!F234+Machinga!F234+Ntaja!F234</f>
        <v>98724.08</v>
      </c>
      <c r="G234" s="15">
        <f>Balaka!G234+Liwonde!G234+Machinga!G234+Ntaja!G234</f>
        <v>86382.69</v>
      </c>
      <c r="H234" s="15">
        <f>Balaka!H234+Liwonde!H234+Machinga!H234+Ntaja!H234</f>
        <v>92553.82</v>
      </c>
      <c r="I234" s="15">
        <f>Balaka!I234+Liwonde!I234+Machinga!I234+Ntaja!I234</f>
        <v>86382.82</v>
      </c>
      <c r="J234" s="15">
        <f>Balaka!J234+Liwonde!J234+Machinga!J234+Ntaja!J234</f>
        <v>89467.82</v>
      </c>
      <c r="K234" s="15">
        <f>Balaka!K234+Liwonde!K234+Machinga!K234+Ntaja!K234</f>
        <v>86383.56</v>
      </c>
      <c r="L234" s="15">
        <f>Balaka!L234+Liwonde!L234+Machinga!L234+Ntaja!L234</f>
        <v>83298.3</v>
      </c>
      <c r="M234" s="15">
        <f>Balaka!M234+Liwonde!M234+Machinga!M234+Ntaja!M234</f>
        <v>86384.170000000013</v>
      </c>
      <c r="N234" s="15">
        <f>Balaka!N234+Liwonde!N234+Machinga!N234+Ntaja!N234</f>
        <v>90362.43</v>
      </c>
      <c r="O234" s="15">
        <f>Balaka!O234+Liwonde!O234+Machinga!O234+Ntaja!O234</f>
        <v>101809.82</v>
      </c>
      <c r="P234" s="40">
        <f>SUM(D234:O234)</f>
        <v>1064231.9600000004</v>
      </c>
    </row>
    <row r="235" spans="1:16" x14ac:dyDescent="0.3">
      <c r="A235" s="237" t="s">
        <v>26</v>
      </c>
      <c r="B235" s="238"/>
      <c r="C235" s="11" t="s">
        <v>18</v>
      </c>
      <c r="D235" s="15">
        <f>Balaka!D235+Liwonde!D235+Machinga!D235+Ntaja!D235</f>
        <v>89936.61</v>
      </c>
      <c r="E235" s="15">
        <f>Balaka!E235+Liwonde!E235+Machinga!E235+Ntaja!E235</f>
        <v>147552.47</v>
      </c>
      <c r="F235" s="15">
        <f>Balaka!F235+Liwonde!F235+Machinga!F235+Ntaja!F235</f>
        <v>147412.38</v>
      </c>
      <c r="G235" s="15">
        <f>Balaka!G235+Liwonde!G235+Machinga!G235+Ntaja!G235</f>
        <v>155983.47</v>
      </c>
      <c r="H235" s="15">
        <f>Balaka!H235+Liwonde!H235+Machinga!H235+Ntaja!H235</f>
        <v>172846.55</v>
      </c>
      <c r="I235" s="15">
        <f>Balaka!I235+Liwonde!I235+Machinga!I235+Ntaja!I235</f>
        <v>155983.78</v>
      </c>
      <c r="J235" s="15">
        <f>Balaka!J235+Liwonde!J235+Machinga!J235+Ntaja!J235</f>
        <v>126473.47</v>
      </c>
      <c r="K235" s="15">
        <f>Balaka!K235+Liwonde!K235+Machinga!K235+Ntaja!K235</f>
        <v>130688.47</v>
      </c>
      <c r="L235" s="15">
        <f>Balaka!L235+Liwonde!L235+Machinga!L235+Ntaja!L235</f>
        <v>130688.47</v>
      </c>
      <c r="M235" s="15">
        <f>Balaka!M235+Liwonde!M235+Machinga!M235+Ntaja!M235</f>
        <v>101178.70000000001</v>
      </c>
      <c r="N235" s="15">
        <f>Balaka!N235+Liwonde!N235+Machinga!N235+Ntaja!N235</f>
        <v>130689.01000000001</v>
      </c>
      <c r="O235" s="15">
        <f>Balaka!O235+Liwonde!O235+Machinga!O235+Ntaja!O235</f>
        <v>143336.01</v>
      </c>
      <c r="P235" s="40">
        <f>SUM(D235:O235)</f>
        <v>1632769.39</v>
      </c>
    </row>
    <row r="236" spans="1:16" x14ac:dyDescent="0.3">
      <c r="A236" s="293" t="s">
        <v>25</v>
      </c>
      <c r="B236" s="294"/>
      <c r="C236" s="11" t="s">
        <v>18</v>
      </c>
      <c r="D236" s="12">
        <f t="shared" ref="D236:E236" si="93">SUM(D232:D235)</f>
        <v>2210120.3699999996</v>
      </c>
      <c r="E236" s="12">
        <f t="shared" si="93"/>
        <v>3413237.5100000002</v>
      </c>
      <c r="F236" s="12">
        <f t="shared" ref="F236:H236" si="94">SUM(F232:F235)</f>
        <v>3408070.9</v>
      </c>
      <c r="G236" s="12">
        <f t="shared" si="94"/>
        <v>3463662.1500000004</v>
      </c>
      <c r="H236" s="12">
        <f t="shared" si="94"/>
        <v>3553662.1099999994</v>
      </c>
      <c r="I236" s="12">
        <f t="shared" ref="I236:O236" si="95">SUM(I232:I235)</f>
        <v>3506553.3199999994</v>
      </c>
      <c r="J236" s="12">
        <f t="shared" si="95"/>
        <v>3399728.2</v>
      </c>
      <c r="K236" s="12">
        <f t="shared" si="95"/>
        <v>3451980.7900000005</v>
      </c>
      <c r="L236" s="12">
        <f t="shared" si="95"/>
        <v>3399071.9699999997</v>
      </c>
      <c r="M236" s="12">
        <f t="shared" si="95"/>
        <v>3318175.0299999071</v>
      </c>
      <c r="N236" s="12">
        <f t="shared" si="95"/>
        <v>3382573.34</v>
      </c>
      <c r="O236" s="12">
        <f t="shared" si="95"/>
        <v>3479877.8699999992</v>
      </c>
      <c r="P236" s="40">
        <f t="shared" ref="P236" si="96">SUM(P232:P235)</f>
        <v>39986713.559999906</v>
      </c>
    </row>
    <row r="237" spans="1:16" ht="14.4" x14ac:dyDescent="0.3">
      <c r="A237" s="280" t="s">
        <v>24</v>
      </c>
      <c r="B237" s="281"/>
      <c r="C237" s="281"/>
      <c r="D237" s="281"/>
      <c r="E237" s="281"/>
      <c r="F237" s="281"/>
      <c r="G237" s="281"/>
      <c r="H237" s="281"/>
      <c r="I237" s="281"/>
      <c r="J237" s="281"/>
      <c r="K237" s="281"/>
      <c r="L237" s="281"/>
      <c r="M237" s="281"/>
      <c r="N237" s="281"/>
      <c r="O237" s="281"/>
      <c r="P237" s="282"/>
    </row>
    <row r="238" spans="1:16" x14ac:dyDescent="0.3">
      <c r="A238" s="237" t="s">
        <v>23</v>
      </c>
      <c r="B238" s="238"/>
      <c r="C238" s="11" t="s">
        <v>18</v>
      </c>
      <c r="D238" s="15">
        <f>Balaka!D238+Liwonde!D238+Machinga!D238+Ntaja!D238</f>
        <v>5777710</v>
      </c>
      <c r="E238" s="15">
        <f>Balaka!E238+Liwonde!E238+Machinga!E238+Ntaja!E238</f>
        <v>5904516</v>
      </c>
      <c r="F238" s="15">
        <f>Balaka!F238+Liwonde!F238+Machinga!F238+Ntaja!F238</f>
        <v>5903623</v>
      </c>
      <c r="G238" s="15">
        <f>Balaka!G238+Liwonde!G238+Machinga!G238+Ntaja!G238</f>
        <v>6010783</v>
      </c>
      <c r="H238" s="15">
        <f>Balaka!H238+Liwonde!H238+Machinga!H238+Ntaja!H238</f>
        <v>6129552</v>
      </c>
      <c r="I238" s="15">
        <f>Balaka!I238+Liwonde!I238+Machinga!I238+Ntaja!I238</f>
        <v>6075972</v>
      </c>
      <c r="J238" s="15">
        <f>Balaka!J238+Liwonde!J238+Machinga!J238+Ntaja!J238</f>
        <v>5915232</v>
      </c>
      <c r="K238" s="15">
        <f>Balaka!K238+Liwonde!K238+Machinga!K238+Ntaja!K238</f>
        <v>6001853</v>
      </c>
      <c r="L238" s="15">
        <f>Balaka!L238+Liwonde!L238+Machinga!L238+Ntaja!L238</f>
        <v>5893800</v>
      </c>
      <c r="M238" s="15">
        <f>Balaka!M238+Liwonde!M238+Machinga!M238+Ntaja!M238</f>
        <v>5789319</v>
      </c>
      <c r="N238" s="15">
        <f>Balaka!N238+Liwonde!N238+Machinga!N238+Ntaja!N238</f>
        <v>5846471</v>
      </c>
      <c r="O238" s="15">
        <f>Balaka!O238+Liwonde!O238+Machinga!O238+Ntaja!O238</f>
        <v>5983100</v>
      </c>
      <c r="P238" s="40">
        <f>SUM(D238:O238)</f>
        <v>71231931</v>
      </c>
    </row>
    <row r="239" spans="1:16" x14ac:dyDescent="0.3">
      <c r="A239" s="237" t="s">
        <v>22</v>
      </c>
      <c r="B239" s="238"/>
      <c r="C239" s="11" t="s">
        <v>18</v>
      </c>
      <c r="D239" s="15">
        <f>Balaka!D239+Liwonde!D239+Machinga!D239+Ntaja!D239</f>
        <v>24111</v>
      </c>
      <c r="E239" s="15">
        <f>Balaka!E239+Liwonde!E239+Machinga!E239+Ntaja!E239</f>
        <v>24111</v>
      </c>
      <c r="F239" s="15">
        <f>Balaka!F239+Liwonde!F239+Machinga!F239+Ntaja!F239</f>
        <v>24111</v>
      </c>
      <c r="G239" s="15">
        <f>Balaka!G239+Liwonde!G239+Machinga!G239+Ntaja!G239</f>
        <v>24111</v>
      </c>
      <c r="H239" s="15">
        <f>Balaka!H239+Liwonde!H239+Machinga!H239+Ntaja!H239</f>
        <v>25004</v>
      </c>
      <c r="I239" s="15">
        <f>Balaka!I239+Liwonde!I239+Machinga!I239+Ntaja!I239</f>
        <v>23218</v>
      </c>
      <c r="J239" s="15">
        <f>Balaka!J239+Liwonde!J239+Machinga!J239+Ntaja!J239</f>
        <v>22325</v>
      </c>
      <c r="K239" s="15">
        <f>Balaka!K239+Liwonde!K239+Machinga!K239+Ntaja!K239</f>
        <v>22325</v>
      </c>
      <c r="L239" s="15">
        <f>Balaka!L239+Liwonde!L239+Machinga!L239+Ntaja!L239</f>
        <v>23218</v>
      </c>
      <c r="M239" s="15">
        <f>Balaka!M239+Liwonde!M239+Machinga!M239+Ntaja!M239</f>
        <v>23218</v>
      </c>
      <c r="N239" s="15">
        <f>Balaka!N239+Liwonde!N239+Machinga!N239+Ntaja!N239</f>
        <v>23218</v>
      </c>
      <c r="O239" s="15">
        <f>Balaka!O239+Liwonde!O239+Machinga!O239+Ntaja!O239</f>
        <v>23218</v>
      </c>
      <c r="P239" s="40">
        <f>SUM(D239:O239)</f>
        <v>282188</v>
      </c>
    </row>
    <row r="240" spans="1:16" x14ac:dyDescent="0.3">
      <c r="A240" s="237" t="s">
        <v>21</v>
      </c>
      <c r="B240" s="238"/>
      <c r="C240" s="11" t="s">
        <v>18</v>
      </c>
      <c r="D240" s="15">
        <f>Balaka!D240+Liwonde!D240+Machinga!D240+Ntaja!D240</f>
        <v>25004</v>
      </c>
      <c r="E240" s="15">
        <f>Balaka!E240+Liwonde!E240+Machinga!E240+Ntaja!E240</f>
        <v>30362</v>
      </c>
      <c r="F240" s="15">
        <f>Balaka!F240+Liwonde!F240+Machinga!F240+Ntaja!F240</f>
        <v>28576</v>
      </c>
      <c r="G240" s="15">
        <f>Balaka!G240+Liwonde!G240+Machinga!G240+Ntaja!G240</f>
        <v>25004</v>
      </c>
      <c r="H240" s="15">
        <f>Balaka!H240+Liwonde!H240+Machinga!H240+Ntaja!H240</f>
        <v>26790</v>
      </c>
      <c r="I240" s="15">
        <f>Balaka!I240+Liwonde!I240+Machinga!I240+Ntaja!I240</f>
        <v>25004</v>
      </c>
      <c r="J240" s="15">
        <f>Balaka!J240+Liwonde!J240+Machinga!J240+Ntaja!J240</f>
        <v>25897</v>
      </c>
      <c r="K240" s="15">
        <f>Balaka!K240+Liwonde!K240+Machinga!K240+Ntaja!K240</f>
        <v>25004</v>
      </c>
      <c r="L240" s="15">
        <f>Balaka!L240+Liwonde!L240+Machinga!L240+Ntaja!L240</f>
        <v>24111</v>
      </c>
      <c r="M240" s="15">
        <f>Balaka!M240+Liwonde!M240+Machinga!M240+Ntaja!M240</f>
        <v>25004</v>
      </c>
      <c r="N240" s="15">
        <f>Balaka!N240+Liwonde!N240+Machinga!N240+Ntaja!N240</f>
        <v>26790</v>
      </c>
      <c r="O240" s="15">
        <f>Balaka!O240+Liwonde!O240+Machinga!O240+Ntaja!O240</f>
        <v>29469</v>
      </c>
      <c r="P240" s="40">
        <f>SUM(D240:O240)</f>
        <v>317015</v>
      </c>
    </row>
    <row r="241" spans="1:16" x14ac:dyDescent="0.3">
      <c r="A241" s="237" t="s">
        <v>20</v>
      </c>
      <c r="B241" s="238"/>
      <c r="C241" s="11" t="s">
        <v>18</v>
      </c>
      <c r="D241" s="15">
        <f>Balaka!D241+Liwonde!D241+Machinga!D241+Ntaja!D241</f>
        <v>28576</v>
      </c>
      <c r="E241" s="15">
        <f>Balaka!E241+Liwonde!E241+Machinga!E241+Ntaja!E241</f>
        <v>31255</v>
      </c>
      <c r="F241" s="15">
        <f>Balaka!F241+Liwonde!F241+Machinga!F241+Ntaja!F241</f>
        <v>30362</v>
      </c>
      <c r="G241" s="15">
        <f>Balaka!G241+Liwonde!G241+Machinga!G241+Ntaja!G241</f>
        <v>33041</v>
      </c>
      <c r="H241" s="15">
        <f>Balaka!H241+Liwonde!H241+Machinga!H241+Ntaja!H241</f>
        <v>36613</v>
      </c>
      <c r="I241" s="15">
        <f>Balaka!I241+Liwonde!I241+Machinga!I241+Ntaja!I241</f>
        <v>33041</v>
      </c>
      <c r="J241" s="15">
        <f>Balaka!J241+Liwonde!J241+Machinga!J241+Ntaja!J241</f>
        <v>26790</v>
      </c>
      <c r="K241" s="15">
        <f>Balaka!K241+Liwonde!K241+Machinga!K241+Ntaja!K241</f>
        <v>27683</v>
      </c>
      <c r="L241" s="15">
        <f>Balaka!L241+Liwonde!L241+Machinga!L241+Ntaja!L241</f>
        <v>27683</v>
      </c>
      <c r="M241" s="15">
        <f>Balaka!M241+Liwonde!M241+Machinga!M241+Ntaja!M241</f>
        <v>21432</v>
      </c>
      <c r="N241" s="15">
        <f>Balaka!N241+Liwonde!N241+Machinga!N241+Ntaja!N241</f>
        <v>27683</v>
      </c>
      <c r="O241" s="15">
        <f>Balaka!O241+Liwonde!O241+Machinga!O241+Ntaja!O241</f>
        <v>30362</v>
      </c>
      <c r="P241" s="40">
        <f>SUM(D241:O241)</f>
        <v>354521</v>
      </c>
    </row>
    <row r="242" spans="1:16" x14ac:dyDescent="0.3">
      <c r="A242" s="293" t="s">
        <v>19</v>
      </c>
      <c r="B242" s="294"/>
      <c r="C242" s="11" t="s">
        <v>18</v>
      </c>
      <c r="D242" s="12">
        <f t="shared" ref="D242:P242" si="97">SUM(D238:D241)</f>
        <v>5855401</v>
      </c>
      <c r="E242" s="12">
        <f t="shared" si="97"/>
        <v>5990244</v>
      </c>
      <c r="F242" s="12">
        <f t="shared" si="97"/>
        <v>5986672</v>
      </c>
      <c r="G242" s="12">
        <f t="shared" ref="G242:H242" si="98">SUM(G238:G241)</f>
        <v>6092939</v>
      </c>
      <c r="H242" s="12">
        <f t="shared" si="98"/>
        <v>6217959</v>
      </c>
      <c r="I242" s="12">
        <f t="shared" si="97"/>
        <v>6157235</v>
      </c>
      <c r="J242" s="12">
        <f t="shared" si="97"/>
        <v>5990244</v>
      </c>
      <c r="K242" s="12">
        <f t="shared" si="97"/>
        <v>6076865</v>
      </c>
      <c r="L242" s="12">
        <f t="shared" si="97"/>
        <v>5968812</v>
      </c>
      <c r="M242" s="12">
        <f t="shared" si="97"/>
        <v>5858973</v>
      </c>
      <c r="N242" s="12">
        <f t="shared" si="97"/>
        <v>5924162</v>
      </c>
      <c r="O242" s="12">
        <f t="shared" si="97"/>
        <v>6066149</v>
      </c>
      <c r="P242" s="40">
        <f t="shared" si="97"/>
        <v>72185655</v>
      </c>
    </row>
    <row r="243" spans="1:16" x14ac:dyDescent="0.3">
      <c r="A243" s="293" t="s">
        <v>214</v>
      </c>
      <c r="B243" s="294"/>
      <c r="C243" s="11" t="s">
        <v>18</v>
      </c>
      <c r="D243" s="10">
        <f>D230+D236+D242</f>
        <v>44084394.25999999</v>
      </c>
      <c r="E243" s="10">
        <f t="shared" ref="E243:O243" si="99">E230+E236+E242</f>
        <v>68707169.819999993</v>
      </c>
      <c r="F243" s="10">
        <f t="shared" si="99"/>
        <v>65961054.649999999</v>
      </c>
      <c r="G243" s="10">
        <f t="shared" si="99"/>
        <v>63801345.609999992</v>
      </c>
      <c r="H243" s="10">
        <f t="shared" si="99"/>
        <v>68057390.570000008</v>
      </c>
      <c r="I243" s="10">
        <f t="shared" si="99"/>
        <v>72177197.099999994</v>
      </c>
      <c r="J243" s="10">
        <f t="shared" si="99"/>
        <v>74317906.549999997</v>
      </c>
      <c r="K243" s="10">
        <f t="shared" si="99"/>
        <v>77333240.269999996</v>
      </c>
      <c r="L243" s="10">
        <f t="shared" si="99"/>
        <v>72750505.949999988</v>
      </c>
      <c r="M243" s="10">
        <f t="shared" si="99"/>
        <v>82093937.820000321</v>
      </c>
      <c r="N243" s="10">
        <f t="shared" si="99"/>
        <v>68518301.359999999</v>
      </c>
      <c r="O243" s="10">
        <f t="shared" si="99"/>
        <v>65092872.829999991</v>
      </c>
      <c r="P243" s="40">
        <f t="shared" ref="P243" si="100">P216+P223+P236+P242</f>
        <v>1255403558.1100006</v>
      </c>
    </row>
    <row r="244" spans="1:16" ht="14.4" x14ac:dyDescent="0.3">
      <c r="A244" s="280" t="s">
        <v>204</v>
      </c>
      <c r="B244" s="281"/>
      <c r="C244" s="281"/>
      <c r="D244" s="281"/>
      <c r="E244" s="281"/>
      <c r="F244" s="281"/>
      <c r="G244" s="281"/>
      <c r="H244" s="281"/>
      <c r="I244" s="281"/>
      <c r="J244" s="281"/>
      <c r="K244" s="281"/>
      <c r="L244" s="281"/>
      <c r="M244" s="281"/>
      <c r="N244" s="281"/>
      <c r="O244" s="281"/>
      <c r="P244" s="282"/>
    </row>
    <row r="245" spans="1:16" x14ac:dyDescent="0.3">
      <c r="A245" s="313" t="s">
        <v>205</v>
      </c>
      <c r="B245" s="314"/>
      <c r="C245" s="11" t="s">
        <v>18</v>
      </c>
      <c r="D245" s="15">
        <f>Balaka!D245+Liwonde!D245+Machinga!D245+Ntaja!D245</f>
        <v>532975715.85000002</v>
      </c>
      <c r="E245" s="15">
        <f>Balaka!E245+Liwonde!E245+Machinga!E245+Ntaja!E245</f>
        <v>528687157.50999999</v>
      </c>
      <c r="F245" s="15">
        <f>Balaka!F245+Liwonde!F245+Machinga!F245+Ntaja!F245</f>
        <v>544522150.11000001</v>
      </c>
      <c r="G245" s="15">
        <f>Balaka!G245+Liwonde!G245+Machinga!G245+Ntaja!G245</f>
        <v>549052676.7299999</v>
      </c>
      <c r="H245" s="15">
        <f>Balaka!H245+Liwonde!H245+Machinga!H245+Ntaja!H245</f>
        <v>599347175.3599999</v>
      </c>
      <c r="I245" s="15">
        <f>Balaka!I245+Liwonde!I245+Machinga!I245+Ntaja!I245</f>
        <v>169036981.59999999</v>
      </c>
      <c r="J245" s="15">
        <f>Balaka!J245+Liwonde!J245+Machinga!J245+Ntaja!J245</f>
        <v>570876152.21000004</v>
      </c>
      <c r="K245" s="15">
        <f>Balaka!K245+Liwonde!K245+Machinga!K245+Ntaja!K245</f>
        <v>368626065.37</v>
      </c>
      <c r="L245" s="15">
        <f>Balaka!L245+Liwonde!L245+Machinga!L245+Ntaja!L245</f>
        <v>593580597.5599966</v>
      </c>
      <c r="M245" s="15">
        <f>Balaka!M245+Liwonde!M245+Machinga!M245+Ntaja!M245</f>
        <v>608181715.19999778</v>
      </c>
      <c r="N245" s="15">
        <f>Balaka!N245+Liwonde!N245+Machinga!N245+Ntaja!N245</f>
        <v>629894257.27999735</v>
      </c>
      <c r="O245" s="15">
        <f>Balaka!O245+Liwonde!O245+Machinga!O245+Ntaja!O245</f>
        <v>0</v>
      </c>
      <c r="P245" s="40">
        <f>O245</f>
        <v>0</v>
      </c>
    </row>
    <row r="246" spans="1:16" x14ac:dyDescent="0.3">
      <c r="A246" s="313" t="s">
        <v>206</v>
      </c>
      <c r="B246" s="314"/>
      <c r="C246" s="11" t="s">
        <v>18</v>
      </c>
      <c r="D246" s="15">
        <f>Balaka!D246+Liwonde!D246+Machinga!D246+Ntaja!D246</f>
        <v>164118506.28</v>
      </c>
      <c r="E246" s="15">
        <f>Balaka!E246+Liwonde!E246+Machinga!E246+Ntaja!E246</f>
        <v>164172021.09999999</v>
      </c>
      <c r="F246" s="15">
        <f>Balaka!F246+Liwonde!F246+Machinga!F246+Ntaja!F246</f>
        <v>172536622.50999999</v>
      </c>
      <c r="G246" s="15">
        <f>Balaka!G246+Liwonde!G246+Machinga!G246+Ntaja!G246</f>
        <v>171463563.43000001</v>
      </c>
      <c r="H246" s="15">
        <f>Balaka!H246+Liwonde!H246+Machinga!H246+Ntaja!H246</f>
        <v>185416226.13000003</v>
      </c>
      <c r="I246" s="15">
        <f>Balaka!I246+Liwonde!I246+Machinga!I246+Ntaja!I246</f>
        <v>564537925.04999995</v>
      </c>
      <c r="J246" s="15">
        <f>Balaka!J246+Liwonde!J246+Machinga!J246+Ntaja!J246</f>
        <v>174092746.63</v>
      </c>
      <c r="K246" s="15">
        <f>Balaka!K246+Liwonde!K246+Machinga!K246+Ntaja!K246</f>
        <v>370250059.26999998</v>
      </c>
      <c r="L246" s="15">
        <f>Balaka!L246+Liwonde!L246+Machinga!L246+Ntaja!L246</f>
        <v>192276819.94999999</v>
      </c>
      <c r="M246" s="15">
        <f>Balaka!M246+Liwonde!M246+Machinga!M246+Ntaja!M246</f>
        <v>127087664.50999999</v>
      </c>
      <c r="N246" s="15">
        <f>Balaka!N246+Liwonde!N246+Machinga!N246+Ntaja!N246</f>
        <v>130258821.52000001</v>
      </c>
      <c r="O246" s="15">
        <f>Balaka!O246+Liwonde!O246+Machinga!O246+Ntaja!O246</f>
        <v>0</v>
      </c>
      <c r="P246" s="40">
        <f>O246</f>
        <v>0</v>
      </c>
    </row>
    <row r="247" spans="1:16" x14ac:dyDescent="0.3">
      <c r="A247" s="315" t="s">
        <v>207</v>
      </c>
      <c r="B247" s="316"/>
      <c r="C247" s="11" t="s">
        <v>18</v>
      </c>
      <c r="D247" s="143">
        <f>D245+D246</f>
        <v>697094222.13</v>
      </c>
      <c r="E247" s="143">
        <f>E245+E246</f>
        <v>692859178.61000001</v>
      </c>
      <c r="F247" s="143">
        <f t="shared" ref="F247:P247" si="101">F245+F246</f>
        <v>717058772.62</v>
      </c>
      <c r="G247" s="143">
        <f t="shared" si="101"/>
        <v>720516240.15999985</v>
      </c>
      <c r="H247" s="143">
        <f t="shared" si="101"/>
        <v>784763401.48999989</v>
      </c>
      <c r="I247" s="143">
        <f t="shared" ref="I247:O247" si="102">I245+I246</f>
        <v>733574906.64999998</v>
      </c>
      <c r="J247" s="143">
        <f t="shared" si="102"/>
        <v>744968898.84000003</v>
      </c>
      <c r="K247" s="143">
        <f t="shared" si="102"/>
        <v>738876124.63999999</v>
      </c>
      <c r="L247" s="143">
        <f t="shared" si="102"/>
        <v>785857417.50999665</v>
      </c>
      <c r="M247" s="143">
        <f t="shared" si="102"/>
        <v>735269379.70999777</v>
      </c>
      <c r="N247" s="143">
        <f t="shared" si="102"/>
        <v>760153078.79999733</v>
      </c>
      <c r="O247" s="143">
        <f t="shared" si="102"/>
        <v>0</v>
      </c>
      <c r="P247" s="163">
        <f t="shared" si="101"/>
        <v>0</v>
      </c>
    </row>
    <row r="248" spans="1:16" ht="14.4" x14ac:dyDescent="0.3">
      <c r="A248" s="280" t="s">
        <v>17</v>
      </c>
      <c r="B248" s="281"/>
      <c r="C248" s="281"/>
      <c r="D248" s="281"/>
      <c r="E248" s="281"/>
      <c r="F248" s="281"/>
      <c r="G248" s="281"/>
      <c r="H248" s="281"/>
      <c r="I248" s="281"/>
      <c r="J248" s="281"/>
      <c r="K248" s="281"/>
      <c r="L248" s="281"/>
      <c r="M248" s="281"/>
      <c r="N248" s="281"/>
      <c r="O248" s="281"/>
      <c r="P248" s="282"/>
    </row>
    <row r="249" spans="1:16" x14ac:dyDescent="0.3">
      <c r="A249" s="254" t="s">
        <v>16</v>
      </c>
      <c r="B249" s="255"/>
      <c r="C249" s="5" t="s">
        <v>6</v>
      </c>
      <c r="D249" s="8">
        <f>D58/D243</f>
        <v>0.89656278888405916</v>
      </c>
      <c r="E249" s="8">
        <f t="shared" ref="E249:O249" si="103">E58/E243</f>
        <v>0.74181147904106759</v>
      </c>
      <c r="F249" s="8">
        <f t="shared" si="103"/>
        <v>0.7430506349904914</v>
      </c>
      <c r="G249" s="8">
        <f t="shared" si="103"/>
        <v>0.77017007793387848</v>
      </c>
      <c r="H249" s="8">
        <f t="shared" si="103"/>
        <v>0.72993131850617754</v>
      </c>
      <c r="I249" s="8">
        <f t="shared" si="103"/>
        <v>0.90748426163912366</v>
      </c>
      <c r="J249" s="8">
        <f t="shared" si="103"/>
        <v>0.68495633001990153</v>
      </c>
      <c r="K249" s="8">
        <f t="shared" si="103"/>
        <v>0.73180419170220812</v>
      </c>
      <c r="L249" s="8">
        <f t="shared" si="103"/>
        <v>0.99078458899638777</v>
      </c>
      <c r="M249" s="8">
        <f t="shared" si="103"/>
        <v>0.68927886438149621</v>
      </c>
      <c r="N249" s="8">
        <f t="shared" si="103"/>
        <v>0.95630450344507767</v>
      </c>
      <c r="O249" s="8">
        <f t="shared" si="103"/>
        <v>1.2201724236938249</v>
      </c>
      <c r="P249" s="112">
        <f>P58/P243</f>
        <v>0.54558653053483708</v>
      </c>
    </row>
    <row r="250" spans="1:16" x14ac:dyDescent="0.3">
      <c r="A250" s="254" t="s">
        <v>208</v>
      </c>
      <c r="B250" s="255"/>
      <c r="C250" s="5" t="s">
        <v>6</v>
      </c>
      <c r="D250" s="29">
        <f>D210/(D223+D245)</f>
        <v>3.7205858366560887E-2</v>
      </c>
      <c r="E250" s="29">
        <f t="shared" ref="E250:O250" si="104">E210/(E223+E245)</f>
        <v>0.1106945382784497</v>
      </c>
      <c r="F250" s="29">
        <f t="shared" si="104"/>
        <v>6.0000351592841013E-2</v>
      </c>
      <c r="G250" s="29">
        <f t="shared" si="104"/>
        <v>6.7256528313952901E-2</v>
      </c>
      <c r="H250" s="29">
        <f t="shared" si="104"/>
        <v>0.1015424884291307</v>
      </c>
      <c r="I250" s="29">
        <f t="shared" si="104"/>
        <v>0.35919519217180257</v>
      </c>
      <c r="J250" s="29">
        <f t="shared" si="104"/>
        <v>7.0337743992747559E-2</v>
      </c>
      <c r="K250" s="29">
        <f t="shared" si="104"/>
        <v>0.20713467724289958</v>
      </c>
      <c r="L250" s="29">
        <f t="shared" si="104"/>
        <v>3.9224743537459396E-2</v>
      </c>
      <c r="M250" s="29">
        <f t="shared" si="104"/>
        <v>0.19367088709427874</v>
      </c>
      <c r="N250" s="29">
        <f t="shared" si="104"/>
        <v>6.3319751269906535E-2</v>
      </c>
      <c r="O250" s="29">
        <f t="shared" si="104"/>
        <v>1.4930491723998511</v>
      </c>
      <c r="P250" s="109">
        <f>P210/(P223+P245)</f>
        <v>1.030240047241368</v>
      </c>
    </row>
    <row r="251" spans="1:16" ht="16.2" thickBot="1" x14ac:dyDescent="0.35">
      <c r="A251" s="304" t="s">
        <v>15</v>
      </c>
      <c r="B251" s="305"/>
      <c r="C251" s="5" t="s">
        <v>6</v>
      </c>
      <c r="D251" s="7">
        <f>D210/D223</f>
        <v>0.58774554508276855</v>
      </c>
      <c r="E251" s="7">
        <f t="shared" ref="E251:O251" si="105">E210/E223</f>
        <v>1.0975265964869969</v>
      </c>
      <c r="F251" s="7">
        <f t="shared" si="105"/>
        <v>0.63757946972740365</v>
      </c>
      <c r="G251" s="7">
        <f t="shared" si="105"/>
        <v>0.74801145242596667</v>
      </c>
      <c r="H251" s="7">
        <f t="shared" si="105"/>
        <v>1.1456945032839922</v>
      </c>
      <c r="I251" s="7">
        <f t="shared" si="105"/>
        <v>1.330463153316465</v>
      </c>
      <c r="J251" s="7">
        <f t="shared" si="105"/>
        <v>0.6887794216419576</v>
      </c>
      <c r="K251" s="7">
        <f t="shared" si="105"/>
        <v>1.3332451846711044</v>
      </c>
      <c r="L251" s="7">
        <f t="shared" si="105"/>
        <v>0.4065659165714432</v>
      </c>
      <c r="M251" s="7">
        <f t="shared" si="105"/>
        <v>1.8090339966953619</v>
      </c>
      <c r="N251" s="7">
        <f t="shared" si="105"/>
        <v>0.73691699549479328</v>
      </c>
      <c r="O251" s="7">
        <f t="shared" si="105"/>
        <v>1.4930491723998511</v>
      </c>
      <c r="P251" s="113">
        <f>P210/P223</f>
        <v>1.030240047241368</v>
      </c>
    </row>
    <row r="252" spans="1:16" ht="14.4" x14ac:dyDescent="0.3">
      <c r="A252" s="306" t="s">
        <v>14</v>
      </c>
      <c r="B252" s="307"/>
      <c r="C252" s="307"/>
      <c r="D252" s="307"/>
      <c r="E252" s="307"/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8"/>
    </row>
    <row r="253" spans="1:16" s="2" customFormat="1" ht="15" customHeight="1" x14ac:dyDescent="0.3">
      <c r="A253" s="254" t="s">
        <v>13</v>
      </c>
      <c r="B253" s="255"/>
      <c r="C253" s="5" t="s">
        <v>3</v>
      </c>
      <c r="D253" s="26">
        <f>Balaka!D253+Liwonde!D253+Machinga!D253+Ntaja!D253</f>
        <v>39</v>
      </c>
      <c r="E253" s="26">
        <f>Balaka!E253+Liwonde!E253+Machinga!E253+Ntaja!E253</f>
        <v>58</v>
      </c>
      <c r="F253" s="26">
        <f>Balaka!F253+Liwonde!F253+Machinga!F253+Ntaja!F253</f>
        <v>118</v>
      </c>
      <c r="G253" s="26">
        <f>Balaka!G253+Liwonde!G253+Machinga!G253+Ntaja!G253</f>
        <v>125</v>
      </c>
      <c r="H253" s="26">
        <f>Balaka!H253+Liwonde!H253+Machinga!H253+Ntaja!H253</f>
        <v>182</v>
      </c>
      <c r="I253" s="26">
        <f>Balaka!I253+Liwonde!I253+Machinga!I253+Ntaja!I253</f>
        <v>84</v>
      </c>
      <c r="J253" s="26">
        <f>Balaka!J253+Liwonde!J253+Machinga!J253+Ntaja!J253</f>
        <v>76</v>
      </c>
      <c r="K253" s="26">
        <f>Balaka!K253+Liwonde!K253+Machinga!K253+Ntaja!K253</f>
        <v>70</v>
      </c>
      <c r="L253" s="26">
        <f>Balaka!L253+Liwonde!L253+Machinga!L253+Ntaja!L253</f>
        <v>83</v>
      </c>
      <c r="M253" s="26">
        <f>Balaka!M253+Liwonde!M253+Machinga!M253+Ntaja!M253</f>
        <v>54</v>
      </c>
      <c r="N253" s="26">
        <f>Balaka!N253+Liwonde!N253+Machinga!N253+Ntaja!N253</f>
        <v>63</v>
      </c>
      <c r="O253" s="26">
        <f>Balaka!O253+Liwonde!O253+Machinga!O253+Ntaja!O253</f>
        <v>61</v>
      </c>
      <c r="P253" s="114">
        <f>SUM(D253:O253)</f>
        <v>1013</v>
      </c>
    </row>
    <row r="254" spans="1:16" s="2" customFormat="1" x14ac:dyDescent="0.3">
      <c r="A254" s="254" t="s">
        <v>12</v>
      </c>
      <c r="B254" s="255"/>
      <c r="C254" s="5" t="s">
        <v>3</v>
      </c>
      <c r="D254" s="26">
        <f>Balaka!D254+Liwonde!D254+Machinga!D254+Ntaja!D254</f>
        <v>2</v>
      </c>
      <c r="E254" s="26">
        <f>Balaka!E254+Liwonde!E254+Machinga!E254+Ntaja!E254</f>
        <v>3</v>
      </c>
      <c r="F254" s="26">
        <f>Balaka!F254+Liwonde!F254+Machinga!F254+Ntaja!F254</f>
        <v>4</v>
      </c>
      <c r="G254" s="26">
        <f>Balaka!G254+Liwonde!G254+Machinga!G254+Ntaja!G254</f>
        <v>4</v>
      </c>
      <c r="H254" s="26">
        <f>Balaka!H254+Liwonde!H254+Machinga!H254+Ntaja!H254</f>
        <v>4</v>
      </c>
      <c r="I254" s="26">
        <f>Balaka!I254+Liwonde!I254+Machinga!I254+Ntaja!I254</f>
        <v>4</v>
      </c>
      <c r="J254" s="26">
        <f>Balaka!J254+Liwonde!J254+Machinga!J254+Ntaja!J254</f>
        <v>4</v>
      </c>
      <c r="K254" s="26">
        <f>Balaka!K254+Liwonde!K254+Machinga!K254+Ntaja!K254</f>
        <v>3</v>
      </c>
      <c r="L254" s="26">
        <f>Balaka!L254+Liwonde!L254+Machinga!L254+Ntaja!L254</f>
        <v>4</v>
      </c>
      <c r="M254" s="26">
        <f>Balaka!M254+Liwonde!M254+Machinga!M254+Ntaja!M254</f>
        <v>3</v>
      </c>
      <c r="N254" s="26">
        <f>Balaka!N254+Liwonde!N254+Machinga!N254+Ntaja!N254</f>
        <v>3</v>
      </c>
      <c r="O254" s="26">
        <f>Balaka!O254+Liwonde!O254+Machinga!O254+Ntaja!O254</f>
        <v>4</v>
      </c>
      <c r="P254" s="114">
        <f>SUM(D254:O254)</f>
        <v>42</v>
      </c>
    </row>
    <row r="255" spans="1:16" ht="15.75" customHeight="1" x14ac:dyDescent="0.3">
      <c r="A255" s="254" t="s">
        <v>11</v>
      </c>
      <c r="B255" s="255"/>
      <c r="C255" s="5" t="s">
        <v>3</v>
      </c>
      <c r="D255" s="4">
        <f>D95</f>
        <v>750</v>
      </c>
      <c r="E255" s="4">
        <f>E95</f>
        <v>750</v>
      </c>
      <c r="F255" s="4">
        <f>F95</f>
        <v>764</v>
      </c>
      <c r="G255" s="4">
        <f>G95</f>
        <v>790</v>
      </c>
      <c r="H255" s="4">
        <f>H95</f>
        <v>824</v>
      </c>
      <c r="I255" s="4">
        <f t="shared" ref="I255:O255" si="106">I95</f>
        <v>838</v>
      </c>
      <c r="J255" s="4">
        <f t="shared" si="106"/>
        <v>818</v>
      </c>
      <c r="K255" s="4">
        <f t="shared" si="106"/>
        <v>802</v>
      </c>
      <c r="L255" s="4">
        <f t="shared" si="106"/>
        <v>817</v>
      </c>
      <c r="M255" s="4">
        <f t="shared" si="106"/>
        <v>832</v>
      </c>
      <c r="N255" s="4">
        <f t="shared" si="106"/>
        <v>842</v>
      </c>
      <c r="O255" s="4">
        <f t="shared" si="106"/>
        <v>873</v>
      </c>
      <c r="P255" s="114">
        <f>SUM(D255:O255)</f>
        <v>9700</v>
      </c>
    </row>
    <row r="256" spans="1:16" x14ac:dyDescent="0.3">
      <c r="A256" s="254" t="s">
        <v>10</v>
      </c>
      <c r="B256" s="255"/>
      <c r="C256" s="5" t="s">
        <v>3</v>
      </c>
      <c r="D256" s="4">
        <f>D91</f>
        <v>45</v>
      </c>
      <c r="E256" s="4">
        <f>E91</f>
        <v>88</v>
      </c>
      <c r="F256" s="4">
        <f>F91</f>
        <v>116</v>
      </c>
      <c r="G256" s="4">
        <f>G91</f>
        <v>121</v>
      </c>
      <c r="H256" s="4">
        <f>H91</f>
        <v>173</v>
      </c>
      <c r="I256" s="4">
        <f t="shared" ref="I256:O256" si="107">I91</f>
        <v>82</v>
      </c>
      <c r="J256" s="4">
        <f t="shared" si="107"/>
        <v>76</v>
      </c>
      <c r="K256" s="4">
        <f t="shared" si="107"/>
        <v>57</v>
      </c>
      <c r="L256" s="4">
        <f t="shared" si="107"/>
        <v>83</v>
      </c>
      <c r="M256" s="4">
        <f t="shared" si="107"/>
        <v>59</v>
      </c>
      <c r="N256" s="4">
        <f t="shared" si="107"/>
        <v>88</v>
      </c>
      <c r="O256" s="4">
        <f t="shared" si="107"/>
        <v>71</v>
      </c>
      <c r="P256" s="114">
        <f>SUM(D256:O256)</f>
        <v>1059</v>
      </c>
    </row>
    <row r="257" spans="1:16" ht="15.6" customHeight="1" x14ac:dyDescent="0.3">
      <c r="A257" s="254" t="s">
        <v>9</v>
      </c>
      <c r="B257" s="255"/>
      <c r="C257" s="5" t="s">
        <v>3</v>
      </c>
      <c r="D257" s="26">
        <f>Balaka!D257+Liwonde!D257+Machinga!D257+Ntaja!D257</f>
        <v>110</v>
      </c>
      <c r="E257" s="26">
        <f>Balaka!E257+Liwonde!E257+Machinga!E257+Ntaja!E257</f>
        <v>110</v>
      </c>
      <c r="F257" s="26">
        <f>Balaka!F257+Liwonde!F257+Machinga!F257+Ntaja!F257</f>
        <v>157</v>
      </c>
      <c r="G257" s="26">
        <f>Balaka!G257+Liwonde!G257+Machinga!G257+Ntaja!G257</f>
        <v>125</v>
      </c>
      <c r="H257" s="26">
        <f>Balaka!H257+Liwonde!H257+Machinga!H257+Ntaja!H257</f>
        <v>90</v>
      </c>
      <c r="I257" s="26">
        <f>Balaka!I257+Liwonde!I257+Machinga!I257+Ntaja!I257</f>
        <v>66</v>
      </c>
      <c r="J257" s="26">
        <f>Balaka!J257+Liwonde!J257+Machinga!J257+Ntaja!J257</f>
        <v>95</v>
      </c>
      <c r="K257" s="26">
        <f>Balaka!K257+Liwonde!K257+Machinga!K257+Ntaja!K257</f>
        <v>65</v>
      </c>
      <c r="L257" s="26">
        <f>Balaka!L257+Liwonde!L257+Machinga!L257+Ntaja!L257</f>
        <v>64</v>
      </c>
      <c r="M257" s="26">
        <f>Balaka!M257+Liwonde!M257+Machinga!M257+Ntaja!M257</f>
        <v>64</v>
      </c>
      <c r="N257" s="26">
        <f>Balaka!N257+Liwonde!N257+Machinga!N257+Ntaja!N257</f>
        <v>48</v>
      </c>
      <c r="O257" s="26">
        <f>Balaka!O257+Liwonde!O257+Machinga!O257+Ntaja!O257</f>
        <v>78</v>
      </c>
      <c r="P257" s="114">
        <f>SUM(D257:O257)</f>
        <v>1072</v>
      </c>
    </row>
    <row r="258" spans="1:16" x14ac:dyDescent="0.3">
      <c r="A258" s="293" t="s">
        <v>8</v>
      </c>
      <c r="B258" s="294"/>
      <c r="C258" s="5" t="s">
        <v>3</v>
      </c>
      <c r="D258" s="1">
        <f t="shared" ref="D258:P258" si="108">D257/D256</f>
        <v>2.4444444444444446</v>
      </c>
      <c r="E258" s="1">
        <f t="shared" si="108"/>
        <v>1.25</v>
      </c>
      <c r="F258" s="1">
        <f t="shared" si="108"/>
        <v>1.353448275862069</v>
      </c>
      <c r="G258" s="1">
        <f t="shared" si="108"/>
        <v>1.0330578512396693</v>
      </c>
      <c r="H258" s="1">
        <f t="shared" si="108"/>
        <v>0.52023121387283233</v>
      </c>
      <c r="I258" s="3">
        <f t="shared" si="108"/>
        <v>0.80487804878048785</v>
      </c>
      <c r="J258" s="3">
        <f t="shared" si="108"/>
        <v>1.25</v>
      </c>
      <c r="K258" s="3">
        <f t="shared" si="108"/>
        <v>1.1403508771929824</v>
      </c>
      <c r="L258" s="3">
        <f t="shared" si="108"/>
        <v>0.77108433734939763</v>
      </c>
      <c r="M258" s="3">
        <f t="shared" si="108"/>
        <v>1.0847457627118644</v>
      </c>
      <c r="N258" s="3">
        <f t="shared" si="108"/>
        <v>0.54545454545454541</v>
      </c>
      <c r="O258" s="3">
        <f t="shared" si="108"/>
        <v>1.0985915492957747</v>
      </c>
      <c r="P258" s="114">
        <f t="shared" si="108"/>
        <v>1.012275731822474</v>
      </c>
    </row>
    <row r="259" spans="1:16" x14ac:dyDescent="0.3">
      <c r="A259" s="293" t="s">
        <v>7</v>
      </c>
      <c r="B259" s="294"/>
      <c r="C259" s="5" t="s">
        <v>6</v>
      </c>
      <c r="D259" s="1">
        <f t="shared" ref="D259:P259" si="109">D92/D255*100</f>
        <v>4.5333333333333332</v>
      </c>
      <c r="E259" s="1">
        <f t="shared" si="109"/>
        <v>5.3333333333333339</v>
      </c>
      <c r="F259" s="1">
        <f t="shared" si="109"/>
        <v>10.209424083769633</v>
      </c>
      <c r="G259" s="1">
        <f t="shared" si="109"/>
        <v>8.1012658227848107</v>
      </c>
      <c r="H259" s="161">
        <f t="shared" si="109"/>
        <v>12.985436893203882</v>
      </c>
      <c r="I259" s="161">
        <f t="shared" si="109"/>
        <v>7.6372315035799527</v>
      </c>
      <c r="J259" s="161">
        <f t="shared" si="109"/>
        <v>11.735941320293399</v>
      </c>
      <c r="K259" s="161">
        <f t="shared" si="109"/>
        <v>9.1022443890274314</v>
      </c>
      <c r="L259" s="161">
        <f t="shared" si="109"/>
        <v>8.3231334149326806</v>
      </c>
      <c r="M259" s="6">
        <f t="shared" si="109"/>
        <v>5.2884615384615383</v>
      </c>
      <c r="N259" s="6">
        <f t="shared" si="109"/>
        <v>9.2636579572446553</v>
      </c>
      <c r="O259" s="6">
        <f t="shared" si="109"/>
        <v>4.2382588774341352</v>
      </c>
      <c r="P259" s="115">
        <f t="shared" si="109"/>
        <v>8.072164948453608</v>
      </c>
    </row>
    <row r="260" spans="1:16" ht="14.4" x14ac:dyDescent="0.3">
      <c r="A260" s="280" t="s">
        <v>5</v>
      </c>
      <c r="B260" s="281"/>
      <c r="C260" s="281"/>
      <c r="D260" s="281"/>
      <c r="E260" s="281"/>
      <c r="F260" s="281"/>
      <c r="G260" s="281"/>
      <c r="H260" s="281"/>
      <c r="I260" s="281"/>
      <c r="J260" s="281"/>
      <c r="K260" s="281"/>
      <c r="L260" s="281"/>
      <c r="M260" s="281"/>
      <c r="N260" s="281"/>
      <c r="O260" s="281"/>
      <c r="P260" s="282"/>
    </row>
    <row r="261" spans="1:16" s="2" customFormat="1" ht="15" customHeight="1" x14ac:dyDescent="0.3">
      <c r="A261" s="254" t="s">
        <v>4</v>
      </c>
      <c r="B261" s="255"/>
      <c r="C261" s="5" t="s">
        <v>3</v>
      </c>
      <c r="D261" s="26">
        <f>Balaka!D261+Liwonde!D261+Machinga!D261+Ntaja!D261</f>
        <v>50</v>
      </c>
      <c r="E261" s="26">
        <f>Balaka!E261+Liwonde!E261+Machinga!E261+Ntaja!E261</f>
        <v>43</v>
      </c>
      <c r="F261" s="26">
        <f>Balaka!F261+Liwonde!F261+Machinga!F261+Ntaja!F261</f>
        <v>68</v>
      </c>
      <c r="G261" s="26">
        <f>Balaka!G261+Liwonde!G261+Machinga!G261+Ntaja!G261</f>
        <v>61</v>
      </c>
      <c r="H261" s="26">
        <f>Balaka!H261+Liwonde!H261+Machinga!H261+Ntaja!H261</f>
        <v>71</v>
      </c>
      <c r="I261" s="26">
        <f>Balaka!I261+Liwonde!I261+Machinga!I261+Ntaja!I261</f>
        <v>71</v>
      </c>
      <c r="J261" s="26">
        <f>Balaka!J261+Liwonde!J261+Machinga!J261+Ntaja!J261</f>
        <v>90</v>
      </c>
      <c r="K261" s="26">
        <f>Balaka!K261+Liwonde!K261+Machinga!K261+Ntaja!K261</f>
        <v>81</v>
      </c>
      <c r="L261" s="26">
        <f>Balaka!L261+Liwonde!L261+Machinga!L261+Ntaja!L261</f>
        <v>112</v>
      </c>
      <c r="M261" s="26">
        <f>Balaka!M261+Liwonde!M261+Machinga!M261+Ntaja!M261</f>
        <v>61</v>
      </c>
      <c r="N261" s="26">
        <f>Balaka!N261+Liwonde!N261+Machinga!N261+Ntaja!N261</f>
        <v>51</v>
      </c>
      <c r="O261" s="26">
        <f>Balaka!O261+Liwonde!O261+Machinga!O261+Ntaja!O261</f>
        <v>97</v>
      </c>
      <c r="P261" s="40">
        <f>SUM(D261:O261)</f>
        <v>856</v>
      </c>
    </row>
    <row r="262" spans="1:16" s="2" customFormat="1" ht="15.75" customHeight="1" x14ac:dyDescent="0.3">
      <c r="A262" s="254" t="s">
        <v>2</v>
      </c>
      <c r="B262" s="255"/>
      <c r="C262" s="5" t="s">
        <v>0</v>
      </c>
      <c r="D262" s="26">
        <f>Balaka!D262+Liwonde!D262+Machinga!D262+Ntaja!D262</f>
        <v>25</v>
      </c>
      <c r="E262" s="26">
        <f>Balaka!E262+Liwonde!E262+Machinga!E262+Ntaja!E262</f>
        <v>47</v>
      </c>
      <c r="F262" s="26">
        <f>Balaka!F262+Liwonde!F262+Machinga!F262+Ntaja!F262</f>
        <v>48</v>
      </c>
      <c r="G262" s="26">
        <f>Balaka!G262+Liwonde!G262+Machinga!G262+Ntaja!G262</f>
        <v>50</v>
      </c>
      <c r="H262" s="26">
        <f>Balaka!H262+Liwonde!H262+Machinga!H262+Ntaja!H262</f>
        <v>49</v>
      </c>
      <c r="I262" s="26">
        <f>Balaka!I262+Liwonde!I262+Machinga!I262+Ntaja!I262</f>
        <v>56</v>
      </c>
      <c r="J262" s="26">
        <f>Balaka!J262+Liwonde!J262+Machinga!J262+Ntaja!J262</f>
        <v>50</v>
      </c>
      <c r="K262" s="26">
        <f>Balaka!K262+Liwonde!K262+Machinga!K262+Ntaja!K262</f>
        <v>50</v>
      </c>
      <c r="L262" s="26">
        <f>Balaka!L262+Liwonde!L262+Machinga!L262+Ntaja!L262</f>
        <v>51</v>
      </c>
      <c r="M262" s="26">
        <f>Balaka!M262+Liwonde!M262+Machinga!M262+Ntaja!M262</f>
        <v>48</v>
      </c>
      <c r="N262" s="26">
        <f>Balaka!N262+Liwonde!N262+Machinga!N262+Ntaja!N262</f>
        <v>36</v>
      </c>
      <c r="O262" s="26">
        <f>Balaka!O262+Liwonde!O262+Machinga!O262+Ntaja!O262</f>
        <v>53</v>
      </c>
      <c r="P262" s="40">
        <f>SUM(D262:O262)</f>
        <v>563</v>
      </c>
    </row>
    <row r="263" spans="1:16" ht="16.2" thickBot="1" x14ac:dyDescent="0.35">
      <c r="A263" s="298" t="s">
        <v>1</v>
      </c>
      <c r="B263" s="299"/>
      <c r="C263" s="116" t="s">
        <v>0</v>
      </c>
      <c r="D263" s="117">
        <f>D261/D262</f>
        <v>2</v>
      </c>
      <c r="E263" s="117">
        <f>E261/E262</f>
        <v>0.91489361702127658</v>
      </c>
      <c r="F263" s="117">
        <f>F261/F262</f>
        <v>1.4166666666666667</v>
      </c>
      <c r="G263" s="117">
        <f>G261/G262</f>
        <v>1.22</v>
      </c>
      <c r="H263" s="117">
        <f>H261/H262</f>
        <v>1.4489795918367347</v>
      </c>
      <c r="I263" s="117">
        <f t="shared" ref="I263:P263" si="110">I261/I262</f>
        <v>1.2678571428571428</v>
      </c>
      <c r="J263" s="117">
        <f t="shared" si="110"/>
        <v>1.8</v>
      </c>
      <c r="K263" s="117">
        <f t="shared" si="110"/>
        <v>1.62</v>
      </c>
      <c r="L263" s="117">
        <f t="shared" si="110"/>
        <v>2.1960784313725492</v>
      </c>
      <c r="M263" s="117">
        <f t="shared" si="110"/>
        <v>1.2708333333333333</v>
      </c>
      <c r="N263" s="117">
        <f t="shared" si="110"/>
        <v>1.4166666666666667</v>
      </c>
      <c r="O263" s="117">
        <f t="shared" si="110"/>
        <v>1.8301886792452831</v>
      </c>
      <c r="P263" s="207">
        <f t="shared" si="110"/>
        <v>1.5204262877442274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62A4-E565-4F29-B210-215D9E6D1237}">
  <sheetPr codeName="Sheet12"/>
  <dimension ref="A1:H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521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55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552"/>
    </row>
    <row r="3" spans="1:8" ht="18" thickBot="1" x14ac:dyDescent="0.35">
      <c r="A3" s="221" t="s">
        <v>217</v>
      </c>
      <c r="B3" s="222"/>
      <c r="C3" s="222"/>
      <c r="D3" s="222"/>
      <c r="E3" s="222"/>
      <c r="F3" s="222"/>
      <c r="G3" s="222"/>
      <c r="H3" s="563"/>
    </row>
    <row r="4" spans="1:8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553"/>
    </row>
    <row r="5" spans="1:8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564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565"/>
    </row>
    <row r="7" spans="1:8" ht="16.2" thickBot="1" x14ac:dyDescent="0.35">
      <c r="A7" s="241" t="s">
        <v>174</v>
      </c>
      <c r="B7" s="242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59" t="s">
        <v>160</v>
      </c>
    </row>
    <row r="8" spans="1:8" ht="16.2" thickBot="1" x14ac:dyDescent="0.35">
      <c r="A8" s="300" t="s">
        <v>159</v>
      </c>
      <c r="B8" s="301"/>
      <c r="C8" s="301"/>
      <c r="D8" s="301"/>
      <c r="E8" s="301"/>
      <c r="F8" s="301"/>
      <c r="G8" s="301"/>
      <c r="H8" s="554"/>
    </row>
    <row r="9" spans="1:8" x14ac:dyDescent="0.3">
      <c r="A9" s="245" t="s">
        <v>176</v>
      </c>
      <c r="B9" s="246"/>
      <c r="C9" s="58" t="s">
        <v>152</v>
      </c>
      <c r="D9" s="57">
        <f>Balaka!D9+Balaka!E9+Balaka!F9</f>
        <v>172680</v>
      </c>
      <c r="E9" s="57">
        <f>Liwonde!D9+Liwonde!E9+Liwonde!F9</f>
        <v>181289</v>
      </c>
      <c r="F9" s="57">
        <f>Machinga!D9+Machinga!E9+Machinga!F9</f>
        <v>10062</v>
      </c>
      <c r="G9" s="57">
        <f>Ntaja!D9+Ntaja!E9+Ntaja!F9</f>
        <v>10908.01</v>
      </c>
      <c r="H9" s="153">
        <f>SUM(D9:G9)</f>
        <v>374939.01</v>
      </c>
    </row>
    <row r="10" spans="1:8" x14ac:dyDescent="0.3">
      <c r="A10" s="280" t="s">
        <v>177</v>
      </c>
      <c r="B10" s="281"/>
      <c r="C10" s="281"/>
      <c r="D10" s="303"/>
      <c r="E10" s="303"/>
      <c r="F10" s="303"/>
      <c r="G10" s="303"/>
      <c r="H10" s="555"/>
    </row>
    <row r="11" spans="1:8" x14ac:dyDescent="0.3">
      <c r="A11" s="243" t="s">
        <v>157</v>
      </c>
      <c r="B11" s="244"/>
      <c r="C11" s="11" t="s">
        <v>152</v>
      </c>
      <c r="D11" s="26">
        <f>Balaka!D11+Balaka!E11+Balaka!F11</f>
        <v>74648</v>
      </c>
      <c r="E11" s="26">
        <f>Liwonde!D11+Liwonde!E11+Liwonde!F11</f>
        <v>70623</v>
      </c>
      <c r="F11" s="26">
        <f>Machinga!D11+Machinga!E11+Machinga!F11</f>
        <v>4368</v>
      </c>
      <c r="G11" s="26">
        <f>Ntaja!D11+Ntaja!E11+Ntaja!F11</f>
        <v>1071</v>
      </c>
      <c r="H11" s="55">
        <f>SUM(D11:G11)</f>
        <v>150710</v>
      </c>
    </row>
    <row r="12" spans="1:8" x14ac:dyDescent="0.3">
      <c r="A12" s="243" t="s">
        <v>156</v>
      </c>
      <c r="B12" s="244"/>
      <c r="C12" s="11" t="s">
        <v>152</v>
      </c>
      <c r="D12" s="26">
        <f>Balaka!D12+Balaka!E12+Balaka!F12</f>
        <v>2469</v>
      </c>
      <c r="E12" s="26">
        <f>Liwonde!D12+Liwonde!E12+Liwonde!F12</f>
        <v>1159</v>
      </c>
      <c r="F12" s="26">
        <f>Machinga!D12+Machinga!E12+Machinga!F12</f>
        <v>0</v>
      </c>
      <c r="G12" s="26">
        <f>Ntaja!D12+Ntaja!E12+Ntaja!F12</f>
        <v>0</v>
      </c>
      <c r="H12" s="55">
        <f>SUM(D12:G12)</f>
        <v>3628</v>
      </c>
    </row>
    <row r="13" spans="1:8" x14ac:dyDescent="0.3">
      <c r="A13" s="243" t="s">
        <v>155</v>
      </c>
      <c r="B13" s="244"/>
      <c r="C13" s="11" t="s">
        <v>152</v>
      </c>
      <c r="D13" s="26">
        <f>Balaka!D13+Balaka!E13+Balaka!F13</f>
        <v>3203</v>
      </c>
      <c r="E13" s="26">
        <f>Liwonde!D13+Liwonde!E13+Liwonde!F13</f>
        <v>6694</v>
      </c>
      <c r="F13" s="26">
        <f>Machinga!D13+Machinga!E13+Machinga!F13</f>
        <v>1717</v>
      </c>
      <c r="G13" s="26">
        <f>Ntaja!D13+Ntaja!E13+Ntaja!F13</f>
        <v>45</v>
      </c>
      <c r="H13" s="55">
        <f>SUM(D13:G13)</f>
        <v>11659</v>
      </c>
    </row>
    <row r="14" spans="1:8" x14ac:dyDescent="0.3">
      <c r="A14" s="237" t="s">
        <v>154</v>
      </c>
      <c r="B14" s="238"/>
      <c r="C14" s="11" t="s">
        <v>152</v>
      </c>
      <c r="D14" s="26">
        <f>Balaka!D14+Balaka!E14+Balaka!F14</f>
        <v>258</v>
      </c>
      <c r="E14" s="26">
        <f>Liwonde!D14+Liwonde!E14+Liwonde!F14</f>
        <v>416</v>
      </c>
      <c r="F14" s="26">
        <f>Machinga!D14+Machinga!E14+Machinga!F14</f>
        <v>0</v>
      </c>
      <c r="G14" s="26">
        <f>Ntaja!D14+Ntaja!E14+Ntaja!F14</f>
        <v>2</v>
      </c>
      <c r="H14" s="55">
        <f>SUM(D14:G14)</f>
        <v>676</v>
      </c>
    </row>
    <row r="15" spans="1:8" s="63" customFormat="1" x14ac:dyDescent="0.3">
      <c r="A15" s="239" t="s">
        <v>158</v>
      </c>
      <c r="B15" s="240"/>
      <c r="C15" s="62" t="s">
        <v>152</v>
      </c>
      <c r="D15" s="34">
        <f t="shared" ref="D15:H15" si="0">SUM(D11:D14)</f>
        <v>80578</v>
      </c>
      <c r="E15" s="34">
        <f t="shared" si="0"/>
        <v>78892</v>
      </c>
      <c r="F15" s="34">
        <f t="shared" si="0"/>
        <v>6085</v>
      </c>
      <c r="G15" s="34">
        <f t="shared" si="0"/>
        <v>1118</v>
      </c>
      <c r="H15" s="55">
        <f t="shared" si="0"/>
        <v>166673</v>
      </c>
    </row>
    <row r="16" spans="1:8" s="2" customFormat="1" x14ac:dyDescent="0.3">
      <c r="A16" s="280" t="s">
        <v>178</v>
      </c>
      <c r="B16" s="281"/>
      <c r="C16" s="281"/>
      <c r="D16" s="281"/>
      <c r="E16" s="281"/>
      <c r="F16" s="281"/>
      <c r="G16" s="281"/>
      <c r="H16" s="555"/>
    </row>
    <row r="17" spans="1:8" s="2" customFormat="1" x14ac:dyDescent="0.3">
      <c r="A17" s="243" t="s">
        <v>180</v>
      </c>
      <c r="B17" s="244"/>
      <c r="C17" s="11" t="s">
        <v>152</v>
      </c>
      <c r="D17" s="26">
        <f>Balaka!D17+Balaka!E17+Balaka!F17</f>
        <v>21722</v>
      </c>
      <c r="E17" s="26">
        <f>Liwonde!D17+Liwonde!E17+Liwonde!F17</f>
        <v>30656.3</v>
      </c>
      <c r="F17" s="26">
        <f>Machinga!D17+Machinga!E17+Machinga!F17</f>
        <v>2571.1999999999998</v>
      </c>
      <c r="G17" s="26">
        <f>Ntaja!D17+Ntaja!E17+Ntaja!F17</f>
        <v>3304.9</v>
      </c>
      <c r="H17" s="55">
        <f>SUM(D17:G17)</f>
        <v>58254.400000000001</v>
      </c>
    </row>
    <row r="18" spans="1:8" s="2" customFormat="1" x14ac:dyDescent="0.3">
      <c r="A18" s="243" t="s">
        <v>181</v>
      </c>
      <c r="B18" s="244"/>
      <c r="C18" s="11" t="s">
        <v>152</v>
      </c>
      <c r="D18" s="26">
        <f>Balaka!D18+Balaka!E18+Balaka!F18</f>
        <v>0</v>
      </c>
      <c r="E18" s="26">
        <f>Liwonde!D18+Liwonde!E18+Liwonde!F18</f>
        <v>0</v>
      </c>
      <c r="F18" s="26">
        <f>Machinga!D18+Machinga!E18+Machinga!F18</f>
        <v>0</v>
      </c>
      <c r="G18" s="26">
        <f>Ntaja!D18+Ntaja!E18+Ntaja!F18</f>
        <v>92</v>
      </c>
      <c r="H18" s="55">
        <f>SUM(D18:G18)</f>
        <v>92</v>
      </c>
    </row>
    <row r="19" spans="1:8" s="2" customFormat="1" x14ac:dyDescent="0.3">
      <c r="A19" s="243" t="s">
        <v>182</v>
      </c>
      <c r="B19" s="244"/>
      <c r="C19" s="11" t="s">
        <v>152</v>
      </c>
      <c r="D19" s="26">
        <f>Balaka!D19+Balaka!E19+Balaka!F19</f>
        <v>0</v>
      </c>
      <c r="E19" s="26">
        <f>Liwonde!D19+Liwonde!E19+Liwonde!F19</f>
        <v>0</v>
      </c>
      <c r="F19" s="26">
        <f>Machinga!D19+Machinga!E19+Machinga!F19</f>
        <v>0</v>
      </c>
      <c r="G19" s="26">
        <f>Ntaja!D19+Ntaja!E19+Ntaja!F19</f>
        <v>128</v>
      </c>
      <c r="H19" s="55">
        <f>SUM(D19:G19)</f>
        <v>128</v>
      </c>
    </row>
    <row r="20" spans="1:8" s="2" customFormat="1" x14ac:dyDescent="0.3">
      <c r="A20" s="237" t="s">
        <v>183</v>
      </c>
      <c r="B20" s="238"/>
      <c r="C20" s="11" t="s">
        <v>152</v>
      </c>
      <c r="D20" s="26">
        <f>Balaka!D20+Balaka!E20+Balaka!F20</f>
        <v>0</v>
      </c>
      <c r="E20" s="26">
        <f>Liwonde!D20+Liwonde!E20+Liwonde!F20</f>
        <v>0</v>
      </c>
      <c r="F20" s="26">
        <f>Machinga!D20+Machinga!E20+Machinga!F20</f>
        <v>0</v>
      </c>
      <c r="G20" s="26">
        <f>Ntaja!D20+Ntaja!E20+Ntaja!F20</f>
        <v>163</v>
      </c>
      <c r="H20" s="55">
        <f>SUM(D20:G20)</f>
        <v>163</v>
      </c>
    </row>
    <row r="21" spans="1:8" s="73" customFormat="1" x14ac:dyDescent="0.3">
      <c r="A21" s="239" t="s">
        <v>184</v>
      </c>
      <c r="B21" s="240"/>
      <c r="C21" s="62" t="s">
        <v>152</v>
      </c>
      <c r="D21" s="34">
        <f>SUM(D17:D20)</f>
        <v>21722</v>
      </c>
      <c r="E21" s="34">
        <f t="shared" ref="E21:H21" si="1">SUM(E17:E20)</f>
        <v>30656.3</v>
      </c>
      <c r="F21" s="34">
        <f t="shared" si="1"/>
        <v>2571.1999999999998</v>
      </c>
      <c r="G21" s="34">
        <f t="shared" si="1"/>
        <v>3687.9</v>
      </c>
      <c r="H21" s="55">
        <f t="shared" si="1"/>
        <v>58637.4</v>
      </c>
    </row>
    <row r="22" spans="1:8" s="2" customFormat="1" x14ac:dyDescent="0.3">
      <c r="A22" s="236" t="s">
        <v>185</v>
      </c>
      <c r="B22" s="224"/>
      <c r="C22" s="11" t="s">
        <v>152</v>
      </c>
      <c r="D22" s="34">
        <f>D21+D15</f>
        <v>102300</v>
      </c>
      <c r="E22" s="34">
        <f t="shared" ref="E22:H22" si="2">E21+E15</f>
        <v>109548.3</v>
      </c>
      <c r="F22" s="34">
        <f t="shared" si="2"/>
        <v>8656.2000000000007</v>
      </c>
      <c r="G22" s="34">
        <f t="shared" si="2"/>
        <v>4805.8999999999996</v>
      </c>
      <c r="H22" s="55">
        <f t="shared" si="2"/>
        <v>225310.4</v>
      </c>
    </row>
    <row r="23" spans="1:8" x14ac:dyDescent="0.3">
      <c r="A23" s="280" t="s">
        <v>215</v>
      </c>
      <c r="B23" s="281"/>
      <c r="C23" s="281"/>
      <c r="D23" s="281"/>
      <c r="E23" s="281"/>
      <c r="F23" s="281"/>
      <c r="G23" s="281"/>
      <c r="H23" s="555"/>
    </row>
    <row r="24" spans="1:8" x14ac:dyDescent="0.3">
      <c r="A24" s="229" t="s">
        <v>179</v>
      </c>
      <c r="B24" s="37" t="s">
        <v>153</v>
      </c>
      <c r="C24" s="5" t="s">
        <v>152</v>
      </c>
      <c r="D24" s="54">
        <f>D9-D22</f>
        <v>70380</v>
      </c>
      <c r="E24" s="54">
        <f t="shared" ref="E24:H24" si="3">E9-E22</f>
        <v>71740.7</v>
      </c>
      <c r="F24" s="54">
        <f t="shared" si="3"/>
        <v>1405.7999999999993</v>
      </c>
      <c r="G24" s="54">
        <f t="shared" si="3"/>
        <v>6102.1100000000006</v>
      </c>
      <c r="H24" s="162">
        <f t="shared" si="3"/>
        <v>149628.61000000002</v>
      </c>
    </row>
    <row r="25" spans="1:8" x14ac:dyDescent="0.3">
      <c r="A25" s="231"/>
      <c r="B25" s="53" t="s">
        <v>151</v>
      </c>
      <c r="C25" s="52" t="s">
        <v>6</v>
      </c>
      <c r="D25" s="51">
        <f t="shared" ref="D25:H25" si="4">D24/D9</f>
        <v>0.40757470465601114</v>
      </c>
      <c r="E25" s="51">
        <f t="shared" si="4"/>
        <v>0.39572560938611828</v>
      </c>
      <c r="F25" s="51">
        <f t="shared" si="4"/>
        <v>0.13971377459749545</v>
      </c>
      <c r="G25" s="51">
        <f t="shared" si="4"/>
        <v>0.55941551208698936</v>
      </c>
      <c r="H25" s="154">
        <f t="shared" si="4"/>
        <v>0.39907453214857536</v>
      </c>
    </row>
    <row r="26" spans="1:8" x14ac:dyDescent="0.3">
      <c r="A26" s="280" t="s">
        <v>150</v>
      </c>
      <c r="B26" s="281"/>
      <c r="C26" s="281"/>
      <c r="D26" s="281"/>
      <c r="E26" s="281"/>
      <c r="F26" s="281"/>
      <c r="G26" s="281"/>
      <c r="H26" s="555"/>
    </row>
    <row r="27" spans="1:8" x14ac:dyDescent="0.3">
      <c r="A27" s="227" t="s">
        <v>149</v>
      </c>
      <c r="B27" s="228"/>
      <c r="C27" s="228"/>
      <c r="D27" s="228"/>
      <c r="E27" s="228"/>
      <c r="F27" s="228"/>
      <c r="G27" s="228"/>
      <c r="H27" s="556"/>
    </row>
    <row r="28" spans="1:8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6"/>
    </row>
    <row r="29" spans="1:8" x14ac:dyDescent="0.3">
      <c r="A29" s="249" t="s">
        <v>146</v>
      </c>
      <c r="B29" s="579">
        <f>176264.5/50</f>
        <v>3525.29</v>
      </c>
      <c r="C29" s="5" t="s">
        <v>140</v>
      </c>
      <c r="D29" s="26">
        <f>Balaka!D29+Balaka!E29+Balaka!F29</f>
        <v>340</v>
      </c>
      <c r="E29" s="26">
        <f>Liwonde!D29+Liwonde!E29+Liwonde!F29</f>
        <v>1050</v>
      </c>
      <c r="F29" s="26">
        <f>Machinga!D29+Machinga!E29+Machinga!F29</f>
        <v>33</v>
      </c>
      <c r="G29" s="26">
        <f>Ntaja!D29+Ntaja!E29+Ntaja!F29</f>
        <v>20</v>
      </c>
      <c r="H29" s="45">
        <f>SUM(D29:G29)</f>
        <v>1443</v>
      </c>
    </row>
    <row r="30" spans="1:8" x14ac:dyDescent="0.3">
      <c r="A30" s="250"/>
      <c r="B30" s="579"/>
      <c r="C30" s="42" t="s">
        <v>139</v>
      </c>
      <c r="D30" s="15">
        <f t="shared" ref="D30:H30" si="5">D29/(D9/1000)</f>
        <v>1.9689599258744497</v>
      </c>
      <c r="E30" s="15">
        <f t="shared" si="5"/>
        <v>5.7918572003817115</v>
      </c>
      <c r="F30" s="15">
        <f t="shared" si="5"/>
        <v>3.2796660703637448</v>
      </c>
      <c r="G30" s="15">
        <f t="shared" si="5"/>
        <v>1.8335150041116572</v>
      </c>
      <c r="H30" s="40">
        <f t="shared" si="5"/>
        <v>3.8486259405229668</v>
      </c>
    </row>
    <row r="31" spans="1:8" x14ac:dyDescent="0.3">
      <c r="A31" s="247" t="s">
        <v>145</v>
      </c>
      <c r="B31" s="579">
        <f>53000.511/50</f>
        <v>1060.0102199999999</v>
      </c>
      <c r="C31" s="5" t="s">
        <v>140</v>
      </c>
      <c r="D31" s="26">
        <f>Balaka!D31+Balaka!E31+Balaka!F31</f>
        <v>0</v>
      </c>
      <c r="E31" s="26">
        <f>Liwonde!D31+Liwonde!E31+Liwonde!F31</f>
        <v>0</v>
      </c>
      <c r="F31" s="26">
        <f>Machinga!D31+Machinga!E31+Machinga!F31</f>
        <v>0</v>
      </c>
      <c r="G31" s="26">
        <f>Ntaja!D31+Ntaja!E31+Ntaja!F31</f>
        <v>0</v>
      </c>
      <c r="H31" s="45">
        <f>SUM(D31:G31)</f>
        <v>0</v>
      </c>
    </row>
    <row r="32" spans="1:8" x14ac:dyDescent="0.3">
      <c r="A32" s="248"/>
      <c r="B32" s="579"/>
      <c r="C32" s="42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40">
        <f t="shared" si="6"/>
        <v>0</v>
      </c>
    </row>
    <row r="33" spans="1:8" x14ac:dyDescent="0.3">
      <c r="A33" s="247" t="s">
        <v>144</v>
      </c>
      <c r="B33" s="579">
        <f>61414.43/50</f>
        <v>1228.2886000000001</v>
      </c>
      <c r="C33" s="5" t="s">
        <v>140</v>
      </c>
      <c r="D33" s="26">
        <f>Balaka!D33+Balaka!E33+Balaka!F33</f>
        <v>0</v>
      </c>
      <c r="E33" s="26">
        <f>Liwonde!D33+Liwonde!E33+Liwonde!F33</f>
        <v>0</v>
      </c>
      <c r="F33" s="26">
        <f>Machinga!D33+Machinga!E33+Machinga!F33</f>
        <v>0</v>
      </c>
      <c r="G33" s="26">
        <f>Ntaja!D33+Ntaja!E33+Ntaja!F33</f>
        <v>0</v>
      </c>
      <c r="H33" s="45">
        <f>SUM(D33:G33)</f>
        <v>0</v>
      </c>
    </row>
    <row r="34" spans="1:8" x14ac:dyDescent="0.3">
      <c r="A34" s="248"/>
      <c r="B34" s="579"/>
      <c r="C34" s="42" t="s">
        <v>139</v>
      </c>
      <c r="D34" s="15">
        <f t="shared" ref="D34:H38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40">
        <f t="shared" si="7"/>
        <v>0</v>
      </c>
    </row>
    <row r="35" spans="1:8" x14ac:dyDescent="0.3">
      <c r="A35" s="247" t="s">
        <v>143</v>
      </c>
      <c r="B35" s="579">
        <f>745345.16/200</f>
        <v>3726.7258000000002</v>
      </c>
      <c r="C35" s="5" t="s">
        <v>126</v>
      </c>
      <c r="D35" s="26">
        <f>Balaka!D35+Balaka!E35+Balaka!F35</f>
        <v>0</v>
      </c>
      <c r="E35" s="26">
        <f>Liwonde!D35+Liwonde!E35+Liwonde!F35</f>
        <v>549</v>
      </c>
      <c r="F35" s="26">
        <f>Machinga!D35+Machinga!E35+Machinga!F35</f>
        <v>0</v>
      </c>
      <c r="G35" s="26">
        <f>Ntaja!D35+Ntaja!E35+Ntaja!F35</f>
        <v>0</v>
      </c>
      <c r="H35" s="45">
        <f>SUM(D35:G35)</f>
        <v>549</v>
      </c>
    </row>
    <row r="36" spans="1:8" x14ac:dyDescent="0.3">
      <c r="A36" s="248"/>
      <c r="B36" s="579"/>
      <c r="C36" s="5" t="s">
        <v>142</v>
      </c>
      <c r="D36" s="15">
        <f t="shared" si="7"/>
        <v>0</v>
      </c>
      <c r="E36" s="15">
        <f t="shared" si="7"/>
        <v>7.7736714668025995</v>
      </c>
      <c r="F36" s="15">
        <f t="shared" si="7"/>
        <v>0</v>
      </c>
      <c r="G36" s="15">
        <f t="shared" si="7"/>
        <v>0</v>
      </c>
      <c r="H36" s="40">
        <f t="shared" si="7"/>
        <v>3.6427576139605864</v>
      </c>
    </row>
    <row r="37" spans="1:8" x14ac:dyDescent="0.3">
      <c r="A37" s="247" t="s">
        <v>186</v>
      </c>
      <c r="B37" s="579">
        <f>790318.72/200</f>
        <v>3951.5935999999997</v>
      </c>
      <c r="C37" s="5" t="s">
        <v>126</v>
      </c>
      <c r="D37" s="26">
        <f>Balaka!D37+Balaka!E37+Balaka!F37</f>
        <v>0</v>
      </c>
      <c r="E37" s="26">
        <f>Liwonde!D37+Liwonde!E37+Liwonde!F37</f>
        <v>0</v>
      </c>
      <c r="F37" s="26">
        <f>Machinga!D37+Machinga!E37+Machinga!F37</f>
        <v>0</v>
      </c>
      <c r="G37" s="26">
        <f>Ntaja!D37+Ntaja!E37+Ntaja!F37</f>
        <v>0</v>
      </c>
      <c r="H37" s="45">
        <f>SUM(D37:G37)</f>
        <v>0</v>
      </c>
    </row>
    <row r="38" spans="1:8" x14ac:dyDescent="0.3">
      <c r="A38" s="248"/>
      <c r="B38" s="579"/>
      <c r="C38" s="5" t="s">
        <v>142</v>
      </c>
      <c r="D38" s="15">
        <f t="shared" si="7"/>
        <v>0</v>
      </c>
      <c r="E38" s="15">
        <f t="shared" si="7"/>
        <v>0</v>
      </c>
      <c r="F38" s="15">
        <f t="shared" si="7"/>
        <v>0</v>
      </c>
      <c r="G38" s="15">
        <f t="shared" si="7"/>
        <v>0</v>
      </c>
      <c r="H38" s="40">
        <f t="shared" si="7"/>
        <v>0</v>
      </c>
    </row>
    <row r="39" spans="1:8" x14ac:dyDescent="0.3">
      <c r="A39" s="247" t="s">
        <v>141</v>
      </c>
      <c r="B39" s="579">
        <v>1950</v>
      </c>
      <c r="C39" s="5" t="s">
        <v>140</v>
      </c>
      <c r="D39" s="26">
        <f>Balaka!D39+Balaka!E39+Balaka!F39</f>
        <v>0</v>
      </c>
      <c r="E39" s="26">
        <f>Liwonde!D39+Liwonde!E39+Liwonde!F39</f>
        <v>0</v>
      </c>
      <c r="F39" s="26">
        <f>Machinga!D39+Machinga!E39+Machinga!F39</f>
        <v>0</v>
      </c>
      <c r="G39" s="26">
        <f>Ntaja!D39+Ntaja!E39+Ntaja!F39</f>
        <v>0</v>
      </c>
      <c r="H39" s="45">
        <f>SUM(D39:G39)</f>
        <v>0</v>
      </c>
    </row>
    <row r="40" spans="1:8" x14ac:dyDescent="0.3">
      <c r="A40" s="248"/>
      <c r="B40" s="579"/>
      <c r="C40" s="42" t="s">
        <v>139</v>
      </c>
      <c r="D40" s="15">
        <f t="shared" ref="D40:H40" si="8">D39/(D9/1000)</f>
        <v>0</v>
      </c>
      <c r="E40" s="15">
        <f t="shared" si="8"/>
        <v>0</v>
      </c>
      <c r="F40" s="15">
        <f t="shared" si="8"/>
        <v>0</v>
      </c>
      <c r="G40" s="15">
        <f t="shared" si="8"/>
        <v>0</v>
      </c>
      <c r="H40" s="40">
        <f t="shared" si="8"/>
        <v>0</v>
      </c>
    </row>
    <row r="41" spans="1:8" x14ac:dyDescent="0.3">
      <c r="A41" s="237" t="s">
        <v>138</v>
      </c>
      <c r="B41" s="238"/>
      <c r="C41" s="11" t="s">
        <v>31</v>
      </c>
      <c r="D41" s="41">
        <f>(D29*$B29)+(D31*$B31)+(D33*$B33)+(D35*$B35)+(D37*$B37)+(D39*$B39)</f>
        <v>1198598.6000000001</v>
      </c>
      <c r="E41" s="41">
        <f t="shared" ref="E41:G41" si="9">(E29*$B29)+(E31*$B31)+(E33*$B33)+(E35*$B35)+(E37*$B37)+(E39*$B39)</f>
        <v>5747526.9642000003</v>
      </c>
      <c r="F41" s="41">
        <f t="shared" si="9"/>
        <v>116334.56999999999</v>
      </c>
      <c r="G41" s="41">
        <f t="shared" si="9"/>
        <v>70505.8</v>
      </c>
      <c r="H41" s="39">
        <f>SUM(D41:G41)</f>
        <v>7132965.9342000009</v>
      </c>
    </row>
    <row r="42" spans="1:8" x14ac:dyDescent="0.3">
      <c r="A42" s="256" t="s">
        <v>137</v>
      </c>
      <c r="B42" s="257"/>
      <c r="C42" s="42" t="s">
        <v>115</v>
      </c>
      <c r="D42" s="15">
        <f t="shared" ref="D42:H42" si="10">D41/D9</f>
        <v>6.9411547370859399</v>
      </c>
      <c r="E42" s="15">
        <f t="shared" si="10"/>
        <v>31.703671839990292</v>
      </c>
      <c r="F42" s="15">
        <f t="shared" si="10"/>
        <v>11.561774001192605</v>
      </c>
      <c r="G42" s="15">
        <f t="shared" si="10"/>
        <v>6.4636721088447846</v>
      </c>
      <c r="H42" s="515">
        <f t="shared" si="10"/>
        <v>19.02433660930614</v>
      </c>
    </row>
    <row r="43" spans="1:8" x14ac:dyDescent="0.3">
      <c r="A43" s="251" t="s">
        <v>136</v>
      </c>
      <c r="B43" s="252"/>
      <c r="C43" s="252"/>
      <c r="D43" s="252"/>
      <c r="E43" s="252"/>
      <c r="F43" s="252"/>
      <c r="G43" s="252"/>
      <c r="H43" s="557"/>
    </row>
    <row r="44" spans="1:8" x14ac:dyDescent="0.3">
      <c r="A44" s="237" t="s">
        <v>135</v>
      </c>
      <c r="B44" s="238"/>
      <c r="C44" s="11" t="s">
        <v>134</v>
      </c>
      <c r="D44" s="26">
        <f>Balaka!D44+Balaka!E44+Balaka!F44</f>
        <v>123156</v>
      </c>
      <c r="E44" s="26">
        <f>Liwonde!D44+Liwonde!E44+Liwonde!F44</f>
        <v>200550</v>
      </c>
      <c r="F44" s="26">
        <f>Machinga!D44+Machinga!E44+Machinga!F44</f>
        <v>1276</v>
      </c>
      <c r="G44" s="26">
        <f>Ntaja!D44+Ntaja!E44+Ntaja!F44</f>
        <v>11097.69</v>
      </c>
      <c r="H44" s="39">
        <f>SUM(D44:G44)</f>
        <v>336079.69</v>
      </c>
    </row>
    <row r="45" spans="1:8" x14ac:dyDescent="0.3">
      <c r="A45" s="256" t="s">
        <v>133</v>
      </c>
      <c r="B45" s="257"/>
      <c r="C45" s="42" t="s">
        <v>132</v>
      </c>
      <c r="D45" s="15">
        <f t="shared" ref="D45:H45" si="11">D44/D9</f>
        <v>0.71320361362056983</v>
      </c>
      <c r="E45" s="15">
        <f t="shared" si="11"/>
        <v>1.1062447252729068</v>
      </c>
      <c r="F45" s="15">
        <f t="shared" si="11"/>
        <v>0.12681375472073148</v>
      </c>
      <c r="G45" s="15">
        <f t="shared" si="11"/>
        <v>1.0173890562989949</v>
      </c>
      <c r="H45" s="40">
        <f t="shared" si="11"/>
        <v>0.89635829037901393</v>
      </c>
    </row>
    <row r="46" spans="1:8" x14ac:dyDescent="0.3">
      <c r="A46" s="254" t="s">
        <v>131</v>
      </c>
      <c r="B46" s="255"/>
      <c r="C46" s="5" t="s">
        <v>31</v>
      </c>
      <c r="D46" s="26">
        <f>Balaka!D46+Balaka!E46+Balaka!F46</f>
        <v>17137359.233999997</v>
      </c>
      <c r="E46" s="26">
        <f>Liwonde!D46+Liwonde!E46+Liwonde!F46</f>
        <v>27875892.824999999</v>
      </c>
      <c r="F46" s="26">
        <f>Machinga!D46+Machinga!E46+Machinga!F46</f>
        <v>226326.41400000002</v>
      </c>
      <c r="G46" s="26">
        <f>Ntaja!D46+Ntaja!E46+Ntaja!F46</f>
        <v>1589100.6340350001</v>
      </c>
      <c r="H46" s="39">
        <f>SUM(D46:G46)</f>
        <v>46828679.107034996</v>
      </c>
    </row>
    <row r="47" spans="1:8" s="2" customFormat="1" x14ac:dyDescent="0.3">
      <c r="A47" s="237" t="s">
        <v>130</v>
      </c>
      <c r="B47" s="238"/>
      <c r="C47" s="11" t="s">
        <v>115</v>
      </c>
      <c r="D47" s="15">
        <f t="shared" ref="D47:H47" si="12">D46/D9</f>
        <v>99.243451667824857</v>
      </c>
      <c r="E47" s="15">
        <f t="shared" si="12"/>
        <v>153.76494340528106</v>
      </c>
      <c r="F47" s="15">
        <f t="shared" si="12"/>
        <v>22.493183661299941</v>
      </c>
      <c r="G47" s="15">
        <f t="shared" si="12"/>
        <v>145.68199277732603</v>
      </c>
      <c r="H47" s="40">
        <f t="shared" si="12"/>
        <v>124.89679083282104</v>
      </c>
    </row>
    <row r="48" spans="1:8" x14ac:dyDescent="0.3">
      <c r="A48" s="251" t="s">
        <v>129</v>
      </c>
      <c r="B48" s="252"/>
      <c r="C48" s="252"/>
      <c r="D48" s="252"/>
      <c r="E48" s="252"/>
      <c r="F48" s="252"/>
      <c r="G48" s="252"/>
      <c r="H48" s="557"/>
    </row>
    <row r="49" spans="1:8" x14ac:dyDescent="0.3">
      <c r="A49" s="237" t="s">
        <v>128</v>
      </c>
      <c r="B49" s="238"/>
      <c r="C49" s="5" t="s">
        <v>127</v>
      </c>
      <c r="D49" s="26">
        <f>Balaka!D49+Balaka!E49+Balaka!F49</f>
        <v>6580</v>
      </c>
      <c r="E49" s="26">
        <f>Liwonde!D49+Liwonde!E49+Liwonde!F49</f>
        <v>7533</v>
      </c>
      <c r="F49" s="26">
        <f>Machinga!D49+Machinga!E49+Machinga!F49</f>
        <v>0</v>
      </c>
      <c r="G49" s="26">
        <f>Ntaja!D49+Ntaja!E49+Ntaja!F49</f>
        <v>0</v>
      </c>
      <c r="H49" s="39">
        <f>SUM(D49:G49)</f>
        <v>14113</v>
      </c>
    </row>
    <row r="50" spans="1:8" x14ac:dyDescent="0.3">
      <c r="A50" s="237" t="s">
        <v>187</v>
      </c>
      <c r="B50" s="238"/>
      <c r="C50" s="5" t="s">
        <v>126</v>
      </c>
      <c r="D50" s="26">
        <f>Balaka!D50+Balaka!E50+Balaka!F50</f>
        <v>613</v>
      </c>
      <c r="E50" s="26">
        <f>Liwonde!D50+Liwonde!E50+Liwonde!F50</f>
        <v>763</v>
      </c>
      <c r="F50" s="26">
        <f>Machinga!D50+Machinga!E50+Machinga!F50</f>
        <v>0</v>
      </c>
      <c r="G50" s="26">
        <f>Ntaja!D50+Ntaja!E50+Ntaja!F50</f>
        <v>0</v>
      </c>
      <c r="H50" s="39">
        <f>SUM(D50:G50)</f>
        <v>1376</v>
      </c>
    </row>
    <row r="51" spans="1:8" x14ac:dyDescent="0.3">
      <c r="A51" s="254" t="s">
        <v>125</v>
      </c>
      <c r="B51" s="255"/>
      <c r="C51" s="5" t="s">
        <v>31</v>
      </c>
      <c r="D51" s="26">
        <f>Balaka!D51+Balaka!E51+Balaka!F51</f>
        <v>1119400</v>
      </c>
      <c r="E51" s="26">
        <f>Liwonde!D51+Liwonde!E51+Liwonde!F51</f>
        <v>1464960</v>
      </c>
      <c r="F51" s="26">
        <f>Machinga!D51+Machinga!E51+Machinga!F51</f>
        <v>0</v>
      </c>
      <c r="G51" s="26">
        <f>Ntaja!D51+Ntaja!E51+Ntaja!F51</f>
        <v>0</v>
      </c>
      <c r="H51" s="40">
        <f>SUM(D51:G51)</f>
        <v>2584360</v>
      </c>
    </row>
    <row r="52" spans="1:8" x14ac:dyDescent="0.3">
      <c r="A52" s="237" t="s">
        <v>124</v>
      </c>
      <c r="B52" s="238"/>
      <c r="C52" s="5" t="s">
        <v>31</v>
      </c>
      <c r="D52" s="26">
        <f>Balaka!D52+Balaka!E52+Balaka!F52</f>
        <v>0</v>
      </c>
      <c r="E52" s="26">
        <f>Liwonde!D52+Liwonde!E52+Liwonde!F52</f>
        <v>0</v>
      </c>
      <c r="F52" s="26">
        <f>Machinga!D52+Machinga!E52+Machinga!F52</f>
        <v>0</v>
      </c>
      <c r="G52" s="26">
        <f>Ntaja!D52+Ntaja!E52+Ntaja!F52</f>
        <v>0</v>
      </c>
      <c r="H52" s="40">
        <f>SUM(D52:G52)</f>
        <v>0</v>
      </c>
    </row>
    <row r="53" spans="1:8" x14ac:dyDescent="0.3">
      <c r="A53" s="251" t="s">
        <v>123</v>
      </c>
      <c r="B53" s="252"/>
      <c r="C53" s="252"/>
      <c r="D53" s="252"/>
      <c r="E53" s="252"/>
      <c r="F53" s="252"/>
      <c r="G53" s="252"/>
      <c r="H53" s="557"/>
    </row>
    <row r="54" spans="1:8" x14ac:dyDescent="0.3">
      <c r="A54" s="237" t="s">
        <v>122</v>
      </c>
      <c r="B54" s="238"/>
      <c r="C54" s="11" t="s">
        <v>18</v>
      </c>
      <c r="D54" s="26">
        <f>Balaka!D54+Balaka!E54+Balaka!F54</f>
        <v>17104283.109999999</v>
      </c>
      <c r="E54" s="26">
        <f>Liwonde!D54+Liwonde!E54+Liwonde!F54</f>
        <v>26719050.149999999</v>
      </c>
      <c r="F54" s="26">
        <f>Machinga!D54+Machinga!E54+Machinga!F54</f>
        <v>3148535.58</v>
      </c>
      <c r="G54" s="26">
        <f>Ntaja!D54+Ntaja!E54+Ntaja!F54</f>
        <v>4755785.62</v>
      </c>
      <c r="H54" s="39">
        <f>SUM(D54:G54)</f>
        <v>51727654.459999993</v>
      </c>
    </row>
    <row r="55" spans="1:8" x14ac:dyDescent="0.3">
      <c r="A55" s="223" t="s">
        <v>121</v>
      </c>
      <c r="B55" s="224"/>
      <c r="C55" s="11" t="s">
        <v>18</v>
      </c>
      <c r="D55" s="26">
        <f>Balaka!D55+Balaka!E55+Balaka!F55</f>
        <v>4449987.87</v>
      </c>
      <c r="E55" s="26">
        <f>Liwonde!D55+Liwonde!E55+Liwonde!F55</f>
        <v>12285761.689999999</v>
      </c>
      <c r="F55" s="26">
        <f>Machinga!D55+Machinga!E55+Machinga!F55</f>
        <v>2416730.2800000003</v>
      </c>
      <c r="G55" s="26">
        <f>Ntaja!D55+Ntaja!E55+Ntaja!F55</f>
        <v>942719.92999999993</v>
      </c>
      <c r="H55" s="39">
        <f>SUM(D55:G55)</f>
        <v>20095199.77</v>
      </c>
    </row>
    <row r="56" spans="1:8" x14ac:dyDescent="0.3">
      <c r="A56" s="237" t="s">
        <v>120</v>
      </c>
      <c r="B56" s="238"/>
      <c r="C56" s="5" t="s">
        <v>18</v>
      </c>
      <c r="D56" s="26">
        <f>Balaka!D56+Balaka!E56+Balaka!F56</f>
        <v>5735117</v>
      </c>
      <c r="E56" s="26">
        <f>Liwonde!D56+Liwonde!E56+Liwonde!F56</f>
        <v>2509122</v>
      </c>
      <c r="F56" s="26">
        <f>Machinga!D56+Machinga!E56+Machinga!F56</f>
        <v>2819500</v>
      </c>
      <c r="G56" s="26">
        <f>Ntaja!D56+Ntaja!E56+Ntaja!F56</f>
        <v>72000</v>
      </c>
      <c r="H56" s="39">
        <f>SUM(D56:G56)</f>
        <v>11135739</v>
      </c>
    </row>
    <row r="57" spans="1:8" x14ac:dyDescent="0.3">
      <c r="A57" s="251" t="s">
        <v>119</v>
      </c>
      <c r="B57" s="252"/>
      <c r="C57" s="252"/>
      <c r="D57" s="252"/>
      <c r="E57" s="252"/>
      <c r="F57" s="252"/>
      <c r="G57" s="252"/>
      <c r="H57" s="557"/>
    </row>
    <row r="58" spans="1:8" x14ac:dyDescent="0.3">
      <c r="A58" s="254" t="s">
        <v>118</v>
      </c>
      <c r="B58" s="255"/>
      <c r="C58" s="5" t="s">
        <v>18</v>
      </c>
      <c r="D58" s="13">
        <f>D41+D46+D51+D52+D54+D55+D56</f>
        <v>46744745.813999996</v>
      </c>
      <c r="E58" s="13">
        <f t="shared" ref="E58:G58" si="13">E41+E46+E51+E52+E54+E55+E56</f>
        <v>76602313.629199997</v>
      </c>
      <c r="F58" s="13">
        <f t="shared" si="13"/>
        <v>8727426.8440000005</v>
      </c>
      <c r="G58" s="13">
        <f t="shared" si="13"/>
        <v>7430111.9840350002</v>
      </c>
      <c r="H58" s="39">
        <f>SUM(D58:G58)</f>
        <v>139504598.27123499</v>
      </c>
    </row>
    <row r="59" spans="1:8" x14ac:dyDescent="0.3">
      <c r="A59" s="254" t="s">
        <v>117</v>
      </c>
      <c r="B59" s="255"/>
      <c r="C59" s="5" t="s">
        <v>115</v>
      </c>
      <c r="D59" s="15">
        <f t="shared" ref="D59:H59" si="14">D58/D9</f>
        <v>270.70156250868655</v>
      </c>
      <c r="E59" s="15">
        <f t="shared" si="14"/>
        <v>422.5425350087429</v>
      </c>
      <c r="F59" s="15">
        <f t="shared" si="14"/>
        <v>867.36502126813764</v>
      </c>
      <c r="G59" s="15">
        <f t="shared" si="14"/>
        <v>681.16109024790035</v>
      </c>
      <c r="H59" s="40">
        <f t="shared" si="14"/>
        <v>372.07277597291085</v>
      </c>
    </row>
    <row r="60" spans="1:8" x14ac:dyDescent="0.3">
      <c r="A60" s="254" t="s">
        <v>116</v>
      </c>
      <c r="B60" s="255"/>
      <c r="C60" s="5" t="s">
        <v>115</v>
      </c>
      <c r="D60" s="15">
        <f>D58/D22</f>
        <v>456.93788674486797</v>
      </c>
      <c r="E60" s="15">
        <f t="shared" ref="E60:G60" si="15">E58/E22</f>
        <v>699.25606905082043</v>
      </c>
      <c r="F60" s="15">
        <f t="shared" si="15"/>
        <v>1008.2284193988124</v>
      </c>
      <c r="G60" s="15">
        <f t="shared" si="15"/>
        <v>1546.0396562631352</v>
      </c>
      <c r="H60" s="149">
        <f>H58/H22</f>
        <v>619.16626250379477</v>
      </c>
    </row>
    <row r="61" spans="1:8" x14ac:dyDescent="0.3">
      <c r="A61" s="237" t="s">
        <v>114</v>
      </c>
      <c r="B61" s="238"/>
      <c r="C61" s="5" t="s">
        <v>3</v>
      </c>
      <c r="D61" s="26">
        <f>Balaka!F61</f>
        <v>16</v>
      </c>
      <c r="E61" s="26">
        <f>Liwonde!F61</f>
        <v>13</v>
      </c>
      <c r="F61" s="26">
        <f>Machinga!F61</f>
        <v>2</v>
      </c>
      <c r="G61" s="26">
        <f>Ntaja!F61</f>
        <v>6</v>
      </c>
      <c r="H61" s="39">
        <f>SUM(D61:G61)</f>
        <v>37</v>
      </c>
    </row>
    <row r="62" spans="1:8" ht="15.6" customHeight="1" x14ac:dyDescent="0.3">
      <c r="A62" s="254" t="s">
        <v>113</v>
      </c>
      <c r="B62" s="255"/>
      <c r="C62" s="5" t="s">
        <v>112</v>
      </c>
      <c r="D62" s="15">
        <f t="shared" ref="D62:H62" si="16">(D61*1000*31)/D9</f>
        <v>2.8723650683344917</v>
      </c>
      <c r="E62" s="15">
        <f t="shared" si="16"/>
        <v>2.2229699540512664</v>
      </c>
      <c r="F62" s="15">
        <f t="shared" si="16"/>
        <v>6.161796859471278</v>
      </c>
      <c r="G62" s="15">
        <f t="shared" si="16"/>
        <v>17.051689538238413</v>
      </c>
      <c r="H62" s="40">
        <f t="shared" si="16"/>
        <v>3.0591642091336402</v>
      </c>
    </row>
    <row r="63" spans="1:8" x14ac:dyDescent="0.3">
      <c r="A63" s="258" t="s">
        <v>111</v>
      </c>
      <c r="B63" s="259"/>
      <c r="C63" s="38" t="s">
        <v>3</v>
      </c>
      <c r="D63" s="26">
        <f>Balaka!F63</f>
        <v>21</v>
      </c>
      <c r="E63" s="26">
        <f>Liwonde!F63</f>
        <v>19</v>
      </c>
      <c r="F63" s="26">
        <f>Machinga!F63</f>
        <v>6</v>
      </c>
      <c r="G63" s="26">
        <f>Ntaja!F63</f>
        <v>6</v>
      </c>
      <c r="H63" s="39">
        <f>SUM(D63:G63)</f>
        <v>52</v>
      </c>
    </row>
    <row r="64" spans="1:8" x14ac:dyDescent="0.3">
      <c r="A64" s="260"/>
      <c r="B64" s="261"/>
      <c r="C64" s="261"/>
      <c r="D64" s="261"/>
      <c r="E64" s="261"/>
      <c r="F64" s="261"/>
      <c r="G64" s="261"/>
      <c r="H64" s="558"/>
    </row>
    <row r="65" spans="1:8" ht="14.4" customHeight="1" x14ac:dyDescent="0.3">
      <c r="A65" s="251" t="s">
        <v>110</v>
      </c>
      <c r="B65" s="252"/>
      <c r="C65" s="252"/>
      <c r="D65" s="252"/>
      <c r="E65" s="252"/>
      <c r="F65" s="252"/>
      <c r="G65" s="252"/>
      <c r="H65" s="557"/>
    </row>
    <row r="66" spans="1:8" x14ac:dyDescent="0.3">
      <c r="A66" s="229" t="s">
        <v>109</v>
      </c>
      <c r="B66" s="37" t="s">
        <v>85</v>
      </c>
      <c r="C66" s="5" t="s">
        <v>3</v>
      </c>
      <c r="D66" s="26">
        <f>Balaka!D66</f>
        <v>435</v>
      </c>
      <c r="E66" s="26">
        <f>Liwonde!D66</f>
        <v>288</v>
      </c>
      <c r="F66" s="26">
        <f>Machinga!D66</f>
        <v>22</v>
      </c>
      <c r="G66" s="26">
        <f>Ntaja!D66</f>
        <v>2</v>
      </c>
      <c r="H66" s="146">
        <f>SUM(D66:G66)</f>
        <v>747</v>
      </c>
    </row>
    <row r="67" spans="1:8" x14ac:dyDescent="0.3">
      <c r="A67" s="230"/>
      <c r="B67" s="24" t="s">
        <v>104</v>
      </c>
      <c r="C67" s="5" t="s">
        <v>3</v>
      </c>
      <c r="D67" s="26">
        <f>Balaka!D67+Balaka!E67+Balaka!F67</f>
        <v>73</v>
      </c>
      <c r="E67" s="26">
        <f>Liwonde!D67+Liwonde!E67+Liwonde!F67</f>
        <v>112</v>
      </c>
      <c r="F67" s="26">
        <f>Machinga!D67+Machinga!E67+Machinga!F67</f>
        <v>27</v>
      </c>
      <c r="G67" s="26">
        <f>Ntaja!D67+Ntaja!E67+Ntaja!F67</f>
        <v>37</v>
      </c>
      <c r="H67" s="146">
        <f>SUM(D67:G67)</f>
        <v>249</v>
      </c>
    </row>
    <row r="68" spans="1:8" ht="27" x14ac:dyDescent="0.3">
      <c r="A68" s="230"/>
      <c r="B68" s="24" t="s">
        <v>103</v>
      </c>
      <c r="C68" s="5" t="s">
        <v>3</v>
      </c>
      <c r="D68" s="26">
        <f>Balaka!D68+Balaka!E68+Balaka!F68</f>
        <v>88</v>
      </c>
      <c r="E68" s="26">
        <f>Liwonde!D68+Liwonde!E68+Liwonde!F68</f>
        <v>58</v>
      </c>
      <c r="F68" s="26">
        <f>Machinga!D68+Machinga!E68+Machinga!F68</f>
        <v>6</v>
      </c>
      <c r="G68" s="26">
        <f>Ntaja!D68+Ntaja!E68+Ntaja!F68</f>
        <v>0</v>
      </c>
      <c r="H68" s="146">
        <f>SUM(D68:G68)</f>
        <v>152</v>
      </c>
    </row>
    <row r="69" spans="1:8" s="2" customFormat="1" ht="27" x14ac:dyDescent="0.3">
      <c r="A69" s="230"/>
      <c r="B69" s="24" t="s">
        <v>102</v>
      </c>
      <c r="C69" s="11" t="s">
        <v>3</v>
      </c>
      <c r="D69" s="26">
        <f>Balaka!D69+Balaka!E69+Balaka!F69</f>
        <v>0</v>
      </c>
      <c r="E69" s="26">
        <f>Liwonde!D69+Liwonde!E69+Liwonde!F69</f>
        <v>23</v>
      </c>
      <c r="F69" s="26">
        <f>Machinga!D69+Machinga!E69+Machinga!F69</f>
        <v>31</v>
      </c>
      <c r="G69" s="26">
        <f>Ntaja!D69+Ntaja!E69+Ntaja!F69</f>
        <v>26</v>
      </c>
      <c r="H69" s="147">
        <f>SUM(D69:G69)</f>
        <v>80</v>
      </c>
    </row>
    <row r="70" spans="1:8" s="2" customFormat="1" x14ac:dyDescent="0.3">
      <c r="A70" s="230"/>
      <c r="B70" s="24" t="s">
        <v>188</v>
      </c>
      <c r="C70" s="11" t="s">
        <v>3</v>
      </c>
      <c r="D70" s="4">
        <f>D68+D69</f>
        <v>88</v>
      </c>
      <c r="E70" s="4">
        <f t="shared" ref="E70:H70" si="17">E68+E69</f>
        <v>81</v>
      </c>
      <c r="F70" s="4">
        <f t="shared" si="17"/>
        <v>37</v>
      </c>
      <c r="G70" s="4">
        <f t="shared" si="17"/>
        <v>26</v>
      </c>
      <c r="H70" s="148">
        <f t="shared" si="17"/>
        <v>232</v>
      </c>
    </row>
    <row r="71" spans="1:8" x14ac:dyDescent="0.3">
      <c r="A71" s="231"/>
      <c r="B71" s="37" t="s">
        <v>81</v>
      </c>
      <c r="C71" s="5" t="s">
        <v>3</v>
      </c>
      <c r="D71" s="26">
        <f>D66+D67-D70</f>
        <v>420</v>
      </c>
      <c r="E71" s="26">
        <f t="shared" ref="E71:G71" si="18">E66+E67-E70</f>
        <v>319</v>
      </c>
      <c r="F71" s="26">
        <f t="shared" si="18"/>
        <v>12</v>
      </c>
      <c r="G71" s="26">
        <f t="shared" si="18"/>
        <v>13</v>
      </c>
      <c r="H71" s="149">
        <f>H66+H67-H70</f>
        <v>764</v>
      </c>
    </row>
    <row r="72" spans="1:8" x14ac:dyDescent="0.3">
      <c r="A72" s="229" t="s">
        <v>108</v>
      </c>
      <c r="B72" s="37" t="s">
        <v>85</v>
      </c>
      <c r="C72" s="5" t="s">
        <v>3</v>
      </c>
      <c r="D72" s="26">
        <f>Balaka!D72</f>
        <v>0</v>
      </c>
      <c r="E72" s="26">
        <f>Liwonde!D72</f>
        <v>0</v>
      </c>
      <c r="F72" s="26">
        <f>Machinga!D72</f>
        <v>0</v>
      </c>
      <c r="G72" s="26">
        <f>Ntaja!D72</f>
        <v>0</v>
      </c>
      <c r="H72" s="146">
        <f>SUM(D72:G72)</f>
        <v>0</v>
      </c>
    </row>
    <row r="73" spans="1:8" x14ac:dyDescent="0.3">
      <c r="A73" s="230"/>
      <c r="B73" s="24" t="s">
        <v>104</v>
      </c>
      <c r="C73" s="5" t="s">
        <v>3</v>
      </c>
      <c r="D73" s="26">
        <f>Balaka!D73+Balaka!E73+Balaka!F73</f>
        <v>0</v>
      </c>
      <c r="E73" s="26">
        <f>Liwonde!D73+Liwonde!E73+Liwonde!F73</f>
        <v>0</v>
      </c>
      <c r="F73" s="26">
        <f>Machinga!D73+Machinga!E73+Machinga!F73</f>
        <v>0</v>
      </c>
      <c r="G73" s="26">
        <f>Ntaja!D73+Ntaja!E73+Ntaja!F73</f>
        <v>0</v>
      </c>
      <c r="H73" s="146">
        <f>SUM(D73:G73)</f>
        <v>0</v>
      </c>
    </row>
    <row r="74" spans="1:8" ht="27" x14ac:dyDescent="0.3">
      <c r="A74" s="230"/>
      <c r="B74" s="24" t="s">
        <v>103</v>
      </c>
      <c r="C74" s="5" t="s">
        <v>3</v>
      </c>
      <c r="D74" s="26">
        <f>Balaka!D74+Balaka!E74+Balaka!F74</f>
        <v>0</v>
      </c>
      <c r="E74" s="26">
        <f>Liwonde!D74+Liwonde!E74+Liwonde!F74</f>
        <v>0</v>
      </c>
      <c r="F74" s="26">
        <f>Machinga!D74+Machinga!E74+Machinga!F74</f>
        <v>0</v>
      </c>
      <c r="G74" s="26">
        <f>Ntaja!D74+Ntaja!E74+Ntaja!F74</f>
        <v>0</v>
      </c>
      <c r="H74" s="146">
        <f>SUM(D74:G74)</f>
        <v>0</v>
      </c>
    </row>
    <row r="75" spans="1:8" s="2" customFormat="1" ht="27" x14ac:dyDescent="0.3">
      <c r="A75" s="230"/>
      <c r="B75" s="24" t="s">
        <v>102</v>
      </c>
      <c r="C75" s="11" t="s">
        <v>3</v>
      </c>
      <c r="D75" s="26">
        <f>Balaka!D75+Balaka!E75+Balaka!F75</f>
        <v>0</v>
      </c>
      <c r="E75" s="26">
        <f>Liwonde!D75+Liwonde!E75+Liwonde!F75</f>
        <v>0</v>
      </c>
      <c r="F75" s="26">
        <f>Machinga!D75+Machinga!E75+Machinga!F75</f>
        <v>0</v>
      </c>
      <c r="G75" s="26">
        <f>Ntaja!D75+Ntaja!E75+Ntaja!F75</f>
        <v>0</v>
      </c>
      <c r="H75" s="146">
        <f>SUM(D75:G75)</f>
        <v>0</v>
      </c>
    </row>
    <row r="76" spans="1:8" s="2" customFormat="1" x14ac:dyDescent="0.3">
      <c r="A76" s="230"/>
      <c r="B76" s="24" t="s">
        <v>188</v>
      </c>
      <c r="C76" s="11" t="s">
        <v>3</v>
      </c>
      <c r="D76" s="4">
        <f>D74+D75</f>
        <v>0</v>
      </c>
      <c r="E76" s="4">
        <f t="shared" ref="E76:H76" si="19">E74+E75</f>
        <v>0</v>
      </c>
      <c r="F76" s="4">
        <f t="shared" si="19"/>
        <v>0</v>
      </c>
      <c r="G76" s="4">
        <f t="shared" si="19"/>
        <v>0</v>
      </c>
      <c r="H76" s="148">
        <f t="shared" si="19"/>
        <v>0</v>
      </c>
    </row>
    <row r="77" spans="1:8" x14ac:dyDescent="0.3">
      <c r="A77" s="231"/>
      <c r="B77" s="37" t="s">
        <v>81</v>
      </c>
      <c r="C77" s="5" t="s">
        <v>3</v>
      </c>
      <c r="D77" s="26">
        <f>D73+D74-D76</f>
        <v>0</v>
      </c>
      <c r="E77" s="26">
        <f t="shared" ref="E77:H77" si="20">E73+E74-E76</f>
        <v>0</v>
      </c>
      <c r="F77" s="26">
        <f t="shared" si="20"/>
        <v>0</v>
      </c>
      <c r="G77" s="26">
        <f t="shared" si="20"/>
        <v>0</v>
      </c>
      <c r="H77" s="149">
        <f t="shared" si="20"/>
        <v>0</v>
      </c>
    </row>
    <row r="78" spans="1:8" ht="15.6" customHeight="1" x14ac:dyDescent="0.3">
      <c r="A78" s="229" t="s">
        <v>107</v>
      </c>
      <c r="B78" s="37" t="s">
        <v>85</v>
      </c>
      <c r="C78" s="5" t="s">
        <v>3</v>
      </c>
      <c r="D78" s="26">
        <f>Balaka!D78</f>
        <v>0</v>
      </c>
      <c r="E78" s="26">
        <f>Liwonde!D78</f>
        <v>0</v>
      </c>
      <c r="F78" s="26">
        <f>Machinga!D78</f>
        <v>0</v>
      </c>
      <c r="G78" s="26">
        <f>Ntaja!D78</f>
        <v>0</v>
      </c>
      <c r="H78" s="146">
        <f>SUM(D78:G78)</f>
        <v>0</v>
      </c>
    </row>
    <row r="79" spans="1:8" x14ac:dyDescent="0.3">
      <c r="A79" s="230"/>
      <c r="B79" s="24" t="s">
        <v>104</v>
      </c>
      <c r="C79" s="5" t="s">
        <v>3</v>
      </c>
      <c r="D79" s="26">
        <f>Balaka!D79+Balaka!E79+Balaka!F79</f>
        <v>0</v>
      </c>
      <c r="E79" s="26">
        <f>Liwonde!D79+Liwonde!E79+Liwonde!F79</f>
        <v>0</v>
      </c>
      <c r="F79" s="26">
        <f>Machinga!D79+Machinga!E79+Machinga!F79</f>
        <v>0</v>
      </c>
      <c r="G79" s="26">
        <f>Ntaja!D79+Ntaja!E79+Ntaja!F79</f>
        <v>0</v>
      </c>
      <c r="H79" s="146">
        <f>SUM(D79:G79)</f>
        <v>0</v>
      </c>
    </row>
    <row r="80" spans="1:8" ht="27" x14ac:dyDescent="0.3">
      <c r="A80" s="230"/>
      <c r="B80" s="24" t="s">
        <v>103</v>
      </c>
      <c r="C80" s="5" t="s">
        <v>3</v>
      </c>
      <c r="D80" s="26">
        <f>Balaka!D80+Balaka!E80+Balaka!F80</f>
        <v>0</v>
      </c>
      <c r="E80" s="26">
        <f>Liwonde!D80+Liwonde!E80+Liwonde!F80</f>
        <v>0</v>
      </c>
      <c r="F80" s="26">
        <f>Machinga!D80+Machinga!E80+Machinga!F80</f>
        <v>0</v>
      </c>
      <c r="G80" s="26">
        <f>Ntaja!D80+Ntaja!E80+Ntaja!F80</f>
        <v>0</v>
      </c>
      <c r="H80" s="146">
        <f>SUM(D80:G80)</f>
        <v>0</v>
      </c>
    </row>
    <row r="81" spans="1:8" s="2" customFormat="1" ht="27" x14ac:dyDescent="0.3">
      <c r="A81" s="230"/>
      <c r="B81" s="24" t="s">
        <v>102</v>
      </c>
      <c r="C81" s="11" t="s">
        <v>3</v>
      </c>
      <c r="D81" s="26">
        <f>Balaka!D81+Balaka!E81+Balaka!F81</f>
        <v>0</v>
      </c>
      <c r="E81" s="26">
        <f>Liwonde!D81+Liwonde!E81+Liwonde!F81</f>
        <v>0</v>
      </c>
      <c r="F81" s="26">
        <f>Machinga!D81+Machinga!E81+Machinga!F81</f>
        <v>0</v>
      </c>
      <c r="G81" s="26">
        <f>Ntaja!D81+Ntaja!E81+Ntaja!F81</f>
        <v>0</v>
      </c>
      <c r="H81" s="147">
        <f>SUM(D81:G81)</f>
        <v>0</v>
      </c>
    </row>
    <row r="82" spans="1:8" s="2" customFormat="1" x14ac:dyDescent="0.3">
      <c r="A82" s="230"/>
      <c r="B82" s="24" t="s">
        <v>188</v>
      </c>
      <c r="C82" s="11" t="s">
        <v>3</v>
      </c>
      <c r="D82" s="4">
        <f>D81+D80</f>
        <v>0</v>
      </c>
      <c r="E82" s="4">
        <f t="shared" ref="E82:H82" si="21">E81+E80</f>
        <v>0</v>
      </c>
      <c r="F82" s="4">
        <f t="shared" si="21"/>
        <v>0</v>
      </c>
      <c r="G82" s="4">
        <f t="shared" si="21"/>
        <v>0</v>
      </c>
      <c r="H82" s="148">
        <f t="shared" si="21"/>
        <v>0</v>
      </c>
    </row>
    <row r="83" spans="1:8" x14ac:dyDescent="0.3">
      <c r="A83" s="231"/>
      <c r="B83" s="37" t="s">
        <v>81</v>
      </c>
      <c r="C83" s="5" t="s">
        <v>3</v>
      </c>
      <c r="D83" s="26">
        <f>D78+D79-D82</f>
        <v>0</v>
      </c>
      <c r="E83" s="26">
        <f t="shared" ref="E83:H83" si="22">E78+E79-E82</f>
        <v>0</v>
      </c>
      <c r="F83" s="26">
        <f t="shared" si="22"/>
        <v>0</v>
      </c>
      <c r="G83" s="26">
        <f t="shared" si="22"/>
        <v>0</v>
      </c>
      <c r="H83" s="149">
        <f t="shared" si="22"/>
        <v>0</v>
      </c>
    </row>
    <row r="84" spans="1:8" x14ac:dyDescent="0.3">
      <c r="A84" s="265" t="s">
        <v>106</v>
      </c>
      <c r="B84" s="37" t="s">
        <v>85</v>
      </c>
      <c r="C84" s="5" t="s">
        <v>3</v>
      </c>
      <c r="D84" s="26">
        <f>Balaka!D84</f>
        <v>0</v>
      </c>
      <c r="E84" s="26">
        <f>Liwonde!D84</f>
        <v>0</v>
      </c>
      <c r="F84" s="26">
        <f>Machinga!D84</f>
        <v>0</v>
      </c>
      <c r="G84" s="26">
        <f>Ntaja!D84</f>
        <v>0</v>
      </c>
      <c r="H84" s="146">
        <f>SUM(D84:G84)</f>
        <v>0</v>
      </c>
    </row>
    <row r="85" spans="1:8" x14ac:dyDescent="0.3">
      <c r="A85" s="266"/>
      <c r="B85" s="37" t="s">
        <v>104</v>
      </c>
      <c r="C85" s="5" t="s">
        <v>3</v>
      </c>
      <c r="D85" s="26">
        <f>Balaka!D85+Balaka!E85+Balaka!F85</f>
        <v>0</v>
      </c>
      <c r="E85" s="26">
        <f>Liwonde!D85+Liwonde!E85+Liwonde!F85</f>
        <v>0</v>
      </c>
      <c r="F85" s="26">
        <f>Machinga!D85+Machinga!E85+Machinga!F85</f>
        <v>0</v>
      </c>
      <c r="G85" s="26">
        <f>Ntaja!D85+Ntaja!E85+Ntaja!F85</f>
        <v>0</v>
      </c>
      <c r="H85" s="146">
        <f>SUM(D85:G85)</f>
        <v>0</v>
      </c>
    </row>
    <row r="86" spans="1:8" ht="27" x14ac:dyDescent="0.3">
      <c r="A86" s="266"/>
      <c r="B86" s="37" t="s">
        <v>103</v>
      </c>
      <c r="C86" s="5" t="s">
        <v>3</v>
      </c>
      <c r="D86" s="26">
        <f>Balaka!D86+Balaka!E86+Balaka!F86</f>
        <v>0</v>
      </c>
      <c r="E86" s="26">
        <f>Liwonde!D86+Liwonde!E86+Liwonde!F86</f>
        <v>0</v>
      </c>
      <c r="F86" s="26">
        <f>Machinga!D86+Machinga!E86+Machinga!F86</f>
        <v>0</v>
      </c>
      <c r="G86" s="26">
        <f>Ntaja!D86+Ntaja!E86+Ntaja!F86</f>
        <v>0</v>
      </c>
      <c r="H86" s="146">
        <f>SUM(D86:G86)</f>
        <v>0</v>
      </c>
    </row>
    <row r="87" spans="1:8" s="2" customFormat="1" ht="27" x14ac:dyDescent="0.3">
      <c r="A87" s="266"/>
      <c r="B87" s="24" t="s">
        <v>102</v>
      </c>
      <c r="C87" s="11" t="s">
        <v>3</v>
      </c>
      <c r="D87" s="26">
        <f>Balaka!D87+Balaka!E87+Balaka!F87</f>
        <v>0</v>
      </c>
      <c r="E87" s="26">
        <f>Liwonde!D87+Liwonde!E87+Liwonde!F87</f>
        <v>0</v>
      </c>
      <c r="F87" s="26">
        <f>Machinga!D87+Machinga!E87+Machinga!F87</f>
        <v>0</v>
      </c>
      <c r="G87" s="26">
        <f>Ntaja!D87+Ntaja!E87+Ntaja!F87</f>
        <v>0</v>
      </c>
      <c r="H87" s="147">
        <f>SUM(D87:G87)</f>
        <v>0</v>
      </c>
    </row>
    <row r="88" spans="1:8" s="2" customFormat="1" x14ac:dyDescent="0.3">
      <c r="A88" s="266"/>
      <c r="B88" s="24" t="s">
        <v>188</v>
      </c>
      <c r="C88" s="11" t="s">
        <v>3</v>
      </c>
      <c r="D88" s="4">
        <f>D87+D86</f>
        <v>0</v>
      </c>
      <c r="E88" s="4">
        <f t="shared" ref="E88:G88" si="23">E87+E86</f>
        <v>0</v>
      </c>
      <c r="F88" s="4">
        <f t="shared" si="23"/>
        <v>0</v>
      </c>
      <c r="G88" s="4">
        <f t="shared" si="23"/>
        <v>0</v>
      </c>
      <c r="H88" s="147">
        <f>SUM(D88:G88)</f>
        <v>0</v>
      </c>
    </row>
    <row r="89" spans="1:8" x14ac:dyDescent="0.3">
      <c r="A89" s="267"/>
      <c r="B89" s="36" t="s">
        <v>81</v>
      </c>
      <c r="C89" s="5" t="s">
        <v>3</v>
      </c>
      <c r="D89" s="26">
        <f>D84+D85-D88</f>
        <v>0</v>
      </c>
      <c r="E89" s="26">
        <f t="shared" ref="E89:G89" si="24">E84+E85-E88</f>
        <v>0</v>
      </c>
      <c r="F89" s="26">
        <f t="shared" si="24"/>
        <v>0</v>
      </c>
      <c r="G89" s="26">
        <f t="shared" si="24"/>
        <v>0</v>
      </c>
      <c r="H89" s="149">
        <f t="shared" ref="H89" si="25">H84+H85-H86-H87</f>
        <v>0</v>
      </c>
    </row>
    <row r="90" spans="1:8" x14ac:dyDescent="0.3">
      <c r="A90" s="268" t="s">
        <v>105</v>
      </c>
      <c r="B90" s="24" t="s">
        <v>85</v>
      </c>
      <c r="C90" s="11" t="s">
        <v>3</v>
      </c>
      <c r="D90" s="136">
        <f>D66+D72+D78+D84</f>
        <v>435</v>
      </c>
      <c r="E90" s="136">
        <f t="shared" ref="E90:G90" si="26">E66+E72+E78+E84</f>
        <v>288</v>
      </c>
      <c r="F90" s="136">
        <f t="shared" si="26"/>
        <v>22</v>
      </c>
      <c r="G90" s="136">
        <f t="shared" si="26"/>
        <v>2</v>
      </c>
      <c r="H90" s="146">
        <f>SUM(D90:G90)</f>
        <v>747</v>
      </c>
    </row>
    <row r="91" spans="1:8" x14ac:dyDescent="0.3">
      <c r="A91" s="269"/>
      <c r="B91" s="24" t="s">
        <v>104</v>
      </c>
      <c r="C91" s="11" t="s">
        <v>3</v>
      </c>
      <c r="D91" s="136">
        <f t="shared" ref="D91:G93" si="27">D67+D73+D79+D85</f>
        <v>73</v>
      </c>
      <c r="E91" s="136">
        <f t="shared" si="27"/>
        <v>112</v>
      </c>
      <c r="F91" s="136">
        <f t="shared" si="27"/>
        <v>27</v>
      </c>
      <c r="G91" s="136">
        <f t="shared" si="27"/>
        <v>37</v>
      </c>
      <c r="H91" s="146">
        <f>SUM(D91:G91)</f>
        <v>249</v>
      </c>
    </row>
    <row r="92" spans="1:8" ht="27" x14ac:dyDescent="0.3">
      <c r="A92" s="269"/>
      <c r="B92" s="24" t="s">
        <v>103</v>
      </c>
      <c r="C92" s="11" t="s">
        <v>3</v>
      </c>
      <c r="D92" s="136">
        <f t="shared" si="27"/>
        <v>88</v>
      </c>
      <c r="E92" s="136">
        <f t="shared" si="27"/>
        <v>58</v>
      </c>
      <c r="F92" s="136">
        <f t="shared" si="27"/>
        <v>6</v>
      </c>
      <c r="G92" s="136">
        <f t="shared" si="27"/>
        <v>0</v>
      </c>
      <c r="H92" s="146">
        <f>SUM(D92:G92)</f>
        <v>152</v>
      </c>
    </row>
    <row r="93" spans="1:8" s="2" customFormat="1" ht="27" x14ac:dyDescent="0.3">
      <c r="A93" s="269"/>
      <c r="B93" s="24" t="s">
        <v>102</v>
      </c>
      <c r="C93" s="11"/>
      <c r="D93" s="136">
        <f t="shared" si="27"/>
        <v>0</v>
      </c>
      <c r="E93" s="136">
        <f t="shared" si="27"/>
        <v>23</v>
      </c>
      <c r="F93" s="136">
        <f t="shared" si="27"/>
        <v>31</v>
      </c>
      <c r="G93" s="136">
        <f t="shared" si="27"/>
        <v>26</v>
      </c>
      <c r="H93" s="146">
        <f>SUM(D93:G93)</f>
        <v>80</v>
      </c>
    </row>
    <row r="94" spans="1:8" s="2" customFormat="1" x14ac:dyDescent="0.3">
      <c r="A94" s="269"/>
      <c r="B94" s="24" t="s">
        <v>188</v>
      </c>
      <c r="C94" s="11" t="s">
        <v>3</v>
      </c>
      <c r="D94" s="137">
        <f>D93+D92</f>
        <v>88</v>
      </c>
      <c r="E94" s="137">
        <f t="shared" ref="E94:G94" si="28">E93+E92</f>
        <v>81</v>
      </c>
      <c r="F94" s="137">
        <f t="shared" si="28"/>
        <v>37</v>
      </c>
      <c r="G94" s="137">
        <f t="shared" si="28"/>
        <v>26</v>
      </c>
      <c r="H94" s="150">
        <f t="shared" ref="H94" si="29">H93+H92</f>
        <v>232</v>
      </c>
    </row>
    <row r="95" spans="1:8" ht="16.2" thickBot="1" x14ac:dyDescent="0.35">
      <c r="A95" s="270"/>
      <c r="B95" s="24" t="s">
        <v>81</v>
      </c>
      <c r="C95" s="11" t="s">
        <v>3</v>
      </c>
      <c r="D95" s="138">
        <f>D90+D91-D94</f>
        <v>420</v>
      </c>
      <c r="E95" s="138">
        <f t="shared" ref="E95:G95" si="30">E90+E91-E94</f>
        <v>319</v>
      </c>
      <c r="F95" s="138">
        <f t="shared" si="30"/>
        <v>12</v>
      </c>
      <c r="G95" s="138">
        <f t="shared" si="30"/>
        <v>13</v>
      </c>
      <c r="H95" s="151">
        <f t="shared" ref="H95" si="31">H90+H91-H94</f>
        <v>764</v>
      </c>
    </row>
    <row r="96" spans="1:8" ht="16.2" customHeight="1" thickBot="1" x14ac:dyDescent="0.35">
      <c r="A96" s="274"/>
      <c r="B96" s="275"/>
      <c r="C96" s="275"/>
      <c r="D96" s="275"/>
      <c r="E96" s="275"/>
      <c r="F96" s="275"/>
      <c r="G96" s="275"/>
      <c r="H96" s="566"/>
    </row>
    <row r="97" spans="1:8" s="2" customFormat="1" ht="15.75" customHeight="1" thickBot="1" x14ac:dyDescent="0.35">
      <c r="A97" s="271" t="s">
        <v>189</v>
      </c>
      <c r="B97" s="272"/>
      <c r="C97" s="272"/>
      <c r="D97" s="272"/>
      <c r="E97" s="272"/>
      <c r="F97" s="272"/>
      <c r="G97" s="272"/>
      <c r="H97" s="559"/>
    </row>
    <row r="98" spans="1:8" x14ac:dyDescent="0.3">
      <c r="A98" s="88" t="s">
        <v>190</v>
      </c>
      <c r="B98" s="69"/>
      <c r="C98" s="11" t="s">
        <v>3</v>
      </c>
      <c r="D98" s="26">
        <f>Balaka!D98+Balaka!E98+Balaka!F98</f>
        <v>2799</v>
      </c>
      <c r="E98" s="26">
        <f>Liwonde!D98+Liwonde!E98+Liwonde!F98</f>
        <v>2134</v>
      </c>
      <c r="F98" s="26">
        <f>Machinga!D98+Machinga!E98+Machinga!F98</f>
        <v>370</v>
      </c>
      <c r="G98" s="26">
        <f>Ntaja!D98+Ntaja!E98+Ntaja!F98</f>
        <v>192</v>
      </c>
      <c r="H98" s="169">
        <f>SUM(D98:G98)</f>
        <v>5495</v>
      </c>
    </row>
    <row r="99" spans="1:8" x14ac:dyDescent="0.3">
      <c r="A99" s="88"/>
      <c r="B99" s="24"/>
      <c r="C99" s="11"/>
      <c r="D99" s="65"/>
      <c r="E99" s="65"/>
      <c r="F99" s="65"/>
      <c r="G99" s="65"/>
      <c r="H99" s="144"/>
    </row>
    <row r="100" spans="1:8" s="2" customFormat="1" x14ac:dyDescent="0.3">
      <c r="A100" s="276" t="s">
        <v>101</v>
      </c>
      <c r="B100" s="277"/>
      <c r="C100" s="277"/>
      <c r="D100" s="277"/>
      <c r="E100" s="277"/>
      <c r="F100" s="277"/>
      <c r="G100" s="277"/>
      <c r="H100" s="560"/>
    </row>
    <row r="101" spans="1:8" x14ac:dyDescent="0.3">
      <c r="A101" s="237" t="s">
        <v>100</v>
      </c>
      <c r="B101" s="238"/>
      <c r="C101" s="11" t="s">
        <v>3</v>
      </c>
      <c r="D101" s="26">
        <f>Balaka!F101</f>
        <v>1938</v>
      </c>
      <c r="E101" s="26">
        <f>Liwonde!F101</f>
        <v>1307</v>
      </c>
      <c r="F101" s="26">
        <f>Machinga!F101</f>
        <v>0</v>
      </c>
      <c r="G101" s="26">
        <f>Ntaja!F101</f>
        <v>4</v>
      </c>
      <c r="H101" s="55">
        <f>SUM(D101:G101)</f>
        <v>3249</v>
      </c>
    </row>
    <row r="102" spans="1:8" x14ac:dyDescent="0.3">
      <c r="A102" s="237" t="s">
        <v>99</v>
      </c>
      <c r="B102" s="238"/>
      <c r="C102" s="11" t="s">
        <v>3</v>
      </c>
      <c r="D102" s="26">
        <f>Balaka!F102</f>
        <v>36</v>
      </c>
      <c r="E102" s="26">
        <f>Liwonde!F102</f>
        <v>40</v>
      </c>
      <c r="F102" s="26">
        <f>Machinga!F102</f>
        <v>0</v>
      </c>
      <c r="G102" s="26">
        <f>Ntaja!F102</f>
        <v>1</v>
      </c>
      <c r="H102" s="55">
        <f>SUM(D102:G102)</f>
        <v>77</v>
      </c>
    </row>
    <row r="103" spans="1:8" ht="15.6" customHeight="1" x14ac:dyDescent="0.3">
      <c r="A103" s="243" t="s">
        <v>98</v>
      </c>
      <c r="B103" s="244"/>
      <c r="C103" s="11" t="s">
        <v>3</v>
      </c>
      <c r="D103" s="26">
        <f>Balaka!F103</f>
        <v>98</v>
      </c>
      <c r="E103" s="26">
        <f>Liwonde!F103</f>
        <v>65</v>
      </c>
      <c r="F103" s="26">
        <f>Machinga!F103</f>
        <v>0</v>
      </c>
      <c r="G103" s="26">
        <f>Ntaja!F103</f>
        <v>0</v>
      </c>
      <c r="H103" s="55">
        <f>SUM(D103:G103)</f>
        <v>163</v>
      </c>
    </row>
    <row r="104" spans="1:8" x14ac:dyDescent="0.3">
      <c r="A104" s="243" t="s">
        <v>97</v>
      </c>
      <c r="B104" s="244"/>
      <c r="C104" s="11" t="s">
        <v>3</v>
      </c>
      <c r="D104" s="26">
        <f>Balaka!F104</f>
        <v>17</v>
      </c>
      <c r="E104" s="26">
        <f>Liwonde!F104</f>
        <v>15</v>
      </c>
      <c r="F104" s="26">
        <f>Machinga!F104</f>
        <v>0</v>
      </c>
      <c r="G104" s="26">
        <f>Ntaja!F104</f>
        <v>15</v>
      </c>
      <c r="H104" s="55">
        <f>SUM(D104:G104)</f>
        <v>47</v>
      </c>
    </row>
    <row r="105" spans="1:8" x14ac:dyDescent="0.3">
      <c r="A105" s="263" t="s">
        <v>96</v>
      </c>
      <c r="B105" s="264"/>
      <c r="C105" s="11" t="s">
        <v>3</v>
      </c>
      <c r="D105" s="33">
        <f>SUM(D101:D104)</f>
        <v>2089</v>
      </c>
      <c r="E105" s="33">
        <f t="shared" ref="E105:G105" si="32">SUM(E101:E104)</f>
        <v>1427</v>
      </c>
      <c r="F105" s="33">
        <f t="shared" si="32"/>
        <v>0</v>
      </c>
      <c r="G105" s="33">
        <f t="shared" si="32"/>
        <v>20</v>
      </c>
      <c r="H105" s="55">
        <f>SUM(D105:G105)</f>
        <v>3536</v>
      </c>
    </row>
    <row r="106" spans="1:8" s="2" customFormat="1" ht="15.6" customHeight="1" x14ac:dyDescent="0.3">
      <c r="A106" s="295" t="s">
        <v>210</v>
      </c>
      <c r="B106" s="296"/>
      <c r="C106" s="296"/>
      <c r="D106" s="296"/>
      <c r="E106" s="296"/>
      <c r="F106" s="296"/>
      <c r="G106" s="296"/>
      <c r="H106" s="561"/>
    </row>
    <row r="107" spans="1:8" x14ac:dyDescent="0.3">
      <c r="A107" s="237" t="s">
        <v>193</v>
      </c>
      <c r="B107" s="238"/>
      <c r="C107" s="11" t="s">
        <v>3</v>
      </c>
      <c r="D107" s="26">
        <f>Balaka!F107</f>
        <v>3657</v>
      </c>
      <c r="E107" s="26">
        <f>Liwonde!F107</f>
        <v>2801</v>
      </c>
      <c r="F107" s="26">
        <f>Machinga!F107</f>
        <v>151</v>
      </c>
      <c r="G107" s="26">
        <f>Ntaja!F107</f>
        <v>1</v>
      </c>
      <c r="H107" s="55">
        <f>SUM(D107:G107)</f>
        <v>6610</v>
      </c>
    </row>
    <row r="108" spans="1:8" x14ac:dyDescent="0.3">
      <c r="A108" s="237" t="s">
        <v>194</v>
      </c>
      <c r="B108" s="238"/>
      <c r="C108" s="11" t="s">
        <v>3</v>
      </c>
      <c r="D108" s="26">
        <f>Balaka!F108</f>
        <v>16</v>
      </c>
      <c r="E108" s="26">
        <f>Liwonde!F108</f>
        <v>13</v>
      </c>
      <c r="F108" s="26">
        <f>Machinga!F108</f>
        <v>2</v>
      </c>
      <c r="G108" s="26">
        <f>Ntaja!F108</f>
        <v>1</v>
      </c>
      <c r="H108" s="55">
        <f>SUM(D108:G108)</f>
        <v>32</v>
      </c>
    </row>
    <row r="109" spans="1:8" x14ac:dyDescent="0.3">
      <c r="A109" s="237" t="s">
        <v>195</v>
      </c>
      <c r="B109" s="238"/>
      <c r="C109" s="11" t="s">
        <v>3</v>
      </c>
      <c r="D109" s="26">
        <f>Balaka!F109</f>
        <v>11</v>
      </c>
      <c r="E109" s="26">
        <f>Liwonde!F109</f>
        <v>23</v>
      </c>
      <c r="F109" s="26">
        <f>Machinga!F109</f>
        <v>0</v>
      </c>
      <c r="G109" s="26">
        <f>Ntaja!F109</f>
        <v>0</v>
      </c>
      <c r="H109" s="55">
        <f>SUM(D109:G109)</f>
        <v>34</v>
      </c>
    </row>
    <row r="110" spans="1:8" x14ac:dyDescent="0.3">
      <c r="A110" s="237" t="s">
        <v>196</v>
      </c>
      <c r="B110" s="238"/>
      <c r="C110" s="11" t="s">
        <v>3</v>
      </c>
      <c r="D110" s="26">
        <f>Balaka!F110</f>
        <v>14</v>
      </c>
      <c r="E110" s="26">
        <f>Liwonde!F110</f>
        <v>13</v>
      </c>
      <c r="F110" s="26">
        <f>Machinga!F110</f>
        <v>0</v>
      </c>
      <c r="G110" s="26">
        <f>Ntaja!F110</f>
        <v>0</v>
      </c>
      <c r="H110" s="55">
        <f>SUM(D110:G110)</f>
        <v>27</v>
      </c>
    </row>
    <row r="111" spans="1:8" x14ac:dyDescent="0.3">
      <c r="A111" s="239" t="s">
        <v>95</v>
      </c>
      <c r="B111" s="240"/>
      <c r="C111" s="11" t="s">
        <v>3</v>
      </c>
      <c r="D111" s="33">
        <f>SUM(D107:D110)</f>
        <v>3698</v>
      </c>
      <c r="E111" s="33">
        <f t="shared" ref="E111:G111" si="33">SUM(E107:E110)</f>
        <v>2850</v>
      </c>
      <c r="F111" s="33">
        <f t="shared" si="33"/>
        <v>153</v>
      </c>
      <c r="G111" s="33">
        <f t="shared" si="33"/>
        <v>2</v>
      </c>
      <c r="H111" s="55">
        <f>SUM(D111:G111)</f>
        <v>6703</v>
      </c>
    </row>
    <row r="112" spans="1:8" s="2" customFormat="1" ht="15.6" customHeight="1" x14ac:dyDescent="0.3">
      <c r="A112" s="276" t="s">
        <v>210</v>
      </c>
      <c r="B112" s="277"/>
      <c r="C112" s="277"/>
      <c r="D112" s="277"/>
      <c r="E112" s="277"/>
      <c r="F112" s="277"/>
      <c r="G112" s="277"/>
      <c r="H112" s="560"/>
    </row>
    <row r="113" spans="1:8" x14ac:dyDescent="0.3">
      <c r="A113" s="237" t="s">
        <v>197</v>
      </c>
      <c r="B113" s="238"/>
      <c r="C113" s="11" t="s">
        <v>3</v>
      </c>
      <c r="D113" s="26">
        <f>Balaka!F113</f>
        <v>0</v>
      </c>
      <c r="E113" s="26">
        <f>Liwonde!F113</f>
        <v>887</v>
      </c>
      <c r="F113" s="26">
        <f>Machinga!F113</f>
        <v>139</v>
      </c>
      <c r="G113" s="26">
        <f>Ntaja!F113</f>
        <v>293</v>
      </c>
      <c r="H113" s="55">
        <f t="shared" ref="H113:H119" si="34">SUM(D113:G113)</f>
        <v>1319</v>
      </c>
    </row>
    <row r="114" spans="1:8" x14ac:dyDescent="0.3">
      <c r="A114" s="237" t="s">
        <v>198</v>
      </c>
      <c r="B114" s="238"/>
      <c r="C114" s="11" t="s">
        <v>3</v>
      </c>
      <c r="D114" s="26">
        <f>Balaka!F114</f>
        <v>92</v>
      </c>
      <c r="E114" s="26">
        <f>Liwonde!F114</f>
        <v>77</v>
      </c>
      <c r="F114" s="26">
        <f>Machinga!F114</f>
        <v>0</v>
      </c>
      <c r="G114" s="26">
        <f>Ntaja!F114</f>
        <v>13</v>
      </c>
      <c r="H114" s="55">
        <f t="shared" si="34"/>
        <v>182</v>
      </c>
    </row>
    <row r="115" spans="1:8" x14ac:dyDescent="0.3">
      <c r="A115" s="237" t="s">
        <v>199</v>
      </c>
      <c r="B115" s="238"/>
      <c r="C115" s="11" t="s">
        <v>3</v>
      </c>
      <c r="D115" s="26">
        <f>Balaka!F115</f>
        <v>90</v>
      </c>
      <c r="E115" s="26">
        <f>Liwonde!F115</f>
        <v>186</v>
      </c>
      <c r="F115" s="26">
        <f>Machinga!F115</f>
        <v>0</v>
      </c>
      <c r="G115" s="26">
        <f>Ntaja!F115</f>
        <v>17</v>
      </c>
      <c r="H115" s="55">
        <f t="shared" si="34"/>
        <v>293</v>
      </c>
    </row>
    <row r="116" spans="1:8" x14ac:dyDescent="0.3">
      <c r="A116" s="237" t="s">
        <v>200</v>
      </c>
      <c r="B116" s="238"/>
      <c r="C116" s="11" t="s">
        <v>3</v>
      </c>
      <c r="D116" s="26">
        <f>Balaka!F116</f>
        <v>0</v>
      </c>
      <c r="E116" s="26">
        <f>Liwonde!F116</f>
        <v>0</v>
      </c>
      <c r="F116" s="26">
        <f>Machinga!F116</f>
        <v>0</v>
      </c>
      <c r="G116" s="26">
        <f>Ntaja!F116</f>
        <v>3</v>
      </c>
      <c r="H116" s="55">
        <f t="shared" si="34"/>
        <v>3</v>
      </c>
    </row>
    <row r="117" spans="1:8" x14ac:dyDescent="0.3">
      <c r="A117" s="239" t="s">
        <v>94</v>
      </c>
      <c r="B117" s="240"/>
      <c r="C117" s="11" t="s">
        <v>3</v>
      </c>
      <c r="D117" s="33">
        <f>SUM(D113:D116)</f>
        <v>182</v>
      </c>
      <c r="E117" s="33">
        <f t="shared" ref="E117:G117" si="35">SUM(E113:E116)</f>
        <v>1150</v>
      </c>
      <c r="F117" s="33">
        <f t="shared" si="35"/>
        <v>139</v>
      </c>
      <c r="G117" s="33">
        <f t="shared" si="35"/>
        <v>326</v>
      </c>
      <c r="H117" s="55">
        <f t="shared" si="34"/>
        <v>1797</v>
      </c>
    </row>
    <row r="118" spans="1:8" s="2" customFormat="1" x14ac:dyDescent="0.3">
      <c r="A118" s="225" t="s">
        <v>191</v>
      </c>
      <c r="B118" s="226"/>
      <c r="C118" s="11" t="s">
        <v>3</v>
      </c>
      <c r="D118" s="33">
        <f>D117+D111</f>
        <v>3880</v>
      </c>
      <c r="E118" s="33">
        <f t="shared" ref="E118:G118" si="36">E117+E111</f>
        <v>4000</v>
      </c>
      <c r="F118" s="33">
        <f t="shared" si="36"/>
        <v>292</v>
      </c>
      <c r="G118" s="33">
        <f t="shared" si="36"/>
        <v>328</v>
      </c>
      <c r="H118" s="55">
        <f t="shared" si="34"/>
        <v>8500</v>
      </c>
    </row>
    <row r="119" spans="1:8" x14ac:dyDescent="0.3">
      <c r="A119" s="239" t="s">
        <v>192</v>
      </c>
      <c r="B119" s="240"/>
      <c r="C119" s="11" t="s">
        <v>3</v>
      </c>
      <c r="D119" s="33">
        <f>D118+D105</f>
        <v>5969</v>
      </c>
      <c r="E119" s="33">
        <f t="shared" ref="E119:G119" si="37">E118+E105</f>
        <v>5427</v>
      </c>
      <c r="F119" s="33">
        <f t="shared" si="37"/>
        <v>292</v>
      </c>
      <c r="G119" s="33">
        <f t="shared" si="37"/>
        <v>348</v>
      </c>
      <c r="H119" s="55">
        <f t="shared" si="34"/>
        <v>12036</v>
      </c>
    </row>
    <row r="120" spans="1:8" x14ac:dyDescent="0.3">
      <c r="A120" s="280" t="s">
        <v>201</v>
      </c>
      <c r="B120" s="281"/>
      <c r="C120" s="281"/>
      <c r="D120" s="281"/>
      <c r="E120" s="281"/>
      <c r="F120" s="281"/>
      <c r="G120" s="281"/>
      <c r="H120" s="555"/>
    </row>
    <row r="121" spans="1:8" x14ac:dyDescent="0.3">
      <c r="A121" s="237" t="s">
        <v>93</v>
      </c>
      <c r="B121" s="238"/>
      <c r="C121" s="5" t="s">
        <v>3</v>
      </c>
      <c r="D121" s="26">
        <f>Balaka!F121</f>
        <v>38115</v>
      </c>
      <c r="E121" s="26">
        <f>Liwonde!F121</f>
        <v>33727</v>
      </c>
      <c r="F121" s="26">
        <f>Machinga!F121</f>
        <v>0</v>
      </c>
      <c r="G121" s="26">
        <f>Ntaja!F121</f>
        <v>0</v>
      </c>
      <c r="H121" s="55">
        <f>SUM(D121:G121)</f>
        <v>71842</v>
      </c>
    </row>
    <row r="122" spans="1:8" x14ac:dyDescent="0.3">
      <c r="A122" s="237" t="s">
        <v>92</v>
      </c>
      <c r="B122" s="238"/>
      <c r="C122" s="5" t="s">
        <v>3</v>
      </c>
      <c r="D122" s="26">
        <f>Balaka!F122</f>
        <v>31825</v>
      </c>
      <c r="E122" s="26">
        <f>Liwonde!F122</f>
        <v>30265</v>
      </c>
      <c r="F122" s="26">
        <f>Machinga!F122</f>
        <v>0</v>
      </c>
      <c r="G122" s="26">
        <f>Ntaja!F122</f>
        <v>0</v>
      </c>
      <c r="H122" s="55">
        <f>SUM(D122:G122)</f>
        <v>62090</v>
      </c>
    </row>
    <row r="123" spans="1:8" x14ac:dyDescent="0.3">
      <c r="A123" s="283" t="s">
        <v>91</v>
      </c>
      <c r="B123" s="284"/>
      <c r="C123" s="30" t="s">
        <v>6</v>
      </c>
      <c r="D123" s="29">
        <f t="shared" ref="D123:H123" si="38">D122/D121</f>
        <v>0.83497310770038047</v>
      </c>
      <c r="E123" s="29">
        <f t="shared" si="38"/>
        <v>0.89735226969490323</v>
      </c>
      <c r="F123" s="29" t="e">
        <f t="shared" si="38"/>
        <v>#DIV/0!</v>
      </c>
      <c r="G123" s="29" t="e">
        <f t="shared" si="38"/>
        <v>#DIV/0!</v>
      </c>
      <c r="H123" s="516">
        <f t="shared" si="38"/>
        <v>0.86425767656802432</v>
      </c>
    </row>
    <row r="124" spans="1:8" x14ac:dyDescent="0.3">
      <c r="A124" s="306" t="s">
        <v>90</v>
      </c>
      <c r="B124" s="307"/>
      <c r="C124" s="307"/>
      <c r="D124" s="307"/>
      <c r="E124" s="307"/>
      <c r="F124" s="307"/>
      <c r="G124" s="307"/>
      <c r="H124" s="562"/>
    </row>
    <row r="125" spans="1:8" x14ac:dyDescent="0.3">
      <c r="A125" s="247" t="s">
        <v>235</v>
      </c>
      <c r="B125" s="24" t="s">
        <v>85</v>
      </c>
      <c r="C125" s="11" t="s">
        <v>3</v>
      </c>
      <c r="D125" s="26">
        <f>Balaka!D125</f>
        <v>0</v>
      </c>
      <c r="E125" s="26">
        <f>Liwonde!D125</f>
        <v>0</v>
      </c>
      <c r="F125" s="26">
        <f>Machinga!D125</f>
        <v>3</v>
      </c>
      <c r="G125" s="26">
        <f>Ntaja!D125</f>
        <v>0</v>
      </c>
      <c r="H125" s="32">
        <f>D125</f>
        <v>0</v>
      </c>
    </row>
    <row r="126" spans="1:8" x14ac:dyDescent="0.3">
      <c r="A126" s="279"/>
      <c r="B126" s="24" t="s">
        <v>84</v>
      </c>
      <c r="C126" s="11" t="s">
        <v>3</v>
      </c>
      <c r="D126" s="26">
        <f>Balaka!D126+Balaka!E126+Balaka!F126</f>
        <v>0</v>
      </c>
      <c r="E126" s="26">
        <f>Liwonde!D126+Liwonde!E126+Liwonde!F126</f>
        <v>0</v>
      </c>
      <c r="F126" s="26">
        <f>Machinga!D126+Machinga!E126+Machinga!F126</f>
        <v>0</v>
      </c>
      <c r="G126" s="26">
        <f>Ntaja!D126+Ntaja!E126+Ntaja!F126</f>
        <v>1</v>
      </c>
      <c r="H126" s="55">
        <f>SUM(D126:G126)</f>
        <v>1</v>
      </c>
    </row>
    <row r="127" spans="1:8" x14ac:dyDescent="0.3">
      <c r="A127" s="279"/>
      <c r="B127" s="82" t="s">
        <v>88</v>
      </c>
      <c r="C127" s="11" t="s">
        <v>3</v>
      </c>
      <c r="D127" s="26">
        <f>Balaka!D127+Balaka!E127+Balaka!F127</f>
        <v>0</v>
      </c>
      <c r="E127" s="26">
        <f>Liwonde!D127+Liwonde!E127+Liwonde!F127</f>
        <v>0</v>
      </c>
      <c r="F127" s="26">
        <f>Machinga!D127+Machinga!E127+Machinga!F127</f>
        <v>3</v>
      </c>
      <c r="G127" s="26">
        <f>Ntaja!D127+Ntaja!E127+Ntaja!F127</f>
        <v>1</v>
      </c>
      <c r="H127" s="55">
        <f>SUM(D127:G127)</f>
        <v>4</v>
      </c>
    </row>
    <row r="128" spans="1:8" x14ac:dyDescent="0.3">
      <c r="A128" s="279"/>
      <c r="B128" s="24" t="s">
        <v>82</v>
      </c>
      <c r="C128" s="11" t="s">
        <v>3</v>
      </c>
      <c r="D128" s="26">
        <f>Balaka!D128+Balaka!E128+Balaka!F128</f>
        <v>0</v>
      </c>
      <c r="E128" s="26">
        <f>Liwonde!D128+Liwonde!E128+Liwonde!F128</f>
        <v>0</v>
      </c>
      <c r="F128" s="26">
        <f>Machinga!D128+Machinga!E128+Machinga!F128</f>
        <v>0</v>
      </c>
      <c r="G128" s="26">
        <f>Ntaja!D128+Ntaja!E128+Ntaja!F128</f>
        <v>0</v>
      </c>
      <c r="H128" s="55">
        <f>SUM(D128:G128)</f>
        <v>0</v>
      </c>
    </row>
    <row r="129" spans="1:8" x14ac:dyDescent="0.3">
      <c r="A129" s="248"/>
      <c r="B129" s="24" t="s">
        <v>81</v>
      </c>
      <c r="C129" s="11" t="s">
        <v>3</v>
      </c>
      <c r="D129" s="140">
        <f t="shared" ref="D129:H129" si="39">D125+D126-D127-D128</f>
        <v>0</v>
      </c>
      <c r="E129" s="140">
        <f t="shared" si="39"/>
        <v>0</v>
      </c>
      <c r="F129" s="140">
        <f t="shared" si="39"/>
        <v>0</v>
      </c>
      <c r="G129" s="140">
        <f t="shared" si="39"/>
        <v>0</v>
      </c>
      <c r="H129" s="32">
        <f t="shared" si="39"/>
        <v>-3</v>
      </c>
    </row>
    <row r="130" spans="1:8" x14ac:dyDescent="0.3">
      <c r="A130" s="247" t="s">
        <v>236</v>
      </c>
      <c r="B130" s="28" t="s">
        <v>85</v>
      </c>
      <c r="C130" s="27" t="s">
        <v>3</v>
      </c>
      <c r="D130" s="26">
        <f>Balaka!D130</f>
        <v>0</v>
      </c>
      <c r="E130" s="26">
        <f>Liwonde!D130</f>
        <v>0</v>
      </c>
      <c r="F130" s="26">
        <f>Machinga!D130</f>
        <v>0</v>
      </c>
      <c r="G130" s="26">
        <f>Ntaja!D130</f>
        <v>0</v>
      </c>
      <c r="H130" s="32">
        <f>D130</f>
        <v>0</v>
      </c>
    </row>
    <row r="131" spans="1:8" x14ac:dyDescent="0.3">
      <c r="A131" s="279"/>
      <c r="B131" s="24" t="s">
        <v>84</v>
      </c>
      <c r="C131" s="11" t="s">
        <v>3</v>
      </c>
      <c r="D131" s="26">
        <f>Balaka!D131+Balaka!E131+Balaka!F131</f>
        <v>0</v>
      </c>
      <c r="E131" s="26">
        <f>Liwonde!D131+Liwonde!E131+Liwonde!F131</f>
        <v>0</v>
      </c>
      <c r="F131" s="26">
        <f>Machinga!D131+Machinga!E131+Machinga!F131</f>
        <v>0</v>
      </c>
      <c r="G131" s="26">
        <f>Ntaja!D131+Ntaja!E131+Ntaja!F131</f>
        <v>0</v>
      </c>
      <c r="H131" s="55">
        <f>SUM(D131:G131)</f>
        <v>0</v>
      </c>
    </row>
    <row r="132" spans="1:8" x14ac:dyDescent="0.3">
      <c r="A132" s="279"/>
      <c r="B132" s="82" t="s">
        <v>88</v>
      </c>
      <c r="C132" s="11" t="s">
        <v>3</v>
      </c>
      <c r="D132" s="26">
        <f>Balaka!D132+Balaka!E132+Balaka!F132</f>
        <v>0</v>
      </c>
      <c r="E132" s="26">
        <f>Liwonde!D132+Liwonde!E132+Liwonde!F132</f>
        <v>0</v>
      </c>
      <c r="F132" s="26">
        <f>Machinga!D132+Machinga!E132+Machinga!F132</f>
        <v>0</v>
      </c>
      <c r="G132" s="26">
        <f>Ntaja!D132+Ntaja!E132+Ntaja!F132</f>
        <v>0</v>
      </c>
      <c r="H132" s="55">
        <f>SUM(D132:G132)</f>
        <v>0</v>
      </c>
    </row>
    <row r="133" spans="1:8" x14ac:dyDescent="0.3">
      <c r="A133" s="279"/>
      <c r="B133" s="24" t="s">
        <v>82</v>
      </c>
      <c r="C133" s="11" t="s">
        <v>3</v>
      </c>
      <c r="D133" s="26">
        <f>Balaka!D133+Balaka!E133+Balaka!F133</f>
        <v>0</v>
      </c>
      <c r="E133" s="26">
        <f>Liwonde!D133+Liwonde!E133+Liwonde!F133</f>
        <v>0</v>
      </c>
      <c r="F133" s="26">
        <f>Machinga!D133+Machinga!E133+Machinga!F133</f>
        <v>0</v>
      </c>
      <c r="G133" s="26">
        <f>Ntaja!D133+Ntaja!E133+Ntaja!F133</f>
        <v>0</v>
      </c>
      <c r="H133" s="55">
        <f>SUM(D133:G133)</f>
        <v>0</v>
      </c>
    </row>
    <row r="134" spans="1:8" x14ac:dyDescent="0.3">
      <c r="A134" s="248"/>
      <c r="B134" s="24" t="s">
        <v>81</v>
      </c>
      <c r="C134" s="11" t="s">
        <v>3</v>
      </c>
      <c r="D134" s="140">
        <f t="shared" ref="D134:H134" si="40">D130+D131-D132-D133</f>
        <v>0</v>
      </c>
      <c r="E134" s="140">
        <f t="shared" si="40"/>
        <v>0</v>
      </c>
      <c r="F134" s="140">
        <f t="shared" si="40"/>
        <v>0</v>
      </c>
      <c r="G134" s="140">
        <f t="shared" si="40"/>
        <v>0</v>
      </c>
      <c r="H134" s="32">
        <f t="shared" si="40"/>
        <v>0</v>
      </c>
    </row>
    <row r="135" spans="1:8" x14ac:dyDescent="0.3">
      <c r="A135" s="247" t="s">
        <v>89</v>
      </c>
      <c r="B135" s="24" t="s">
        <v>85</v>
      </c>
      <c r="C135" s="11" t="s">
        <v>3</v>
      </c>
      <c r="D135" s="26">
        <f>Balaka!D135</f>
        <v>0</v>
      </c>
      <c r="E135" s="26">
        <f>Liwonde!D135</f>
        <v>0</v>
      </c>
      <c r="F135" s="26">
        <f>Machinga!D135</f>
        <v>0</v>
      </c>
      <c r="G135" s="26">
        <f>Ntaja!D135</f>
        <v>0</v>
      </c>
      <c r="H135" s="32">
        <f>D135</f>
        <v>0</v>
      </c>
    </row>
    <row r="136" spans="1:8" x14ac:dyDescent="0.3">
      <c r="A136" s="279"/>
      <c r="B136" s="24" t="s">
        <v>84</v>
      </c>
      <c r="C136" s="11" t="s">
        <v>3</v>
      </c>
      <c r="D136" s="26">
        <f>Balaka!D136+Balaka!E136+Balaka!F136</f>
        <v>0</v>
      </c>
      <c r="E136" s="26">
        <f>Liwonde!D136+Liwonde!E136+Liwonde!F136</f>
        <v>0</v>
      </c>
      <c r="F136" s="26">
        <f>Machinga!D136+Machinga!E136+Machinga!F136</f>
        <v>0</v>
      </c>
      <c r="G136" s="26">
        <f>Ntaja!D136+Ntaja!E136+Ntaja!F136</f>
        <v>0</v>
      </c>
      <c r="H136" s="55">
        <f>SUM(D136:G136)</f>
        <v>0</v>
      </c>
    </row>
    <row r="137" spans="1:8" x14ac:dyDescent="0.3">
      <c r="A137" s="279"/>
      <c r="B137" s="82" t="s">
        <v>88</v>
      </c>
      <c r="C137" s="11" t="s">
        <v>3</v>
      </c>
      <c r="D137" s="26">
        <f>Balaka!D137+Balaka!E137+Balaka!F137</f>
        <v>0</v>
      </c>
      <c r="E137" s="26">
        <f>Liwonde!D137+Liwonde!E137+Liwonde!F137</f>
        <v>0</v>
      </c>
      <c r="F137" s="26">
        <f>Machinga!D137+Machinga!E137+Machinga!F137</f>
        <v>0</v>
      </c>
      <c r="G137" s="26">
        <f>Ntaja!D137+Ntaja!E137+Ntaja!F137</f>
        <v>0</v>
      </c>
      <c r="H137" s="55">
        <f>SUM(D137:G137)</f>
        <v>0</v>
      </c>
    </row>
    <row r="138" spans="1:8" x14ac:dyDescent="0.3">
      <c r="A138" s="279"/>
      <c r="B138" s="24" t="s">
        <v>82</v>
      </c>
      <c r="C138" s="11" t="s">
        <v>3</v>
      </c>
      <c r="D138" s="26">
        <f>Balaka!D138+Balaka!E138+Balaka!F138</f>
        <v>0</v>
      </c>
      <c r="E138" s="26">
        <f>Liwonde!D138+Liwonde!E138+Liwonde!F138</f>
        <v>0</v>
      </c>
      <c r="F138" s="26">
        <f>Machinga!D138+Machinga!E138+Machinga!F138</f>
        <v>0</v>
      </c>
      <c r="G138" s="26">
        <f>Ntaja!D138+Ntaja!E138+Ntaja!F138</f>
        <v>0</v>
      </c>
      <c r="H138" s="55">
        <f>SUM(D138:G138)</f>
        <v>0</v>
      </c>
    </row>
    <row r="139" spans="1:8" x14ac:dyDescent="0.3">
      <c r="A139" s="248"/>
      <c r="B139" s="24" t="s">
        <v>81</v>
      </c>
      <c r="C139" s="11" t="s">
        <v>3</v>
      </c>
      <c r="D139" s="140">
        <f t="shared" ref="D139:H139" si="41">D135+D136-D137-D138</f>
        <v>0</v>
      </c>
      <c r="E139" s="140">
        <f t="shared" si="41"/>
        <v>0</v>
      </c>
      <c r="F139" s="140">
        <f t="shared" si="41"/>
        <v>0</v>
      </c>
      <c r="G139" s="140">
        <f t="shared" si="41"/>
        <v>0</v>
      </c>
      <c r="H139" s="32">
        <f t="shared" si="41"/>
        <v>0</v>
      </c>
    </row>
    <row r="140" spans="1:8" x14ac:dyDescent="0.3">
      <c r="A140" s="247" t="s">
        <v>87</v>
      </c>
      <c r="B140" s="24" t="s">
        <v>85</v>
      </c>
      <c r="C140" s="11" t="s">
        <v>3</v>
      </c>
      <c r="D140" s="26">
        <f>Balaka!D140</f>
        <v>905</v>
      </c>
      <c r="E140" s="26">
        <f>Liwonde!D140</f>
        <v>658</v>
      </c>
      <c r="F140" s="26">
        <f>Machinga!D140</f>
        <v>3</v>
      </c>
      <c r="G140" s="26">
        <f>Ntaja!D140</f>
        <v>41</v>
      </c>
      <c r="H140" s="32">
        <f>D140</f>
        <v>905</v>
      </c>
    </row>
    <row r="141" spans="1:8" x14ac:dyDescent="0.3">
      <c r="A141" s="279"/>
      <c r="B141" s="24" t="s">
        <v>84</v>
      </c>
      <c r="C141" s="11" t="s">
        <v>3</v>
      </c>
      <c r="D141" s="26">
        <f>Balaka!D141+Balaka!E141+Balaka!F141</f>
        <v>24</v>
      </c>
      <c r="E141" s="26">
        <f>Liwonde!D141+Liwonde!E141+Liwonde!F141</f>
        <v>249</v>
      </c>
      <c r="F141" s="26">
        <f>Machinga!D141+Machinga!E141+Machinga!F141</f>
        <v>13</v>
      </c>
      <c r="G141" s="26">
        <f>Ntaja!D141+Ntaja!E141+Ntaja!F141</f>
        <v>34</v>
      </c>
      <c r="H141" s="55">
        <f>SUM(D141:G141)</f>
        <v>320</v>
      </c>
    </row>
    <row r="142" spans="1:8" x14ac:dyDescent="0.3">
      <c r="A142" s="279"/>
      <c r="B142" s="24" t="s">
        <v>83</v>
      </c>
      <c r="C142" s="11" t="s">
        <v>3</v>
      </c>
      <c r="D142" s="26">
        <f>Balaka!D142+Balaka!E142+Balaka!F142</f>
        <v>0</v>
      </c>
      <c r="E142" s="26">
        <f>Liwonde!D142+Liwonde!E142+Liwonde!F142</f>
        <v>140</v>
      </c>
      <c r="F142" s="26">
        <f>Machinga!D142+Machinga!E142+Machinga!F142</f>
        <v>11</v>
      </c>
      <c r="G142" s="26">
        <f>Ntaja!D142+Ntaja!E142+Ntaja!F142</f>
        <v>0</v>
      </c>
      <c r="H142" s="55">
        <f>SUM(D142:G142)</f>
        <v>151</v>
      </c>
    </row>
    <row r="143" spans="1:8" x14ac:dyDescent="0.3">
      <c r="A143" s="279"/>
      <c r="B143" s="24" t="s">
        <v>82</v>
      </c>
      <c r="C143" s="11" t="s">
        <v>3</v>
      </c>
      <c r="D143" s="26">
        <f>Balaka!D143+Balaka!E143+Balaka!F143</f>
        <v>0</v>
      </c>
      <c r="E143" s="26">
        <f>Liwonde!D143+Liwonde!E143+Liwonde!F143</f>
        <v>62</v>
      </c>
      <c r="F143" s="26">
        <f>Machinga!D143+Machinga!E143+Machinga!F143</f>
        <v>3</v>
      </c>
      <c r="G143" s="26">
        <f>Ntaja!D143+Ntaja!E143+Ntaja!F143</f>
        <v>75</v>
      </c>
      <c r="H143" s="55">
        <f>SUM(D143:G143)</f>
        <v>140</v>
      </c>
    </row>
    <row r="144" spans="1:8" x14ac:dyDescent="0.3">
      <c r="A144" s="248"/>
      <c r="B144" s="24" t="s">
        <v>81</v>
      </c>
      <c r="C144" s="11" t="s">
        <v>3</v>
      </c>
      <c r="D144" s="140">
        <f t="shared" ref="D144:H144" si="42">D140+D141-D142-D143</f>
        <v>929</v>
      </c>
      <c r="E144" s="140">
        <f t="shared" si="42"/>
        <v>705</v>
      </c>
      <c r="F144" s="140">
        <f t="shared" si="42"/>
        <v>2</v>
      </c>
      <c r="G144" s="140">
        <f t="shared" si="42"/>
        <v>0</v>
      </c>
      <c r="H144" s="32">
        <f t="shared" si="42"/>
        <v>934</v>
      </c>
    </row>
    <row r="145" spans="1:8" s="2" customFormat="1" x14ac:dyDescent="0.3">
      <c r="A145" s="247" t="s">
        <v>86</v>
      </c>
      <c r="B145" s="24" t="s">
        <v>85</v>
      </c>
      <c r="C145" s="11" t="s">
        <v>3</v>
      </c>
      <c r="D145" s="141">
        <f>D125+D130+D135+D140</f>
        <v>905</v>
      </c>
      <c r="E145" s="141">
        <f t="shared" ref="E145:G145" si="43">E125+E130+E135+E140</f>
        <v>658</v>
      </c>
      <c r="F145" s="141">
        <f t="shared" si="43"/>
        <v>6</v>
      </c>
      <c r="G145" s="141">
        <f t="shared" si="43"/>
        <v>41</v>
      </c>
      <c r="H145" s="55">
        <f t="shared" ref="H145:H149" si="44">H125+H130+H135+H140</f>
        <v>905</v>
      </c>
    </row>
    <row r="146" spans="1:8" x14ac:dyDescent="0.3">
      <c r="A146" s="279"/>
      <c r="B146" s="24" t="s">
        <v>84</v>
      </c>
      <c r="C146" s="11" t="s">
        <v>3</v>
      </c>
      <c r="D146" s="141">
        <f t="shared" ref="D146:G148" si="45">D126+D131+D136+D141</f>
        <v>24</v>
      </c>
      <c r="E146" s="141">
        <f t="shared" si="45"/>
        <v>249</v>
      </c>
      <c r="F146" s="141">
        <f t="shared" si="45"/>
        <v>13</v>
      </c>
      <c r="G146" s="141">
        <f t="shared" si="45"/>
        <v>35</v>
      </c>
      <c r="H146" s="55">
        <f t="shared" si="44"/>
        <v>321</v>
      </c>
    </row>
    <row r="147" spans="1:8" x14ac:dyDescent="0.3">
      <c r="A147" s="279"/>
      <c r="B147" s="24" t="s">
        <v>83</v>
      </c>
      <c r="C147" s="11" t="s">
        <v>3</v>
      </c>
      <c r="D147" s="141">
        <f t="shared" si="45"/>
        <v>0</v>
      </c>
      <c r="E147" s="141">
        <f t="shared" si="45"/>
        <v>140</v>
      </c>
      <c r="F147" s="141">
        <f t="shared" si="45"/>
        <v>14</v>
      </c>
      <c r="G147" s="141">
        <f t="shared" si="45"/>
        <v>1</v>
      </c>
      <c r="H147" s="55">
        <f t="shared" si="44"/>
        <v>155</v>
      </c>
    </row>
    <row r="148" spans="1:8" x14ac:dyDescent="0.3">
      <c r="A148" s="279"/>
      <c r="B148" s="24" t="s">
        <v>82</v>
      </c>
      <c r="C148" s="11" t="s">
        <v>3</v>
      </c>
      <c r="D148" s="141">
        <f t="shared" si="45"/>
        <v>0</v>
      </c>
      <c r="E148" s="141">
        <f t="shared" si="45"/>
        <v>62</v>
      </c>
      <c r="F148" s="141">
        <f t="shared" si="45"/>
        <v>3</v>
      </c>
      <c r="G148" s="141">
        <f t="shared" si="45"/>
        <v>75</v>
      </c>
      <c r="H148" s="55">
        <f t="shared" si="44"/>
        <v>140</v>
      </c>
    </row>
    <row r="149" spans="1:8" x14ac:dyDescent="0.3">
      <c r="A149" s="248"/>
      <c r="B149" s="24" t="s">
        <v>81</v>
      </c>
      <c r="C149" s="11" t="s">
        <v>3</v>
      </c>
      <c r="D149" s="140">
        <f>D145+D146-D147-D148</f>
        <v>929</v>
      </c>
      <c r="E149" s="140">
        <f t="shared" ref="E149:G149" si="46">E145+E146-E147-E148</f>
        <v>705</v>
      </c>
      <c r="F149" s="140">
        <f t="shared" si="46"/>
        <v>2</v>
      </c>
      <c r="G149" s="140">
        <f t="shared" si="46"/>
        <v>0</v>
      </c>
      <c r="H149" s="55">
        <f t="shared" si="44"/>
        <v>931</v>
      </c>
    </row>
    <row r="150" spans="1:8" x14ac:dyDescent="0.3">
      <c r="A150" s="280" t="s">
        <v>80</v>
      </c>
      <c r="B150" s="281"/>
      <c r="C150" s="281"/>
      <c r="D150" s="281"/>
      <c r="E150" s="281"/>
      <c r="F150" s="281"/>
      <c r="G150" s="281"/>
      <c r="H150" s="555"/>
    </row>
    <row r="151" spans="1:8" ht="15.6" customHeight="1" x14ac:dyDescent="0.3">
      <c r="A151" s="309" t="s">
        <v>79</v>
      </c>
      <c r="B151" s="310"/>
      <c r="C151" s="310"/>
      <c r="D151" s="310"/>
      <c r="E151" s="310"/>
      <c r="F151" s="310"/>
      <c r="G151" s="310"/>
      <c r="H151" s="567"/>
    </row>
    <row r="152" spans="1:8" x14ac:dyDescent="0.3">
      <c r="A152" s="290" t="s">
        <v>78</v>
      </c>
      <c r="B152" s="92" t="s">
        <v>63</v>
      </c>
      <c r="C152" s="11"/>
      <c r="D152" s="142"/>
      <c r="E152" s="142"/>
      <c r="F152" s="142"/>
      <c r="G152" s="142"/>
      <c r="H152" s="39"/>
    </row>
    <row r="153" spans="1:8" x14ac:dyDescent="0.3">
      <c r="A153" s="291"/>
      <c r="B153" s="19" t="s">
        <v>73</v>
      </c>
      <c r="C153" s="11" t="s">
        <v>57</v>
      </c>
      <c r="D153" s="142">
        <f>Balaka!D153+Balaka!E153+Balaka!F153</f>
        <v>497</v>
      </c>
      <c r="E153" s="142">
        <f>Liwonde!D153+Liwonde!E153+Liwonde!F153</f>
        <v>294</v>
      </c>
      <c r="F153" s="142">
        <f>Machinga!D153+Machinga!E153+Machinga!F153</f>
        <v>29</v>
      </c>
      <c r="G153" s="142">
        <f>Ntaja!D153+Ntaja!E153+Ntaja!F153</f>
        <v>265</v>
      </c>
      <c r="H153" s="74">
        <f t="shared" ref="H153:H165" si="47">SUM(D153:G153)</f>
        <v>1085</v>
      </c>
    </row>
    <row r="154" spans="1:8" x14ac:dyDescent="0.3">
      <c r="A154" s="291"/>
      <c r="B154" s="19" t="s">
        <v>72</v>
      </c>
      <c r="C154" s="11" t="s">
        <v>57</v>
      </c>
      <c r="D154" s="142">
        <f>Balaka!D154+Balaka!E154+Balaka!F154</f>
        <v>343</v>
      </c>
      <c r="E154" s="142">
        <f>Liwonde!D154+Liwonde!E154+Liwonde!F154</f>
        <v>174</v>
      </c>
      <c r="F154" s="142">
        <f>Machinga!D154+Machinga!E154+Machinga!F154</f>
        <v>19</v>
      </c>
      <c r="G154" s="142">
        <f>Ntaja!D154+Ntaja!E154+Ntaja!F154</f>
        <v>51</v>
      </c>
      <c r="H154" s="74">
        <f t="shared" si="47"/>
        <v>587</v>
      </c>
    </row>
    <row r="155" spans="1:8" x14ac:dyDescent="0.3">
      <c r="A155" s="291"/>
      <c r="B155" s="19" t="s">
        <v>53</v>
      </c>
      <c r="C155" s="11" t="s">
        <v>57</v>
      </c>
      <c r="D155" s="142">
        <f>Balaka!D155+Balaka!E155+Balaka!F155</f>
        <v>42</v>
      </c>
      <c r="E155" s="142">
        <f>Liwonde!D155+Liwonde!E155+Liwonde!F155</f>
        <v>57</v>
      </c>
      <c r="F155" s="142">
        <f>Machinga!D155+Machinga!E155+Machinga!F155</f>
        <v>14</v>
      </c>
      <c r="G155" s="142">
        <f>Ntaja!D155+Ntaja!E155+Ntaja!F155</f>
        <v>18</v>
      </c>
      <c r="H155" s="74">
        <f t="shared" si="47"/>
        <v>131</v>
      </c>
    </row>
    <row r="156" spans="1:8" x14ac:dyDescent="0.3">
      <c r="A156" s="291"/>
      <c r="B156" s="19" t="s">
        <v>71</v>
      </c>
      <c r="C156" s="11" t="s">
        <v>57</v>
      </c>
      <c r="D156" s="142">
        <f>Balaka!D156+Balaka!E156+Balaka!F156</f>
        <v>14</v>
      </c>
      <c r="E156" s="142">
        <f>Liwonde!D156+Liwonde!E156+Liwonde!F156</f>
        <v>14</v>
      </c>
      <c r="F156" s="142">
        <f>Machinga!D156+Machinga!E156+Machinga!F156</f>
        <v>11</v>
      </c>
      <c r="G156" s="142">
        <f>Ntaja!D156+Ntaja!E156+Ntaja!F156</f>
        <v>8</v>
      </c>
      <c r="H156" s="74">
        <f t="shared" si="47"/>
        <v>47</v>
      </c>
    </row>
    <row r="157" spans="1:8" x14ac:dyDescent="0.3">
      <c r="A157" s="291"/>
      <c r="B157" s="19" t="s">
        <v>52</v>
      </c>
      <c r="C157" s="11" t="s">
        <v>57</v>
      </c>
      <c r="D157" s="142">
        <f>Balaka!D157+Balaka!E157+Balaka!F157</f>
        <v>20</v>
      </c>
      <c r="E157" s="142">
        <f>Liwonde!D157+Liwonde!E157+Liwonde!F157</f>
        <v>19</v>
      </c>
      <c r="F157" s="142">
        <f>Machinga!D157+Machinga!E157+Machinga!F157</f>
        <v>4</v>
      </c>
      <c r="G157" s="142">
        <f>Ntaja!D157+Ntaja!E157+Ntaja!F157</f>
        <v>12</v>
      </c>
      <c r="H157" s="74">
        <f t="shared" si="47"/>
        <v>55</v>
      </c>
    </row>
    <row r="158" spans="1:8" x14ac:dyDescent="0.3">
      <c r="A158" s="291"/>
      <c r="B158" s="19" t="s">
        <v>51</v>
      </c>
      <c r="C158" s="11" t="s">
        <v>57</v>
      </c>
      <c r="D158" s="142">
        <f>Balaka!D158+Balaka!E158+Balaka!F158</f>
        <v>34</v>
      </c>
      <c r="E158" s="142">
        <f>Liwonde!D158+Liwonde!E158+Liwonde!F158</f>
        <v>39</v>
      </c>
      <c r="F158" s="142">
        <f>Machinga!D158+Machinga!E158+Machinga!F158</f>
        <v>5</v>
      </c>
      <c r="G158" s="142">
        <f>Ntaja!D158+Ntaja!E158+Ntaja!F158</f>
        <v>1</v>
      </c>
      <c r="H158" s="74">
        <f t="shared" si="47"/>
        <v>79</v>
      </c>
    </row>
    <row r="159" spans="1:8" x14ac:dyDescent="0.3">
      <c r="A159" s="291"/>
      <c r="B159" s="19" t="s">
        <v>62</v>
      </c>
      <c r="C159" s="11" t="s">
        <v>57</v>
      </c>
      <c r="D159" s="142">
        <f>Balaka!D159+Balaka!E159+Balaka!F159</f>
        <v>0</v>
      </c>
      <c r="E159" s="142">
        <f>Liwonde!D159+Liwonde!E159+Liwonde!F159</f>
        <v>2</v>
      </c>
      <c r="F159" s="142">
        <f>Machinga!D159+Machinga!E159+Machinga!F159</f>
        <v>0</v>
      </c>
      <c r="G159" s="142">
        <f>Ntaja!D159+Ntaja!E159+Ntaja!F159</f>
        <v>0</v>
      </c>
      <c r="H159" s="74">
        <f t="shared" si="47"/>
        <v>2</v>
      </c>
    </row>
    <row r="160" spans="1:8" x14ac:dyDescent="0.3">
      <c r="A160" s="291"/>
      <c r="B160" s="19" t="s">
        <v>50</v>
      </c>
      <c r="C160" s="11" t="s">
        <v>57</v>
      </c>
      <c r="D160" s="142">
        <f>Balaka!D160+Balaka!E160+Balaka!F160</f>
        <v>0</v>
      </c>
      <c r="E160" s="142">
        <f>Liwonde!D160+Liwonde!E160+Liwonde!F160</f>
        <v>19</v>
      </c>
      <c r="F160" s="142">
        <f>Machinga!D160+Machinga!E160+Machinga!F160</f>
        <v>2</v>
      </c>
      <c r="G160" s="142">
        <f>Ntaja!D160+Ntaja!E160+Ntaja!F160</f>
        <v>2</v>
      </c>
      <c r="H160" s="74">
        <f t="shared" si="47"/>
        <v>23</v>
      </c>
    </row>
    <row r="161" spans="1:8" x14ac:dyDescent="0.3">
      <c r="A161" s="291"/>
      <c r="B161" s="19" t="s">
        <v>49</v>
      </c>
      <c r="C161" s="11" t="s">
        <v>57</v>
      </c>
      <c r="D161" s="142">
        <f>Balaka!D161+Balaka!E161+Balaka!F161</f>
        <v>8</v>
      </c>
      <c r="E161" s="142">
        <f>Liwonde!D161+Liwonde!E161+Liwonde!F161</f>
        <v>16</v>
      </c>
      <c r="F161" s="142">
        <f>Machinga!D161+Machinga!E161+Machinga!F161</f>
        <v>2</v>
      </c>
      <c r="G161" s="142">
        <f>Ntaja!D161+Ntaja!E161+Ntaja!F161</f>
        <v>0</v>
      </c>
      <c r="H161" s="74">
        <f t="shared" si="47"/>
        <v>26</v>
      </c>
    </row>
    <row r="162" spans="1:8" x14ac:dyDescent="0.3">
      <c r="A162" s="291"/>
      <c r="B162" s="19" t="s">
        <v>77</v>
      </c>
      <c r="C162" s="11" t="s">
        <v>57</v>
      </c>
      <c r="D162" s="142">
        <f>Balaka!D162+Balaka!E162+Balaka!F162</f>
        <v>3</v>
      </c>
      <c r="E162" s="142">
        <f>Liwonde!D162+Liwonde!E162+Liwonde!F162</f>
        <v>11</v>
      </c>
      <c r="F162" s="142">
        <f>Machinga!D162+Machinga!E162+Machinga!F162</f>
        <v>0</v>
      </c>
      <c r="G162" s="142">
        <f>Ntaja!D162+Ntaja!E162+Ntaja!F162</f>
        <v>0</v>
      </c>
      <c r="H162" s="74">
        <f t="shared" si="47"/>
        <v>14</v>
      </c>
    </row>
    <row r="163" spans="1:8" x14ac:dyDescent="0.3">
      <c r="A163" s="291"/>
      <c r="B163" s="19" t="s">
        <v>69</v>
      </c>
      <c r="C163" s="11" t="s">
        <v>57</v>
      </c>
      <c r="D163" s="142">
        <f>Balaka!D163+Balaka!E163+Balaka!F163</f>
        <v>14</v>
      </c>
      <c r="E163" s="142">
        <f>Liwonde!D163+Liwonde!E163+Liwonde!F163</f>
        <v>2</v>
      </c>
      <c r="F163" s="142">
        <f>Machinga!D163+Machinga!E163+Machinga!F163</f>
        <v>0</v>
      </c>
      <c r="G163" s="142">
        <f>Ntaja!D163+Ntaja!E163+Ntaja!F163</f>
        <v>0</v>
      </c>
      <c r="H163" s="74">
        <f t="shared" si="47"/>
        <v>16</v>
      </c>
    </row>
    <row r="164" spans="1:8" x14ac:dyDescent="0.3">
      <c r="A164" s="291"/>
      <c r="B164" s="19" t="s">
        <v>68</v>
      </c>
      <c r="C164" s="11" t="s">
        <v>57</v>
      </c>
      <c r="D164" s="142">
        <f>Balaka!D164+Balaka!E164+Balaka!F164</f>
        <v>0</v>
      </c>
      <c r="E164" s="142">
        <f>Liwonde!D164+Liwonde!E164+Liwonde!F164</f>
        <v>3</v>
      </c>
      <c r="F164" s="142">
        <f>Machinga!D164+Machinga!E164+Machinga!F164</f>
        <v>0</v>
      </c>
      <c r="G164" s="142">
        <f>Ntaja!D164+Ntaja!E164+Ntaja!F164</f>
        <v>0</v>
      </c>
      <c r="H164" s="74">
        <f t="shared" si="47"/>
        <v>3</v>
      </c>
    </row>
    <row r="165" spans="1:8" x14ac:dyDescent="0.3">
      <c r="A165" s="292"/>
      <c r="B165" s="19" t="s">
        <v>76</v>
      </c>
      <c r="C165" s="11" t="s">
        <v>57</v>
      </c>
      <c r="D165" s="142">
        <f>Balaka!D165+Balaka!E165+Balaka!F165</f>
        <v>0</v>
      </c>
      <c r="E165" s="142">
        <f>Liwonde!D165+Liwonde!E165+Liwonde!F165</f>
        <v>0</v>
      </c>
      <c r="F165" s="142">
        <f>Machinga!D165+Machinga!E165+Machinga!F165</f>
        <v>0</v>
      </c>
      <c r="G165" s="142">
        <f>Ntaja!D165+Ntaja!E165+Ntaja!F165</f>
        <v>0</v>
      </c>
      <c r="H165" s="74">
        <f t="shared" si="47"/>
        <v>0</v>
      </c>
    </row>
    <row r="166" spans="1:8" x14ac:dyDescent="0.3">
      <c r="A166" s="290" t="s">
        <v>75</v>
      </c>
      <c r="B166" s="21" t="s">
        <v>63</v>
      </c>
      <c r="C166" s="11"/>
      <c r="D166" s="133"/>
      <c r="E166" s="133"/>
      <c r="F166" s="133"/>
      <c r="G166" s="133"/>
      <c r="H166" s="74"/>
    </row>
    <row r="167" spans="1:8" x14ac:dyDescent="0.3">
      <c r="A167" s="291"/>
      <c r="B167" s="19" t="s">
        <v>74</v>
      </c>
      <c r="C167" s="11" t="s">
        <v>57</v>
      </c>
      <c r="D167" s="142">
        <f>Balaka!D167+Balaka!E167+Balaka!F167</f>
        <v>0</v>
      </c>
      <c r="E167" s="142">
        <f>Liwonde!D167+Liwonde!E167+Liwonde!F167</f>
        <v>18</v>
      </c>
      <c r="F167" s="142">
        <f>Machinga!D167+Machinga!E167+Machinga!F167</f>
        <v>1</v>
      </c>
      <c r="G167" s="142">
        <f>Ntaja!D167+Ntaja!E167+Ntaja!F167</f>
        <v>2</v>
      </c>
      <c r="H167" s="74">
        <f t="shared" ref="H167:H175" si="48">SUM(D167:G167)</f>
        <v>21</v>
      </c>
    </row>
    <row r="168" spans="1:8" x14ac:dyDescent="0.3">
      <c r="A168" s="291"/>
      <c r="B168" s="19" t="s">
        <v>73</v>
      </c>
      <c r="C168" s="11" t="s">
        <v>57</v>
      </c>
      <c r="D168" s="142">
        <f>Balaka!D168+Balaka!E168+Balaka!F168</f>
        <v>0</v>
      </c>
      <c r="E168" s="142">
        <f>Liwonde!D168+Liwonde!E168+Liwonde!F168</f>
        <v>5</v>
      </c>
      <c r="F168" s="142">
        <f>Machinga!D168+Machinga!E168+Machinga!F168</f>
        <v>0</v>
      </c>
      <c r="G168" s="142">
        <f>Ntaja!D168+Ntaja!E168+Ntaja!F168</f>
        <v>0</v>
      </c>
      <c r="H168" s="74">
        <f t="shared" si="48"/>
        <v>5</v>
      </c>
    </row>
    <row r="169" spans="1:8" x14ac:dyDescent="0.3">
      <c r="A169" s="291"/>
      <c r="B169" s="19" t="s">
        <v>72</v>
      </c>
      <c r="C169" s="11" t="s">
        <v>57</v>
      </c>
      <c r="D169" s="142">
        <f>Balaka!D169+Balaka!E169+Balaka!F169</f>
        <v>0</v>
      </c>
      <c r="E169" s="142">
        <f>Liwonde!D169+Liwonde!E169+Liwonde!F169</f>
        <v>2</v>
      </c>
      <c r="F169" s="142">
        <f>Machinga!D169+Machinga!E169+Machinga!F169</f>
        <v>0</v>
      </c>
      <c r="G169" s="142">
        <f>Ntaja!D169+Ntaja!E169+Ntaja!F169</f>
        <v>0</v>
      </c>
      <c r="H169" s="74">
        <f t="shared" si="48"/>
        <v>2</v>
      </c>
    </row>
    <row r="170" spans="1:8" x14ac:dyDescent="0.3">
      <c r="A170" s="291"/>
      <c r="B170" s="19" t="s">
        <v>71</v>
      </c>
      <c r="C170" s="11" t="s">
        <v>57</v>
      </c>
      <c r="D170" s="142">
        <f>Balaka!D170+Balaka!E170+Balaka!F170</f>
        <v>0</v>
      </c>
      <c r="E170" s="142">
        <f>Liwonde!D170+Liwonde!E170+Liwonde!F170</f>
        <v>1</v>
      </c>
      <c r="F170" s="142">
        <f>Machinga!D170+Machinga!E170+Machinga!F170</f>
        <v>0</v>
      </c>
      <c r="G170" s="142">
        <f>Ntaja!D170+Ntaja!E170+Ntaja!F170</f>
        <v>0</v>
      </c>
      <c r="H170" s="74">
        <f t="shared" si="48"/>
        <v>1</v>
      </c>
    </row>
    <row r="171" spans="1:8" x14ac:dyDescent="0.3">
      <c r="A171" s="291"/>
      <c r="B171" s="19" t="s">
        <v>52</v>
      </c>
      <c r="C171" s="11" t="s">
        <v>57</v>
      </c>
      <c r="D171" s="142">
        <f>Balaka!D171+Balaka!E171+Balaka!F171</f>
        <v>0</v>
      </c>
      <c r="E171" s="142">
        <f>Liwonde!D171+Liwonde!E171+Liwonde!F171</f>
        <v>0</v>
      </c>
      <c r="F171" s="142">
        <f>Machinga!D171+Machinga!E171+Machinga!F171</f>
        <v>0</v>
      </c>
      <c r="G171" s="142">
        <f>Ntaja!D171+Ntaja!E171+Ntaja!F171</f>
        <v>0</v>
      </c>
      <c r="H171" s="74">
        <f t="shared" si="48"/>
        <v>0</v>
      </c>
    </row>
    <row r="172" spans="1:8" x14ac:dyDescent="0.3">
      <c r="A172" s="291"/>
      <c r="B172" s="19" t="s">
        <v>62</v>
      </c>
      <c r="C172" s="11" t="s">
        <v>57</v>
      </c>
      <c r="D172" s="142">
        <f>Balaka!D172+Balaka!E172+Balaka!F172</f>
        <v>0</v>
      </c>
      <c r="E172" s="142">
        <f>Liwonde!D172+Liwonde!E172+Liwonde!F172</f>
        <v>0</v>
      </c>
      <c r="F172" s="142">
        <f>Machinga!D172+Machinga!E172+Machinga!F172</f>
        <v>0</v>
      </c>
      <c r="G172" s="142">
        <f>Ntaja!D172+Ntaja!E172+Ntaja!F172</f>
        <v>0</v>
      </c>
      <c r="H172" s="74">
        <f t="shared" si="48"/>
        <v>0</v>
      </c>
    </row>
    <row r="173" spans="1:8" x14ac:dyDescent="0.3">
      <c r="A173" s="291"/>
      <c r="B173" s="19" t="s">
        <v>61</v>
      </c>
      <c r="C173" s="11" t="s">
        <v>57</v>
      </c>
      <c r="D173" s="142">
        <f>Balaka!D173+Balaka!E173+Balaka!F173</f>
        <v>0</v>
      </c>
      <c r="E173" s="142">
        <f>Liwonde!D173+Liwonde!E173+Liwonde!F173</f>
        <v>0</v>
      </c>
      <c r="F173" s="142">
        <f>Machinga!D173+Machinga!E173+Machinga!F173</f>
        <v>0</v>
      </c>
      <c r="G173" s="142">
        <f>Ntaja!D173+Ntaja!E173+Ntaja!F173</f>
        <v>0</v>
      </c>
      <c r="H173" s="74">
        <f t="shared" si="48"/>
        <v>0</v>
      </c>
    </row>
    <row r="174" spans="1:8" x14ac:dyDescent="0.3">
      <c r="A174" s="291"/>
      <c r="B174" s="19" t="s">
        <v>60</v>
      </c>
      <c r="C174" s="11" t="s">
        <v>57</v>
      </c>
      <c r="D174" s="142">
        <f>Balaka!D174+Balaka!E174+Balaka!F174</f>
        <v>0</v>
      </c>
      <c r="E174" s="142">
        <f>Liwonde!D174+Liwonde!E174+Liwonde!F174</f>
        <v>0</v>
      </c>
      <c r="F174" s="142">
        <f>Machinga!D174+Machinga!E174+Machinga!F174</f>
        <v>0</v>
      </c>
      <c r="G174" s="142">
        <f>Ntaja!D174+Ntaja!E174+Ntaja!F174</f>
        <v>0</v>
      </c>
      <c r="H174" s="74">
        <f t="shared" si="48"/>
        <v>0</v>
      </c>
    </row>
    <row r="175" spans="1:8" x14ac:dyDescent="0.3">
      <c r="A175" s="292"/>
      <c r="B175" s="19" t="s">
        <v>69</v>
      </c>
      <c r="C175" s="11" t="s">
        <v>57</v>
      </c>
      <c r="D175" s="142">
        <f>Balaka!D175+Balaka!E175+Balaka!F175</f>
        <v>0</v>
      </c>
      <c r="E175" s="142">
        <f>Liwonde!D175+Liwonde!E175+Liwonde!F175</f>
        <v>0</v>
      </c>
      <c r="F175" s="142">
        <f>Machinga!D175+Machinga!E175+Machinga!F175</f>
        <v>0</v>
      </c>
      <c r="G175" s="142">
        <f>Ntaja!D175+Ntaja!E175+Ntaja!F175</f>
        <v>0</v>
      </c>
      <c r="H175" s="74">
        <f t="shared" si="48"/>
        <v>0</v>
      </c>
    </row>
    <row r="176" spans="1:8" x14ac:dyDescent="0.3">
      <c r="A176" s="290" t="s">
        <v>70</v>
      </c>
      <c r="B176" s="21" t="s">
        <v>63</v>
      </c>
      <c r="C176" s="11"/>
      <c r="D176" s="133"/>
      <c r="E176" s="133"/>
      <c r="F176" s="133"/>
      <c r="G176" s="133"/>
      <c r="H176" s="74"/>
    </row>
    <row r="177" spans="1:8" x14ac:dyDescent="0.3">
      <c r="A177" s="291"/>
      <c r="B177" s="19" t="s">
        <v>60</v>
      </c>
      <c r="C177" s="11" t="s">
        <v>57</v>
      </c>
      <c r="D177" s="142">
        <f>Balaka!D177+Balaka!E177+Balaka!F177</f>
        <v>0</v>
      </c>
      <c r="E177" s="142">
        <f>Liwonde!D177+Liwonde!E177+Liwonde!F177</f>
        <v>0</v>
      </c>
      <c r="F177" s="142">
        <f>Machinga!D177+Machinga!E177+Machinga!F177</f>
        <v>0</v>
      </c>
      <c r="G177" s="142">
        <f>Ntaja!D177+Ntaja!E177+Ntaja!F177</f>
        <v>0</v>
      </c>
      <c r="H177" s="74">
        <f t="shared" ref="H177:H182" si="49">SUM(D177:G177)</f>
        <v>0</v>
      </c>
    </row>
    <row r="178" spans="1:8" x14ac:dyDescent="0.3">
      <c r="A178" s="291"/>
      <c r="B178" s="19" t="s">
        <v>69</v>
      </c>
      <c r="C178" s="11" t="s">
        <v>57</v>
      </c>
      <c r="D178" s="142">
        <f>Balaka!D178+Balaka!E178+Balaka!F178</f>
        <v>0</v>
      </c>
      <c r="E178" s="142">
        <f>Liwonde!D178+Liwonde!E178+Liwonde!F178</f>
        <v>0</v>
      </c>
      <c r="F178" s="142">
        <f>Machinga!D178+Machinga!E178+Machinga!F178</f>
        <v>0</v>
      </c>
      <c r="G178" s="142">
        <f>Ntaja!D178+Ntaja!E178+Ntaja!F178</f>
        <v>0</v>
      </c>
      <c r="H178" s="74">
        <f t="shared" si="49"/>
        <v>0</v>
      </c>
    </row>
    <row r="179" spans="1:8" x14ac:dyDescent="0.3">
      <c r="A179" s="291"/>
      <c r="B179" s="19" t="s">
        <v>68</v>
      </c>
      <c r="C179" s="11" t="s">
        <v>57</v>
      </c>
      <c r="D179" s="142">
        <f>Balaka!D179+Balaka!E179+Balaka!F179</f>
        <v>0</v>
      </c>
      <c r="E179" s="142">
        <f>Liwonde!D179+Liwonde!E179+Liwonde!F179</f>
        <v>0</v>
      </c>
      <c r="F179" s="142">
        <f>Machinga!D179+Machinga!E179+Machinga!F179</f>
        <v>0</v>
      </c>
      <c r="G179" s="142">
        <f>Ntaja!D179+Ntaja!E179+Ntaja!F179</f>
        <v>0</v>
      </c>
      <c r="H179" s="74">
        <f t="shared" si="49"/>
        <v>0</v>
      </c>
    </row>
    <row r="180" spans="1:8" x14ac:dyDescent="0.3">
      <c r="A180" s="291"/>
      <c r="B180" s="19" t="s">
        <v>67</v>
      </c>
      <c r="C180" s="11" t="s">
        <v>57</v>
      </c>
      <c r="D180" s="142">
        <f>Balaka!D180+Balaka!E180+Balaka!F180</f>
        <v>0</v>
      </c>
      <c r="E180" s="142">
        <f>Liwonde!D180+Liwonde!E180+Liwonde!F180</f>
        <v>0</v>
      </c>
      <c r="F180" s="142">
        <f>Machinga!D180+Machinga!E180+Machinga!F180</f>
        <v>0</v>
      </c>
      <c r="G180" s="142">
        <f>Ntaja!D180+Ntaja!E180+Ntaja!F180</f>
        <v>0</v>
      </c>
      <c r="H180" s="74">
        <f t="shared" si="49"/>
        <v>0</v>
      </c>
    </row>
    <row r="181" spans="1:8" x14ac:dyDescent="0.3">
      <c r="A181" s="291"/>
      <c r="B181" s="19" t="s">
        <v>66</v>
      </c>
      <c r="C181" s="11" t="s">
        <v>57</v>
      </c>
      <c r="D181" s="142">
        <f>Balaka!D181+Balaka!E181+Balaka!F181</f>
        <v>0</v>
      </c>
      <c r="E181" s="142">
        <f>Liwonde!D181+Liwonde!E181+Liwonde!F181</f>
        <v>0</v>
      </c>
      <c r="F181" s="142">
        <f>Machinga!D181+Machinga!E181+Machinga!F181</f>
        <v>0</v>
      </c>
      <c r="G181" s="142">
        <f>Ntaja!D181+Ntaja!E181+Ntaja!F181</f>
        <v>0</v>
      </c>
      <c r="H181" s="74">
        <f t="shared" si="49"/>
        <v>0</v>
      </c>
    </row>
    <row r="182" spans="1:8" x14ac:dyDescent="0.3">
      <c r="A182" s="292"/>
      <c r="B182" s="19" t="s">
        <v>65</v>
      </c>
      <c r="C182" s="11" t="s">
        <v>57</v>
      </c>
      <c r="D182" s="142">
        <f>Balaka!D182+Balaka!E182+Balaka!F182</f>
        <v>0</v>
      </c>
      <c r="E182" s="142">
        <f>Liwonde!D182+Liwonde!E182+Liwonde!F182</f>
        <v>0</v>
      </c>
      <c r="F182" s="142">
        <f>Machinga!D182+Machinga!E182+Machinga!F182</f>
        <v>0</v>
      </c>
      <c r="G182" s="142">
        <f>Ntaja!D182+Ntaja!E182+Ntaja!F182</f>
        <v>0</v>
      </c>
      <c r="H182" s="74">
        <f t="shared" si="49"/>
        <v>0</v>
      </c>
    </row>
    <row r="183" spans="1:8" x14ac:dyDescent="0.3">
      <c r="A183" s="290" t="s">
        <v>209</v>
      </c>
      <c r="B183" s="21" t="s">
        <v>63</v>
      </c>
      <c r="C183" s="11"/>
      <c r="D183" s="133"/>
      <c r="E183" s="133"/>
      <c r="F183" s="133"/>
      <c r="G183" s="133"/>
      <c r="H183" s="74"/>
    </row>
    <row r="184" spans="1:8" x14ac:dyDescent="0.3">
      <c r="A184" s="291"/>
      <c r="B184" s="19" t="s">
        <v>73</v>
      </c>
      <c r="C184" s="11" t="s">
        <v>57</v>
      </c>
      <c r="D184" s="142">
        <f>Balaka!D184+Balaka!E184+Balaka!F184</f>
        <v>0</v>
      </c>
      <c r="E184" s="142">
        <f>Liwonde!D184+Liwonde!E184+Liwonde!F184</f>
        <v>0</v>
      </c>
      <c r="F184" s="142">
        <f>Machinga!D184+Machinga!E184+Machinga!F184</f>
        <v>0</v>
      </c>
      <c r="G184" s="142">
        <f>Ntaja!D184+Ntaja!E184+Ntaja!F184</f>
        <v>0</v>
      </c>
      <c r="H184" s="74">
        <f>SUM(D184:G184)</f>
        <v>0</v>
      </c>
    </row>
    <row r="185" spans="1:8" x14ac:dyDescent="0.3">
      <c r="A185" s="291"/>
      <c r="B185" s="19" t="s">
        <v>72</v>
      </c>
      <c r="C185" s="11" t="s">
        <v>57</v>
      </c>
      <c r="D185" s="142">
        <f>Balaka!D185+Balaka!E185+Balaka!F185</f>
        <v>0</v>
      </c>
      <c r="E185" s="142">
        <f>Liwonde!D185+Liwonde!E185+Liwonde!F185</f>
        <v>0</v>
      </c>
      <c r="F185" s="142">
        <f>Machinga!D185+Machinga!E185+Machinga!F185</f>
        <v>0</v>
      </c>
      <c r="G185" s="142">
        <f>Ntaja!D185+Ntaja!E185+Ntaja!F185</f>
        <v>0</v>
      </c>
      <c r="H185" s="74">
        <f>SUM(D185:G185)</f>
        <v>0</v>
      </c>
    </row>
    <row r="186" spans="1:8" x14ac:dyDescent="0.3">
      <c r="A186" s="291"/>
      <c r="B186" s="19" t="s">
        <v>53</v>
      </c>
      <c r="C186" s="11" t="s">
        <v>57</v>
      </c>
      <c r="D186" s="142">
        <f>Balaka!D186+Balaka!E186+Balaka!F186</f>
        <v>0</v>
      </c>
      <c r="E186" s="142">
        <f>Liwonde!D186+Liwonde!E186+Liwonde!F186</f>
        <v>0</v>
      </c>
      <c r="F186" s="142">
        <f>Machinga!D186+Machinga!E186+Machinga!F186</f>
        <v>0</v>
      </c>
      <c r="G186" s="142">
        <f>Ntaja!D186+Ntaja!E186+Ntaja!F186</f>
        <v>0</v>
      </c>
      <c r="H186" s="74">
        <f>SUM(D186:G186)</f>
        <v>0</v>
      </c>
    </row>
    <row r="187" spans="1:8" x14ac:dyDescent="0.3">
      <c r="A187" s="292"/>
      <c r="B187" s="19" t="s">
        <v>52</v>
      </c>
      <c r="C187" s="11" t="s">
        <v>57</v>
      </c>
      <c r="D187" s="142">
        <f>Balaka!D187+Balaka!E187+Balaka!F187</f>
        <v>0</v>
      </c>
      <c r="E187" s="142">
        <f>Liwonde!D187+Liwonde!E187+Liwonde!F187</f>
        <v>0</v>
      </c>
      <c r="F187" s="142">
        <f>Machinga!D187+Machinga!E187+Machinga!F187</f>
        <v>0</v>
      </c>
      <c r="G187" s="142">
        <f>Ntaja!D187+Ntaja!E187+Ntaja!F187</f>
        <v>0</v>
      </c>
      <c r="H187" s="74">
        <f>SUM(D187:G187)</f>
        <v>0</v>
      </c>
    </row>
    <row r="188" spans="1:8" x14ac:dyDescent="0.3">
      <c r="A188" s="290" t="s">
        <v>64</v>
      </c>
      <c r="B188" s="21" t="s">
        <v>63</v>
      </c>
      <c r="C188" s="11"/>
      <c r="D188" s="133"/>
      <c r="E188" s="133"/>
      <c r="F188" s="133"/>
      <c r="G188" s="133"/>
      <c r="H188" s="74"/>
    </row>
    <row r="189" spans="1:8" x14ac:dyDescent="0.3">
      <c r="A189" s="291"/>
      <c r="B189" s="20" t="s">
        <v>52</v>
      </c>
      <c r="C189" s="11" t="s">
        <v>57</v>
      </c>
      <c r="D189" s="142">
        <f>Balaka!D189+Balaka!E189+Balaka!F189</f>
        <v>0</v>
      </c>
      <c r="E189" s="142">
        <f>Liwonde!D189+Liwonde!E189+Liwonde!F189</f>
        <v>0</v>
      </c>
      <c r="F189" s="142">
        <f>Machinga!D189+Machinga!E189+Machinga!F189</f>
        <v>0</v>
      </c>
      <c r="G189" s="142">
        <f>Ntaja!D189+Ntaja!E189+Ntaja!F189</f>
        <v>0</v>
      </c>
      <c r="H189" s="74">
        <f>SUM(D189:G189)</f>
        <v>0</v>
      </c>
    </row>
    <row r="190" spans="1:8" x14ac:dyDescent="0.3">
      <c r="A190" s="291"/>
      <c r="B190" s="19" t="s">
        <v>62</v>
      </c>
      <c r="C190" s="11" t="s">
        <v>57</v>
      </c>
      <c r="D190" s="142">
        <f>Balaka!D190+Balaka!E190+Balaka!F190</f>
        <v>0</v>
      </c>
      <c r="E190" s="142">
        <f>Liwonde!D190+Liwonde!E190+Liwonde!F190</f>
        <v>0</v>
      </c>
      <c r="F190" s="142">
        <f>Machinga!D190+Machinga!E190+Machinga!F190</f>
        <v>0</v>
      </c>
      <c r="G190" s="142">
        <f>Ntaja!D190+Ntaja!E190+Ntaja!F190</f>
        <v>0</v>
      </c>
      <c r="H190" s="74">
        <f>SUM(D190:G190)</f>
        <v>0</v>
      </c>
    </row>
    <row r="191" spans="1:8" x14ac:dyDescent="0.3">
      <c r="A191" s="291"/>
      <c r="B191" s="19" t="s">
        <v>61</v>
      </c>
      <c r="C191" s="11" t="s">
        <v>57</v>
      </c>
      <c r="D191" s="142">
        <f>Balaka!D191+Balaka!E191+Balaka!F191</f>
        <v>0</v>
      </c>
      <c r="E191" s="142">
        <f>Liwonde!D191+Liwonde!E191+Liwonde!F191</f>
        <v>0</v>
      </c>
      <c r="F191" s="142">
        <f>Machinga!D191+Machinga!E191+Machinga!F191</f>
        <v>0</v>
      </c>
      <c r="G191" s="142">
        <f>Ntaja!D191+Ntaja!E191+Ntaja!F191</f>
        <v>0</v>
      </c>
      <c r="H191" s="74">
        <f>SUM(D191:G191)</f>
        <v>0</v>
      </c>
    </row>
    <row r="192" spans="1:8" x14ac:dyDescent="0.3">
      <c r="A192" s="292"/>
      <c r="B192" s="19" t="s">
        <v>60</v>
      </c>
      <c r="C192" s="11" t="s">
        <v>57</v>
      </c>
      <c r="D192" s="142">
        <f>Balaka!D192+Balaka!E192+Balaka!F192</f>
        <v>0</v>
      </c>
      <c r="E192" s="142">
        <f>Liwonde!D192+Liwonde!E192+Liwonde!F192</f>
        <v>0</v>
      </c>
      <c r="F192" s="142">
        <f>Machinga!D192+Machinga!E192+Machinga!F192</f>
        <v>0</v>
      </c>
      <c r="G192" s="142">
        <f>Ntaja!D192+Ntaja!E192+Ntaja!F192</f>
        <v>0</v>
      </c>
      <c r="H192" s="74">
        <f>SUM(D192:G192)</f>
        <v>0</v>
      </c>
    </row>
    <row r="193" spans="1:8" x14ac:dyDescent="0.3">
      <c r="A193" s="311" t="s">
        <v>59</v>
      </c>
      <c r="B193" s="312"/>
      <c r="C193" s="11"/>
      <c r="D193" s="141">
        <f>SUM(D153:D192)</f>
        <v>975</v>
      </c>
      <c r="E193" s="141">
        <f t="shared" ref="E193:G193" si="50">SUM(E153:E192)</f>
        <v>676</v>
      </c>
      <c r="F193" s="141">
        <f t="shared" si="50"/>
        <v>87</v>
      </c>
      <c r="G193" s="141">
        <f t="shared" si="50"/>
        <v>359</v>
      </c>
      <c r="H193" s="55">
        <f>SUM(H153:H192)</f>
        <v>2097</v>
      </c>
    </row>
    <row r="194" spans="1:8" x14ac:dyDescent="0.3">
      <c r="A194" s="285" t="s">
        <v>58</v>
      </c>
      <c r="B194" s="286"/>
      <c r="C194" s="11" t="s">
        <v>57</v>
      </c>
      <c r="D194" s="142">
        <f>Balaka!D194+Balaka!E194+Balaka!F194</f>
        <v>3</v>
      </c>
      <c r="E194" s="142">
        <f>Liwonde!D194+Liwonde!E194+Liwonde!F194</f>
        <v>2</v>
      </c>
      <c r="F194" s="142">
        <f>Machinga!D194+Machinga!E194+Machinga!F194</f>
        <v>3</v>
      </c>
      <c r="G194" s="142">
        <f>Ntaja!D194+Ntaja!E194+Ntaja!F194</f>
        <v>5</v>
      </c>
      <c r="H194" s="165">
        <f>SUM(D194:G194)</f>
        <v>13</v>
      </c>
    </row>
    <row r="195" spans="1:8" x14ac:dyDescent="0.3">
      <c r="A195" s="287"/>
      <c r="B195" s="288"/>
      <c r="C195" s="16" t="s">
        <v>55</v>
      </c>
      <c r="D195" s="142">
        <f>Balaka!D195+Balaka!E195+Balaka!F195</f>
        <v>1440</v>
      </c>
      <c r="E195" s="142">
        <f>Liwonde!D195+Liwonde!E195+Liwonde!F195</f>
        <v>888</v>
      </c>
      <c r="F195" s="142">
        <f>Machinga!D195+Machinga!E195+Machinga!F195</f>
        <v>0</v>
      </c>
      <c r="G195" s="142">
        <f>Ntaja!D195+Ntaja!E195+Ntaja!F195</f>
        <v>1560</v>
      </c>
      <c r="H195" s="165">
        <f>SUM(D195:G195)</f>
        <v>3888</v>
      </c>
    </row>
    <row r="196" spans="1:8" x14ac:dyDescent="0.3">
      <c r="A196" s="232" t="s">
        <v>202</v>
      </c>
      <c r="B196" s="233"/>
      <c r="C196" s="16" t="s">
        <v>55</v>
      </c>
      <c r="D196" s="142">
        <f>Balaka!F196</f>
        <v>1200</v>
      </c>
      <c r="E196" s="142">
        <f>Liwonde!F196</f>
        <v>648</v>
      </c>
      <c r="F196" s="142">
        <f>Machinga!F196</f>
        <v>720</v>
      </c>
      <c r="G196" s="142">
        <f>Ntaja!F196</f>
        <v>744</v>
      </c>
      <c r="H196" s="165">
        <f>SUM(D196:G196)/10</f>
        <v>331.2</v>
      </c>
    </row>
    <row r="197" spans="1:8" x14ac:dyDescent="0.3">
      <c r="A197" s="237" t="s">
        <v>56</v>
      </c>
      <c r="B197" s="238"/>
      <c r="C197" s="16" t="s">
        <v>55</v>
      </c>
      <c r="D197" s="166">
        <f>Balaka!D197+Balaka!E197+Balaka!F197</f>
        <v>25</v>
      </c>
      <c r="E197" s="166">
        <f>Liwonde!D197+Liwonde!E197+Liwonde!F197</f>
        <v>290</v>
      </c>
      <c r="F197" s="166">
        <f>Machinga!D197+Machinga!E197+Machinga!F197</f>
        <v>0</v>
      </c>
      <c r="G197" s="166">
        <f>Ntaja!D197+Ntaja!E197+Ntaja!F197</f>
        <v>170</v>
      </c>
      <c r="H197" s="165">
        <f>SUM(D197:G197)</f>
        <v>485</v>
      </c>
    </row>
    <row r="198" spans="1:8" x14ac:dyDescent="0.3">
      <c r="A198" s="280" t="s">
        <v>203</v>
      </c>
      <c r="B198" s="281"/>
      <c r="C198" s="281"/>
      <c r="D198" s="281"/>
      <c r="E198" s="281"/>
      <c r="F198" s="281"/>
      <c r="G198" s="281"/>
      <c r="H198" s="555"/>
    </row>
    <row r="199" spans="1:8" x14ac:dyDescent="0.3">
      <c r="A199" s="285" t="s">
        <v>54</v>
      </c>
      <c r="B199" s="224" t="s">
        <v>53</v>
      </c>
      <c r="C199" s="11" t="s">
        <v>47</v>
      </c>
      <c r="D199" s="142">
        <f>Balaka!D199+Balaka!E199+Balaka!F199</f>
        <v>0</v>
      </c>
      <c r="E199" s="142">
        <f>Liwonde!D199+Liwonde!E199+Liwonde!F199</f>
        <v>0</v>
      </c>
      <c r="F199" s="142">
        <f>Machinga!D199+Machinga!E199+Machinga!F199</f>
        <v>0</v>
      </c>
      <c r="G199" s="142">
        <f>Ntaja!D199+Ntaja!E199+Ntaja!F199</f>
        <v>0</v>
      </c>
      <c r="H199" s="39">
        <f t="shared" ref="H199:H204" si="51">SUM(D199:G199)</f>
        <v>0</v>
      </c>
    </row>
    <row r="200" spans="1:8" x14ac:dyDescent="0.3">
      <c r="A200" s="289"/>
      <c r="B200" s="224" t="s">
        <v>52</v>
      </c>
      <c r="C200" s="11" t="s">
        <v>47</v>
      </c>
      <c r="D200" s="142">
        <f>Balaka!D200+Balaka!E200+Balaka!F200</f>
        <v>0</v>
      </c>
      <c r="E200" s="142">
        <f>Liwonde!D200+Liwonde!E200+Liwonde!F200</f>
        <v>0</v>
      </c>
      <c r="F200" s="142">
        <f>Machinga!D200+Machinga!E200+Machinga!F200</f>
        <v>0</v>
      </c>
      <c r="G200" s="142">
        <f>Ntaja!D200+Ntaja!E200+Ntaja!F200</f>
        <v>0</v>
      </c>
      <c r="H200" s="39">
        <f t="shared" si="51"/>
        <v>0</v>
      </c>
    </row>
    <row r="201" spans="1:8" x14ac:dyDescent="0.3">
      <c r="A201" s="289"/>
      <c r="B201" s="224" t="s">
        <v>51</v>
      </c>
      <c r="C201" s="11" t="s">
        <v>47</v>
      </c>
      <c r="D201" s="142">
        <f>Balaka!D201+Balaka!E201+Balaka!F201</f>
        <v>0</v>
      </c>
      <c r="E201" s="142">
        <f>Liwonde!D201+Liwonde!E201+Liwonde!F201</f>
        <v>300</v>
      </c>
      <c r="F201" s="142">
        <f>Machinga!D201+Machinga!E201+Machinga!F201</f>
        <v>0</v>
      </c>
      <c r="G201" s="142">
        <f>Ntaja!D201+Ntaja!E201+Ntaja!F201</f>
        <v>0</v>
      </c>
      <c r="H201" s="39">
        <f t="shared" si="51"/>
        <v>300</v>
      </c>
    </row>
    <row r="202" spans="1:8" x14ac:dyDescent="0.3">
      <c r="A202" s="289"/>
      <c r="B202" s="224" t="s">
        <v>50</v>
      </c>
      <c r="C202" s="11" t="s">
        <v>47</v>
      </c>
      <c r="D202" s="142">
        <f>Balaka!D202+Balaka!E202+Balaka!F202</f>
        <v>0</v>
      </c>
      <c r="E202" s="142">
        <f>Liwonde!D202+Liwonde!E202+Liwonde!F202</f>
        <v>0</v>
      </c>
      <c r="F202" s="142">
        <f>Machinga!D202+Machinga!E202+Machinga!F202</f>
        <v>0</v>
      </c>
      <c r="G202" s="142">
        <f>Ntaja!D202+Ntaja!E202+Ntaja!F202</f>
        <v>0</v>
      </c>
      <c r="H202" s="39">
        <f t="shared" si="51"/>
        <v>0</v>
      </c>
    </row>
    <row r="203" spans="1:8" x14ac:dyDescent="0.3">
      <c r="A203" s="287"/>
      <c r="B203" s="224" t="s">
        <v>49</v>
      </c>
      <c r="C203" s="11" t="s">
        <v>47</v>
      </c>
      <c r="D203" s="142">
        <f>Balaka!D203+Balaka!E203+Balaka!F203</f>
        <v>0</v>
      </c>
      <c r="E203" s="142">
        <f>Liwonde!D203+Liwonde!E203+Liwonde!F203</f>
        <v>0</v>
      </c>
      <c r="F203" s="142">
        <f>Machinga!D203+Machinga!E203+Machinga!F203</f>
        <v>0</v>
      </c>
      <c r="G203" s="142">
        <f>Ntaja!D203+Ntaja!E203+Ntaja!F203</f>
        <v>0</v>
      </c>
      <c r="H203" s="39">
        <f t="shared" si="51"/>
        <v>0</v>
      </c>
    </row>
    <row r="204" spans="1:8" x14ac:dyDescent="0.3">
      <c r="A204" s="83" t="s">
        <v>48</v>
      </c>
      <c r="B204" s="224"/>
      <c r="C204" s="11" t="s">
        <v>47</v>
      </c>
      <c r="D204" s="15">
        <f t="shared" ref="D204:G204" si="52">SUM(D199:D203)</f>
        <v>0</v>
      </c>
      <c r="E204" s="15">
        <f t="shared" si="52"/>
        <v>300</v>
      </c>
      <c r="F204" s="15">
        <f t="shared" si="52"/>
        <v>0</v>
      </c>
      <c r="G204" s="15">
        <f t="shared" si="52"/>
        <v>0</v>
      </c>
      <c r="H204" s="111">
        <f t="shared" si="51"/>
        <v>300</v>
      </c>
    </row>
    <row r="205" spans="1:8" s="2" customFormat="1" x14ac:dyDescent="0.3">
      <c r="A205" s="280" t="s">
        <v>46</v>
      </c>
      <c r="B205" s="281"/>
      <c r="C205" s="281"/>
      <c r="D205" s="281"/>
      <c r="E205" s="281"/>
      <c r="F205" s="281"/>
      <c r="G205" s="281"/>
      <c r="H205" s="555"/>
    </row>
    <row r="206" spans="1:8" x14ac:dyDescent="0.3">
      <c r="A206" s="237" t="s">
        <v>43</v>
      </c>
      <c r="B206" s="238"/>
      <c r="C206" s="11" t="s">
        <v>31</v>
      </c>
      <c r="D206" s="15">
        <f>Balaka!D206+Balaka!E206+Balaka!F206</f>
        <v>64860038.969999999</v>
      </c>
      <c r="E206" s="15">
        <f>Liwonde!D206+Liwonde!E206+Liwonde!F206</f>
        <v>49797255</v>
      </c>
      <c r="F206" s="15">
        <f>Machinga!D206+Machinga!E206+Machinga!F206</f>
        <v>1831190</v>
      </c>
      <c r="G206" s="15">
        <f>Ntaja!D206+Ntaja!E206+Ntaja!F206</f>
        <v>310372</v>
      </c>
      <c r="H206" s="39">
        <f>SUM(D206:G206)</f>
        <v>116798855.97</v>
      </c>
    </row>
    <row r="207" spans="1:8" x14ac:dyDescent="0.3">
      <c r="A207" s="237" t="s">
        <v>42</v>
      </c>
      <c r="B207" s="238"/>
      <c r="C207" s="11" t="s">
        <v>31</v>
      </c>
      <c r="D207" s="15">
        <f>Balaka!D207+Balaka!E207+Balaka!F207</f>
        <v>702242.92999999993</v>
      </c>
      <c r="E207" s="15">
        <f>Liwonde!D207+Liwonde!E207+Liwonde!F207</f>
        <v>262100</v>
      </c>
      <c r="F207" s="15">
        <f>Machinga!D207+Machinga!E207+Machinga!F207</f>
        <v>0</v>
      </c>
      <c r="G207" s="15">
        <f>Ntaja!D207+Ntaja!E207+Ntaja!F207</f>
        <v>0</v>
      </c>
      <c r="H207" s="39">
        <f>SUM(D207:G207)</f>
        <v>964342.92999999993</v>
      </c>
    </row>
    <row r="208" spans="1:8" x14ac:dyDescent="0.3">
      <c r="A208" s="243" t="s">
        <v>41</v>
      </c>
      <c r="B208" s="244"/>
      <c r="C208" s="11" t="s">
        <v>31</v>
      </c>
      <c r="D208" s="15">
        <f>Balaka!D208+Balaka!E208+Balaka!F208</f>
        <v>377066.8</v>
      </c>
      <c r="E208" s="15">
        <f>Liwonde!D208+Liwonde!E208+Liwonde!F208</f>
        <v>687747</v>
      </c>
      <c r="F208" s="15">
        <f>Machinga!D208+Machinga!E208+Machinga!F208</f>
        <v>0</v>
      </c>
      <c r="G208" s="15">
        <f>Ntaja!D208+Ntaja!E208+Ntaja!F208</f>
        <v>8800</v>
      </c>
      <c r="H208" s="39">
        <f>SUM(D208:G208)</f>
        <v>1073613.8</v>
      </c>
    </row>
    <row r="209" spans="1:8" x14ac:dyDescent="0.3">
      <c r="A209" s="237" t="s">
        <v>40</v>
      </c>
      <c r="B209" s="238"/>
      <c r="C209" s="11" t="s">
        <v>31</v>
      </c>
      <c r="D209" s="15">
        <f>Balaka!D209+Balaka!E209+Balaka!F209</f>
        <v>258428.62</v>
      </c>
      <c r="E209" s="15">
        <f>Liwonde!D209+Liwonde!E209+Liwonde!F209</f>
        <v>3187585</v>
      </c>
      <c r="F209" s="15">
        <f>Machinga!D209+Machinga!E209+Machinga!F209</f>
        <v>0</v>
      </c>
      <c r="G209" s="15">
        <f>Ntaja!D209+Ntaja!E209+Ntaja!F209</f>
        <v>40000</v>
      </c>
      <c r="H209" s="39">
        <f>SUM(D209:G209)</f>
        <v>3486013.62</v>
      </c>
    </row>
    <row r="210" spans="1:8" x14ac:dyDescent="0.3">
      <c r="A210" s="293" t="s">
        <v>45</v>
      </c>
      <c r="B210" s="294"/>
      <c r="C210" s="11" t="s">
        <v>31</v>
      </c>
      <c r="D210" s="10">
        <f t="shared" ref="D210:G210" si="53">SUM(D206:D209)</f>
        <v>66197777.319999993</v>
      </c>
      <c r="E210" s="10">
        <f t="shared" si="53"/>
        <v>53934687</v>
      </c>
      <c r="F210" s="10">
        <f t="shared" si="53"/>
        <v>1831190</v>
      </c>
      <c r="G210" s="10">
        <f t="shared" si="53"/>
        <v>359172</v>
      </c>
      <c r="H210" s="39">
        <f>SUM(D210:G210)</f>
        <v>122322826.31999999</v>
      </c>
    </row>
    <row r="211" spans="1:8" s="2" customFormat="1" x14ac:dyDescent="0.3">
      <c r="A211" s="280" t="s">
        <v>44</v>
      </c>
      <c r="B211" s="281"/>
      <c r="C211" s="281"/>
      <c r="D211" s="281"/>
      <c r="E211" s="281"/>
      <c r="F211" s="281"/>
      <c r="G211" s="281"/>
      <c r="H211" s="555"/>
    </row>
    <row r="212" spans="1:8" x14ac:dyDescent="0.3">
      <c r="A212" s="237" t="s">
        <v>43</v>
      </c>
      <c r="B212" s="238"/>
      <c r="C212" s="11" t="s">
        <v>31</v>
      </c>
      <c r="D212" s="15">
        <f>Balaka!D212+Balaka!E212+Balaka!F212</f>
        <v>26023524.829999998</v>
      </c>
      <c r="E212" s="15">
        <f>Liwonde!D212+Liwonde!E212+Liwonde!F212</f>
        <v>42785548.770000003</v>
      </c>
      <c r="F212" s="15">
        <f>Machinga!D212+Machinga!E212+Machinga!F212</f>
        <v>20784617</v>
      </c>
      <c r="G212" s="15">
        <f>Ntaja!D212+Ntaja!E212+Ntaja!F212</f>
        <v>3292206.4399999995</v>
      </c>
      <c r="H212" s="40">
        <f>SUM(D212:G212)</f>
        <v>92885897.039999992</v>
      </c>
    </row>
    <row r="213" spans="1:8" x14ac:dyDescent="0.3">
      <c r="A213" s="237" t="s">
        <v>42</v>
      </c>
      <c r="B213" s="238"/>
      <c r="C213" s="11" t="s">
        <v>31</v>
      </c>
      <c r="D213" s="15">
        <f>Balaka!D213+Balaka!E213+Balaka!F213</f>
        <v>0</v>
      </c>
      <c r="E213" s="15">
        <f>Liwonde!D213+Liwonde!E213+Liwonde!F213</f>
        <v>0</v>
      </c>
      <c r="F213" s="15">
        <f>Machinga!D213+Machinga!E213+Machinga!F213</f>
        <v>0</v>
      </c>
      <c r="G213" s="15">
        <f>Ntaja!D213+Ntaja!E213+Ntaja!F213</f>
        <v>0</v>
      </c>
      <c r="H213" s="40">
        <f>SUM(D213:G213)</f>
        <v>0</v>
      </c>
    </row>
    <row r="214" spans="1:8" x14ac:dyDescent="0.3">
      <c r="A214" s="243" t="s">
        <v>41</v>
      </c>
      <c r="B214" s="244"/>
      <c r="C214" s="11" t="s">
        <v>31</v>
      </c>
      <c r="D214" s="15">
        <f>Balaka!D214+Balaka!E214+Balaka!F214</f>
        <v>0</v>
      </c>
      <c r="E214" s="15">
        <f>Liwonde!D214+Liwonde!E214+Liwonde!F214</f>
        <v>0</v>
      </c>
      <c r="F214" s="15">
        <f>Machinga!D214+Machinga!E214+Machinga!F214</f>
        <v>0</v>
      </c>
      <c r="G214" s="15">
        <f>Ntaja!D214+Ntaja!E214+Ntaja!F214</f>
        <v>0</v>
      </c>
      <c r="H214" s="40">
        <f>SUM(D214:G214)</f>
        <v>0</v>
      </c>
    </row>
    <row r="215" spans="1:8" x14ac:dyDescent="0.3">
      <c r="A215" s="237" t="s">
        <v>40</v>
      </c>
      <c r="B215" s="238"/>
      <c r="C215" s="11" t="s">
        <v>31</v>
      </c>
      <c r="D215" s="15">
        <f>Balaka!D215+Balaka!E215+Balaka!F215</f>
        <v>0</v>
      </c>
      <c r="E215" s="15">
        <f>Liwonde!D215+Liwonde!E215+Liwonde!F215</f>
        <v>0</v>
      </c>
      <c r="F215" s="15">
        <f>Machinga!D215+Machinga!E215+Machinga!F215</f>
        <v>0</v>
      </c>
      <c r="G215" s="15">
        <f>Ntaja!D215+Ntaja!E215+Ntaja!F215</f>
        <v>0</v>
      </c>
      <c r="H215" s="40">
        <f>SUM(D215:G215)</f>
        <v>0</v>
      </c>
    </row>
    <row r="216" spans="1:8" x14ac:dyDescent="0.3">
      <c r="A216" s="293" t="s">
        <v>39</v>
      </c>
      <c r="B216" s="294"/>
      <c r="C216" s="11" t="s">
        <v>31</v>
      </c>
      <c r="D216" s="10">
        <f t="shared" ref="D216:G216" si="54">SUM(D212:D215)</f>
        <v>26023524.829999998</v>
      </c>
      <c r="E216" s="10">
        <f t="shared" si="54"/>
        <v>42785548.770000003</v>
      </c>
      <c r="F216" s="10">
        <f t="shared" si="54"/>
        <v>20784617</v>
      </c>
      <c r="G216" s="10">
        <f t="shared" si="54"/>
        <v>3292206.4399999995</v>
      </c>
      <c r="H216" s="40">
        <f>SUM(D216:G216)</f>
        <v>92885897.039999992</v>
      </c>
    </row>
    <row r="217" spans="1:8" s="2" customFormat="1" x14ac:dyDescent="0.3">
      <c r="A217" s="234" t="s">
        <v>38</v>
      </c>
      <c r="B217" s="235"/>
      <c r="C217" s="11" t="s">
        <v>31</v>
      </c>
      <c r="D217" s="10">
        <f>D210+D216</f>
        <v>92221302.149999991</v>
      </c>
      <c r="E217" s="10">
        <f t="shared" ref="E217:H217" si="55">E210+E216</f>
        <v>96720235.770000011</v>
      </c>
      <c r="F217" s="10">
        <f t="shared" si="55"/>
        <v>22615807</v>
      </c>
      <c r="G217" s="10">
        <f t="shared" si="55"/>
        <v>3651378.4399999995</v>
      </c>
      <c r="H217" s="40">
        <f t="shared" si="55"/>
        <v>215208723.35999998</v>
      </c>
    </row>
    <row r="218" spans="1:8" s="2" customFormat="1" x14ac:dyDescent="0.3">
      <c r="A218" s="280" t="s">
        <v>37</v>
      </c>
      <c r="B218" s="281"/>
      <c r="C218" s="281"/>
      <c r="D218" s="281"/>
      <c r="E218" s="281"/>
      <c r="F218" s="281"/>
      <c r="G218" s="281"/>
      <c r="H218" s="555"/>
    </row>
    <row r="219" spans="1:8" x14ac:dyDescent="0.3">
      <c r="A219" s="237" t="s">
        <v>35</v>
      </c>
      <c r="B219" s="238"/>
      <c r="C219" s="11" t="s">
        <v>31</v>
      </c>
      <c r="D219" s="15">
        <f>Balaka!D219+Balaka!E219+Balaka!F219</f>
        <v>61171803.549999997</v>
      </c>
      <c r="E219" s="15">
        <f>Liwonde!D219+Liwonde!E219+Liwonde!F219</f>
        <v>54886367</v>
      </c>
      <c r="F219" s="15">
        <f>Machinga!D219+Machinga!E219+Machinga!F219</f>
        <v>2177730</v>
      </c>
      <c r="G219" s="15">
        <f>Ntaja!D219+Ntaja!E219+Ntaja!F219</f>
        <v>442049</v>
      </c>
      <c r="H219" s="40">
        <f>SUM(D219:G219)</f>
        <v>118677949.55</v>
      </c>
    </row>
    <row r="220" spans="1:8" x14ac:dyDescent="0.3">
      <c r="A220" s="237" t="s">
        <v>34</v>
      </c>
      <c r="B220" s="238"/>
      <c r="C220" s="11" t="s">
        <v>31</v>
      </c>
      <c r="D220" s="15">
        <f>Balaka!D220+Balaka!E220+Balaka!F220</f>
        <v>559230.61</v>
      </c>
      <c r="E220" s="15">
        <f>Liwonde!D220+Liwonde!E220+Liwonde!F220</f>
        <v>201538</v>
      </c>
      <c r="F220" s="15">
        <f>Machinga!D220+Machinga!E220+Machinga!F220</f>
        <v>0</v>
      </c>
      <c r="G220" s="15">
        <f>Ntaja!D220+Ntaja!E220+Ntaja!F220</f>
        <v>0</v>
      </c>
      <c r="H220" s="40">
        <f>SUM(D220:G220)</f>
        <v>760768.61</v>
      </c>
    </row>
    <row r="221" spans="1:8" x14ac:dyDescent="0.3">
      <c r="A221" s="237" t="s">
        <v>33</v>
      </c>
      <c r="B221" s="238"/>
      <c r="C221" s="11" t="s">
        <v>31</v>
      </c>
      <c r="D221" s="15">
        <f>Balaka!D221+Balaka!E221+Balaka!F221</f>
        <v>2134482.4099999997</v>
      </c>
      <c r="E221" s="15">
        <f>Liwonde!D221+Liwonde!E221+Liwonde!F221</f>
        <v>18828722</v>
      </c>
      <c r="F221" s="15">
        <f>Machinga!D221+Machinga!E221+Machinga!F221</f>
        <v>9763798</v>
      </c>
      <c r="G221" s="15">
        <f>Ntaja!D221+Ntaja!E221+Ntaja!F221</f>
        <v>63306</v>
      </c>
      <c r="H221" s="40">
        <f>SUM(D221:G221)</f>
        <v>30790308.41</v>
      </c>
    </row>
    <row r="222" spans="1:8" x14ac:dyDescent="0.3">
      <c r="A222" s="237" t="s">
        <v>32</v>
      </c>
      <c r="B222" s="238"/>
      <c r="C222" s="11" t="s">
        <v>31</v>
      </c>
      <c r="D222" s="15">
        <f>Balaka!D222+Balaka!E222+Balaka!F222</f>
        <v>405545.38</v>
      </c>
      <c r="E222" s="15">
        <f>Liwonde!D222+Liwonde!E222+Liwonde!F222</f>
        <v>1246655</v>
      </c>
      <c r="F222" s="15">
        <f>Machinga!D222+Machinga!E222+Machinga!F222</f>
        <v>0</v>
      </c>
      <c r="G222" s="15">
        <f>Ntaja!D222+Ntaja!E222+Ntaja!F222</f>
        <v>7646</v>
      </c>
      <c r="H222" s="40">
        <f>SUM(D222:G222)</f>
        <v>1659846.38</v>
      </c>
    </row>
    <row r="223" spans="1:8" x14ac:dyDescent="0.3">
      <c r="A223" s="293" t="s">
        <v>36</v>
      </c>
      <c r="B223" s="294"/>
      <c r="C223" s="11" t="s">
        <v>31</v>
      </c>
      <c r="D223" s="12">
        <f t="shared" ref="D223:G223" si="56">SUM(D219:D222)</f>
        <v>64271061.949999996</v>
      </c>
      <c r="E223" s="10">
        <f t="shared" si="56"/>
        <v>75163282</v>
      </c>
      <c r="F223" s="10">
        <f t="shared" si="56"/>
        <v>11941528</v>
      </c>
      <c r="G223" s="10">
        <f t="shared" si="56"/>
        <v>513001</v>
      </c>
      <c r="H223" s="40">
        <f>SUM(D223:G223)</f>
        <v>151888872.94999999</v>
      </c>
    </row>
    <row r="224" spans="1:8" x14ac:dyDescent="0.3">
      <c r="A224" s="280" t="s">
        <v>211</v>
      </c>
      <c r="B224" s="281"/>
      <c r="C224" s="281"/>
      <c r="D224" s="281"/>
      <c r="E224" s="281"/>
      <c r="F224" s="281"/>
      <c r="G224" s="281"/>
      <c r="H224" s="555"/>
    </row>
    <row r="225" spans="1:8" x14ac:dyDescent="0.3">
      <c r="A225" s="237" t="s">
        <v>35</v>
      </c>
      <c r="B225" s="238"/>
      <c r="C225" s="11" t="s">
        <v>31</v>
      </c>
      <c r="D225" s="15">
        <f>Balaka!D225+Balaka!E225+Balaka!F225</f>
        <v>0</v>
      </c>
      <c r="E225" s="15">
        <f>Liwonde!D225+Liwonde!E225+Liwonde!F225</f>
        <v>0</v>
      </c>
      <c r="F225" s="15">
        <f>Machinga!D225+Machinga!E225+Machinga!F225</f>
        <v>0</v>
      </c>
      <c r="G225" s="15">
        <f>Ntaja!D225+Ntaja!E225+Ntaja!F225</f>
        <v>0</v>
      </c>
      <c r="H225" s="39">
        <f t="shared" ref="H225:H230" si="57">SUM(D225:G225)</f>
        <v>0</v>
      </c>
    </row>
    <row r="226" spans="1:8" x14ac:dyDescent="0.3">
      <c r="A226" s="237" t="s">
        <v>34</v>
      </c>
      <c r="B226" s="238"/>
      <c r="C226" s="11" t="s">
        <v>31</v>
      </c>
      <c r="D226" s="15">
        <f>Balaka!D226+Balaka!E226+Balaka!F226</f>
        <v>0</v>
      </c>
      <c r="E226" s="15">
        <f>Liwonde!D226+Liwonde!E226+Liwonde!F226</f>
        <v>0</v>
      </c>
      <c r="F226" s="15">
        <f>Machinga!D226+Machinga!E226+Machinga!F226</f>
        <v>0</v>
      </c>
      <c r="G226" s="15">
        <f>Ntaja!D226+Ntaja!E226+Ntaja!F226</f>
        <v>0</v>
      </c>
      <c r="H226" s="39">
        <f t="shared" si="57"/>
        <v>0</v>
      </c>
    </row>
    <row r="227" spans="1:8" x14ac:dyDescent="0.3">
      <c r="A227" s="237" t="s">
        <v>33</v>
      </c>
      <c r="B227" s="238"/>
      <c r="C227" s="11" t="s">
        <v>31</v>
      </c>
      <c r="D227" s="15">
        <f>Balaka!D227+Balaka!E227+Balaka!F227</f>
        <v>0</v>
      </c>
      <c r="E227" s="15">
        <f>Liwonde!D227+Liwonde!E227+Liwonde!F227</f>
        <v>0</v>
      </c>
      <c r="F227" s="15">
        <f>Machinga!D227+Machinga!E227+Machinga!F227</f>
        <v>0</v>
      </c>
      <c r="G227" s="15">
        <f>Ntaja!D227+Ntaja!E227+Ntaja!F227</f>
        <v>0</v>
      </c>
      <c r="H227" s="39">
        <f t="shared" si="57"/>
        <v>0</v>
      </c>
    </row>
    <row r="228" spans="1:8" x14ac:dyDescent="0.3">
      <c r="A228" s="237" t="s">
        <v>32</v>
      </c>
      <c r="B228" s="238"/>
      <c r="C228" s="11" t="s">
        <v>31</v>
      </c>
      <c r="D228" s="15">
        <f>Balaka!D228+Balaka!E228+Balaka!F228</f>
        <v>0</v>
      </c>
      <c r="E228" s="15">
        <f>Liwonde!D228+Liwonde!E228+Liwonde!F228</f>
        <v>0</v>
      </c>
      <c r="F228" s="15">
        <f>Machinga!D228+Machinga!E228+Machinga!F228</f>
        <v>0</v>
      </c>
      <c r="G228" s="15">
        <f>Ntaja!D228+Ntaja!E228+Ntaja!F228</f>
        <v>0</v>
      </c>
      <c r="H228" s="39">
        <f t="shared" si="57"/>
        <v>0</v>
      </c>
    </row>
    <row r="229" spans="1:8" x14ac:dyDescent="0.3">
      <c r="A229" s="293" t="s">
        <v>212</v>
      </c>
      <c r="B229" s="294"/>
      <c r="C229" s="11" t="s">
        <v>31</v>
      </c>
      <c r="D229" s="12">
        <f t="shared" ref="D229:G229" si="58">SUM(D225:D228)</f>
        <v>0</v>
      </c>
      <c r="E229" s="10">
        <f t="shared" si="58"/>
        <v>0</v>
      </c>
      <c r="F229" s="10">
        <f t="shared" si="58"/>
        <v>0</v>
      </c>
      <c r="G229" s="10">
        <f t="shared" si="58"/>
        <v>0</v>
      </c>
      <c r="H229" s="39">
        <f t="shared" si="57"/>
        <v>0</v>
      </c>
    </row>
    <row r="230" spans="1:8" x14ac:dyDescent="0.3">
      <c r="A230" s="234" t="s">
        <v>213</v>
      </c>
      <c r="B230" s="120"/>
      <c r="C230" s="11" t="s">
        <v>31</v>
      </c>
      <c r="D230" s="12">
        <f>D223+D229</f>
        <v>64271061.949999996</v>
      </c>
      <c r="E230" s="12">
        <f t="shared" ref="E230:G230" si="59">E223+E229</f>
        <v>75163282</v>
      </c>
      <c r="F230" s="12">
        <f t="shared" si="59"/>
        <v>11941528</v>
      </c>
      <c r="G230" s="12">
        <f t="shared" si="59"/>
        <v>513001</v>
      </c>
      <c r="H230" s="39">
        <f t="shared" si="57"/>
        <v>151888872.94999999</v>
      </c>
    </row>
    <row r="231" spans="1:8" x14ac:dyDescent="0.3">
      <c r="A231" s="280" t="s">
        <v>30</v>
      </c>
      <c r="B231" s="281"/>
      <c r="C231" s="281"/>
      <c r="D231" s="281"/>
      <c r="E231" s="281"/>
      <c r="F231" s="281"/>
      <c r="G231" s="281"/>
      <c r="H231" s="555"/>
    </row>
    <row r="232" spans="1:8" x14ac:dyDescent="0.3">
      <c r="A232" s="237" t="s">
        <v>29</v>
      </c>
      <c r="B232" s="238"/>
      <c r="C232" s="11" t="s">
        <v>18</v>
      </c>
      <c r="D232" s="15">
        <f>Balaka!D232+Balaka!E232+Balaka!F232</f>
        <v>4532721.41</v>
      </c>
      <c r="E232" s="15">
        <f>Liwonde!D232+Liwonde!E232+Liwonde!F232</f>
        <v>3613095</v>
      </c>
      <c r="F232" s="15">
        <f>Machinga!D232+Machinga!E232+Machinga!F232</f>
        <v>175533</v>
      </c>
      <c r="G232" s="15">
        <f>Ntaja!D232+Ntaja!E232+Ntaja!F232</f>
        <v>49885</v>
      </c>
      <c r="H232" s="40">
        <f>SUM(D232:G232)</f>
        <v>8371234.4100000001</v>
      </c>
    </row>
    <row r="233" spans="1:8" x14ac:dyDescent="0.3">
      <c r="A233" s="237" t="s">
        <v>28</v>
      </c>
      <c r="B233" s="238"/>
      <c r="C233" s="11" t="s">
        <v>18</v>
      </c>
      <c r="D233" s="15">
        <f>Balaka!D233+Balaka!E233+Balaka!F233</f>
        <v>7303.38</v>
      </c>
      <c r="E233" s="15">
        <f>Liwonde!D233+Liwonde!E233+Liwonde!F233</f>
        <v>6783</v>
      </c>
      <c r="F233" s="15">
        <f>Machinga!D233+Machinga!E233+Machinga!F233</f>
        <v>0</v>
      </c>
      <c r="G233" s="15">
        <f>Ntaja!D233+Ntaja!E233+Ntaja!F233</f>
        <v>0</v>
      </c>
      <c r="H233" s="40">
        <f>SUM(D233:G233)</f>
        <v>14086.380000000001</v>
      </c>
    </row>
    <row r="234" spans="1:8" x14ac:dyDescent="0.3">
      <c r="A234" s="237" t="s">
        <v>27</v>
      </c>
      <c r="B234" s="238"/>
      <c r="C234" s="11" t="s">
        <v>18</v>
      </c>
      <c r="D234" s="15">
        <f>Balaka!D234+Balaka!E234+Balaka!F234</f>
        <v>124433.53</v>
      </c>
      <c r="E234" s="15">
        <f>Liwonde!D234+Liwonde!E234+Liwonde!F234</f>
        <v>102838</v>
      </c>
      <c r="F234" s="15">
        <f>Machinga!D234+Machinga!E234+Machinga!F234</f>
        <v>21595</v>
      </c>
      <c r="G234" s="15">
        <f>Ntaja!D234+Ntaja!E234+Ntaja!F234</f>
        <v>12340</v>
      </c>
      <c r="H234" s="40">
        <f>SUM(D234:G234)</f>
        <v>261206.53</v>
      </c>
    </row>
    <row r="235" spans="1:8" x14ac:dyDescent="0.3">
      <c r="A235" s="237" t="s">
        <v>26</v>
      </c>
      <c r="B235" s="238"/>
      <c r="C235" s="11" t="s">
        <v>18</v>
      </c>
      <c r="D235" s="15">
        <f>Balaka!D235+Balaka!E235+Balaka!F235</f>
        <v>123662.55</v>
      </c>
      <c r="E235" s="15">
        <f>Liwonde!D235+Liwonde!E235+Liwonde!F235</f>
        <v>252947</v>
      </c>
      <c r="F235" s="15">
        <f>Machinga!D235+Machinga!E235+Machinga!F235</f>
        <v>0</v>
      </c>
      <c r="G235" s="15">
        <f>Ntaja!D235+Ntaja!E235+Ntaja!F235</f>
        <v>8291.91</v>
      </c>
      <c r="H235" s="40">
        <f>SUM(D235:G235)</f>
        <v>384901.45999999996</v>
      </c>
    </row>
    <row r="236" spans="1:8" x14ac:dyDescent="0.3">
      <c r="A236" s="293" t="s">
        <v>25</v>
      </c>
      <c r="B236" s="294"/>
      <c r="C236" s="11" t="s">
        <v>18</v>
      </c>
      <c r="D236" s="12">
        <f t="shared" ref="D236:G236" si="60">SUM(D232:D235)</f>
        <v>4788120.87</v>
      </c>
      <c r="E236" s="12">
        <f t="shared" si="60"/>
        <v>3975663</v>
      </c>
      <c r="F236" s="12">
        <f t="shared" si="60"/>
        <v>197128</v>
      </c>
      <c r="G236" s="12">
        <f t="shared" si="60"/>
        <v>70516.91</v>
      </c>
      <c r="H236" s="40">
        <f>SUM(H232:H235)</f>
        <v>9031428.7800000012</v>
      </c>
    </row>
    <row r="237" spans="1:8" x14ac:dyDescent="0.3">
      <c r="A237" s="280" t="s">
        <v>24</v>
      </c>
      <c r="B237" s="281"/>
      <c r="C237" s="281"/>
      <c r="D237" s="281"/>
      <c r="E237" s="281"/>
      <c r="F237" s="281"/>
      <c r="G237" s="281"/>
      <c r="H237" s="555"/>
    </row>
    <row r="238" spans="1:8" x14ac:dyDescent="0.3">
      <c r="A238" s="237" t="s">
        <v>23</v>
      </c>
      <c r="B238" s="238"/>
      <c r="C238" s="11" t="s">
        <v>18</v>
      </c>
      <c r="D238" s="15">
        <f>Balaka!D238+Balaka!E238+Balaka!F238</f>
        <v>9624754</v>
      </c>
      <c r="E238" s="15">
        <f>Liwonde!D238+Liwonde!E238+Liwonde!F238</f>
        <v>7474410</v>
      </c>
      <c r="F238" s="15">
        <f>Machinga!D238+Machinga!E238+Machinga!F238</f>
        <v>396492</v>
      </c>
      <c r="G238" s="15">
        <f>Ntaja!D238+Ntaja!E238+Ntaja!F238</f>
        <v>90193</v>
      </c>
      <c r="H238" s="40">
        <f>SUM(D238:G238)</f>
        <v>17585849</v>
      </c>
    </row>
    <row r="239" spans="1:8" x14ac:dyDescent="0.3">
      <c r="A239" s="237" t="s">
        <v>22</v>
      </c>
      <c r="B239" s="238"/>
      <c r="C239" s="11" t="s">
        <v>18</v>
      </c>
      <c r="D239" s="15">
        <f>Balaka!D239+Balaka!E239+Balaka!F239</f>
        <v>37506</v>
      </c>
      <c r="E239" s="15">
        <f>Liwonde!D239+Liwonde!E239+Liwonde!F239</f>
        <v>34827</v>
      </c>
      <c r="F239" s="15">
        <f>Machinga!D239+Machinga!E239+Machinga!F239</f>
        <v>0</v>
      </c>
      <c r="G239" s="15">
        <f>Ntaja!D239+Ntaja!E239+Ntaja!F239</f>
        <v>0</v>
      </c>
      <c r="H239" s="40">
        <f>SUM(D239:G239)</f>
        <v>72333</v>
      </c>
    </row>
    <row r="240" spans="1:8" x14ac:dyDescent="0.3">
      <c r="A240" s="237" t="s">
        <v>21</v>
      </c>
      <c r="B240" s="238"/>
      <c r="C240" s="11" t="s">
        <v>18</v>
      </c>
      <c r="D240" s="15">
        <f>Balaka!D240+Balaka!E240+Balaka!F240</f>
        <v>40185</v>
      </c>
      <c r="E240" s="15">
        <f>Liwonde!D240+Liwonde!E240+Liwonde!F240</f>
        <v>33041</v>
      </c>
      <c r="F240" s="15">
        <f>Machinga!D240+Machinga!E240+Machinga!F240</f>
        <v>7144</v>
      </c>
      <c r="G240" s="15">
        <f>Ntaja!D240+Ntaja!E240+Ntaja!F240</f>
        <v>3572</v>
      </c>
      <c r="H240" s="40">
        <f>SUM(D240:G240)</f>
        <v>83942</v>
      </c>
    </row>
    <row r="241" spans="1:8" x14ac:dyDescent="0.3">
      <c r="A241" s="237" t="s">
        <v>20</v>
      </c>
      <c r="B241" s="238"/>
      <c r="C241" s="11" t="s">
        <v>18</v>
      </c>
      <c r="D241" s="15">
        <f>Balaka!D241+Balaka!E241+Balaka!F241</f>
        <v>29469</v>
      </c>
      <c r="E241" s="15">
        <f>Liwonde!D241+Liwonde!E241+Liwonde!F241</f>
        <v>59831</v>
      </c>
      <c r="F241" s="15">
        <f>Machinga!D241+Machinga!E241+Machinga!F241</f>
        <v>0</v>
      </c>
      <c r="G241" s="15">
        <f>Ntaja!D241+Ntaja!E241+Ntaja!F241</f>
        <v>893</v>
      </c>
      <c r="H241" s="40">
        <f>SUM(D241:G241)</f>
        <v>90193</v>
      </c>
    </row>
    <row r="242" spans="1:8" x14ac:dyDescent="0.3">
      <c r="A242" s="293" t="s">
        <v>19</v>
      </c>
      <c r="B242" s="294"/>
      <c r="C242" s="11" t="s">
        <v>18</v>
      </c>
      <c r="D242" s="12">
        <f t="shared" ref="D242:H242" si="61">SUM(D238:D241)</f>
        <v>9731914</v>
      </c>
      <c r="E242" s="12">
        <f t="shared" si="61"/>
        <v>7602109</v>
      </c>
      <c r="F242" s="12">
        <f t="shared" si="61"/>
        <v>403636</v>
      </c>
      <c r="G242" s="12">
        <f t="shared" si="61"/>
        <v>94658</v>
      </c>
      <c r="H242" s="40">
        <f t="shared" si="61"/>
        <v>17832317</v>
      </c>
    </row>
    <row r="243" spans="1:8" x14ac:dyDescent="0.3">
      <c r="A243" s="293" t="s">
        <v>214</v>
      </c>
      <c r="B243" s="294"/>
      <c r="C243" s="11" t="s">
        <v>18</v>
      </c>
      <c r="D243" s="10">
        <f>D230+D236+D242</f>
        <v>78791096.819999993</v>
      </c>
      <c r="E243" s="10">
        <f t="shared" ref="E243:G243" si="62">E230+E236+E242</f>
        <v>86741054</v>
      </c>
      <c r="F243" s="10">
        <f t="shared" si="62"/>
        <v>12542292</v>
      </c>
      <c r="G243" s="10">
        <f t="shared" si="62"/>
        <v>678175.91</v>
      </c>
      <c r="H243" s="40">
        <f t="shared" ref="H243" si="63">H216+H223+H236+H242</f>
        <v>271638515.76999998</v>
      </c>
    </row>
    <row r="244" spans="1:8" x14ac:dyDescent="0.3">
      <c r="A244" s="280" t="s">
        <v>204</v>
      </c>
      <c r="B244" s="281"/>
      <c r="C244" s="281"/>
      <c r="D244" s="281"/>
      <c r="E244" s="281"/>
      <c r="F244" s="281"/>
      <c r="G244" s="281"/>
      <c r="H244" s="555"/>
    </row>
    <row r="245" spans="1:8" x14ac:dyDescent="0.3">
      <c r="A245" s="313" t="s">
        <v>205</v>
      </c>
      <c r="B245" s="314"/>
      <c r="C245" s="11" t="s">
        <v>18</v>
      </c>
      <c r="D245" s="155">
        <f>Balaka!F245</f>
        <v>292712722.19999999</v>
      </c>
      <c r="E245" s="155">
        <f>Liwonde!F245</f>
        <v>236195126.25</v>
      </c>
      <c r="F245" s="155">
        <f>Machinga!F245</f>
        <v>15614301.66</v>
      </c>
      <c r="G245" s="155">
        <f>Ntaja!F245</f>
        <v>0</v>
      </c>
      <c r="H245" s="40">
        <f>SUM(D245:G245)</f>
        <v>544522150.11000001</v>
      </c>
    </row>
    <row r="246" spans="1:8" x14ac:dyDescent="0.3">
      <c r="A246" s="313" t="s">
        <v>206</v>
      </c>
      <c r="B246" s="314"/>
      <c r="C246" s="11" t="s">
        <v>18</v>
      </c>
      <c r="D246" s="155">
        <f>Balaka!F246</f>
        <v>5563928.8799999999</v>
      </c>
      <c r="E246" s="155">
        <f>Liwonde!F246</f>
        <v>32995508.390000001</v>
      </c>
      <c r="F246" s="155">
        <f>Machinga!F246</f>
        <v>133977185.23999999</v>
      </c>
      <c r="G246" s="155">
        <f>Ntaja!F246</f>
        <v>0</v>
      </c>
      <c r="H246" s="40">
        <f>SUM(D246:G246)</f>
        <v>172536622.50999999</v>
      </c>
    </row>
    <row r="247" spans="1:8" x14ac:dyDescent="0.3">
      <c r="A247" s="315" t="s">
        <v>207</v>
      </c>
      <c r="B247" s="316"/>
      <c r="C247" s="11" t="s">
        <v>18</v>
      </c>
      <c r="D247" s="143">
        <f>D245+D246</f>
        <v>298276651.07999998</v>
      </c>
      <c r="E247" s="143">
        <f t="shared" ref="E247:H247" si="64">E245+E246</f>
        <v>269190634.63999999</v>
      </c>
      <c r="F247" s="143">
        <f t="shared" si="64"/>
        <v>149591486.90000001</v>
      </c>
      <c r="G247" s="143">
        <f t="shared" si="64"/>
        <v>0</v>
      </c>
      <c r="H247" s="163">
        <f t="shared" si="64"/>
        <v>717058772.62</v>
      </c>
    </row>
    <row r="248" spans="1:8" x14ac:dyDescent="0.3">
      <c r="A248" s="280" t="s">
        <v>17</v>
      </c>
      <c r="B248" s="281"/>
      <c r="C248" s="281"/>
      <c r="D248" s="281"/>
      <c r="E248" s="281"/>
      <c r="F248" s="281"/>
      <c r="G248" s="281"/>
      <c r="H248" s="555"/>
    </row>
    <row r="249" spans="1:8" x14ac:dyDescent="0.3">
      <c r="A249" s="254" t="s">
        <v>16</v>
      </c>
      <c r="B249" s="255"/>
      <c r="C249" s="5" t="s">
        <v>6</v>
      </c>
      <c r="D249" s="8">
        <f>D58/D243</f>
        <v>0.59327446501715042</v>
      </c>
      <c r="E249" s="8">
        <f t="shared" ref="E249:G249" si="65">E58/E243</f>
        <v>0.88311485849826077</v>
      </c>
      <c r="F249" s="8">
        <f t="shared" si="65"/>
        <v>0.69583987073495024</v>
      </c>
      <c r="G249" s="8">
        <f t="shared" si="65"/>
        <v>10.956024645633608</v>
      </c>
      <c r="H249" s="517">
        <f>H58/H243</f>
        <v>0.51356707599358042</v>
      </c>
    </row>
    <row r="250" spans="1:8" x14ac:dyDescent="0.3">
      <c r="A250" s="254" t="s">
        <v>208</v>
      </c>
      <c r="B250" s="255"/>
      <c r="C250" s="5" t="s">
        <v>6</v>
      </c>
      <c r="D250" s="29">
        <f>D210/(D223+D245)</f>
        <v>0.18543637066770668</v>
      </c>
      <c r="E250" s="29">
        <f t="shared" ref="E250:G250" si="66">E210/(E223+E245)</f>
        <v>0.17322380115938302</v>
      </c>
      <c r="F250" s="29">
        <f t="shared" si="66"/>
        <v>6.6453814767847563E-2</v>
      </c>
      <c r="G250" s="29">
        <f t="shared" si="66"/>
        <v>0.70013898608384784</v>
      </c>
      <c r="H250" s="516">
        <f>H210/(H223+H245)</f>
        <v>0.17564745856910591</v>
      </c>
    </row>
    <row r="251" spans="1:8" ht="16.2" thickBot="1" x14ac:dyDescent="0.35">
      <c r="A251" s="304" t="s">
        <v>15</v>
      </c>
      <c r="B251" s="305"/>
      <c r="C251" s="5" t="s">
        <v>6</v>
      </c>
      <c r="D251" s="7">
        <f>D210/D223</f>
        <v>1.0299779607111346</v>
      </c>
      <c r="E251" s="7">
        <f t="shared" ref="E251:G251" si="67">E210/E223</f>
        <v>0.71756694977741919</v>
      </c>
      <c r="F251" s="7">
        <f t="shared" si="67"/>
        <v>0.15334637242403149</v>
      </c>
      <c r="G251" s="7">
        <f t="shared" si="67"/>
        <v>0.70013898608384784</v>
      </c>
      <c r="H251" s="518">
        <f>H210/H223</f>
        <v>0.80534422268224493</v>
      </c>
    </row>
    <row r="252" spans="1:8" x14ac:dyDescent="0.3">
      <c r="A252" s="306" t="s">
        <v>14</v>
      </c>
      <c r="B252" s="307"/>
      <c r="C252" s="307"/>
      <c r="D252" s="307"/>
      <c r="E252" s="307"/>
      <c r="F252" s="307"/>
      <c r="G252" s="307"/>
      <c r="H252" s="562"/>
    </row>
    <row r="253" spans="1:8" s="2" customFormat="1" ht="15" customHeight="1" x14ac:dyDescent="0.3">
      <c r="A253" s="254" t="s">
        <v>13</v>
      </c>
      <c r="B253" s="255"/>
      <c r="C253" s="5" t="s">
        <v>3</v>
      </c>
      <c r="D253" s="142">
        <f>Balaka!D253+Balaka!E253+Balaka!F253</f>
        <v>68</v>
      </c>
      <c r="E253" s="142">
        <f>Liwonde!D253+Liwonde!E253+Liwonde!F253</f>
        <v>121</v>
      </c>
      <c r="F253" s="142">
        <f>Machinga!D253+Machinga!E253+Machinga!F253</f>
        <v>6</v>
      </c>
      <c r="G253" s="142">
        <f>Ntaja!D253+Ntaja!E253+Ntaja!F253</f>
        <v>20</v>
      </c>
      <c r="H253" s="519">
        <f>SUM(D253:G253)</f>
        <v>215</v>
      </c>
    </row>
    <row r="254" spans="1:8" s="2" customFormat="1" x14ac:dyDescent="0.3">
      <c r="A254" s="254" t="s">
        <v>12</v>
      </c>
      <c r="B254" s="255"/>
      <c r="C254" s="5" t="s">
        <v>3</v>
      </c>
      <c r="D254" s="142">
        <f>Balaka!D254+Balaka!E254+Balaka!F254</f>
        <v>3</v>
      </c>
      <c r="E254" s="142">
        <f>Liwonde!D254+Liwonde!E254+Liwonde!F254</f>
        <v>3</v>
      </c>
      <c r="F254" s="142">
        <f>Machinga!D254+Machinga!E254+Machinga!F254</f>
        <v>2</v>
      </c>
      <c r="G254" s="142">
        <f>Ntaja!D254+Ntaja!E254+Ntaja!F254</f>
        <v>1</v>
      </c>
      <c r="H254" s="519">
        <f>SUM(D254:G254)</f>
        <v>9</v>
      </c>
    </row>
    <row r="255" spans="1:8" ht="15.75" customHeight="1" x14ac:dyDescent="0.3">
      <c r="A255" s="254" t="s">
        <v>11</v>
      </c>
      <c r="B255" s="255"/>
      <c r="C255" s="5" t="s">
        <v>3</v>
      </c>
      <c r="D255" s="4">
        <f>D95</f>
        <v>420</v>
      </c>
      <c r="E255" s="4">
        <f t="shared" ref="E255:G255" si="68">E95</f>
        <v>319</v>
      </c>
      <c r="F255" s="4">
        <f t="shared" si="68"/>
        <v>12</v>
      </c>
      <c r="G255" s="4">
        <f t="shared" si="68"/>
        <v>13</v>
      </c>
      <c r="H255" s="519">
        <f>SUM(D255:G255)</f>
        <v>764</v>
      </c>
    </row>
    <row r="256" spans="1:8" x14ac:dyDescent="0.3">
      <c r="A256" s="254" t="s">
        <v>10</v>
      </c>
      <c r="B256" s="255"/>
      <c r="C256" s="5" t="s">
        <v>3</v>
      </c>
      <c r="D256" s="4">
        <f>D91</f>
        <v>73</v>
      </c>
      <c r="E256" s="4">
        <f t="shared" ref="E256:G256" si="69">E91</f>
        <v>112</v>
      </c>
      <c r="F256" s="4">
        <f t="shared" si="69"/>
        <v>27</v>
      </c>
      <c r="G256" s="4">
        <f t="shared" si="69"/>
        <v>37</v>
      </c>
      <c r="H256" s="519">
        <f>SUM(D256:G256)</f>
        <v>249</v>
      </c>
    </row>
    <row r="257" spans="1:8" ht="15.6" customHeight="1" x14ac:dyDescent="0.3">
      <c r="A257" s="254" t="s">
        <v>9</v>
      </c>
      <c r="B257" s="255"/>
      <c r="C257" s="5" t="s">
        <v>3</v>
      </c>
      <c r="D257" s="142">
        <f>Balaka!D257+Balaka!E257+Balaka!F257</f>
        <v>100</v>
      </c>
      <c r="E257" s="142">
        <f>Liwonde!D257+Liwonde!E257+Liwonde!F257</f>
        <v>195</v>
      </c>
      <c r="F257" s="142">
        <f>Machinga!D257+Machinga!E257+Machinga!F257</f>
        <v>60</v>
      </c>
      <c r="G257" s="142">
        <f>Ntaja!D257+Ntaja!E257+Ntaja!F257</f>
        <v>22</v>
      </c>
      <c r="H257" s="519">
        <f>SUM(D257:G257)</f>
        <v>377</v>
      </c>
    </row>
    <row r="258" spans="1:8" x14ac:dyDescent="0.3">
      <c r="A258" s="293" t="s">
        <v>8</v>
      </c>
      <c r="B258" s="294"/>
      <c r="C258" s="5" t="s">
        <v>3</v>
      </c>
      <c r="D258" s="1">
        <f t="shared" ref="D258:H258" si="70">D257/D256</f>
        <v>1.3698630136986301</v>
      </c>
      <c r="E258" s="1">
        <f t="shared" si="70"/>
        <v>1.7410714285714286</v>
      </c>
      <c r="F258" s="1">
        <f t="shared" si="70"/>
        <v>2.2222222222222223</v>
      </c>
      <c r="G258" s="3">
        <f t="shared" si="70"/>
        <v>0.59459459459459463</v>
      </c>
      <c r="H258" s="519">
        <f t="shared" si="70"/>
        <v>1.5140562248995983</v>
      </c>
    </row>
    <row r="259" spans="1:8" x14ac:dyDescent="0.3">
      <c r="A259" s="293" t="s">
        <v>7</v>
      </c>
      <c r="B259" s="294"/>
      <c r="C259" s="5" t="s">
        <v>6</v>
      </c>
      <c r="D259" s="1">
        <f t="shared" ref="D259:H259" si="71">D92/D255*100</f>
        <v>20.952380952380953</v>
      </c>
      <c r="E259" s="1">
        <f t="shared" si="71"/>
        <v>18.181818181818183</v>
      </c>
      <c r="F259" s="1">
        <f t="shared" si="71"/>
        <v>50</v>
      </c>
      <c r="G259" s="6">
        <f t="shared" si="71"/>
        <v>0</v>
      </c>
      <c r="H259" s="568">
        <f t="shared" si="71"/>
        <v>19.895287958115183</v>
      </c>
    </row>
    <row r="260" spans="1:8" x14ac:dyDescent="0.3">
      <c r="A260" s="280" t="s">
        <v>5</v>
      </c>
      <c r="B260" s="281"/>
      <c r="C260" s="281"/>
      <c r="D260" s="281"/>
      <c r="E260" s="281"/>
      <c r="F260" s="281"/>
      <c r="G260" s="281"/>
      <c r="H260" s="555"/>
    </row>
    <row r="261" spans="1:8" s="2" customFormat="1" ht="15" customHeight="1" x14ac:dyDescent="0.3">
      <c r="A261" s="254" t="s">
        <v>4</v>
      </c>
      <c r="B261" s="255"/>
      <c r="C261" s="5" t="s">
        <v>3</v>
      </c>
      <c r="D261" s="142">
        <f>Balaka!D261+Balaka!E261+Balaka!F261</f>
        <v>44</v>
      </c>
      <c r="E261" s="142">
        <f>Liwonde!D261+Liwonde!E261+Liwonde!F261</f>
        <v>90</v>
      </c>
      <c r="F261" s="142">
        <f>Machinga!D261+Machinga!E261+Machinga!F261</f>
        <v>17</v>
      </c>
      <c r="G261" s="142">
        <f>Ntaja!D261+Ntaja!E261+Ntaja!F261</f>
        <v>10</v>
      </c>
      <c r="H261" s="519">
        <f>SUM(D261:G261)</f>
        <v>161</v>
      </c>
    </row>
    <row r="262" spans="1:8" s="2" customFormat="1" ht="15.75" customHeight="1" x14ac:dyDescent="0.3">
      <c r="A262" s="254" t="s">
        <v>2</v>
      </c>
      <c r="B262" s="255"/>
      <c r="C262" s="5" t="s">
        <v>0</v>
      </c>
      <c r="D262" s="142">
        <f>Balaka!D262+Balaka!E262+Balaka!F262</f>
        <v>69</v>
      </c>
      <c r="E262" s="142">
        <f>Liwonde!D262+Liwonde!E262+Liwonde!F262</f>
        <v>42</v>
      </c>
      <c r="F262" s="142">
        <f>Machinga!D262+Machinga!E262+Machinga!F262</f>
        <v>6</v>
      </c>
      <c r="G262" s="142">
        <f>Ntaja!D262+Ntaja!E262+Ntaja!F262</f>
        <v>3</v>
      </c>
      <c r="H262" s="519">
        <f>SUM(D262:G262)</f>
        <v>120</v>
      </c>
    </row>
    <row r="263" spans="1:8" ht="16.2" thickBot="1" x14ac:dyDescent="0.35">
      <c r="A263" s="298" t="s">
        <v>1</v>
      </c>
      <c r="B263" s="299"/>
      <c r="C263" s="116" t="s">
        <v>0</v>
      </c>
      <c r="D263" s="152">
        <f>D261/D262</f>
        <v>0.6376811594202898</v>
      </c>
      <c r="E263" s="152">
        <f t="shared" ref="E263:H263" si="72">E261/E262</f>
        <v>2.1428571428571428</v>
      </c>
      <c r="F263" s="152">
        <f t="shared" si="72"/>
        <v>2.8333333333333335</v>
      </c>
      <c r="G263" s="152">
        <f t="shared" si="72"/>
        <v>3.3333333333333335</v>
      </c>
      <c r="H263" s="164">
        <f t="shared" si="72"/>
        <v>1.3416666666666666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2030-2CFB-4AE1-A2BB-62FC3EBB7E4E}">
  <sheetPr codeName="Sheet13"/>
  <dimension ref="A1:H263"/>
  <sheetViews>
    <sheetView workbookViewId="0">
      <selection activeCell="H1" sqref="H1:H104857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0.109375" style="521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55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552"/>
    </row>
    <row r="3" spans="1:8" ht="18" thickBot="1" x14ac:dyDescent="0.35">
      <c r="A3" s="89" t="s">
        <v>217</v>
      </c>
      <c r="B3" s="90"/>
      <c r="C3" s="90"/>
      <c r="D3" s="90"/>
      <c r="E3" s="90"/>
      <c r="F3" s="90"/>
      <c r="G3" s="90"/>
      <c r="H3" s="563"/>
    </row>
    <row r="4" spans="1:8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553"/>
    </row>
    <row r="5" spans="1:8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564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565"/>
    </row>
    <row r="7" spans="1:8" ht="16.2" thickBot="1" x14ac:dyDescent="0.35">
      <c r="A7" s="580" t="s">
        <v>174</v>
      </c>
      <c r="B7" s="58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59" t="s">
        <v>160</v>
      </c>
    </row>
    <row r="8" spans="1:8" ht="15" thickBot="1" x14ac:dyDescent="0.35">
      <c r="A8" s="591" t="s">
        <v>159</v>
      </c>
      <c r="B8" s="592"/>
      <c r="C8" s="592"/>
      <c r="D8" s="592"/>
      <c r="E8" s="592"/>
      <c r="F8" s="592"/>
      <c r="G8" s="592"/>
      <c r="H8" s="593"/>
    </row>
    <row r="9" spans="1:8" x14ac:dyDescent="0.3">
      <c r="A9" s="594" t="s">
        <v>176</v>
      </c>
      <c r="B9" s="595"/>
      <c r="C9" s="58" t="s">
        <v>152</v>
      </c>
      <c r="D9" s="57">
        <f>Balaka!G9+Balaka!H9+Balaka!I9</f>
        <v>191187</v>
      </c>
      <c r="E9" s="57">
        <f>Liwonde!G9+Liwonde!H9+Liwonde!I9</f>
        <v>197287</v>
      </c>
      <c r="F9" s="57">
        <f>Machinga!G9+Machinga!H9+Machinga!I9</f>
        <v>9080</v>
      </c>
      <c r="G9" s="57">
        <f>Ntaja!G9+Ntaja!H9+Ntaja!I9</f>
        <v>8102</v>
      </c>
      <c r="H9" s="153">
        <f>SUM(D9:G9)</f>
        <v>405656</v>
      </c>
    </row>
    <row r="10" spans="1:8" ht="14.4" x14ac:dyDescent="0.3">
      <c r="A10" s="586" t="s">
        <v>177</v>
      </c>
      <c r="B10" s="587"/>
      <c r="C10" s="587"/>
      <c r="D10" s="664"/>
      <c r="E10" s="664"/>
      <c r="F10" s="664"/>
      <c r="G10" s="664"/>
      <c r="H10" s="588"/>
    </row>
    <row r="11" spans="1:8" x14ac:dyDescent="0.3">
      <c r="A11" s="589" t="s">
        <v>157</v>
      </c>
      <c r="B11" s="590"/>
      <c r="C11" s="11" t="s">
        <v>152</v>
      </c>
      <c r="D11" s="26">
        <f>Balaka!G11+Balaka!H11+Balaka!I11</f>
        <v>84563</v>
      </c>
      <c r="E11" s="26">
        <f>Liwonde!G11+Liwonde!H11+Liwonde!I11</f>
        <v>78955</v>
      </c>
      <c r="F11" s="26">
        <f>Machinga!G11+Machinga!H11+Machinga!I11</f>
        <v>2995</v>
      </c>
      <c r="G11" s="26">
        <f>Ntaja!G11+Ntaja!H11+Ntaja!I11</f>
        <v>14</v>
      </c>
      <c r="H11" s="55">
        <f>SUM(D11:G11)</f>
        <v>166527</v>
      </c>
    </row>
    <row r="12" spans="1:8" x14ac:dyDescent="0.3">
      <c r="A12" s="589" t="s">
        <v>156</v>
      </c>
      <c r="B12" s="590"/>
      <c r="C12" s="11" t="s">
        <v>152</v>
      </c>
      <c r="D12" s="26">
        <f>Balaka!G12+Balaka!H12+Balaka!I12</f>
        <v>3531</v>
      </c>
      <c r="E12" s="26">
        <f>Liwonde!G12+Liwonde!H12+Liwonde!I12</f>
        <v>1448</v>
      </c>
      <c r="F12" s="26">
        <f>Machinga!G12+Machinga!H12+Machinga!I12</f>
        <v>0</v>
      </c>
      <c r="G12" s="26">
        <f>Ntaja!G12+Ntaja!H12+Ntaja!I12</f>
        <v>0</v>
      </c>
      <c r="H12" s="55">
        <f>SUM(D12:G12)</f>
        <v>4979</v>
      </c>
    </row>
    <row r="13" spans="1:8" x14ac:dyDescent="0.3">
      <c r="A13" s="589" t="s">
        <v>155</v>
      </c>
      <c r="B13" s="590"/>
      <c r="C13" s="11" t="s">
        <v>152</v>
      </c>
      <c r="D13" s="26">
        <f>Balaka!G13+Balaka!H13+Balaka!I13</f>
        <v>908</v>
      </c>
      <c r="E13" s="26">
        <f>Liwonde!G13+Liwonde!H13+Liwonde!I13</f>
        <v>6974</v>
      </c>
      <c r="F13" s="26">
        <f>Machinga!G13+Machinga!H13+Machinga!I13</f>
        <v>139</v>
      </c>
      <c r="G13" s="26">
        <f>Ntaja!G13+Ntaja!H13+Ntaja!I13</f>
        <v>59</v>
      </c>
      <c r="H13" s="55">
        <f>SUM(D13:G13)</f>
        <v>8080</v>
      </c>
    </row>
    <row r="14" spans="1:8" x14ac:dyDescent="0.3">
      <c r="A14" s="582" t="s">
        <v>154</v>
      </c>
      <c r="B14" s="583"/>
      <c r="C14" s="11" t="s">
        <v>152</v>
      </c>
      <c r="D14" s="26">
        <f>Balaka!G14+Balaka!H14+Balaka!I14</f>
        <v>342</v>
      </c>
      <c r="E14" s="26">
        <f>Liwonde!G14+Liwonde!H14+Liwonde!I14</f>
        <v>628</v>
      </c>
      <c r="F14" s="26">
        <f>Machinga!G14+Machinga!H14+Machinga!I14</f>
        <v>0</v>
      </c>
      <c r="G14" s="26">
        <f>Ntaja!G14+Ntaja!H14+Ntaja!I14</f>
        <v>0</v>
      </c>
      <c r="H14" s="55">
        <f>SUM(D14:G14)</f>
        <v>970</v>
      </c>
    </row>
    <row r="15" spans="1:8" s="63" customFormat="1" x14ac:dyDescent="0.3">
      <c r="A15" s="584" t="s">
        <v>158</v>
      </c>
      <c r="B15" s="585"/>
      <c r="C15" s="62" t="s">
        <v>152</v>
      </c>
      <c r="D15" s="34">
        <f t="shared" ref="D15:H15" si="0">SUM(D11:D14)</f>
        <v>89344</v>
      </c>
      <c r="E15" s="34">
        <f t="shared" si="0"/>
        <v>88005</v>
      </c>
      <c r="F15" s="34">
        <f t="shared" si="0"/>
        <v>3134</v>
      </c>
      <c r="G15" s="34">
        <f t="shared" si="0"/>
        <v>73</v>
      </c>
      <c r="H15" s="55">
        <f t="shared" si="0"/>
        <v>180556</v>
      </c>
    </row>
    <row r="16" spans="1:8" s="2" customFormat="1" ht="14.4" x14ac:dyDescent="0.3">
      <c r="A16" s="586" t="s">
        <v>178</v>
      </c>
      <c r="B16" s="587"/>
      <c r="C16" s="587"/>
      <c r="D16" s="587"/>
      <c r="E16" s="587"/>
      <c r="F16" s="587"/>
      <c r="G16" s="587"/>
      <c r="H16" s="588"/>
    </row>
    <row r="17" spans="1:8" s="2" customFormat="1" x14ac:dyDescent="0.3">
      <c r="A17" s="589" t="s">
        <v>180</v>
      </c>
      <c r="B17" s="590"/>
      <c r="C17" s="11" t="s">
        <v>152</v>
      </c>
      <c r="D17" s="26">
        <f>Balaka!G17+Balaka!H17+Balaka!I17</f>
        <v>20425</v>
      </c>
      <c r="E17" s="26">
        <f>Liwonde!G17+Liwonde!H17+Liwonde!I17</f>
        <v>28538.1</v>
      </c>
      <c r="F17" s="26">
        <f>Machinga!G17+Machinga!H17+Machinga!I17</f>
        <v>4776.6000000000004</v>
      </c>
      <c r="G17" s="26">
        <f>Ntaja!G17+Ntaja!H17+Ntaja!I17</f>
        <v>6470</v>
      </c>
      <c r="H17" s="55">
        <f>SUM(D17:G17)</f>
        <v>60209.7</v>
      </c>
    </row>
    <row r="18" spans="1:8" s="2" customFormat="1" x14ac:dyDescent="0.3">
      <c r="A18" s="589" t="s">
        <v>181</v>
      </c>
      <c r="B18" s="590"/>
      <c r="C18" s="11" t="s">
        <v>152</v>
      </c>
      <c r="D18" s="26">
        <f>Balaka!G18+Balaka!H18+Balaka!I18</f>
        <v>0</v>
      </c>
      <c r="E18" s="26">
        <f>Liwonde!G18+Liwonde!H18+Liwonde!I18</f>
        <v>0</v>
      </c>
      <c r="F18" s="26">
        <f>Machinga!G18+Machinga!H18+Machinga!I18</f>
        <v>0</v>
      </c>
      <c r="G18" s="26">
        <f>Ntaja!G18+Ntaja!H18+Ntaja!I18</f>
        <v>232</v>
      </c>
      <c r="H18" s="55">
        <f>SUM(D18:G18)</f>
        <v>232</v>
      </c>
    </row>
    <row r="19" spans="1:8" s="2" customFormat="1" x14ac:dyDescent="0.3">
      <c r="A19" s="589" t="s">
        <v>182</v>
      </c>
      <c r="B19" s="590"/>
      <c r="C19" s="11" t="s">
        <v>152</v>
      </c>
      <c r="D19" s="26">
        <f>Balaka!G19+Balaka!H19+Balaka!I19</f>
        <v>1374</v>
      </c>
      <c r="E19" s="26">
        <f>Liwonde!G19+Liwonde!H19+Liwonde!I19</f>
        <v>0</v>
      </c>
      <c r="F19" s="26">
        <f>Machinga!G19+Machinga!H19+Machinga!I19</f>
        <v>0</v>
      </c>
      <c r="G19" s="26">
        <f>Ntaja!G19+Ntaja!H19+Ntaja!I19</f>
        <v>210</v>
      </c>
      <c r="H19" s="55">
        <f>SUM(D19:G19)</f>
        <v>1584</v>
      </c>
    </row>
    <row r="20" spans="1:8" s="2" customFormat="1" x14ac:dyDescent="0.3">
      <c r="A20" s="582" t="s">
        <v>183</v>
      </c>
      <c r="B20" s="583"/>
      <c r="C20" s="11" t="s">
        <v>152</v>
      </c>
      <c r="D20" s="26">
        <f>Balaka!G20+Balaka!H20+Balaka!I20</f>
        <v>551</v>
      </c>
      <c r="E20" s="26">
        <f>Liwonde!G20+Liwonde!H20+Liwonde!I20</f>
        <v>0</v>
      </c>
      <c r="F20" s="26">
        <f>Machinga!G20+Machinga!H20+Machinga!I20</f>
        <v>0</v>
      </c>
      <c r="G20" s="26">
        <f>Ntaja!G20+Ntaja!H20+Ntaja!I20</f>
        <v>287</v>
      </c>
      <c r="H20" s="55">
        <f>SUM(D20:G20)</f>
        <v>838</v>
      </c>
    </row>
    <row r="21" spans="1:8" s="73" customFormat="1" x14ac:dyDescent="0.3">
      <c r="A21" s="584" t="s">
        <v>184</v>
      </c>
      <c r="B21" s="585"/>
      <c r="C21" s="62" t="s">
        <v>152</v>
      </c>
      <c r="D21" s="34">
        <f>SUM(D17:D20)</f>
        <v>22350</v>
      </c>
      <c r="E21" s="34">
        <f t="shared" ref="E21:H21" si="1">SUM(E17:E20)</f>
        <v>28538.1</v>
      </c>
      <c r="F21" s="34">
        <f t="shared" si="1"/>
        <v>4776.6000000000004</v>
      </c>
      <c r="G21" s="34">
        <f t="shared" si="1"/>
        <v>7199</v>
      </c>
      <c r="H21" s="55">
        <f t="shared" si="1"/>
        <v>62863.7</v>
      </c>
    </row>
    <row r="22" spans="1:8" s="2" customFormat="1" x14ac:dyDescent="0.3">
      <c r="A22" s="75" t="s">
        <v>185</v>
      </c>
      <c r="B22" s="79"/>
      <c r="C22" s="11" t="s">
        <v>152</v>
      </c>
      <c r="D22" s="34">
        <f>D21+D15</f>
        <v>111694</v>
      </c>
      <c r="E22" s="34">
        <f t="shared" ref="E22:H22" si="2">E21+E15</f>
        <v>116543.1</v>
      </c>
      <c r="F22" s="34">
        <f t="shared" si="2"/>
        <v>7910.6</v>
      </c>
      <c r="G22" s="34">
        <f t="shared" si="2"/>
        <v>7272</v>
      </c>
      <c r="H22" s="55">
        <f t="shared" si="2"/>
        <v>243419.7</v>
      </c>
    </row>
    <row r="23" spans="1:8" ht="14.4" x14ac:dyDescent="0.3">
      <c r="A23" s="586" t="s">
        <v>215</v>
      </c>
      <c r="B23" s="587"/>
      <c r="C23" s="587"/>
      <c r="D23" s="587"/>
      <c r="E23" s="587"/>
      <c r="F23" s="587"/>
      <c r="G23" s="587"/>
      <c r="H23" s="588"/>
    </row>
    <row r="24" spans="1:8" x14ac:dyDescent="0.3">
      <c r="A24" s="603" t="s">
        <v>179</v>
      </c>
      <c r="B24" s="37" t="s">
        <v>153</v>
      </c>
      <c r="C24" s="5" t="s">
        <v>152</v>
      </c>
      <c r="D24" s="54">
        <f>D9-D22</f>
        <v>79493</v>
      </c>
      <c r="E24" s="54">
        <f t="shared" ref="E24:H24" si="3">E9-E22</f>
        <v>80743.899999999994</v>
      </c>
      <c r="F24" s="54">
        <f t="shared" si="3"/>
        <v>1169.3999999999996</v>
      </c>
      <c r="G24" s="54">
        <f t="shared" si="3"/>
        <v>830</v>
      </c>
      <c r="H24" s="162">
        <f t="shared" si="3"/>
        <v>162236.29999999999</v>
      </c>
    </row>
    <row r="25" spans="1:8" x14ac:dyDescent="0.3">
      <c r="A25" s="604"/>
      <c r="B25" s="53" t="s">
        <v>151</v>
      </c>
      <c r="C25" s="52" t="s">
        <v>6</v>
      </c>
      <c r="D25" s="51">
        <f t="shared" ref="D25:H25" si="4">D24/D9</f>
        <v>0.41578663821284922</v>
      </c>
      <c r="E25" s="51">
        <f t="shared" si="4"/>
        <v>0.40927126470573322</v>
      </c>
      <c r="F25" s="51">
        <f t="shared" si="4"/>
        <v>0.12878854625550656</v>
      </c>
      <c r="G25" s="51">
        <f t="shared" si="4"/>
        <v>0.10244384102690694</v>
      </c>
      <c r="H25" s="154">
        <f t="shared" si="4"/>
        <v>0.39993565977084028</v>
      </c>
    </row>
    <row r="26" spans="1:8" ht="14.4" x14ac:dyDescent="0.3">
      <c r="A26" s="586" t="s">
        <v>150</v>
      </c>
      <c r="B26" s="587"/>
      <c r="C26" s="587"/>
      <c r="D26" s="587"/>
      <c r="E26" s="587"/>
      <c r="F26" s="587"/>
      <c r="G26" s="587"/>
      <c r="H26" s="588"/>
    </row>
    <row r="27" spans="1:8" ht="14.4" x14ac:dyDescent="0.3">
      <c r="A27" s="665" t="s">
        <v>149</v>
      </c>
      <c r="B27" s="666"/>
      <c r="C27" s="666"/>
      <c r="D27" s="666"/>
      <c r="E27" s="666"/>
      <c r="F27" s="666"/>
      <c r="G27" s="666"/>
      <c r="H27" s="667"/>
    </row>
    <row r="28" spans="1:8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6"/>
    </row>
    <row r="29" spans="1:8" x14ac:dyDescent="0.3">
      <c r="A29" s="596" t="s">
        <v>146</v>
      </c>
      <c r="B29" s="579">
        <f>176264.5/50</f>
        <v>3525.29</v>
      </c>
      <c r="C29" s="5" t="s">
        <v>140</v>
      </c>
      <c r="D29" s="26">
        <f>Balaka!G29+Balaka!H29+Balaka!I29</f>
        <v>320</v>
      </c>
      <c r="E29" s="26">
        <f>Liwonde!G29+Liwonde!H29+Liwonde!I29</f>
        <v>833</v>
      </c>
      <c r="F29" s="26">
        <f>Machinga!G29+Machinga!H29+Machinga!I29</f>
        <v>30</v>
      </c>
      <c r="G29" s="26">
        <f>Ntaja!G29+Ntaja!H29+Ntaja!I29</f>
        <v>24</v>
      </c>
      <c r="H29" s="45">
        <f>SUM(D29:G29)</f>
        <v>1207</v>
      </c>
    </row>
    <row r="30" spans="1:8" x14ac:dyDescent="0.3">
      <c r="A30" s="597"/>
      <c r="B30" s="579"/>
      <c r="C30" s="42" t="s">
        <v>139</v>
      </c>
      <c r="D30" s="15">
        <f t="shared" ref="D30:H30" si="5">D29/(D9/1000)</f>
        <v>1.673753968627574</v>
      </c>
      <c r="E30" s="15">
        <f t="shared" si="5"/>
        <v>4.2222751625804031</v>
      </c>
      <c r="F30" s="15">
        <f t="shared" si="5"/>
        <v>3.303964757709251</v>
      </c>
      <c r="G30" s="15">
        <f t="shared" si="5"/>
        <v>2.9622315477659837</v>
      </c>
      <c r="H30" s="40">
        <f t="shared" si="5"/>
        <v>2.9754274557753368</v>
      </c>
    </row>
    <row r="31" spans="1:8" x14ac:dyDescent="0.3">
      <c r="A31" s="598" t="s">
        <v>145</v>
      </c>
      <c r="B31" s="579">
        <f>53000.511/50</f>
        <v>1060.0102199999999</v>
      </c>
      <c r="C31" s="5" t="s">
        <v>140</v>
      </c>
      <c r="D31" s="26">
        <f>Balaka!G31+Balaka!H31+Balaka!I31</f>
        <v>0</v>
      </c>
      <c r="E31" s="26">
        <f>Liwonde!G31+Liwonde!H31+Liwonde!I31</f>
        <v>0</v>
      </c>
      <c r="F31" s="26">
        <f>Machinga!G31+Machinga!H31+Machinga!I31</f>
        <v>0</v>
      </c>
      <c r="G31" s="26">
        <f>Ntaja!G31+Ntaja!H31+Ntaja!I31</f>
        <v>0</v>
      </c>
      <c r="H31" s="45">
        <f>SUM(D31:G31)</f>
        <v>0</v>
      </c>
    </row>
    <row r="32" spans="1:8" x14ac:dyDescent="0.3">
      <c r="A32" s="599"/>
      <c r="B32" s="579"/>
      <c r="C32" s="42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40">
        <f t="shared" si="6"/>
        <v>0</v>
      </c>
    </row>
    <row r="33" spans="1:8" x14ac:dyDescent="0.3">
      <c r="A33" s="598" t="s">
        <v>144</v>
      </c>
      <c r="B33" s="579">
        <f>61414.43/50</f>
        <v>1228.2886000000001</v>
      </c>
      <c r="C33" s="5" t="s">
        <v>140</v>
      </c>
      <c r="D33" s="26">
        <f>Balaka!G33+Balaka!H33+Balaka!I33</f>
        <v>0</v>
      </c>
      <c r="E33" s="26">
        <f>Liwonde!G33+Liwonde!H33+Liwonde!I33</f>
        <v>0</v>
      </c>
      <c r="F33" s="26">
        <f>Machinga!G33+Machinga!H33+Machinga!I33</f>
        <v>0</v>
      </c>
      <c r="G33" s="26">
        <f>Ntaja!G33+Ntaja!H33+Ntaja!I33</f>
        <v>0</v>
      </c>
      <c r="H33" s="45">
        <f>SUM(D33:G33)</f>
        <v>0</v>
      </c>
    </row>
    <row r="34" spans="1:8" x14ac:dyDescent="0.3">
      <c r="A34" s="599"/>
      <c r="B34" s="579"/>
      <c r="C34" s="42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40">
        <f t="shared" si="7"/>
        <v>0</v>
      </c>
    </row>
    <row r="35" spans="1:8" x14ac:dyDescent="0.3">
      <c r="A35" s="598" t="s">
        <v>143</v>
      </c>
      <c r="B35" s="579">
        <f>745345.16/200</f>
        <v>3726.7258000000002</v>
      </c>
      <c r="C35" s="5" t="s">
        <v>126</v>
      </c>
      <c r="D35" s="26">
        <f>Balaka!G35+Balaka!H35+Balaka!I35</f>
        <v>0</v>
      </c>
      <c r="E35" s="26">
        <f>Liwonde!G35+Liwonde!H35+Liwonde!I35</f>
        <v>518</v>
      </c>
      <c r="F35" s="26">
        <f>Machinga!G35+Machinga!H35+Machinga!I35</f>
        <v>0</v>
      </c>
      <c r="G35" s="26">
        <f>Ntaja!G35+Ntaja!H35+Ntaja!I35</f>
        <v>0</v>
      </c>
      <c r="H35" s="40"/>
    </row>
    <row r="36" spans="1:8" x14ac:dyDescent="0.3">
      <c r="A36" s="599"/>
      <c r="B36" s="579"/>
      <c r="C36" s="5" t="s">
        <v>142</v>
      </c>
      <c r="D36" s="13"/>
      <c r="E36" s="13"/>
      <c r="F36" s="13"/>
      <c r="G36" s="13"/>
      <c r="H36" s="40"/>
    </row>
    <row r="37" spans="1:8" x14ac:dyDescent="0.3">
      <c r="A37" s="598" t="s">
        <v>186</v>
      </c>
      <c r="B37" s="579">
        <f>790318.72/200</f>
        <v>3951.5935999999997</v>
      </c>
      <c r="C37" s="5" t="s">
        <v>126</v>
      </c>
      <c r="D37" s="26">
        <f>Balaka!G37+Balaka!H37+Balaka!I37</f>
        <v>0</v>
      </c>
      <c r="E37" s="26">
        <f>Liwonde!G37+Liwonde!H37+Liwonde!I37</f>
        <v>0</v>
      </c>
      <c r="F37" s="26">
        <f>Machinga!G37+Machinga!H37+Machinga!I37</f>
        <v>0</v>
      </c>
      <c r="G37" s="26">
        <f>Ntaja!G37+Ntaja!H37+Ntaja!I37</f>
        <v>0</v>
      </c>
      <c r="H37" s="45">
        <f>SUM(D37:G37)</f>
        <v>0</v>
      </c>
    </row>
    <row r="38" spans="1:8" x14ac:dyDescent="0.3">
      <c r="A38" s="599"/>
      <c r="B38" s="579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40">
        <f t="shared" si="8"/>
        <v>0</v>
      </c>
    </row>
    <row r="39" spans="1:8" x14ac:dyDescent="0.3">
      <c r="A39" s="598" t="s">
        <v>141</v>
      </c>
      <c r="B39" s="579">
        <v>1950</v>
      </c>
      <c r="C39" s="5" t="s">
        <v>140</v>
      </c>
      <c r="D39" s="26">
        <f>Balaka!G39+Balaka!H39+Balaka!I39</f>
        <v>0</v>
      </c>
      <c r="E39" s="26">
        <f>Liwonde!G39+Liwonde!H39+Liwonde!I39</f>
        <v>0</v>
      </c>
      <c r="F39" s="26">
        <f>Machinga!G39+Machinga!H39+Machinga!I39</f>
        <v>0</v>
      </c>
      <c r="G39" s="26">
        <f>Ntaja!G39+Ntaja!H39+Ntaja!I39</f>
        <v>0</v>
      </c>
      <c r="H39" s="45">
        <f>SUM(D39:G39)</f>
        <v>0</v>
      </c>
    </row>
    <row r="40" spans="1:8" x14ac:dyDescent="0.3">
      <c r="A40" s="599"/>
      <c r="B40" s="579"/>
      <c r="C40" s="42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40">
        <f t="shared" si="9"/>
        <v>0</v>
      </c>
    </row>
    <row r="41" spans="1:8" x14ac:dyDescent="0.3">
      <c r="A41" s="582" t="s">
        <v>138</v>
      </c>
      <c r="B41" s="583"/>
      <c r="C41" s="11" t="s">
        <v>31</v>
      </c>
      <c r="D41" s="41">
        <f>(D29*$B29)+(D31*$B31)+(D33*$B33)+(D35*$B35)+(D37*$B37)+(D39*$B39)</f>
        <v>1128092.8</v>
      </c>
      <c r="E41" s="41">
        <f t="shared" ref="E41:G41" si="10">(E29*$B29)+(E31*$B31)+(E33*$B33)+(E35*$B35)+(E37*$B37)+(E39*$B39)</f>
        <v>4867010.5344000002</v>
      </c>
      <c r="F41" s="41">
        <f t="shared" si="10"/>
        <v>105758.7</v>
      </c>
      <c r="G41" s="41">
        <f t="shared" si="10"/>
        <v>84606.959999999992</v>
      </c>
      <c r="H41" s="39">
        <f>SUM(D41:G41)</f>
        <v>6185468.9944000002</v>
      </c>
    </row>
    <row r="42" spans="1:8" x14ac:dyDescent="0.3">
      <c r="A42" s="608" t="s">
        <v>137</v>
      </c>
      <c r="B42" s="609"/>
      <c r="C42" s="42" t="s">
        <v>115</v>
      </c>
      <c r="D42" s="15">
        <f t="shared" ref="D42:H42" si="11">D41/D9</f>
        <v>5.9004681280631006</v>
      </c>
      <c r="E42" s="15">
        <f t="shared" si="11"/>
        <v>24.669697113342494</v>
      </c>
      <c r="F42" s="15">
        <f t="shared" si="11"/>
        <v>11.647433920704845</v>
      </c>
      <c r="G42" s="15">
        <f t="shared" si="11"/>
        <v>10.442725253023944</v>
      </c>
      <c r="H42" s="515">
        <f t="shared" si="11"/>
        <v>15.24806484903465</v>
      </c>
    </row>
    <row r="43" spans="1:8" ht="14.4" x14ac:dyDescent="0.3">
      <c r="A43" s="610" t="s">
        <v>136</v>
      </c>
      <c r="B43" s="611"/>
      <c r="C43" s="611"/>
      <c r="D43" s="611"/>
      <c r="E43" s="611"/>
      <c r="F43" s="611"/>
      <c r="G43" s="611"/>
      <c r="H43" s="612"/>
    </row>
    <row r="44" spans="1:8" x14ac:dyDescent="0.3">
      <c r="A44" s="582" t="s">
        <v>135</v>
      </c>
      <c r="B44" s="583"/>
      <c r="C44" s="11" t="s">
        <v>134</v>
      </c>
      <c r="D44" s="26">
        <f>Balaka!G44+Balaka!H44+Balaka!I44</f>
        <v>125849</v>
      </c>
      <c r="E44" s="26">
        <f>Liwonde!G44+Liwonde!H44+Liwonde!I44</f>
        <v>215159.55000000002</v>
      </c>
      <c r="F44" s="26">
        <f>Machinga!G44+Machinga!H44+Machinga!I44</f>
        <v>1313</v>
      </c>
      <c r="G44" s="26">
        <f>Ntaja!G44+Ntaja!H44+Ntaja!I44</f>
        <v>11126.36</v>
      </c>
      <c r="H44" s="39">
        <f>SUM(D44:G44)</f>
        <v>353447.91000000003</v>
      </c>
    </row>
    <row r="45" spans="1:8" x14ac:dyDescent="0.3">
      <c r="A45" s="608" t="s">
        <v>133</v>
      </c>
      <c r="B45" s="609"/>
      <c r="C45" s="42" t="s">
        <v>132</v>
      </c>
      <c r="D45" s="15">
        <f t="shared" ref="D45:H45" si="12">D44/D9</f>
        <v>0.65825082249316114</v>
      </c>
      <c r="E45" s="15">
        <f t="shared" si="12"/>
        <v>1.0905916253985313</v>
      </c>
      <c r="F45" s="15">
        <f t="shared" si="12"/>
        <v>0.14460352422907488</v>
      </c>
      <c r="G45" s="15">
        <f t="shared" si="12"/>
        <v>1.3732856084917304</v>
      </c>
      <c r="H45" s="40">
        <f t="shared" si="12"/>
        <v>0.87129959867473927</v>
      </c>
    </row>
    <row r="46" spans="1:8" x14ac:dyDescent="0.3">
      <c r="A46" s="613" t="s">
        <v>131</v>
      </c>
      <c r="B46" s="614"/>
      <c r="C46" s="5" t="s">
        <v>31</v>
      </c>
      <c r="D46" s="26">
        <f>Balaka!G46+Balaka!H46+Balaka!I46</f>
        <v>20096473.0975</v>
      </c>
      <c r="E46" s="26">
        <f>Liwonde!G46+Liwonde!H46+Liwonde!I46</f>
        <v>33750405.354125001</v>
      </c>
      <c r="F46" s="26">
        <f>Machinga!G46+Machinga!H46+Machinga!I46</f>
        <v>268440.11550000001</v>
      </c>
      <c r="G46" s="26">
        <f>Ntaja!G46+Ntaja!H46+Ntaja!I46</f>
        <v>1807692.6095400001</v>
      </c>
      <c r="H46" s="39">
        <f>SUM(D46:G46)</f>
        <v>55923011.176665008</v>
      </c>
    </row>
    <row r="47" spans="1:8" s="2" customFormat="1" x14ac:dyDescent="0.3">
      <c r="A47" s="582" t="s">
        <v>130</v>
      </c>
      <c r="B47" s="583"/>
      <c r="C47" s="11" t="s">
        <v>115</v>
      </c>
      <c r="D47" s="15">
        <f t="shared" ref="D47:H47" si="13">D46/D9</f>
        <v>105.11422375736844</v>
      </c>
      <c r="E47" s="15">
        <f t="shared" si="13"/>
        <v>171.07262695527328</v>
      </c>
      <c r="F47" s="15">
        <f t="shared" si="13"/>
        <v>29.563889372246699</v>
      </c>
      <c r="G47" s="15">
        <f t="shared" si="13"/>
        <v>223.11683652678352</v>
      </c>
      <c r="H47" s="40">
        <f t="shared" si="13"/>
        <v>137.85821281249386</v>
      </c>
    </row>
    <row r="48" spans="1:8" ht="14.4" x14ac:dyDescent="0.3">
      <c r="A48" s="610" t="s">
        <v>129</v>
      </c>
      <c r="B48" s="611"/>
      <c r="C48" s="611"/>
      <c r="D48" s="611"/>
      <c r="E48" s="611"/>
      <c r="F48" s="611"/>
      <c r="G48" s="611"/>
      <c r="H48" s="612"/>
    </row>
    <row r="49" spans="1:8" x14ac:dyDescent="0.3">
      <c r="A49" s="582" t="s">
        <v>128</v>
      </c>
      <c r="B49" s="583"/>
      <c r="C49" s="5" t="s">
        <v>127</v>
      </c>
      <c r="D49" s="26">
        <f>Balaka!G49+Balaka!H49+Balaka!I49</f>
        <v>8045</v>
      </c>
      <c r="E49" s="26">
        <f>Liwonde!G49+Liwonde!H49+Liwonde!I49</f>
        <v>8413</v>
      </c>
      <c r="F49" s="26">
        <f>Machinga!G49+Machinga!H49+Machinga!I49</f>
        <v>0</v>
      </c>
      <c r="G49" s="26">
        <f>Ntaja!G49+Ntaja!H49+Ntaja!I49</f>
        <v>0</v>
      </c>
      <c r="H49" s="39">
        <f>SUM(D49:G49)</f>
        <v>16458</v>
      </c>
    </row>
    <row r="50" spans="1:8" x14ac:dyDescent="0.3">
      <c r="A50" s="582" t="s">
        <v>187</v>
      </c>
      <c r="B50" s="583"/>
      <c r="C50" s="5" t="s">
        <v>126</v>
      </c>
      <c r="D50" s="26">
        <f>Balaka!G50+Balaka!H50+Balaka!I50</f>
        <v>840</v>
      </c>
      <c r="E50" s="26">
        <f>Liwonde!G50+Liwonde!H50+Liwonde!I50</f>
        <v>659.86</v>
      </c>
      <c r="F50" s="26">
        <f>Machinga!G50+Machinga!H50+Machinga!I50</f>
        <v>0</v>
      </c>
      <c r="G50" s="26">
        <f>Ntaja!G50+Ntaja!H50+Ntaja!I50</f>
        <v>15</v>
      </c>
      <c r="H50" s="39">
        <f>SUM(D50:G50)</f>
        <v>1514.8600000000001</v>
      </c>
    </row>
    <row r="51" spans="1:8" x14ac:dyDescent="0.3">
      <c r="A51" s="613" t="s">
        <v>125</v>
      </c>
      <c r="B51" s="614"/>
      <c r="C51" s="5" t="s">
        <v>31</v>
      </c>
      <c r="D51" s="26">
        <f>Balaka!G51+Balaka!H51+Balaka!I51</f>
        <v>1793250</v>
      </c>
      <c r="E51" s="26">
        <f>Liwonde!G51+Liwonde!H51+Liwonde!I51</f>
        <v>1266931.2</v>
      </c>
      <c r="F51" s="26">
        <f>Machinga!G51+Machinga!H51+Machinga!I51</f>
        <v>0</v>
      </c>
      <c r="G51" s="26">
        <f>Ntaja!G51+Ntaja!H51+Ntaja!I51</f>
        <v>26190</v>
      </c>
      <c r="H51" s="40">
        <f>SUM(D51:G51)</f>
        <v>3086371.2</v>
      </c>
    </row>
    <row r="52" spans="1:8" x14ac:dyDescent="0.3">
      <c r="A52" s="582" t="s">
        <v>124</v>
      </c>
      <c r="B52" s="583"/>
      <c r="C52" s="5" t="s">
        <v>31</v>
      </c>
      <c r="D52" s="26">
        <f>Balaka!G52+Balaka!H52+Balaka!I52</f>
        <v>0</v>
      </c>
      <c r="E52" s="26">
        <f>Liwonde!G52+Liwonde!H52+Liwonde!I52</f>
        <v>0</v>
      </c>
      <c r="F52" s="26">
        <f>Machinga!G52+Machinga!H52+Machinga!I52</f>
        <v>0</v>
      </c>
      <c r="G52" s="26">
        <f>Ntaja!G52+Ntaja!H52+Ntaja!I52</f>
        <v>0</v>
      </c>
      <c r="H52" s="40">
        <f>SUM(D52:G52)</f>
        <v>0</v>
      </c>
    </row>
    <row r="53" spans="1:8" ht="14.4" x14ac:dyDescent="0.3">
      <c r="A53" s="610" t="s">
        <v>123</v>
      </c>
      <c r="B53" s="611"/>
      <c r="C53" s="611"/>
      <c r="D53" s="611"/>
      <c r="E53" s="611"/>
      <c r="F53" s="611"/>
      <c r="G53" s="611"/>
      <c r="H53" s="612"/>
    </row>
    <row r="54" spans="1:8" x14ac:dyDescent="0.3">
      <c r="A54" s="582" t="s">
        <v>122</v>
      </c>
      <c r="B54" s="583"/>
      <c r="C54" s="11" t="s">
        <v>18</v>
      </c>
      <c r="D54" s="26">
        <f>Balaka!G54+Balaka!H54+Balaka!I54</f>
        <v>18693674.710000001</v>
      </c>
      <c r="E54" s="26">
        <f>Liwonde!G54+Liwonde!H54+Liwonde!I54</f>
        <v>25949748.09</v>
      </c>
      <c r="F54" s="26">
        <f>Machinga!G54+Machinga!H54+Machinga!I54</f>
        <v>3895830.55</v>
      </c>
      <c r="G54" s="26">
        <f>Ntaja!G54+Ntaja!H54+Ntaja!I54</f>
        <v>4010902.91</v>
      </c>
      <c r="H54" s="39">
        <f>SUM(D54:G54)</f>
        <v>52550156.25999999</v>
      </c>
    </row>
    <row r="55" spans="1:8" x14ac:dyDescent="0.3">
      <c r="A55" s="78" t="s">
        <v>121</v>
      </c>
      <c r="B55" s="79"/>
      <c r="C55" s="11" t="s">
        <v>18</v>
      </c>
      <c r="D55" s="26">
        <f>Balaka!G55+Balaka!H55+Balaka!I55</f>
        <v>3608789.2800000003</v>
      </c>
      <c r="E55" s="26">
        <f>Liwonde!G55+Liwonde!H55+Liwonde!I55</f>
        <v>8866734.0599999987</v>
      </c>
      <c r="F55" s="26">
        <f>Machinga!G55+Machinga!H55+Machinga!I55</f>
        <v>1783659.2999999998</v>
      </c>
      <c r="G55" s="26">
        <f>Ntaja!G55+Ntaja!H55+Ntaja!I55</f>
        <v>1111530.3199999998</v>
      </c>
      <c r="H55" s="39">
        <f>SUM(D55:G55)</f>
        <v>15370712.960000001</v>
      </c>
    </row>
    <row r="56" spans="1:8" x14ac:dyDescent="0.3">
      <c r="A56" s="582" t="s">
        <v>120</v>
      </c>
      <c r="B56" s="583"/>
      <c r="C56" s="5" t="s">
        <v>18</v>
      </c>
      <c r="D56" s="26">
        <f>Balaka!G56+Balaka!H56+Balaka!I56</f>
        <v>18716556.149999999</v>
      </c>
      <c r="E56" s="26">
        <f>Liwonde!G56+Liwonde!H56+Liwonde!I56</f>
        <v>9077815</v>
      </c>
      <c r="F56" s="26">
        <f>Machinga!G56+Machinga!H56+Machinga!I56</f>
        <v>1927000</v>
      </c>
      <c r="G56" s="26">
        <f>Ntaja!G56+Ntaja!H56+Ntaja!I56</f>
        <v>1477686.83</v>
      </c>
      <c r="H56" s="39">
        <f>SUM(D56:G56)</f>
        <v>31199057.979999997</v>
      </c>
    </row>
    <row r="57" spans="1:8" ht="14.4" x14ac:dyDescent="0.3">
      <c r="A57" s="610" t="s">
        <v>119</v>
      </c>
      <c r="B57" s="611"/>
      <c r="C57" s="611"/>
      <c r="D57" s="611"/>
      <c r="E57" s="611"/>
      <c r="F57" s="611"/>
      <c r="G57" s="611"/>
      <c r="H57" s="612"/>
    </row>
    <row r="58" spans="1:8" x14ac:dyDescent="0.3">
      <c r="A58" s="613" t="s">
        <v>118</v>
      </c>
      <c r="B58" s="614"/>
      <c r="C58" s="5" t="s">
        <v>18</v>
      </c>
      <c r="D58" s="13">
        <f>D41+D46+D51+D52+D54+D55+D56</f>
        <v>64036836.037500001</v>
      </c>
      <c r="E58" s="13">
        <f t="shared" ref="E58:G58" si="14">E41+E46+E51+E52+E54+E55+E56</f>
        <v>83778644.238525003</v>
      </c>
      <c r="F58" s="13">
        <f t="shared" si="14"/>
        <v>7980688.6654999992</v>
      </c>
      <c r="G58" s="13">
        <f t="shared" si="14"/>
        <v>8518609.6295400001</v>
      </c>
      <c r="H58" s="39">
        <f>SUM(D58:G58)</f>
        <v>164314778.57106498</v>
      </c>
    </row>
    <row r="59" spans="1:8" x14ac:dyDescent="0.3">
      <c r="A59" s="613" t="s">
        <v>117</v>
      </c>
      <c r="B59" s="614"/>
      <c r="C59" s="5" t="s">
        <v>115</v>
      </c>
      <c r="D59" s="15">
        <f t="shared" ref="D59:H59" si="15">D58/D9</f>
        <v>334.94346392537147</v>
      </c>
      <c r="E59" s="15">
        <f t="shared" si="15"/>
        <v>424.65364792675138</v>
      </c>
      <c r="F59" s="15">
        <f t="shared" si="15"/>
        <v>878.93046976872233</v>
      </c>
      <c r="G59" s="15">
        <f t="shared" si="15"/>
        <v>1051.4205911552704</v>
      </c>
      <c r="H59" s="40">
        <f t="shared" si="15"/>
        <v>405.05940642087131</v>
      </c>
    </row>
    <row r="60" spans="1:8" x14ac:dyDescent="0.3">
      <c r="A60" s="613" t="s">
        <v>116</v>
      </c>
      <c r="B60" s="614"/>
      <c r="C60" s="5" t="s">
        <v>115</v>
      </c>
      <c r="D60" s="15">
        <f>D58/D22</f>
        <v>573.32386732948953</v>
      </c>
      <c r="E60" s="15">
        <f t="shared" ref="E60:G60" si="16">E58/E22</f>
        <v>718.86404461975872</v>
      </c>
      <c r="F60" s="15">
        <f t="shared" si="16"/>
        <v>1008.8600947462896</v>
      </c>
      <c r="G60" s="15">
        <f t="shared" si="16"/>
        <v>1171.4259666584157</v>
      </c>
      <c r="H60" s="182">
        <f>H58/H22</f>
        <v>675.02662508854041</v>
      </c>
    </row>
    <row r="61" spans="1:8" x14ac:dyDescent="0.3">
      <c r="A61" s="582" t="s">
        <v>114</v>
      </c>
      <c r="B61" s="583"/>
      <c r="C61" s="5" t="s">
        <v>3</v>
      </c>
      <c r="D61" s="26">
        <f>Balaka!I61</f>
        <v>15</v>
      </c>
      <c r="E61" s="26">
        <f>Liwonde!I61</f>
        <v>13</v>
      </c>
      <c r="F61" s="26">
        <f>Machinga!I61</f>
        <v>3</v>
      </c>
      <c r="G61" s="26">
        <f>Ntaja!I61</f>
        <v>6</v>
      </c>
      <c r="H61" s="165">
        <f>SUM(D61:G61)</f>
        <v>37</v>
      </c>
    </row>
    <row r="62" spans="1:8" ht="15.6" customHeight="1" x14ac:dyDescent="0.3">
      <c r="A62" s="613" t="s">
        <v>113</v>
      </c>
      <c r="B62" s="614"/>
      <c r="C62" s="5" t="s">
        <v>112</v>
      </c>
      <c r="D62" s="15">
        <f t="shared" ref="D62:H62" si="17">(D61*1000*31)/D9</f>
        <v>2.4321737356619435</v>
      </c>
      <c r="E62" s="15">
        <f t="shared" si="17"/>
        <v>2.0427093523648288</v>
      </c>
      <c r="F62" s="15">
        <f t="shared" si="17"/>
        <v>10.242290748898679</v>
      </c>
      <c r="G62" s="15">
        <f t="shared" si="17"/>
        <v>22.957294495186375</v>
      </c>
      <c r="H62" s="40">
        <f t="shared" si="17"/>
        <v>2.8275188829944584</v>
      </c>
    </row>
    <row r="63" spans="1:8" x14ac:dyDescent="0.3">
      <c r="A63" s="627" t="s">
        <v>111</v>
      </c>
      <c r="B63" s="628"/>
      <c r="C63" s="38" t="s">
        <v>3</v>
      </c>
      <c r="D63" s="26">
        <f>Balaka!G63+Balaka!H63+Balaka!I63</f>
        <v>63</v>
      </c>
      <c r="E63" s="26">
        <f>Liwonde!G63+Liwonde!H63+Liwonde!I63</f>
        <v>57</v>
      </c>
      <c r="F63" s="26">
        <f>Machinga!G63+Machinga!H63+Machinga!I63</f>
        <v>18</v>
      </c>
      <c r="G63" s="26">
        <f>Ntaja!G63+Ntaja!H63+Ntaja!I63</f>
        <v>23</v>
      </c>
      <c r="H63" s="165">
        <f>SUM(D63:G63)</f>
        <v>161</v>
      </c>
    </row>
    <row r="64" spans="1:8" ht="14.4" x14ac:dyDescent="0.3">
      <c r="A64" s="668"/>
      <c r="B64" s="669"/>
      <c r="C64" s="669"/>
      <c r="D64" s="669"/>
      <c r="E64" s="669"/>
      <c r="F64" s="669"/>
      <c r="G64" s="669"/>
      <c r="H64" s="670"/>
    </row>
    <row r="65" spans="1:8" ht="14.4" customHeight="1" x14ac:dyDescent="0.3">
      <c r="A65" s="610" t="s">
        <v>110</v>
      </c>
      <c r="B65" s="611"/>
      <c r="C65" s="611"/>
      <c r="D65" s="611"/>
      <c r="E65" s="611"/>
      <c r="F65" s="611"/>
      <c r="G65" s="611"/>
      <c r="H65" s="612"/>
    </row>
    <row r="66" spans="1:8" x14ac:dyDescent="0.3">
      <c r="A66" s="615" t="s">
        <v>109</v>
      </c>
      <c r="B66" s="37" t="s">
        <v>85</v>
      </c>
      <c r="C66" s="5" t="s">
        <v>3</v>
      </c>
      <c r="D66" s="26">
        <f>Balaka!G66</f>
        <v>420</v>
      </c>
      <c r="E66" s="26">
        <f>Liwonde!G66</f>
        <v>319</v>
      </c>
      <c r="F66" s="26">
        <f>Machinga!G66</f>
        <v>12</v>
      </c>
      <c r="G66" s="26">
        <f>Ntaja!G66</f>
        <v>13</v>
      </c>
      <c r="H66" s="35">
        <f>SUM(D66:G66)</f>
        <v>764</v>
      </c>
    </row>
    <row r="67" spans="1:8" x14ac:dyDescent="0.3">
      <c r="A67" s="616"/>
      <c r="B67" s="24" t="s">
        <v>104</v>
      </c>
      <c r="C67" s="5" t="s">
        <v>3</v>
      </c>
      <c r="D67" s="26">
        <f>Balaka!G67+Balaka!H67+Balaka!I67</f>
        <v>145</v>
      </c>
      <c r="E67" s="26">
        <f>Liwonde!G67+Liwonde!H67+Liwonde!I67</f>
        <v>131</v>
      </c>
      <c r="F67" s="26">
        <f>Machinga!G67+Machinga!H67+Machinga!I67</f>
        <v>13</v>
      </c>
      <c r="G67" s="26">
        <f>Ntaja!G67+Ntaja!H67+Ntaja!I67</f>
        <v>85</v>
      </c>
      <c r="H67" s="35">
        <f>SUM(D67:G67)</f>
        <v>374</v>
      </c>
    </row>
    <row r="68" spans="1:8" ht="27" x14ac:dyDescent="0.3">
      <c r="A68" s="616"/>
      <c r="B68" s="24" t="s">
        <v>103</v>
      </c>
      <c r="C68" s="5" t="s">
        <v>3</v>
      </c>
      <c r="D68" s="26">
        <f>Balaka!G68+Balaka!H68+Balaka!I68</f>
        <v>123</v>
      </c>
      <c r="E68" s="26">
        <f>Liwonde!G68+Liwonde!H68+Liwonde!I68</f>
        <v>98</v>
      </c>
      <c r="F68" s="26">
        <f>Machinga!G68+Machinga!H68+Machinga!I68</f>
        <v>13</v>
      </c>
      <c r="G68" s="26">
        <f>Ntaja!G68+Ntaja!H68+Ntaja!I68</f>
        <v>0</v>
      </c>
      <c r="H68" s="35">
        <f>SUM(D68:G68)</f>
        <v>234</v>
      </c>
    </row>
    <row r="69" spans="1:8" s="2" customFormat="1" ht="27" x14ac:dyDescent="0.3">
      <c r="A69" s="616"/>
      <c r="B69" s="24" t="s">
        <v>102</v>
      </c>
      <c r="C69" s="11" t="s">
        <v>3</v>
      </c>
      <c r="D69" s="26">
        <f>Balaka!G69+Balaka!H69+Balaka!I69</f>
        <v>0</v>
      </c>
      <c r="E69" s="26">
        <f>Liwonde!G69+Liwonde!H69+Liwonde!I69</f>
        <v>0</v>
      </c>
      <c r="F69" s="26">
        <f>Machinga!G69+Machinga!H69+Machinga!I69</f>
        <v>0</v>
      </c>
      <c r="G69" s="26">
        <f>Ntaja!G69+Ntaja!H69+Ntaja!I69</f>
        <v>66</v>
      </c>
      <c r="H69" s="74">
        <f>SUM(D69:G69)</f>
        <v>66</v>
      </c>
    </row>
    <row r="70" spans="1:8" s="2" customFormat="1" x14ac:dyDescent="0.3">
      <c r="A70" s="616"/>
      <c r="B70" s="24" t="s">
        <v>188</v>
      </c>
      <c r="C70" s="11" t="s">
        <v>3</v>
      </c>
      <c r="D70" s="4">
        <f>D68+D69</f>
        <v>123</v>
      </c>
      <c r="E70" s="4">
        <f t="shared" ref="E70:H70" si="18">E68+E69</f>
        <v>98</v>
      </c>
      <c r="F70" s="4">
        <f t="shared" si="18"/>
        <v>13</v>
      </c>
      <c r="G70" s="4">
        <f t="shared" si="18"/>
        <v>66</v>
      </c>
      <c r="H70" s="168">
        <f t="shared" si="18"/>
        <v>300</v>
      </c>
    </row>
    <row r="71" spans="1:8" x14ac:dyDescent="0.3">
      <c r="A71" s="617"/>
      <c r="B71" s="37" t="s">
        <v>81</v>
      </c>
      <c r="C71" s="5" t="s">
        <v>3</v>
      </c>
      <c r="D71" s="26">
        <f>D66+D67-D70</f>
        <v>442</v>
      </c>
      <c r="E71" s="26">
        <f t="shared" ref="E71:G71" si="19">E66+E67-E70</f>
        <v>352</v>
      </c>
      <c r="F71" s="26">
        <f t="shared" si="19"/>
        <v>12</v>
      </c>
      <c r="G71" s="26">
        <f t="shared" si="19"/>
        <v>32</v>
      </c>
      <c r="H71" s="55">
        <f>H66+H67-H70</f>
        <v>838</v>
      </c>
    </row>
    <row r="72" spans="1:8" x14ac:dyDescent="0.3">
      <c r="A72" s="615" t="s">
        <v>108</v>
      </c>
      <c r="B72" s="37" t="s">
        <v>85</v>
      </c>
      <c r="C72" s="5" t="s">
        <v>3</v>
      </c>
      <c r="D72" s="26">
        <f>Balaka!G72</f>
        <v>0</v>
      </c>
      <c r="E72" s="26">
        <f>Liwonde!G72</f>
        <v>0</v>
      </c>
      <c r="F72" s="26">
        <f>Machinga!G72</f>
        <v>0</v>
      </c>
      <c r="G72" s="26">
        <f>Ntaja!G72</f>
        <v>0</v>
      </c>
      <c r="H72" s="35">
        <f>SUM(D72:G72)</f>
        <v>0</v>
      </c>
    </row>
    <row r="73" spans="1:8" x14ac:dyDescent="0.3">
      <c r="A73" s="616"/>
      <c r="B73" s="24" t="s">
        <v>104</v>
      </c>
      <c r="C73" s="5" t="s">
        <v>3</v>
      </c>
      <c r="D73" s="26">
        <f>Balaka!G73+Balaka!H73+Balaka!I73</f>
        <v>0</v>
      </c>
      <c r="E73" s="26">
        <f>Liwonde!G73+Liwonde!H73+Liwonde!I73</f>
        <v>0</v>
      </c>
      <c r="F73" s="26">
        <f>Machinga!G73+Machinga!H73+Machinga!I73</f>
        <v>1</v>
      </c>
      <c r="G73" s="26">
        <f>Ntaja!G73+Ntaja!H73+Ntaja!I73</f>
        <v>1</v>
      </c>
      <c r="H73" s="35">
        <f>SUM(D73:G73)</f>
        <v>2</v>
      </c>
    </row>
    <row r="74" spans="1:8" ht="27" x14ac:dyDescent="0.3">
      <c r="A74" s="616"/>
      <c r="B74" s="24" t="s">
        <v>103</v>
      </c>
      <c r="C74" s="5" t="s">
        <v>3</v>
      </c>
      <c r="D74" s="26">
        <f>Balaka!G74+Balaka!H74+Balaka!I74</f>
        <v>0</v>
      </c>
      <c r="E74" s="26">
        <f>Liwonde!G74+Liwonde!H74+Liwonde!I74</f>
        <v>0</v>
      </c>
      <c r="F74" s="26">
        <f>Machinga!G74+Machinga!H74+Machinga!I74</f>
        <v>1</v>
      </c>
      <c r="G74" s="26">
        <f>Ntaja!G74+Ntaja!H74+Ntaja!I74</f>
        <v>0</v>
      </c>
      <c r="H74" s="35">
        <f>SUM(D74:G74)</f>
        <v>1</v>
      </c>
    </row>
    <row r="75" spans="1:8" s="2" customFormat="1" ht="27" x14ac:dyDescent="0.3">
      <c r="A75" s="616"/>
      <c r="B75" s="24" t="s">
        <v>102</v>
      </c>
      <c r="C75" s="11" t="s">
        <v>3</v>
      </c>
      <c r="D75" s="26">
        <f>Balaka!G75+Balaka!H75+Balaka!I75</f>
        <v>0</v>
      </c>
      <c r="E75" s="26">
        <f>Liwonde!G75+Liwonde!H75+Liwonde!I75</f>
        <v>0</v>
      </c>
      <c r="F75" s="26">
        <f>Machinga!G75+Machinga!H75+Machinga!I75</f>
        <v>0</v>
      </c>
      <c r="G75" s="26">
        <f>Ntaja!G75+Ntaja!H75+Ntaja!I75</f>
        <v>1</v>
      </c>
      <c r="H75" s="35">
        <f>SUM(D75:G75)</f>
        <v>1</v>
      </c>
    </row>
    <row r="76" spans="1:8" s="2" customFormat="1" x14ac:dyDescent="0.3">
      <c r="A76" s="616"/>
      <c r="B76" s="24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1</v>
      </c>
      <c r="G76" s="4">
        <f t="shared" si="20"/>
        <v>1</v>
      </c>
      <c r="H76" s="168">
        <f t="shared" si="20"/>
        <v>2</v>
      </c>
    </row>
    <row r="77" spans="1:8" x14ac:dyDescent="0.3">
      <c r="A77" s="617"/>
      <c r="B77" s="37" t="s">
        <v>81</v>
      </c>
      <c r="C77" s="5" t="s">
        <v>3</v>
      </c>
      <c r="D77" s="26">
        <f>D73+D74-D76</f>
        <v>0</v>
      </c>
      <c r="E77" s="26">
        <f t="shared" ref="E77:H77" si="21">E73+E74-E76</f>
        <v>0</v>
      </c>
      <c r="F77" s="26">
        <f t="shared" si="21"/>
        <v>1</v>
      </c>
      <c r="G77" s="26">
        <f t="shared" si="21"/>
        <v>0</v>
      </c>
      <c r="H77" s="55">
        <f t="shared" si="21"/>
        <v>1</v>
      </c>
    </row>
    <row r="78" spans="1:8" ht="15.6" customHeight="1" x14ac:dyDescent="0.3">
      <c r="A78" s="615" t="s">
        <v>107</v>
      </c>
      <c r="B78" s="37" t="s">
        <v>85</v>
      </c>
      <c r="C78" s="5" t="s">
        <v>3</v>
      </c>
      <c r="D78" s="26">
        <f>Balaka!G78</f>
        <v>0</v>
      </c>
      <c r="E78" s="26">
        <f>Liwonde!G78</f>
        <v>0</v>
      </c>
      <c r="F78" s="26">
        <f>Machinga!G78</f>
        <v>0</v>
      </c>
      <c r="G78" s="26">
        <f>Ntaja!G78</f>
        <v>0</v>
      </c>
      <c r="H78" s="35">
        <f>SUM(D78:G78)</f>
        <v>0</v>
      </c>
    </row>
    <row r="79" spans="1:8" x14ac:dyDescent="0.3">
      <c r="A79" s="616"/>
      <c r="B79" s="24" t="s">
        <v>104</v>
      </c>
      <c r="C79" s="5" t="s">
        <v>3</v>
      </c>
      <c r="D79" s="26">
        <f>Balaka!G79+Balaka!H79+Balaka!I79</f>
        <v>0</v>
      </c>
      <c r="E79" s="26">
        <f>Liwonde!G79+Liwonde!H79+Liwonde!I79</f>
        <v>0</v>
      </c>
      <c r="F79" s="26">
        <f>Machinga!G79+Machinga!H79+Machinga!I79</f>
        <v>0</v>
      </c>
      <c r="G79" s="26">
        <f>Ntaja!G79+Ntaja!H79+Ntaja!I79</f>
        <v>0</v>
      </c>
      <c r="H79" s="35">
        <f>SUM(D79:G79)</f>
        <v>0</v>
      </c>
    </row>
    <row r="80" spans="1:8" ht="27" x14ac:dyDescent="0.3">
      <c r="A80" s="616"/>
      <c r="B80" s="24" t="s">
        <v>103</v>
      </c>
      <c r="C80" s="5" t="s">
        <v>3</v>
      </c>
      <c r="D80" s="26">
        <f>Balaka!G80+Balaka!H80+Balaka!I80</f>
        <v>0</v>
      </c>
      <c r="E80" s="26">
        <f>Liwonde!G80+Liwonde!H80+Liwonde!I80</f>
        <v>0</v>
      </c>
      <c r="F80" s="26">
        <f>Machinga!G80+Machinga!H80+Machinga!I80</f>
        <v>0</v>
      </c>
      <c r="G80" s="26">
        <f>Ntaja!G80+Ntaja!H80+Ntaja!I80</f>
        <v>0</v>
      </c>
      <c r="H80" s="35">
        <f>SUM(D80:G80)</f>
        <v>0</v>
      </c>
    </row>
    <row r="81" spans="1:8" s="2" customFormat="1" ht="27" x14ac:dyDescent="0.3">
      <c r="A81" s="616"/>
      <c r="B81" s="24" t="s">
        <v>102</v>
      </c>
      <c r="C81" s="11" t="s">
        <v>3</v>
      </c>
      <c r="D81" s="26">
        <f>Balaka!G81+Balaka!H81+Balaka!I81</f>
        <v>0</v>
      </c>
      <c r="E81" s="26">
        <f>Liwonde!G81+Liwonde!H81+Liwonde!I81</f>
        <v>0</v>
      </c>
      <c r="F81" s="26">
        <f>Machinga!G81+Machinga!H81+Machinga!I81</f>
        <v>0</v>
      </c>
      <c r="G81" s="26">
        <f>Ntaja!G81+Ntaja!H81+Ntaja!I81</f>
        <v>0</v>
      </c>
      <c r="H81" s="74">
        <f>SUM(D81:G81)</f>
        <v>0</v>
      </c>
    </row>
    <row r="82" spans="1:8" s="2" customFormat="1" x14ac:dyDescent="0.3">
      <c r="A82" s="616"/>
      <c r="B82" s="24" t="s">
        <v>188</v>
      </c>
      <c r="C82" s="11" t="s">
        <v>3</v>
      </c>
      <c r="D82" s="4">
        <f>D81+D80</f>
        <v>0</v>
      </c>
      <c r="E82" s="4">
        <f t="shared" ref="E82:H82" si="22">E81+E80</f>
        <v>0</v>
      </c>
      <c r="F82" s="4">
        <f t="shared" si="22"/>
        <v>0</v>
      </c>
      <c r="G82" s="4">
        <f t="shared" si="22"/>
        <v>0</v>
      </c>
      <c r="H82" s="168">
        <f t="shared" si="22"/>
        <v>0</v>
      </c>
    </row>
    <row r="83" spans="1:8" x14ac:dyDescent="0.3">
      <c r="A83" s="617"/>
      <c r="B83" s="37" t="s">
        <v>81</v>
      </c>
      <c r="C83" s="5" t="s">
        <v>3</v>
      </c>
      <c r="D83" s="26">
        <f>D78+D79-D82</f>
        <v>0</v>
      </c>
      <c r="E83" s="26">
        <f t="shared" ref="E83:H83" si="23">E78+E79-E82</f>
        <v>0</v>
      </c>
      <c r="F83" s="26">
        <f t="shared" si="23"/>
        <v>0</v>
      </c>
      <c r="G83" s="26">
        <f t="shared" si="23"/>
        <v>0</v>
      </c>
      <c r="H83" s="55">
        <f t="shared" si="23"/>
        <v>0</v>
      </c>
    </row>
    <row r="84" spans="1:8" x14ac:dyDescent="0.3">
      <c r="A84" s="618" t="s">
        <v>106</v>
      </c>
      <c r="B84" s="37" t="s">
        <v>85</v>
      </c>
      <c r="C84" s="5" t="s">
        <v>3</v>
      </c>
      <c r="D84" s="26">
        <f>Balaka!G84</f>
        <v>0</v>
      </c>
      <c r="E84" s="26">
        <f>Liwonde!G84</f>
        <v>0</v>
      </c>
      <c r="F84" s="26">
        <f>Machinga!G84</f>
        <v>0</v>
      </c>
      <c r="G84" s="26">
        <f>Ntaja!G84</f>
        <v>0</v>
      </c>
      <c r="H84" s="35">
        <f>SUM(D84:G84)</f>
        <v>0</v>
      </c>
    </row>
    <row r="85" spans="1:8" x14ac:dyDescent="0.3">
      <c r="A85" s="619"/>
      <c r="B85" s="37" t="s">
        <v>104</v>
      </c>
      <c r="C85" s="5" t="s">
        <v>3</v>
      </c>
      <c r="D85" s="26">
        <f>Balaka!G85+Balaka!H85+Balaka!I85</f>
        <v>0</v>
      </c>
      <c r="E85" s="26">
        <f>Liwonde!G85+Liwonde!H85+Liwonde!I85</f>
        <v>0</v>
      </c>
      <c r="F85" s="26">
        <f>Machinga!G85+Machinga!H85+Machinga!I85</f>
        <v>0</v>
      </c>
      <c r="G85" s="26">
        <f>Ntaja!G85+Ntaja!H85+Ntaja!I85</f>
        <v>0</v>
      </c>
      <c r="H85" s="35">
        <f>SUM(D85:G85)</f>
        <v>0</v>
      </c>
    </row>
    <row r="86" spans="1:8" ht="27" x14ac:dyDescent="0.3">
      <c r="A86" s="619"/>
      <c r="B86" s="37" t="s">
        <v>103</v>
      </c>
      <c r="C86" s="5" t="s">
        <v>3</v>
      </c>
      <c r="D86" s="26">
        <f>Balaka!G86+Balaka!H86+Balaka!I86</f>
        <v>0</v>
      </c>
      <c r="E86" s="26">
        <f>Liwonde!G86+Liwonde!H86+Liwonde!I86</f>
        <v>0</v>
      </c>
      <c r="F86" s="26">
        <f>Machinga!G86+Machinga!H86+Machinga!I86</f>
        <v>0</v>
      </c>
      <c r="G86" s="26">
        <f>Ntaja!G86+Ntaja!H86+Ntaja!I86</f>
        <v>0</v>
      </c>
      <c r="H86" s="35">
        <f>SUM(D86:G86)</f>
        <v>0</v>
      </c>
    </row>
    <row r="87" spans="1:8" s="2" customFormat="1" ht="27" x14ac:dyDescent="0.3">
      <c r="A87" s="619"/>
      <c r="B87" s="24" t="s">
        <v>102</v>
      </c>
      <c r="C87" s="11" t="s">
        <v>3</v>
      </c>
      <c r="D87" s="26">
        <f>Balaka!G87+Balaka!H87+Balaka!I87</f>
        <v>0</v>
      </c>
      <c r="E87" s="26">
        <f>Liwonde!G87+Liwonde!H87+Liwonde!I87</f>
        <v>0</v>
      </c>
      <c r="F87" s="26">
        <f>Machinga!G87+Machinga!H87+Machinga!I87</f>
        <v>0</v>
      </c>
      <c r="G87" s="26">
        <f>Ntaja!G87+Ntaja!H87+Ntaja!I87</f>
        <v>0</v>
      </c>
      <c r="H87" s="74">
        <f>SUM(D87:G87)</f>
        <v>0</v>
      </c>
    </row>
    <row r="88" spans="1:8" s="2" customFormat="1" x14ac:dyDescent="0.3">
      <c r="A88" s="619"/>
      <c r="B88" s="24" t="s">
        <v>188</v>
      </c>
      <c r="C88" s="11" t="s">
        <v>3</v>
      </c>
      <c r="D88" s="4">
        <f>D87+D86</f>
        <v>0</v>
      </c>
      <c r="E88" s="4">
        <f t="shared" ref="E88:G88" si="24">E87+E86</f>
        <v>0</v>
      </c>
      <c r="F88" s="4">
        <f t="shared" si="24"/>
        <v>0</v>
      </c>
      <c r="G88" s="4">
        <f t="shared" si="24"/>
        <v>0</v>
      </c>
      <c r="H88" s="74"/>
    </row>
    <row r="89" spans="1:8" x14ac:dyDescent="0.3">
      <c r="A89" s="620"/>
      <c r="B89" s="36" t="s">
        <v>81</v>
      </c>
      <c r="C89" s="5" t="s">
        <v>3</v>
      </c>
      <c r="D89" s="26">
        <f>D84+D85-D88</f>
        <v>0</v>
      </c>
      <c r="E89" s="26">
        <f t="shared" ref="E89:G89" si="25">E84+E85-E88</f>
        <v>0</v>
      </c>
      <c r="F89" s="26">
        <f t="shared" si="25"/>
        <v>0</v>
      </c>
      <c r="G89" s="26">
        <f t="shared" si="25"/>
        <v>0</v>
      </c>
      <c r="H89" s="55">
        <f t="shared" ref="H89" si="26">H84+H85-H86-H87</f>
        <v>0</v>
      </c>
    </row>
    <row r="90" spans="1:8" x14ac:dyDescent="0.3">
      <c r="A90" s="621" t="s">
        <v>105</v>
      </c>
      <c r="B90" s="24" t="s">
        <v>85</v>
      </c>
      <c r="C90" s="11" t="s">
        <v>3</v>
      </c>
      <c r="D90" s="136">
        <f>D66+D72+D78+D84</f>
        <v>420</v>
      </c>
      <c r="E90" s="136">
        <f t="shared" ref="E90:G90" si="27">E66+E72+E78+E84</f>
        <v>319</v>
      </c>
      <c r="F90" s="136">
        <f t="shared" si="27"/>
        <v>12</v>
      </c>
      <c r="G90" s="136">
        <f t="shared" si="27"/>
        <v>13</v>
      </c>
      <c r="H90" s="35">
        <f>SUM(D90:G90)</f>
        <v>764</v>
      </c>
    </row>
    <row r="91" spans="1:8" x14ac:dyDescent="0.3">
      <c r="A91" s="622"/>
      <c r="B91" s="24" t="s">
        <v>104</v>
      </c>
      <c r="C91" s="11" t="s">
        <v>3</v>
      </c>
      <c r="D91" s="136">
        <f t="shared" ref="D91:G93" si="28">D67+D73+D79+D85</f>
        <v>145</v>
      </c>
      <c r="E91" s="136">
        <f t="shared" si="28"/>
        <v>131</v>
      </c>
      <c r="F91" s="136">
        <f t="shared" si="28"/>
        <v>14</v>
      </c>
      <c r="G91" s="136">
        <f t="shared" si="28"/>
        <v>86</v>
      </c>
      <c r="H91" s="35">
        <f>SUM(D91:G91)</f>
        <v>376</v>
      </c>
    </row>
    <row r="92" spans="1:8" ht="27" x14ac:dyDescent="0.3">
      <c r="A92" s="622"/>
      <c r="B92" s="24" t="s">
        <v>103</v>
      </c>
      <c r="C92" s="11" t="s">
        <v>3</v>
      </c>
      <c r="D92" s="136">
        <f t="shared" si="28"/>
        <v>123</v>
      </c>
      <c r="E92" s="136">
        <f t="shared" si="28"/>
        <v>98</v>
      </c>
      <c r="F92" s="136">
        <f t="shared" si="28"/>
        <v>14</v>
      </c>
      <c r="G92" s="136">
        <f t="shared" si="28"/>
        <v>0</v>
      </c>
      <c r="H92" s="35">
        <f>SUM(D92:G92)</f>
        <v>235</v>
      </c>
    </row>
    <row r="93" spans="1:8" s="2" customFormat="1" ht="27" x14ac:dyDescent="0.3">
      <c r="A93" s="622"/>
      <c r="B93" s="24" t="s">
        <v>102</v>
      </c>
      <c r="C93" s="11"/>
      <c r="D93" s="136">
        <f t="shared" si="28"/>
        <v>0</v>
      </c>
      <c r="E93" s="136">
        <f t="shared" si="28"/>
        <v>0</v>
      </c>
      <c r="F93" s="136">
        <f t="shared" si="28"/>
        <v>0</v>
      </c>
      <c r="G93" s="136">
        <f t="shared" si="28"/>
        <v>67</v>
      </c>
      <c r="H93" s="35">
        <f>SUM(D93:G93)</f>
        <v>67</v>
      </c>
    </row>
    <row r="94" spans="1:8" s="2" customFormat="1" x14ac:dyDescent="0.3">
      <c r="A94" s="622"/>
      <c r="B94" s="24" t="s">
        <v>188</v>
      </c>
      <c r="C94" s="11" t="s">
        <v>3</v>
      </c>
      <c r="D94" s="137">
        <f>D93+D92</f>
        <v>123</v>
      </c>
      <c r="E94" s="137">
        <f t="shared" ref="E94:G94" si="29">E93+E92</f>
        <v>98</v>
      </c>
      <c r="F94" s="137">
        <f t="shared" si="29"/>
        <v>14</v>
      </c>
      <c r="G94" s="137">
        <f t="shared" si="29"/>
        <v>67</v>
      </c>
      <c r="H94" s="144">
        <f t="shared" ref="H94" si="30">H93+H92</f>
        <v>302</v>
      </c>
    </row>
    <row r="95" spans="1:8" ht="16.2" thickBot="1" x14ac:dyDescent="0.35">
      <c r="A95" s="623"/>
      <c r="B95" s="24" t="s">
        <v>81</v>
      </c>
      <c r="C95" s="11" t="s">
        <v>3</v>
      </c>
      <c r="D95" s="138">
        <f>D90+D91-D94</f>
        <v>442</v>
      </c>
      <c r="E95" s="138">
        <f t="shared" ref="E95:G95" si="31">E90+E91-E94</f>
        <v>352</v>
      </c>
      <c r="F95" s="138">
        <f t="shared" si="31"/>
        <v>12</v>
      </c>
      <c r="G95" s="138">
        <f t="shared" si="31"/>
        <v>32</v>
      </c>
      <c r="H95" s="145">
        <f t="shared" ref="H95" si="32">H90+H91-H94</f>
        <v>838</v>
      </c>
    </row>
    <row r="96" spans="1:8" ht="16.2" customHeight="1" thickBot="1" x14ac:dyDescent="0.35">
      <c r="A96" s="671"/>
      <c r="B96" s="672"/>
      <c r="C96" s="672"/>
      <c r="D96" s="672"/>
      <c r="E96" s="672"/>
      <c r="F96" s="672"/>
      <c r="G96" s="672"/>
      <c r="H96" s="673"/>
    </row>
    <row r="97" spans="1:8" s="2" customFormat="1" ht="15.75" customHeight="1" thickBot="1" x14ac:dyDescent="0.35">
      <c r="A97" s="624" t="s">
        <v>189</v>
      </c>
      <c r="B97" s="625"/>
      <c r="C97" s="625"/>
      <c r="D97" s="625"/>
      <c r="E97" s="625"/>
      <c r="F97" s="625"/>
      <c r="G97" s="625"/>
      <c r="H97" s="626"/>
    </row>
    <row r="98" spans="1:8" x14ac:dyDescent="0.3">
      <c r="A98" s="88" t="s">
        <v>190</v>
      </c>
      <c r="B98" s="69"/>
      <c r="C98" s="11" t="s">
        <v>3</v>
      </c>
      <c r="D98" s="26">
        <f>Balaka!G98+Balaka!H98+Balaka!I98</f>
        <v>2799</v>
      </c>
      <c r="E98" s="26">
        <f>Liwonde!G98+Liwonde!H98+Liwonde!I98</f>
        <v>2157</v>
      </c>
      <c r="F98" s="26">
        <f>Machinga!G98+Machinga!H98+Machinga!I98</f>
        <v>417</v>
      </c>
      <c r="G98" s="26">
        <f>Ntaja!G98+Ntaja!H98+Ntaja!I98</f>
        <v>61</v>
      </c>
      <c r="H98" s="169">
        <f>SUM(D98:G98)</f>
        <v>5434</v>
      </c>
    </row>
    <row r="99" spans="1:8" x14ac:dyDescent="0.3">
      <c r="A99" s="88"/>
      <c r="B99" s="24"/>
      <c r="C99" s="11"/>
      <c r="D99" s="65"/>
      <c r="E99" s="65"/>
      <c r="F99" s="65"/>
      <c r="G99" s="65"/>
      <c r="H99" s="144"/>
    </row>
    <row r="100" spans="1:8" s="2" customFormat="1" ht="14.4" x14ac:dyDescent="0.3">
      <c r="A100" s="635" t="s">
        <v>101</v>
      </c>
      <c r="B100" s="636"/>
      <c r="C100" s="636"/>
      <c r="D100" s="636"/>
      <c r="E100" s="636"/>
      <c r="F100" s="636"/>
      <c r="G100" s="636"/>
      <c r="H100" s="637"/>
    </row>
    <row r="101" spans="1:8" x14ac:dyDescent="0.3">
      <c r="A101" s="582" t="s">
        <v>100</v>
      </c>
      <c r="B101" s="583"/>
      <c r="C101" s="11" t="s">
        <v>3</v>
      </c>
      <c r="D101" s="26">
        <f>Balaka!I101</f>
        <v>1946</v>
      </c>
      <c r="E101" s="26">
        <f>Liwonde!I101</f>
        <v>1329</v>
      </c>
      <c r="F101" s="26">
        <f>Machinga!I101</f>
        <v>0</v>
      </c>
      <c r="G101" s="26">
        <f>Ntaja!I101</f>
        <v>3</v>
      </c>
      <c r="H101" s="35">
        <f>SUM(D101:G101)</f>
        <v>3278</v>
      </c>
    </row>
    <row r="102" spans="1:8" x14ac:dyDescent="0.3">
      <c r="A102" s="582" t="s">
        <v>99</v>
      </c>
      <c r="B102" s="583"/>
      <c r="C102" s="11" t="s">
        <v>3</v>
      </c>
      <c r="D102" s="26">
        <f>Balaka!I102</f>
        <v>36</v>
      </c>
      <c r="E102" s="26">
        <f>Liwonde!I102</f>
        <v>43</v>
      </c>
      <c r="F102" s="26">
        <f>Machinga!I102</f>
        <v>0</v>
      </c>
      <c r="G102" s="26">
        <f>Ntaja!I102</f>
        <v>1</v>
      </c>
      <c r="H102" s="35">
        <f>SUM(D102:G102)</f>
        <v>80</v>
      </c>
    </row>
    <row r="103" spans="1:8" ht="15.6" customHeight="1" x14ac:dyDescent="0.3">
      <c r="A103" s="589" t="s">
        <v>98</v>
      </c>
      <c r="B103" s="590"/>
      <c r="C103" s="11" t="s">
        <v>3</v>
      </c>
      <c r="D103" s="26">
        <f>Balaka!I103</f>
        <v>98</v>
      </c>
      <c r="E103" s="26">
        <f>Liwonde!I103</f>
        <v>64</v>
      </c>
      <c r="F103" s="26">
        <f>Machinga!I103</f>
        <v>0</v>
      </c>
      <c r="G103" s="26">
        <f>Ntaja!I103</f>
        <v>0</v>
      </c>
      <c r="H103" s="35">
        <f>SUM(D103:G103)</f>
        <v>162</v>
      </c>
    </row>
    <row r="104" spans="1:8" x14ac:dyDescent="0.3">
      <c r="A104" s="589" t="s">
        <v>97</v>
      </c>
      <c r="B104" s="590"/>
      <c r="C104" s="11" t="s">
        <v>3</v>
      </c>
      <c r="D104" s="26">
        <f>Balaka!I104</f>
        <v>17</v>
      </c>
      <c r="E104" s="26">
        <f>Liwonde!I104</f>
        <v>15</v>
      </c>
      <c r="F104" s="26">
        <f>Machinga!I104</f>
        <v>0</v>
      </c>
      <c r="G104" s="26">
        <f>Ntaja!I104</f>
        <v>15</v>
      </c>
      <c r="H104" s="35">
        <f>SUM(D104:G104)</f>
        <v>47</v>
      </c>
    </row>
    <row r="105" spans="1:8" x14ac:dyDescent="0.3">
      <c r="A105" s="638" t="s">
        <v>96</v>
      </c>
      <c r="B105" s="639"/>
      <c r="C105" s="11" t="s">
        <v>3</v>
      </c>
      <c r="D105" s="33">
        <f>SUM(D101:D104)</f>
        <v>2097</v>
      </c>
      <c r="E105" s="33">
        <f t="shared" ref="E105:G105" si="33">SUM(E101:E104)</f>
        <v>1451</v>
      </c>
      <c r="F105" s="33">
        <f t="shared" si="33"/>
        <v>0</v>
      </c>
      <c r="G105" s="33">
        <f t="shared" si="33"/>
        <v>19</v>
      </c>
      <c r="H105" s="35">
        <f>SUM(D105:G105)</f>
        <v>3567</v>
      </c>
    </row>
    <row r="106" spans="1:8" s="2" customFormat="1" ht="15.6" customHeight="1" x14ac:dyDescent="0.3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x14ac:dyDescent="0.3">
      <c r="A107" s="582" t="s">
        <v>193</v>
      </c>
      <c r="B107" s="583"/>
      <c r="C107" s="11" t="s">
        <v>3</v>
      </c>
      <c r="D107" s="26">
        <f>Balaka!I107</f>
        <v>3802</v>
      </c>
      <c r="E107" s="26">
        <f>Liwonde!I107</f>
        <v>2848</v>
      </c>
      <c r="F107" s="26">
        <f>Machinga!I107</f>
        <v>153</v>
      </c>
      <c r="G107" s="26">
        <f>Ntaja!I107</f>
        <v>3</v>
      </c>
      <c r="H107" s="35">
        <f>SUM(D107:G107)</f>
        <v>6806</v>
      </c>
    </row>
    <row r="108" spans="1:8" x14ac:dyDescent="0.3">
      <c r="A108" s="582" t="s">
        <v>194</v>
      </c>
      <c r="B108" s="583"/>
      <c r="C108" s="11" t="s">
        <v>3</v>
      </c>
      <c r="D108" s="26">
        <f>Balaka!I108</f>
        <v>14</v>
      </c>
      <c r="E108" s="26">
        <f>Liwonde!I108</f>
        <v>10</v>
      </c>
      <c r="F108" s="26">
        <f>Machinga!I108</f>
        <v>3</v>
      </c>
      <c r="G108" s="26">
        <f>Ntaja!I108</f>
        <v>1</v>
      </c>
      <c r="H108" s="35">
        <f>SUM(D108:G108)</f>
        <v>28</v>
      </c>
    </row>
    <row r="109" spans="1:8" x14ac:dyDescent="0.3">
      <c r="A109" s="582" t="s">
        <v>195</v>
      </c>
      <c r="B109" s="583"/>
      <c r="C109" s="11" t="s">
        <v>3</v>
      </c>
      <c r="D109" s="26">
        <f>Balaka!I109</f>
        <v>14</v>
      </c>
      <c r="E109" s="26">
        <f>Liwonde!I109</f>
        <v>23</v>
      </c>
      <c r="F109" s="26">
        <f>Machinga!I109</f>
        <v>0</v>
      </c>
      <c r="G109" s="26">
        <f>Ntaja!I109</f>
        <v>0</v>
      </c>
      <c r="H109" s="35">
        <f>SUM(D109:G109)</f>
        <v>37</v>
      </c>
    </row>
    <row r="110" spans="1:8" x14ac:dyDescent="0.3">
      <c r="A110" s="582" t="s">
        <v>196</v>
      </c>
      <c r="B110" s="583"/>
      <c r="C110" s="11" t="s">
        <v>3</v>
      </c>
      <c r="D110" s="26">
        <f>Balaka!I110</f>
        <v>13</v>
      </c>
      <c r="E110" s="26">
        <f>Liwonde!I110</f>
        <v>13</v>
      </c>
      <c r="F110" s="26">
        <f>Machinga!I110</f>
        <v>0</v>
      </c>
      <c r="G110" s="26">
        <f>Ntaja!I110</f>
        <v>0</v>
      </c>
      <c r="H110" s="35">
        <f>SUM(D110:G110)</f>
        <v>26</v>
      </c>
    </row>
    <row r="111" spans="1:8" x14ac:dyDescent="0.3">
      <c r="A111" s="584" t="s">
        <v>95</v>
      </c>
      <c r="B111" s="585"/>
      <c r="C111" s="11" t="s">
        <v>3</v>
      </c>
      <c r="D111" s="33">
        <f>SUM(D107:D110)</f>
        <v>3843</v>
      </c>
      <c r="E111" s="33">
        <f t="shared" ref="E111:G111" si="34">SUM(E107:E110)</f>
        <v>2894</v>
      </c>
      <c r="F111" s="33">
        <f t="shared" si="34"/>
        <v>156</v>
      </c>
      <c r="G111" s="33">
        <f t="shared" si="34"/>
        <v>4</v>
      </c>
      <c r="H111" s="35">
        <f>SUM(D111:G111)</f>
        <v>6897</v>
      </c>
    </row>
    <row r="112" spans="1:8" s="2" customFormat="1" ht="15.6" customHeight="1" x14ac:dyDescent="0.3">
      <c r="A112" s="635" t="s">
        <v>210</v>
      </c>
      <c r="B112" s="636"/>
      <c r="C112" s="636"/>
      <c r="D112" s="636"/>
      <c r="E112" s="636"/>
      <c r="F112" s="636"/>
      <c r="G112" s="636"/>
      <c r="H112" s="637"/>
    </row>
    <row r="113" spans="1:8" x14ac:dyDescent="0.3">
      <c r="A113" s="582" t="s">
        <v>197</v>
      </c>
      <c r="B113" s="583"/>
      <c r="C113" s="11" t="s">
        <v>3</v>
      </c>
      <c r="D113" s="26">
        <f>Balaka!I113</f>
        <v>933</v>
      </c>
      <c r="E113" s="26">
        <f>Liwonde!I113</f>
        <v>887</v>
      </c>
      <c r="F113" s="26">
        <f>Machinga!I113</f>
        <v>139</v>
      </c>
      <c r="G113" s="26">
        <f>Ntaja!I113</f>
        <v>338</v>
      </c>
      <c r="H113" s="35">
        <f t="shared" ref="H113:H119" si="35">SUM(D113:G113)</f>
        <v>2297</v>
      </c>
    </row>
    <row r="114" spans="1:8" x14ac:dyDescent="0.3">
      <c r="A114" s="582" t="s">
        <v>198</v>
      </c>
      <c r="B114" s="583"/>
      <c r="C114" s="11" t="s">
        <v>3</v>
      </c>
      <c r="D114" s="26">
        <f>Balaka!I114</f>
        <v>92</v>
      </c>
      <c r="E114" s="26">
        <f>Liwonde!I114</f>
        <v>77</v>
      </c>
      <c r="F114" s="26">
        <f>Machinga!I114</f>
        <v>0</v>
      </c>
      <c r="G114" s="26">
        <f>Ntaja!I114</f>
        <v>19</v>
      </c>
      <c r="H114" s="35">
        <f t="shared" si="35"/>
        <v>188</v>
      </c>
    </row>
    <row r="115" spans="1:8" x14ac:dyDescent="0.3">
      <c r="A115" s="582" t="s">
        <v>199</v>
      </c>
      <c r="B115" s="583"/>
      <c r="C115" s="11" t="s">
        <v>3</v>
      </c>
      <c r="D115" s="26">
        <f>Balaka!I115</f>
        <v>90</v>
      </c>
      <c r="E115" s="26">
        <f>Liwonde!I115</f>
        <v>186</v>
      </c>
      <c r="F115" s="26">
        <f>Machinga!I115</f>
        <v>0</v>
      </c>
      <c r="G115" s="26">
        <f>Ntaja!I115</f>
        <v>15</v>
      </c>
      <c r="H115" s="35">
        <f t="shared" si="35"/>
        <v>291</v>
      </c>
    </row>
    <row r="116" spans="1:8" x14ac:dyDescent="0.3">
      <c r="A116" s="582" t="s">
        <v>200</v>
      </c>
      <c r="B116" s="583"/>
      <c r="C116" s="11" t="s">
        <v>3</v>
      </c>
      <c r="D116" s="26">
        <f>Balaka!I116</f>
        <v>0</v>
      </c>
      <c r="E116" s="26">
        <f>Liwonde!I116</f>
        <v>0</v>
      </c>
      <c r="F116" s="26">
        <f>Machinga!I116</f>
        <v>0</v>
      </c>
      <c r="G116" s="26">
        <f>Ntaja!I116</f>
        <v>2</v>
      </c>
      <c r="H116" s="35">
        <f t="shared" si="35"/>
        <v>2</v>
      </c>
    </row>
    <row r="117" spans="1:8" x14ac:dyDescent="0.3">
      <c r="A117" s="584" t="s">
        <v>94</v>
      </c>
      <c r="B117" s="585"/>
      <c r="C117" s="11" t="s">
        <v>3</v>
      </c>
      <c r="D117" s="33">
        <f>SUM(D113:D116)</f>
        <v>1115</v>
      </c>
      <c r="E117" s="33">
        <f t="shared" ref="E117:G117" si="36">SUM(E113:E116)</f>
        <v>1150</v>
      </c>
      <c r="F117" s="33">
        <f t="shared" si="36"/>
        <v>139</v>
      </c>
      <c r="G117" s="33">
        <f t="shared" si="36"/>
        <v>374</v>
      </c>
      <c r="H117" s="35">
        <f t="shared" si="35"/>
        <v>2778</v>
      </c>
    </row>
    <row r="118" spans="1:8" s="2" customFormat="1" x14ac:dyDescent="0.3">
      <c r="A118" s="80" t="s">
        <v>191</v>
      </c>
      <c r="B118" s="81"/>
      <c r="C118" s="11" t="s">
        <v>3</v>
      </c>
      <c r="D118" s="33">
        <f>D117+D111</f>
        <v>4958</v>
      </c>
      <c r="E118" s="33">
        <f t="shared" ref="E118:G118" si="37">E117+E111</f>
        <v>4044</v>
      </c>
      <c r="F118" s="33">
        <f t="shared" si="37"/>
        <v>295</v>
      </c>
      <c r="G118" s="33">
        <f t="shared" si="37"/>
        <v>378</v>
      </c>
      <c r="H118" s="35">
        <f t="shared" si="35"/>
        <v>9675</v>
      </c>
    </row>
    <row r="119" spans="1:8" x14ac:dyDescent="0.3">
      <c r="A119" s="584" t="s">
        <v>192</v>
      </c>
      <c r="B119" s="585"/>
      <c r="C119" s="11" t="s">
        <v>3</v>
      </c>
      <c r="D119" s="33">
        <f>D118+D105</f>
        <v>7055</v>
      </c>
      <c r="E119" s="33">
        <f t="shared" ref="E119:G119" si="38">E118+E105</f>
        <v>5495</v>
      </c>
      <c r="F119" s="33">
        <f t="shared" si="38"/>
        <v>295</v>
      </c>
      <c r="G119" s="33">
        <f t="shared" si="38"/>
        <v>397</v>
      </c>
      <c r="H119" s="35">
        <f t="shared" si="35"/>
        <v>13242</v>
      </c>
    </row>
    <row r="120" spans="1:8" ht="14.4" x14ac:dyDescent="0.3">
      <c r="A120" s="586" t="s">
        <v>201</v>
      </c>
      <c r="B120" s="587"/>
      <c r="C120" s="587"/>
      <c r="D120" s="587"/>
      <c r="E120" s="587"/>
      <c r="F120" s="587"/>
      <c r="G120" s="587"/>
      <c r="H120" s="588"/>
    </row>
    <row r="121" spans="1:8" x14ac:dyDescent="0.3">
      <c r="A121" s="582" t="s">
        <v>93</v>
      </c>
      <c r="B121" s="583"/>
      <c r="C121" s="5" t="s">
        <v>3</v>
      </c>
      <c r="D121" s="26">
        <f>Balaka!I121</f>
        <v>38115</v>
      </c>
      <c r="E121" s="26">
        <f>Liwonde!I121</f>
        <v>33790</v>
      </c>
      <c r="F121" s="26">
        <f>Machinga!I121</f>
        <v>0</v>
      </c>
      <c r="G121" s="26">
        <f>Ntaja!I121</f>
        <v>0</v>
      </c>
      <c r="H121" s="35">
        <f>SUM(D121:G121)</f>
        <v>71905</v>
      </c>
    </row>
    <row r="122" spans="1:8" x14ac:dyDescent="0.3">
      <c r="A122" s="582" t="s">
        <v>92</v>
      </c>
      <c r="B122" s="583"/>
      <c r="C122" s="5" t="s">
        <v>3</v>
      </c>
      <c r="D122" s="26">
        <f>Balaka!I122</f>
        <v>32440</v>
      </c>
      <c r="E122" s="26">
        <f>Liwonde!I122</f>
        <v>30661.5</v>
      </c>
      <c r="F122" s="26">
        <f>Machinga!I122</f>
        <v>0</v>
      </c>
      <c r="G122" s="26">
        <f>Ntaja!I122</f>
        <v>0</v>
      </c>
      <c r="H122" s="35">
        <f>SUM(D122:G122)</f>
        <v>63101.5</v>
      </c>
    </row>
    <row r="123" spans="1:8" x14ac:dyDescent="0.3">
      <c r="A123" s="640" t="s">
        <v>91</v>
      </c>
      <c r="B123" s="641"/>
      <c r="C123" s="30" t="s">
        <v>6</v>
      </c>
      <c r="D123" s="29">
        <f t="shared" ref="D123:H123" si="39">D122/D121</f>
        <v>0.85110848747212386</v>
      </c>
      <c r="E123" s="29">
        <f t="shared" si="39"/>
        <v>0.90741343592778934</v>
      </c>
      <c r="F123" s="29" t="e">
        <f t="shared" si="39"/>
        <v>#DIV/0!</v>
      </c>
      <c r="G123" s="29" t="e">
        <f t="shared" si="39"/>
        <v>#DIV/0!</v>
      </c>
      <c r="H123" s="516">
        <f t="shared" si="39"/>
        <v>0.87756762394826504</v>
      </c>
    </row>
    <row r="124" spans="1:8" ht="14.4" x14ac:dyDescent="0.3">
      <c r="A124" s="642" t="s">
        <v>90</v>
      </c>
      <c r="B124" s="643"/>
      <c r="C124" s="643"/>
      <c r="D124" s="643"/>
      <c r="E124" s="643"/>
      <c r="F124" s="643"/>
      <c r="G124" s="643"/>
      <c r="H124" s="644"/>
    </row>
    <row r="125" spans="1:8" x14ac:dyDescent="0.3">
      <c r="A125" s="598" t="s">
        <v>235</v>
      </c>
      <c r="B125" s="24" t="s">
        <v>85</v>
      </c>
      <c r="C125" s="11" t="s">
        <v>3</v>
      </c>
      <c r="D125" s="26">
        <f>Balaka!G125</f>
        <v>0</v>
      </c>
      <c r="E125" s="26">
        <f>Liwonde!G125</f>
        <v>0</v>
      </c>
      <c r="F125" s="26">
        <f>Machinga!G125</f>
        <v>0</v>
      </c>
      <c r="G125" s="26">
        <f>Ntaja!G125</f>
        <v>0</v>
      </c>
      <c r="H125" s="35">
        <f>SUM(D125:G125)</f>
        <v>0</v>
      </c>
    </row>
    <row r="126" spans="1:8" x14ac:dyDescent="0.3">
      <c r="A126" s="648"/>
      <c r="B126" s="24" t="s">
        <v>84</v>
      </c>
      <c r="C126" s="11" t="s">
        <v>3</v>
      </c>
      <c r="D126" s="26">
        <f>Balaka!G126+Balaka!H126+Balaka!I126</f>
        <v>0</v>
      </c>
      <c r="E126" s="26">
        <f>Liwonde!G126+Liwonde!H126+Liwonde!I126</f>
        <v>0</v>
      </c>
      <c r="F126" s="26">
        <f>Machinga!G126+Machinga!H126+Machinga!I126</f>
        <v>0</v>
      </c>
      <c r="G126" s="26">
        <f>Ntaja!G126+Ntaja!H126+Ntaja!I126</f>
        <v>0</v>
      </c>
      <c r="H126" s="35">
        <f>SUM(D126:G126)</f>
        <v>0</v>
      </c>
    </row>
    <row r="127" spans="1:8" x14ac:dyDescent="0.3">
      <c r="A127" s="648"/>
      <c r="B127" s="82" t="s">
        <v>88</v>
      </c>
      <c r="C127" s="11" t="s">
        <v>3</v>
      </c>
      <c r="D127" s="26">
        <f>Balaka!G127+Balaka!H127+Balaka!I127</f>
        <v>0</v>
      </c>
      <c r="E127" s="26">
        <f>Liwonde!G127+Liwonde!H127+Liwonde!I127</f>
        <v>0</v>
      </c>
      <c r="F127" s="26">
        <f>Machinga!G127+Machinga!H127+Machinga!I127</f>
        <v>0</v>
      </c>
      <c r="G127" s="26">
        <f>Ntaja!G127+Ntaja!H127+Ntaja!I127</f>
        <v>0</v>
      </c>
      <c r="H127" s="35">
        <f>SUM(D127:G127)</f>
        <v>0</v>
      </c>
    </row>
    <row r="128" spans="1:8" x14ac:dyDescent="0.3">
      <c r="A128" s="648"/>
      <c r="B128" s="24" t="s">
        <v>82</v>
      </c>
      <c r="C128" s="11" t="s">
        <v>3</v>
      </c>
      <c r="D128" s="26">
        <f>Balaka!G128+Balaka!H128+Balaka!I128</f>
        <v>0</v>
      </c>
      <c r="E128" s="26">
        <f>Liwonde!G128+Liwonde!H128+Liwonde!I128</f>
        <v>0</v>
      </c>
      <c r="F128" s="26">
        <f>Machinga!G128+Machinga!H128+Machinga!I128</f>
        <v>0</v>
      </c>
      <c r="G128" s="26">
        <f>Ntaja!G128+Ntaja!H128+Ntaja!I128</f>
        <v>0</v>
      </c>
      <c r="H128" s="35">
        <f>SUM(D128:G128)</f>
        <v>0</v>
      </c>
    </row>
    <row r="129" spans="1:8" x14ac:dyDescent="0.3">
      <c r="A129" s="599"/>
      <c r="B129" s="24" t="s">
        <v>81</v>
      </c>
      <c r="C129" s="11" t="s">
        <v>3</v>
      </c>
      <c r="D129" s="140">
        <f t="shared" ref="D129:H129" si="40">D125+D126-D127-D128</f>
        <v>0</v>
      </c>
      <c r="E129" s="140">
        <f t="shared" si="40"/>
        <v>0</v>
      </c>
      <c r="F129" s="140">
        <f t="shared" si="40"/>
        <v>0</v>
      </c>
      <c r="G129" s="140">
        <f t="shared" si="40"/>
        <v>0</v>
      </c>
      <c r="H129" s="32">
        <f t="shared" si="40"/>
        <v>0</v>
      </c>
    </row>
    <row r="130" spans="1:8" x14ac:dyDescent="0.3">
      <c r="A130" s="598" t="s">
        <v>236</v>
      </c>
      <c r="B130" s="28" t="s">
        <v>85</v>
      </c>
      <c r="C130" s="27" t="s">
        <v>3</v>
      </c>
      <c r="D130" s="26">
        <f>Balaka!G130</f>
        <v>0</v>
      </c>
      <c r="E130" s="26">
        <f>Liwonde!G130</f>
        <v>0</v>
      </c>
      <c r="F130" s="26">
        <f>Machinga!G130</f>
        <v>0</v>
      </c>
      <c r="G130" s="26">
        <f>Ntaja!G130</f>
        <v>0</v>
      </c>
      <c r="H130" s="35">
        <f>SUM(D130:G130)</f>
        <v>0</v>
      </c>
    </row>
    <row r="131" spans="1:8" x14ac:dyDescent="0.3">
      <c r="A131" s="648"/>
      <c r="B131" s="24" t="s">
        <v>84</v>
      </c>
      <c r="C131" s="11" t="s">
        <v>3</v>
      </c>
      <c r="D131" s="26">
        <f>Balaka!G131+Balaka!H131+Balaka!I131</f>
        <v>0</v>
      </c>
      <c r="E131" s="26">
        <f>Liwonde!G131+Liwonde!H131+Liwonde!I131</f>
        <v>0</v>
      </c>
      <c r="F131" s="26">
        <f>Machinga!G131+Machinga!H131+Machinga!I131</f>
        <v>0</v>
      </c>
      <c r="G131" s="26">
        <f>Ntaja!G131+Ntaja!H131+Ntaja!I131</f>
        <v>0</v>
      </c>
      <c r="H131" s="35">
        <f>SUM(D131:G131)</f>
        <v>0</v>
      </c>
    </row>
    <row r="132" spans="1:8" x14ac:dyDescent="0.3">
      <c r="A132" s="648"/>
      <c r="B132" s="82" t="s">
        <v>88</v>
      </c>
      <c r="C132" s="11" t="s">
        <v>3</v>
      </c>
      <c r="D132" s="26">
        <f>Balaka!G132+Balaka!H132+Balaka!I132</f>
        <v>0</v>
      </c>
      <c r="E132" s="26">
        <f>Liwonde!G132+Liwonde!H132+Liwonde!I132</f>
        <v>0</v>
      </c>
      <c r="F132" s="26">
        <f>Machinga!G132+Machinga!H132+Machinga!I132</f>
        <v>0</v>
      </c>
      <c r="G132" s="26">
        <f>Ntaja!G132+Ntaja!H132+Ntaja!I132</f>
        <v>0</v>
      </c>
      <c r="H132" s="35">
        <f>SUM(D132:G132)</f>
        <v>0</v>
      </c>
    </row>
    <row r="133" spans="1:8" x14ac:dyDescent="0.3">
      <c r="A133" s="648"/>
      <c r="B133" s="24" t="s">
        <v>82</v>
      </c>
      <c r="C133" s="11" t="s">
        <v>3</v>
      </c>
      <c r="D133" s="26">
        <f>Balaka!G133+Balaka!H133+Balaka!I133</f>
        <v>0</v>
      </c>
      <c r="E133" s="26">
        <f>Liwonde!G133+Liwonde!H133+Liwonde!I133</f>
        <v>0</v>
      </c>
      <c r="F133" s="26">
        <f>Machinga!G133+Machinga!H133+Machinga!I133</f>
        <v>0</v>
      </c>
      <c r="G133" s="26">
        <f>Ntaja!G133+Ntaja!H133+Ntaja!I133</f>
        <v>0</v>
      </c>
      <c r="H133" s="35">
        <f>SUM(D133:G133)</f>
        <v>0</v>
      </c>
    </row>
    <row r="134" spans="1:8" x14ac:dyDescent="0.3">
      <c r="A134" s="599"/>
      <c r="B134" s="24" t="s">
        <v>81</v>
      </c>
      <c r="C134" s="11" t="s">
        <v>3</v>
      </c>
      <c r="D134" s="140">
        <f t="shared" ref="D134:H134" si="41">D130+D131-D132-D133</f>
        <v>0</v>
      </c>
      <c r="E134" s="140">
        <f t="shared" si="41"/>
        <v>0</v>
      </c>
      <c r="F134" s="140">
        <f t="shared" si="41"/>
        <v>0</v>
      </c>
      <c r="G134" s="140">
        <f t="shared" si="41"/>
        <v>0</v>
      </c>
      <c r="H134" s="32">
        <f t="shared" si="41"/>
        <v>0</v>
      </c>
    </row>
    <row r="135" spans="1:8" x14ac:dyDescent="0.3">
      <c r="A135" s="598" t="s">
        <v>89</v>
      </c>
      <c r="B135" s="24" t="s">
        <v>85</v>
      </c>
      <c r="C135" s="11" t="s">
        <v>3</v>
      </c>
      <c r="D135" s="26">
        <f>Balaka!G135</f>
        <v>0</v>
      </c>
      <c r="E135" s="26">
        <f>Liwonde!G135</f>
        <v>0</v>
      </c>
      <c r="F135" s="26">
        <f>Machinga!G135</f>
        <v>0</v>
      </c>
      <c r="G135" s="26">
        <f>Ntaja!G135</f>
        <v>0</v>
      </c>
      <c r="H135" s="35">
        <f>SUM(D135:G135)</f>
        <v>0</v>
      </c>
    </row>
    <row r="136" spans="1:8" x14ac:dyDescent="0.3">
      <c r="A136" s="648"/>
      <c r="B136" s="24" t="s">
        <v>84</v>
      </c>
      <c r="C136" s="11" t="s">
        <v>3</v>
      </c>
      <c r="D136" s="26">
        <f>Balaka!G136+Balaka!H136+Balaka!I136</f>
        <v>0</v>
      </c>
      <c r="E136" s="26">
        <f>Liwonde!G136+Liwonde!H136+Liwonde!I136</f>
        <v>0</v>
      </c>
      <c r="F136" s="26">
        <f>Machinga!G136+Machinga!H136+Machinga!I136</f>
        <v>0</v>
      </c>
      <c r="G136" s="26">
        <f>Ntaja!G136+Ntaja!H136+Ntaja!I136</f>
        <v>0</v>
      </c>
      <c r="H136" s="35">
        <f>SUM(D136:G136)</f>
        <v>0</v>
      </c>
    </row>
    <row r="137" spans="1:8" x14ac:dyDescent="0.3">
      <c r="A137" s="648"/>
      <c r="B137" s="82" t="s">
        <v>88</v>
      </c>
      <c r="C137" s="11" t="s">
        <v>3</v>
      </c>
      <c r="D137" s="26">
        <f>Balaka!G137+Balaka!H137+Balaka!I137</f>
        <v>0</v>
      </c>
      <c r="E137" s="26">
        <f>Liwonde!G137+Liwonde!H137+Liwonde!I137</f>
        <v>0</v>
      </c>
      <c r="F137" s="26">
        <f>Machinga!G137+Machinga!H137+Machinga!I137</f>
        <v>0</v>
      </c>
      <c r="G137" s="26">
        <f>Ntaja!G137+Ntaja!H137+Ntaja!I137</f>
        <v>0</v>
      </c>
      <c r="H137" s="35">
        <f>SUM(D137:G137)</f>
        <v>0</v>
      </c>
    </row>
    <row r="138" spans="1:8" x14ac:dyDescent="0.3">
      <c r="A138" s="648"/>
      <c r="B138" s="24" t="s">
        <v>82</v>
      </c>
      <c r="C138" s="11" t="s">
        <v>3</v>
      </c>
      <c r="D138" s="26">
        <f>Balaka!G138+Balaka!H138+Balaka!I138</f>
        <v>0</v>
      </c>
      <c r="E138" s="26">
        <f>Liwonde!G138+Liwonde!H138+Liwonde!I138</f>
        <v>0</v>
      </c>
      <c r="F138" s="26">
        <f>Machinga!G138+Machinga!H138+Machinga!I138</f>
        <v>0</v>
      </c>
      <c r="G138" s="26">
        <f>Ntaja!G138+Ntaja!H138+Ntaja!I138</f>
        <v>0</v>
      </c>
      <c r="H138" s="35">
        <f>SUM(D138:G138)</f>
        <v>0</v>
      </c>
    </row>
    <row r="139" spans="1:8" x14ac:dyDescent="0.3">
      <c r="A139" s="599"/>
      <c r="B139" s="24" t="s">
        <v>81</v>
      </c>
      <c r="C139" s="11" t="s">
        <v>3</v>
      </c>
      <c r="D139" s="140">
        <f t="shared" ref="D139:H139" si="42">D135+D136-D137-D138</f>
        <v>0</v>
      </c>
      <c r="E139" s="140">
        <f t="shared" si="42"/>
        <v>0</v>
      </c>
      <c r="F139" s="140">
        <f t="shared" si="42"/>
        <v>0</v>
      </c>
      <c r="G139" s="140">
        <f t="shared" si="42"/>
        <v>0</v>
      </c>
      <c r="H139" s="32">
        <f t="shared" si="42"/>
        <v>0</v>
      </c>
    </row>
    <row r="140" spans="1:8" x14ac:dyDescent="0.3">
      <c r="A140" s="598" t="s">
        <v>87</v>
      </c>
      <c r="B140" s="24" t="s">
        <v>85</v>
      </c>
      <c r="C140" s="11" t="s">
        <v>3</v>
      </c>
      <c r="D140" s="26">
        <f>Balaka!G140</f>
        <v>929</v>
      </c>
      <c r="E140" s="26">
        <f>Liwonde!G140</f>
        <v>705</v>
      </c>
      <c r="F140" s="26">
        <f>Machinga!G140</f>
        <v>2</v>
      </c>
      <c r="G140" s="26">
        <f>Ntaja!G140</f>
        <v>0</v>
      </c>
      <c r="H140" s="35">
        <f>SUM(D140:G140)</f>
        <v>1636</v>
      </c>
    </row>
    <row r="141" spans="1:8" x14ac:dyDescent="0.3">
      <c r="A141" s="648"/>
      <c r="B141" s="24" t="s">
        <v>84</v>
      </c>
      <c r="C141" s="11" t="s">
        <v>3</v>
      </c>
      <c r="D141" s="26">
        <f>Balaka!G141+Balaka!H141+Balaka!I141</f>
        <v>74</v>
      </c>
      <c r="E141" s="26">
        <f>Liwonde!G141+Liwonde!H141+Liwonde!I141</f>
        <v>189</v>
      </c>
      <c r="F141" s="26">
        <f>Machinga!G141+Machinga!H141+Machinga!I141</f>
        <v>9</v>
      </c>
      <c r="G141" s="26">
        <f>Ntaja!G141+Ntaja!H141+Ntaja!I141</f>
        <v>6</v>
      </c>
      <c r="H141" s="35">
        <f>SUM(D141:G141)</f>
        <v>278</v>
      </c>
    </row>
    <row r="142" spans="1:8" x14ac:dyDescent="0.3">
      <c r="A142" s="648"/>
      <c r="B142" s="24" t="s">
        <v>83</v>
      </c>
      <c r="C142" s="11" t="s">
        <v>3</v>
      </c>
      <c r="D142" s="26">
        <f>Balaka!G142+Balaka!H142+Balaka!I142</f>
        <v>25</v>
      </c>
      <c r="E142" s="26">
        <f>Liwonde!G142+Liwonde!H142+Liwonde!I142</f>
        <v>143</v>
      </c>
      <c r="F142" s="26">
        <f>Machinga!G142+Machinga!H142+Machinga!I142</f>
        <v>10</v>
      </c>
      <c r="G142" s="26">
        <f>Ntaja!G142+Ntaja!H142+Ntaja!I142</f>
        <v>2</v>
      </c>
      <c r="H142" s="35">
        <f>SUM(D142:G142)</f>
        <v>180</v>
      </c>
    </row>
    <row r="143" spans="1:8" x14ac:dyDescent="0.3">
      <c r="A143" s="648"/>
      <c r="B143" s="24" t="s">
        <v>82</v>
      </c>
      <c r="C143" s="11" t="s">
        <v>3</v>
      </c>
      <c r="D143" s="26">
        <f>Balaka!G143+Balaka!H143+Balaka!I143</f>
        <v>95</v>
      </c>
      <c r="E143" s="26">
        <f>Liwonde!G143+Liwonde!H143+Liwonde!I143</f>
        <v>114</v>
      </c>
      <c r="F143" s="26">
        <f>Machinga!G143+Machinga!H143+Machinga!I143</f>
        <v>0</v>
      </c>
      <c r="G143" s="26">
        <f>Ntaja!G143+Ntaja!H143+Ntaja!I143</f>
        <v>0</v>
      </c>
      <c r="H143" s="35">
        <f>SUM(D143:G143)</f>
        <v>209</v>
      </c>
    </row>
    <row r="144" spans="1:8" x14ac:dyDescent="0.3">
      <c r="A144" s="599"/>
      <c r="B144" s="24" t="s">
        <v>81</v>
      </c>
      <c r="C144" s="11" t="s">
        <v>3</v>
      </c>
      <c r="D144" s="140">
        <f t="shared" ref="D144:H144" si="43">D140+D141-D142-D143</f>
        <v>883</v>
      </c>
      <c r="E144" s="140">
        <f t="shared" si="43"/>
        <v>637</v>
      </c>
      <c r="F144" s="140">
        <f t="shared" si="43"/>
        <v>1</v>
      </c>
      <c r="G144" s="140">
        <f t="shared" si="43"/>
        <v>4</v>
      </c>
      <c r="H144" s="32">
        <f t="shared" si="43"/>
        <v>1525</v>
      </c>
    </row>
    <row r="145" spans="1:8" s="2" customFormat="1" x14ac:dyDescent="0.3">
      <c r="A145" s="598" t="s">
        <v>86</v>
      </c>
      <c r="B145" s="24" t="s">
        <v>85</v>
      </c>
      <c r="C145" s="11" t="s">
        <v>3</v>
      </c>
      <c r="D145" s="141">
        <f>D125+D130+D135+D140</f>
        <v>929</v>
      </c>
      <c r="E145" s="141">
        <f t="shared" ref="E145:H149" si="44">E125+E130+E135+E140</f>
        <v>705</v>
      </c>
      <c r="F145" s="141">
        <f t="shared" si="44"/>
        <v>2</v>
      </c>
      <c r="G145" s="141">
        <f t="shared" si="44"/>
        <v>0</v>
      </c>
      <c r="H145" s="55">
        <f t="shared" si="44"/>
        <v>1636</v>
      </c>
    </row>
    <row r="146" spans="1:8" x14ac:dyDescent="0.3">
      <c r="A146" s="648"/>
      <c r="B146" s="24" t="s">
        <v>84</v>
      </c>
      <c r="C146" s="11" t="s">
        <v>3</v>
      </c>
      <c r="D146" s="141">
        <f t="shared" ref="D146:G148" si="45">D126+D131+D136+D141</f>
        <v>74</v>
      </c>
      <c r="E146" s="141">
        <f t="shared" si="45"/>
        <v>189</v>
      </c>
      <c r="F146" s="141">
        <f t="shared" si="45"/>
        <v>9</v>
      </c>
      <c r="G146" s="141">
        <f t="shared" si="45"/>
        <v>6</v>
      </c>
      <c r="H146" s="55">
        <f t="shared" si="44"/>
        <v>278</v>
      </c>
    </row>
    <row r="147" spans="1:8" x14ac:dyDescent="0.3">
      <c r="A147" s="648"/>
      <c r="B147" s="24" t="s">
        <v>83</v>
      </c>
      <c r="C147" s="11" t="s">
        <v>3</v>
      </c>
      <c r="D147" s="141">
        <f t="shared" si="45"/>
        <v>25</v>
      </c>
      <c r="E147" s="141">
        <f t="shared" si="45"/>
        <v>143</v>
      </c>
      <c r="F147" s="141">
        <f t="shared" si="45"/>
        <v>10</v>
      </c>
      <c r="G147" s="141">
        <f t="shared" si="45"/>
        <v>2</v>
      </c>
      <c r="H147" s="55">
        <f t="shared" si="44"/>
        <v>180</v>
      </c>
    </row>
    <row r="148" spans="1:8" x14ac:dyDescent="0.3">
      <c r="A148" s="648"/>
      <c r="B148" s="24" t="s">
        <v>82</v>
      </c>
      <c r="C148" s="11" t="s">
        <v>3</v>
      </c>
      <c r="D148" s="141">
        <f t="shared" si="45"/>
        <v>95</v>
      </c>
      <c r="E148" s="141">
        <f t="shared" si="45"/>
        <v>114</v>
      </c>
      <c r="F148" s="141">
        <f t="shared" si="45"/>
        <v>0</v>
      </c>
      <c r="G148" s="141">
        <f t="shared" si="45"/>
        <v>0</v>
      </c>
      <c r="H148" s="55">
        <f t="shared" si="44"/>
        <v>209</v>
      </c>
    </row>
    <row r="149" spans="1:8" x14ac:dyDescent="0.3">
      <c r="A149" s="599"/>
      <c r="B149" s="24" t="s">
        <v>81</v>
      </c>
      <c r="C149" s="11" t="s">
        <v>3</v>
      </c>
      <c r="D149" s="140">
        <f>D145+D146-D147-D148</f>
        <v>883</v>
      </c>
      <c r="E149" s="140">
        <f t="shared" ref="E149:G149" si="46">E145+E146-E147-E148</f>
        <v>637</v>
      </c>
      <c r="F149" s="140">
        <f t="shared" si="46"/>
        <v>1</v>
      </c>
      <c r="G149" s="140">
        <f t="shared" si="46"/>
        <v>4</v>
      </c>
      <c r="H149" s="55">
        <f t="shared" si="44"/>
        <v>1525</v>
      </c>
    </row>
    <row r="150" spans="1:8" ht="14.4" x14ac:dyDescent="0.3">
      <c r="A150" s="586" t="s">
        <v>80</v>
      </c>
      <c r="B150" s="587"/>
      <c r="C150" s="587"/>
      <c r="D150" s="587"/>
      <c r="E150" s="587"/>
      <c r="F150" s="587"/>
      <c r="G150" s="587"/>
      <c r="H150" s="588"/>
    </row>
    <row r="151" spans="1:8" ht="15.6" customHeight="1" x14ac:dyDescent="0.3">
      <c r="A151" s="676" t="s">
        <v>79</v>
      </c>
      <c r="B151" s="677"/>
      <c r="C151" s="677"/>
      <c r="D151" s="677"/>
      <c r="E151" s="677"/>
      <c r="F151" s="677"/>
      <c r="G151" s="677"/>
      <c r="H151" s="678"/>
    </row>
    <row r="152" spans="1:8" x14ac:dyDescent="0.3">
      <c r="A152" s="645" t="s">
        <v>78</v>
      </c>
      <c r="B152" s="92" t="s">
        <v>63</v>
      </c>
      <c r="C152" s="11"/>
      <c r="D152" s="15"/>
      <c r="E152" s="15"/>
      <c r="F152" s="15"/>
      <c r="G152" s="15"/>
      <c r="H152" s="39"/>
    </row>
    <row r="153" spans="1:8" x14ac:dyDescent="0.3">
      <c r="A153" s="646"/>
      <c r="B153" s="19" t="s">
        <v>73</v>
      </c>
      <c r="C153" s="11" t="s">
        <v>57</v>
      </c>
      <c r="D153" s="26">
        <f>Balaka!G153+Balaka!H153+Balaka!I153</f>
        <v>517</v>
      </c>
      <c r="E153" s="26">
        <f>Liwonde!G153+Liwonde!H153+Liwonde!I153</f>
        <v>448</v>
      </c>
      <c r="F153" s="26">
        <f>Machinga!G153+Machinga!H153+Machinga!I153</f>
        <v>31</v>
      </c>
      <c r="G153" s="26">
        <f>Ntaja!G153+Ntaja!H153+Ntaja!I153</f>
        <v>273</v>
      </c>
      <c r="H153" s="74">
        <f t="shared" ref="H153:H165" si="47">SUM(D153:G153)</f>
        <v>1269</v>
      </c>
    </row>
    <row r="154" spans="1:8" x14ac:dyDescent="0.3">
      <c r="A154" s="646"/>
      <c r="B154" s="19" t="s">
        <v>72</v>
      </c>
      <c r="C154" s="11" t="s">
        <v>57</v>
      </c>
      <c r="D154" s="26">
        <f>Balaka!G154+Balaka!H154+Balaka!I154</f>
        <v>404</v>
      </c>
      <c r="E154" s="26">
        <f>Liwonde!G154+Liwonde!H154+Liwonde!I154</f>
        <v>281</v>
      </c>
      <c r="F154" s="26">
        <f>Machinga!G154+Machinga!H154+Machinga!I154</f>
        <v>21</v>
      </c>
      <c r="G154" s="26">
        <f>Ntaja!G154+Ntaja!H154+Ntaja!I154</f>
        <v>45</v>
      </c>
      <c r="H154" s="74">
        <f t="shared" si="47"/>
        <v>751</v>
      </c>
    </row>
    <row r="155" spans="1:8" x14ac:dyDescent="0.3">
      <c r="A155" s="646"/>
      <c r="B155" s="19" t="s">
        <v>53</v>
      </c>
      <c r="C155" s="11" t="s">
        <v>57</v>
      </c>
      <c r="D155" s="26">
        <f>Balaka!G155+Balaka!H155+Balaka!I155</f>
        <v>56</v>
      </c>
      <c r="E155" s="26">
        <f>Liwonde!G155+Liwonde!H155+Liwonde!I155</f>
        <v>85</v>
      </c>
      <c r="F155" s="26">
        <f>Machinga!G155+Machinga!H155+Machinga!I155</f>
        <v>19</v>
      </c>
      <c r="G155" s="26">
        <f>Ntaja!G155+Ntaja!H155+Ntaja!I155</f>
        <v>15</v>
      </c>
      <c r="H155" s="74">
        <f t="shared" si="47"/>
        <v>175</v>
      </c>
    </row>
    <row r="156" spans="1:8" x14ac:dyDescent="0.3">
      <c r="A156" s="646"/>
      <c r="B156" s="19" t="s">
        <v>71</v>
      </c>
      <c r="C156" s="11" t="s">
        <v>57</v>
      </c>
      <c r="D156" s="26">
        <f>Balaka!G156+Balaka!H156+Balaka!I156</f>
        <v>15</v>
      </c>
      <c r="E156" s="26">
        <f>Liwonde!G156+Liwonde!H156+Liwonde!I156</f>
        <v>16</v>
      </c>
      <c r="F156" s="26">
        <f>Machinga!G156+Machinga!H156+Machinga!I156</f>
        <v>8</v>
      </c>
      <c r="G156" s="26">
        <f>Ntaja!G156+Ntaja!H156+Ntaja!I156</f>
        <v>4</v>
      </c>
      <c r="H156" s="74">
        <f t="shared" si="47"/>
        <v>43</v>
      </c>
    </row>
    <row r="157" spans="1:8" x14ac:dyDescent="0.3">
      <c r="A157" s="646"/>
      <c r="B157" s="19" t="s">
        <v>52</v>
      </c>
      <c r="C157" s="11" t="s">
        <v>57</v>
      </c>
      <c r="D157" s="26">
        <f>Balaka!G157+Balaka!H157+Balaka!I157</f>
        <v>15</v>
      </c>
      <c r="E157" s="26">
        <f>Liwonde!G157+Liwonde!H157+Liwonde!I157</f>
        <v>20</v>
      </c>
      <c r="F157" s="26">
        <f>Machinga!G157+Machinga!H157+Machinga!I157</f>
        <v>5</v>
      </c>
      <c r="G157" s="26">
        <f>Ntaja!G157+Ntaja!H157+Ntaja!I157</f>
        <v>15</v>
      </c>
      <c r="H157" s="74">
        <f t="shared" si="47"/>
        <v>55</v>
      </c>
    </row>
    <row r="158" spans="1:8" x14ac:dyDescent="0.3">
      <c r="A158" s="646"/>
      <c r="B158" s="19" t="s">
        <v>51</v>
      </c>
      <c r="C158" s="11" t="s">
        <v>57</v>
      </c>
      <c r="D158" s="26">
        <f>Balaka!G158+Balaka!H158+Balaka!I158</f>
        <v>31</v>
      </c>
      <c r="E158" s="26">
        <f>Liwonde!G158+Liwonde!H158+Liwonde!I158</f>
        <v>34</v>
      </c>
      <c r="F158" s="26">
        <f>Machinga!G158+Machinga!H158+Machinga!I158</f>
        <v>8</v>
      </c>
      <c r="G158" s="26">
        <f>Ntaja!G158+Ntaja!H158+Ntaja!I158</f>
        <v>5</v>
      </c>
      <c r="H158" s="74">
        <f t="shared" si="47"/>
        <v>78</v>
      </c>
    </row>
    <row r="159" spans="1:8" x14ac:dyDescent="0.3">
      <c r="A159" s="646"/>
      <c r="B159" s="19" t="s">
        <v>62</v>
      </c>
      <c r="C159" s="11" t="s">
        <v>57</v>
      </c>
      <c r="D159" s="26">
        <f>Balaka!G159+Balaka!H159+Balaka!I159</f>
        <v>0</v>
      </c>
      <c r="E159" s="26">
        <f>Liwonde!G159+Liwonde!H159+Liwonde!I159</f>
        <v>1</v>
      </c>
      <c r="F159" s="26">
        <f>Machinga!G159+Machinga!H159+Machinga!I159</f>
        <v>0</v>
      </c>
      <c r="G159" s="26">
        <f>Ntaja!G159+Ntaja!H159+Ntaja!I159</f>
        <v>0</v>
      </c>
      <c r="H159" s="74">
        <f t="shared" si="47"/>
        <v>1</v>
      </c>
    </row>
    <row r="160" spans="1:8" x14ac:dyDescent="0.3">
      <c r="A160" s="646"/>
      <c r="B160" s="19" t="s">
        <v>50</v>
      </c>
      <c r="C160" s="11" t="s">
        <v>57</v>
      </c>
      <c r="D160" s="26">
        <f>Balaka!G160+Balaka!H160+Balaka!I160</f>
        <v>5</v>
      </c>
      <c r="E160" s="26">
        <f>Liwonde!G160+Liwonde!H160+Liwonde!I160</f>
        <v>10</v>
      </c>
      <c r="F160" s="26">
        <f>Machinga!G160+Machinga!H160+Machinga!I160</f>
        <v>3</v>
      </c>
      <c r="G160" s="26">
        <f>Ntaja!G160+Ntaja!H160+Ntaja!I160</f>
        <v>2</v>
      </c>
      <c r="H160" s="74">
        <f t="shared" si="47"/>
        <v>20</v>
      </c>
    </row>
    <row r="161" spans="1:8" x14ac:dyDescent="0.3">
      <c r="A161" s="646"/>
      <c r="B161" s="19" t="s">
        <v>49</v>
      </c>
      <c r="C161" s="11" t="s">
        <v>57</v>
      </c>
      <c r="D161" s="26">
        <f>Balaka!G161+Balaka!H161+Balaka!I161</f>
        <v>8</v>
      </c>
      <c r="E161" s="26">
        <f>Liwonde!G161+Liwonde!H161+Liwonde!I161</f>
        <v>8</v>
      </c>
      <c r="F161" s="26">
        <f>Machinga!G161+Machinga!H161+Machinga!I161</f>
        <v>0</v>
      </c>
      <c r="G161" s="26">
        <f>Ntaja!G161+Ntaja!H161+Ntaja!I161</f>
        <v>0</v>
      </c>
      <c r="H161" s="74">
        <f t="shared" si="47"/>
        <v>16</v>
      </c>
    </row>
    <row r="162" spans="1:8" x14ac:dyDescent="0.3">
      <c r="A162" s="646"/>
      <c r="B162" s="19" t="s">
        <v>77</v>
      </c>
      <c r="C162" s="11" t="s">
        <v>57</v>
      </c>
      <c r="D162" s="26">
        <f>Balaka!G162+Balaka!H162+Balaka!I162</f>
        <v>3</v>
      </c>
      <c r="E162" s="26">
        <f>Liwonde!G162+Liwonde!H162+Liwonde!I162</f>
        <v>3</v>
      </c>
      <c r="F162" s="26">
        <f>Machinga!G162+Machinga!H162+Machinga!I162</f>
        <v>0</v>
      </c>
      <c r="G162" s="26">
        <f>Ntaja!G162+Ntaja!H162+Ntaja!I162</f>
        <v>3</v>
      </c>
      <c r="H162" s="74">
        <f t="shared" si="47"/>
        <v>9</v>
      </c>
    </row>
    <row r="163" spans="1:8" x14ac:dyDescent="0.3">
      <c r="A163" s="646"/>
      <c r="B163" s="19" t="s">
        <v>69</v>
      </c>
      <c r="C163" s="11" t="s">
        <v>57</v>
      </c>
      <c r="D163" s="26">
        <f>Balaka!G163+Balaka!H163+Balaka!I163</f>
        <v>6</v>
      </c>
      <c r="E163" s="26">
        <f>Liwonde!G163+Liwonde!H163+Liwonde!I163</f>
        <v>5</v>
      </c>
      <c r="F163" s="26">
        <f>Machinga!G163+Machinga!H163+Machinga!I163</f>
        <v>0</v>
      </c>
      <c r="G163" s="26">
        <f>Ntaja!G163+Ntaja!H163+Ntaja!I163</f>
        <v>0</v>
      </c>
      <c r="H163" s="74">
        <f t="shared" si="47"/>
        <v>11</v>
      </c>
    </row>
    <row r="164" spans="1:8" x14ac:dyDescent="0.3">
      <c r="A164" s="646"/>
      <c r="B164" s="19" t="s">
        <v>68</v>
      </c>
      <c r="C164" s="11" t="s">
        <v>57</v>
      </c>
      <c r="D164" s="26">
        <f>Balaka!G164+Balaka!H164+Balaka!I164</f>
        <v>0</v>
      </c>
      <c r="E164" s="26">
        <f>Liwonde!G164+Liwonde!H164+Liwonde!I164</f>
        <v>0</v>
      </c>
      <c r="F164" s="26">
        <f>Machinga!G164+Machinga!H164+Machinga!I164</f>
        <v>0</v>
      </c>
      <c r="G164" s="26">
        <f>Ntaja!G164+Ntaja!H164+Ntaja!I164</f>
        <v>0</v>
      </c>
      <c r="H164" s="74">
        <f t="shared" si="47"/>
        <v>0</v>
      </c>
    </row>
    <row r="165" spans="1:8" x14ac:dyDescent="0.3">
      <c r="A165" s="647"/>
      <c r="B165" s="19" t="s">
        <v>76</v>
      </c>
      <c r="C165" s="11" t="s">
        <v>57</v>
      </c>
      <c r="D165" s="26">
        <f>Balaka!G165+Balaka!H165+Balaka!I165</f>
        <v>0</v>
      </c>
      <c r="E165" s="26">
        <f>Liwonde!G165+Liwonde!H165+Liwonde!I165</f>
        <v>0</v>
      </c>
      <c r="F165" s="26">
        <f>Machinga!G165+Machinga!H165+Machinga!I165</f>
        <v>0</v>
      </c>
      <c r="G165" s="26">
        <f>Ntaja!G165+Ntaja!H165+Ntaja!I165</f>
        <v>0</v>
      </c>
      <c r="H165" s="74">
        <f t="shared" si="47"/>
        <v>0</v>
      </c>
    </row>
    <row r="166" spans="1:8" x14ac:dyDescent="0.3">
      <c r="A166" s="645" t="s">
        <v>75</v>
      </c>
      <c r="B166" s="21" t="s">
        <v>63</v>
      </c>
      <c r="C166" s="11"/>
      <c r="D166" s="4"/>
      <c r="E166" s="4"/>
      <c r="F166" s="4"/>
      <c r="G166" s="4"/>
      <c r="H166" s="74"/>
    </row>
    <row r="167" spans="1:8" x14ac:dyDescent="0.3">
      <c r="A167" s="646"/>
      <c r="B167" s="19" t="s">
        <v>74</v>
      </c>
      <c r="C167" s="11" t="s">
        <v>57</v>
      </c>
      <c r="D167" s="26">
        <f>Balaka!G167+Balaka!H167+Balaka!I167</f>
        <v>0</v>
      </c>
      <c r="E167" s="26">
        <f>Liwonde!G167+Liwonde!H167+Liwonde!I167</f>
        <v>2</v>
      </c>
      <c r="F167" s="26">
        <f>Machinga!G167+Machinga!H167+Machinga!I167</f>
        <v>3</v>
      </c>
      <c r="G167" s="26">
        <f>Ntaja!G167+Ntaja!H167+Ntaja!I167</f>
        <v>2</v>
      </c>
      <c r="H167" s="74">
        <f t="shared" ref="H167:H175" si="48">SUM(D167:G167)</f>
        <v>7</v>
      </c>
    </row>
    <row r="168" spans="1:8" x14ac:dyDescent="0.3">
      <c r="A168" s="646"/>
      <c r="B168" s="19" t="s">
        <v>73</v>
      </c>
      <c r="C168" s="11" t="s">
        <v>57</v>
      </c>
      <c r="D168" s="26">
        <f>Balaka!G168+Balaka!H168+Balaka!I168</f>
        <v>0</v>
      </c>
      <c r="E168" s="26">
        <f>Liwonde!G168+Liwonde!H168+Liwonde!I168</f>
        <v>0</v>
      </c>
      <c r="F168" s="26">
        <f>Machinga!G168+Machinga!H168+Machinga!I168</f>
        <v>0</v>
      </c>
      <c r="G168" s="26">
        <f>Ntaja!G168+Ntaja!H168+Ntaja!I168</f>
        <v>0</v>
      </c>
      <c r="H168" s="74">
        <f t="shared" si="48"/>
        <v>0</v>
      </c>
    </row>
    <row r="169" spans="1:8" x14ac:dyDescent="0.3">
      <c r="A169" s="646"/>
      <c r="B169" s="19" t="s">
        <v>72</v>
      </c>
      <c r="C169" s="11" t="s">
        <v>57</v>
      </c>
      <c r="D169" s="26">
        <f>Balaka!G169+Balaka!H169+Balaka!I169</f>
        <v>0</v>
      </c>
      <c r="E169" s="26">
        <f>Liwonde!G169+Liwonde!H169+Liwonde!I169</f>
        <v>0</v>
      </c>
      <c r="F169" s="26">
        <f>Machinga!G169+Machinga!H169+Machinga!I169</f>
        <v>0</v>
      </c>
      <c r="G169" s="26">
        <f>Ntaja!G169+Ntaja!H169+Ntaja!I169</f>
        <v>0</v>
      </c>
      <c r="H169" s="74">
        <f t="shared" si="48"/>
        <v>0</v>
      </c>
    </row>
    <row r="170" spans="1:8" x14ac:dyDescent="0.3">
      <c r="A170" s="646"/>
      <c r="B170" s="19" t="s">
        <v>71</v>
      </c>
      <c r="C170" s="11" t="s">
        <v>57</v>
      </c>
      <c r="D170" s="26">
        <f>Balaka!G170+Balaka!H170+Balaka!I170</f>
        <v>0</v>
      </c>
      <c r="E170" s="26">
        <f>Liwonde!G170+Liwonde!H170+Liwonde!I170</f>
        <v>0</v>
      </c>
      <c r="F170" s="26">
        <f>Machinga!G170+Machinga!H170+Machinga!I170</f>
        <v>0</v>
      </c>
      <c r="G170" s="26">
        <f>Ntaja!G170+Ntaja!H170+Ntaja!I170</f>
        <v>0</v>
      </c>
      <c r="H170" s="74">
        <f t="shared" si="48"/>
        <v>0</v>
      </c>
    </row>
    <row r="171" spans="1:8" x14ac:dyDescent="0.3">
      <c r="A171" s="646"/>
      <c r="B171" s="19" t="s">
        <v>52</v>
      </c>
      <c r="C171" s="11" t="s">
        <v>57</v>
      </c>
      <c r="D171" s="26">
        <f>Balaka!G171+Balaka!H171+Balaka!I171</f>
        <v>0</v>
      </c>
      <c r="E171" s="26">
        <f>Liwonde!G171+Liwonde!H171+Liwonde!I171</f>
        <v>0</v>
      </c>
      <c r="F171" s="26">
        <f>Machinga!G171+Machinga!H171+Machinga!I171</f>
        <v>4</v>
      </c>
      <c r="G171" s="26">
        <f>Ntaja!G171+Ntaja!H171+Ntaja!I171</f>
        <v>0</v>
      </c>
      <c r="H171" s="74">
        <f t="shared" si="48"/>
        <v>4</v>
      </c>
    </row>
    <row r="172" spans="1:8" x14ac:dyDescent="0.3">
      <c r="A172" s="646"/>
      <c r="B172" s="19" t="s">
        <v>62</v>
      </c>
      <c r="C172" s="11" t="s">
        <v>57</v>
      </c>
      <c r="D172" s="26">
        <f>Balaka!G172+Balaka!H172+Balaka!I172</f>
        <v>0</v>
      </c>
      <c r="E172" s="26">
        <f>Liwonde!G172+Liwonde!H172+Liwonde!I172</f>
        <v>0</v>
      </c>
      <c r="F172" s="26">
        <f>Machinga!G172+Machinga!H172+Machinga!I172</f>
        <v>0</v>
      </c>
      <c r="G172" s="26">
        <f>Ntaja!G172+Ntaja!H172+Ntaja!I172</f>
        <v>0</v>
      </c>
      <c r="H172" s="74">
        <f t="shared" si="48"/>
        <v>0</v>
      </c>
    </row>
    <row r="173" spans="1:8" x14ac:dyDescent="0.3">
      <c r="A173" s="646"/>
      <c r="B173" s="19" t="s">
        <v>61</v>
      </c>
      <c r="C173" s="11" t="s">
        <v>57</v>
      </c>
      <c r="D173" s="26">
        <f>Balaka!G173+Balaka!H173+Balaka!I173</f>
        <v>0</v>
      </c>
      <c r="E173" s="26">
        <f>Liwonde!G173+Liwonde!H173+Liwonde!I173</f>
        <v>0</v>
      </c>
      <c r="F173" s="26">
        <f>Machinga!G173+Machinga!H173+Machinga!I173</f>
        <v>0</v>
      </c>
      <c r="G173" s="26">
        <f>Ntaja!G173+Ntaja!H173+Ntaja!I173</f>
        <v>0</v>
      </c>
      <c r="H173" s="74">
        <f t="shared" si="48"/>
        <v>0</v>
      </c>
    </row>
    <row r="174" spans="1:8" x14ac:dyDescent="0.3">
      <c r="A174" s="646"/>
      <c r="B174" s="19" t="s">
        <v>60</v>
      </c>
      <c r="C174" s="11" t="s">
        <v>57</v>
      </c>
      <c r="D174" s="26">
        <f>Balaka!G174+Balaka!H174+Balaka!I174</f>
        <v>0</v>
      </c>
      <c r="E174" s="26">
        <f>Liwonde!G174+Liwonde!H174+Liwonde!I174</f>
        <v>0</v>
      </c>
      <c r="F174" s="26">
        <f>Machinga!G174+Machinga!H174+Machinga!I174</f>
        <v>0</v>
      </c>
      <c r="G174" s="26">
        <f>Ntaja!G174+Ntaja!H174+Ntaja!I174</f>
        <v>0</v>
      </c>
      <c r="H174" s="74">
        <f t="shared" si="48"/>
        <v>0</v>
      </c>
    </row>
    <row r="175" spans="1:8" x14ac:dyDescent="0.3">
      <c r="A175" s="647"/>
      <c r="B175" s="19" t="s">
        <v>69</v>
      </c>
      <c r="C175" s="11" t="s">
        <v>57</v>
      </c>
      <c r="D175" s="26">
        <f>Balaka!G175+Balaka!H175+Balaka!I175</f>
        <v>0</v>
      </c>
      <c r="E175" s="26">
        <f>Liwonde!G175+Liwonde!H175+Liwonde!I175</f>
        <v>0</v>
      </c>
      <c r="F175" s="26">
        <f>Machinga!G175+Machinga!H175+Machinga!I175</f>
        <v>0</v>
      </c>
      <c r="G175" s="26">
        <f>Ntaja!G175+Ntaja!H175+Ntaja!I175</f>
        <v>0</v>
      </c>
      <c r="H175" s="74">
        <f t="shared" si="48"/>
        <v>0</v>
      </c>
    </row>
    <row r="176" spans="1:8" x14ac:dyDescent="0.3">
      <c r="A176" s="645" t="s">
        <v>70</v>
      </c>
      <c r="B176" s="21" t="s">
        <v>63</v>
      </c>
      <c r="C176" s="11"/>
      <c r="D176" s="4"/>
      <c r="E176" s="4"/>
      <c r="F176" s="4"/>
      <c r="G176" s="4"/>
      <c r="H176" s="74"/>
    </row>
    <row r="177" spans="1:8" x14ac:dyDescent="0.3">
      <c r="A177" s="646"/>
      <c r="B177" s="19" t="s">
        <v>60</v>
      </c>
      <c r="C177" s="11" t="s">
        <v>57</v>
      </c>
      <c r="D177" s="26">
        <f>Balaka!G177+Balaka!H177+Balaka!I177</f>
        <v>0</v>
      </c>
      <c r="E177" s="26">
        <f>Liwonde!G177+Liwonde!H177+Liwonde!I177</f>
        <v>0</v>
      </c>
      <c r="F177" s="26">
        <f>Machinga!G177+Machinga!H177+Machinga!I177</f>
        <v>0</v>
      </c>
      <c r="G177" s="26">
        <f>Ntaja!G177+Ntaja!H177+Ntaja!I177</f>
        <v>0</v>
      </c>
      <c r="H177" s="74">
        <f t="shared" ref="H177:H182" si="49">SUM(D177:G177)</f>
        <v>0</v>
      </c>
    </row>
    <row r="178" spans="1:8" x14ac:dyDescent="0.3">
      <c r="A178" s="646"/>
      <c r="B178" s="19" t="s">
        <v>69</v>
      </c>
      <c r="C178" s="11" t="s">
        <v>57</v>
      </c>
      <c r="D178" s="26">
        <f>Balaka!G178+Balaka!H178+Balaka!I178</f>
        <v>0</v>
      </c>
      <c r="E178" s="26">
        <f>Liwonde!G178+Liwonde!H178+Liwonde!I178</f>
        <v>0</v>
      </c>
      <c r="F178" s="26">
        <f>Machinga!G178+Machinga!H178+Machinga!I178</f>
        <v>0</v>
      </c>
      <c r="G178" s="26">
        <f>Ntaja!G178+Ntaja!H178+Ntaja!I178</f>
        <v>0</v>
      </c>
      <c r="H178" s="74">
        <f t="shared" si="49"/>
        <v>0</v>
      </c>
    </row>
    <row r="179" spans="1:8" x14ac:dyDescent="0.3">
      <c r="A179" s="646"/>
      <c r="B179" s="19" t="s">
        <v>68</v>
      </c>
      <c r="C179" s="11" t="s">
        <v>57</v>
      </c>
      <c r="D179" s="26">
        <f>Balaka!G179+Balaka!H179+Balaka!I179</f>
        <v>0</v>
      </c>
      <c r="E179" s="26">
        <f>Liwonde!G179+Liwonde!H179+Liwonde!I179</f>
        <v>0</v>
      </c>
      <c r="F179" s="26">
        <f>Machinga!G179+Machinga!H179+Machinga!I179</f>
        <v>0</v>
      </c>
      <c r="G179" s="26">
        <f>Ntaja!G179+Ntaja!H179+Ntaja!I179</f>
        <v>0</v>
      </c>
      <c r="H179" s="74">
        <f t="shared" si="49"/>
        <v>0</v>
      </c>
    </row>
    <row r="180" spans="1:8" x14ac:dyDescent="0.3">
      <c r="A180" s="646"/>
      <c r="B180" s="19" t="s">
        <v>67</v>
      </c>
      <c r="C180" s="11" t="s">
        <v>57</v>
      </c>
      <c r="D180" s="26">
        <f>Balaka!G180+Balaka!H180+Balaka!I180</f>
        <v>0</v>
      </c>
      <c r="E180" s="26">
        <f>Liwonde!G180+Liwonde!H180+Liwonde!I180</f>
        <v>0</v>
      </c>
      <c r="F180" s="26">
        <f>Machinga!G180+Machinga!H180+Machinga!I180</f>
        <v>0</v>
      </c>
      <c r="G180" s="26">
        <f>Ntaja!G180+Ntaja!H180+Ntaja!I180</f>
        <v>0</v>
      </c>
      <c r="H180" s="74">
        <f t="shared" si="49"/>
        <v>0</v>
      </c>
    </row>
    <row r="181" spans="1:8" x14ac:dyDescent="0.3">
      <c r="A181" s="646"/>
      <c r="B181" s="19" t="s">
        <v>66</v>
      </c>
      <c r="C181" s="11" t="s">
        <v>57</v>
      </c>
      <c r="D181" s="26">
        <f>Balaka!G181+Balaka!H181+Balaka!I181</f>
        <v>0</v>
      </c>
      <c r="E181" s="26">
        <f>Liwonde!G181+Liwonde!H181+Liwonde!I181</f>
        <v>0</v>
      </c>
      <c r="F181" s="26">
        <f>Machinga!G181+Machinga!H181+Machinga!I181</f>
        <v>0</v>
      </c>
      <c r="G181" s="26">
        <f>Ntaja!G181+Ntaja!H181+Ntaja!I181</f>
        <v>0</v>
      </c>
      <c r="H181" s="74">
        <f t="shared" si="49"/>
        <v>0</v>
      </c>
    </row>
    <row r="182" spans="1:8" x14ac:dyDescent="0.3">
      <c r="A182" s="647"/>
      <c r="B182" s="19" t="s">
        <v>65</v>
      </c>
      <c r="C182" s="11" t="s">
        <v>57</v>
      </c>
      <c r="D182" s="26">
        <f>Balaka!G182+Balaka!H182+Balaka!I182</f>
        <v>0</v>
      </c>
      <c r="E182" s="26">
        <f>Liwonde!G182+Liwonde!H182+Liwonde!I182</f>
        <v>0</v>
      </c>
      <c r="F182" s="26">
        <f>Machinga!G182+Machinga!H182+Machinga!I182</f>
        <v>0</v>
      </c>
      <c r="G182" s="26">
        <f>Ntaja!G182+Ntaja!H182+Ntaja!I182</f>
        <v>0</v>
      </c>
      <c r="H182" s="74">
        <f t="shared" si="49"/>
        <v>0</v>
      </c>
    </row>
    <row r="183" spans="1:8" x14ac:dyDescent="0.3">
      <c r="A183" s="645" t="s">
        <v>209</v>
      </c>
      <c r="B183" s="21" t="s">
        <v>63</v>
      </c>
      <c r="C183" s="11"/>
      <c r="D183" s="4"/>
      <c r="E183" s="4"/>
      <c r="F183" s="4"/>
      <c r="G183" s="4"/>
      <c r="H183" s="74"/>
    </row>
    <row r="184" spans="1:8" x14ac:dyDescent="0.3">
      <c r="A184" s="646"/>
      <c r="B184" s="19" t="s">
        <v>73</v>
      </c>
      <c r="C184" s="11"/>
      <c r="D184" s="26">
        <f>Balaka!G184+Balaka!H184+Balaka!I184</f>
        <v>0</v>
      </c>
      <c r="E184" s="26">
        <f>Liwonde!G184+Liwonde!H184+Liwonde!I184</f>
        <v>0</v>
      </c>
      <c r="F184" s="26">
        <f>Machinga!G184+Machinga!H184+Machinga!I184</f>
        <v>0</v>
      </c>
      <c r="G184" s="26">
        <f>Ntaja!G184+Ntaja!H184+Ntaja!I184</f>
        <v>0</v>
      </c>
      <c r="H184" s="74">
        <f>SUM(D184:G184)</f>
        <v>0</v>
      </c>
    </row>
    <row r="185" spans="1:8" x14ac:dyDescent="0.3">
      <c r="A185" s="646"/>
      <c r="B185" s="19" t="s">
        <v>72</v>
      </c>
      <c r="C185" s="11"/>
      <c r="D185" s="26">
        <f>Balaka!G185+Balaka!H185+Balaka!I185</f>
        <v>0</v>
      </c>
      <c r="E185" s="26">
        <f>Liwonde!G185+Liwonde!H185+Liwonde!I185</f>
        <v>0</v>
      </c>
      <c r="F185" s="26">
        <f>Machinga!G185+Machinga!H185+Machinga!I185</f>
        <v>0</v>
      </c>
      <c r="G185" s="26">
        <f>Ntaja!G185+Ntaja!H185+Ntaja!I185</f>
        <v>0</v>
      </c>
      <c r="H185" s="74">
        <f>SUM(D185:G185)</f>
        <v>0</v>
      </c>
    </row>
    <row r="186" spans="1:8" x14ac:dyDescent="0.3">
      <c r="A186" s="646"/>
      <c r="B186" s="19" t="s">
        <v>53</v>
      </c>
      <c r="C186" s="11"/>
      <c r="D186" s="26">
        <f>Balaka!G186+Balaka!H186+Balaka!I186</f>
        <v>0</v>
      </c>
      <c r="E186" s="26">
        <f>Liwonde!G186+Liwonde!H186+Liwonde!I186</f>
        <v>0</v>
      </c>
      <c r="F186" s="26">
        <f>Machinga!G186+Machinga!H186+Machinga!I186</f>
        <v>0</v>
      </c>
      <c r="G186" s="26">
        <f>Ntaja!G186+Ntaja!H186+Ntaja!I186</f>
        <v>0</v>
      </c>
      <c r="H186" s="74">
        <f>SUM(D186:G186)</f>
        <v>0</v>
      </c>
    </row>
    <row r="187" spans="1:8" x14ac:dyDescent="0.3">
      <c r="A187" s="647"/>
      <c r="B187" s="19" t="s">
        <v>52</v>
      </c>
      <c r="C187" s="11"/>
      <c r="D187" s="26">
        <f>Balaka!G187+Balaka!H187+Balaka!I187</f>
        <v>0</v>
      </c>
      <c r="E187" s="26">
        <f>Liwonde!G187+Liwonde!H187+Liwonde!I187</f>
        <v>0</v>
      </c>
      <c r="F187" s="26">
        <f>Machinga!G187+Machinga!H187+Machinga!I187</f>
        <v>0</v>
      </c>
      <c r="G187" s="26">
        <f>Ntaja!G187+Ntaja!H187+Ntaja!I187</f>
        <v>0</v>
      </c>
      <c r="H187" s="74">
        <f>SUM(D187:G187)</f>
        <v>0</v>
      </c>
    </row>
    <row r="188" spans="1:8" x14ac:dyDescent="0.3">
      <c r="A188" s="645" t="s">
        <v>64</v>
      </c>
      <c r="B188" s="21" t="s">
        <v>63</v>
      </c>
      <c r="C188" s="11"/>
      <c r="D188" s="4"/>
      <c r="E188" s="4"/>
      <c r="F188" s="4"/>
      <c r="G188" s="4"/>
      <c r="H188" s="74"/>
    </row>
    <row r="189" spans="1:8" x14ac:dyDescent="0.3">
      <c r="A189" s="646"/>
      <c r="B189" s="20" t="s">
        <v>52</v>
      </c>
      <c r="C189" s="11" t="s">
        <v>57</v>
      </c>
      <c r="D189" s="26">
        <f>Balaka!G189+Balaka!H189+Balaka!I189</f>
        <v>0</v>
      </c>
      <c r="E189" s="26">
        <f>Liwonde!G189+Liwonde!H189+Liwonde!I189</f>
        <v>0</v>
      </c>
      <c r="F189" s="26">
        <f>Machinga!G189+Machinga!H189+Machinga!I189</f>
        <v>0</v>
      </c>
      <c r="G189" s="26">
        <f>Ntaja!G189+Ntaja!H189+Ntaja!I189</f>
        <v>0</v>
      </c>
      <c r="H189" s="74">
        <f>SUM(D189:G189)</f>
        <v>0</v>
      </c>
    </row>
    <row r="190" spans="1:8" x14ac:dyDescent="0.3">
      <c r="A190" s="646"/>
      <c r="B190" s="19" t="s">
        <v>62</v>
      </c>
      <c r="C190" s="11" t="s">
        <v>57</v>
      </c>
      <c r="D190" s="26">
        <f>Balaka!G190+Balaka!H190+Balaka!I190</f>
        <v>0</v>
      </c>
      <c r="E190" s="26">
        <f>Liwonde!G190+Liwonde!H190+Liwonde!I190</f>
        <v>0</v>
      </c>
      <c r="F190" s="26">
        <f>Machinga!G190+Machinga!H190+Machinga!I190</f>
        <v>0</v>
      </c>
      <c r="G190" s="26">
        <f>Ntaja!G190+Ntaja!H190+Ntaja!I190</f>
        <v>0</v>
      </c>
      <c r="H190" s="74">
        <f>SUM(D190:G190)</f>
        <v>0</v>
      </c>
    </row>
    <row r="191" spans="1:8" x14ac:dyDescent="0.3">
      <c r="A191" s="646"/>
      <c r="B191" s="19" t="s">
        <v>61</v>
      </c>
      <c r="C191" s="11" t="s">
        <v>57</v>
      </c>
      <c r="D191" s="26">
        <f>Balaka!G191+Balaka!H191+Balaka!I191</f>
        <v>0</v>
      </c>
      <c r="E191" s="26">
        <f>Liwonde!G191+Liwonde!H191+Liwonde!I191</f>
        <v>0</v>
      </c>
      <c r="F191" s="26">
        <f>Machinga!G191+Machinga!H191+Machinga!I191</f>
        <v>0</v>
      </c>
      <c r="G191" s="26">
        <f>Ntaja!G191+Ntaja!H191+Ntaja!I191</f>
        <v>0</v>
      </c>
      <c r="H191" s="74">
        <f>SUM(D191:G191)</f>
        <v>0</v>
      </c>
    </row>
    <row r="192" spans="1:8" x14ac:dyDescent="0.3">
      <c r="A192" s="647"/>
      <c r="B192" s="19" t="s">
        <v>60</v>
      </c>
      <c r="C192" s="11" t="s">
        <v>57</v>
      </c>
      <c r="D192" s="26">
        <f>Balaka!G192+Balaka!H192+Balaka!I192</f>
        <v>0</v>
      </c>
      <c r="E192" s="26">
        <f>Liwonde!G192+Liwonde!H192+Liwonde!I192</f>
        <v>0</v>
      </c>
      <c r="F192" s="26">
        <f>Machinga!G192+Machinga!H192+Machinga!I192</f>
        <v>0</v>
      </c>
      <c r="G192" s="26">
        <f>Ntaja!G192+Ntaja!H192+Ntaja!I192</f>
        <v>0</v>
      </c>
      <c r="H192" s="74">
        <f>SUM(D192:G192)</f>
        <v>0</v>
      </c>
    </row>
    <row r="193" spans="1:8" x14ac:dyDescent="0.3">
      <c r="A193" s="674" t="s">
        <v>59</v>
      </c>
      <c r="B193" s="675"/>
      <c r="C193" s="11"/>
      <c r="D193" s="10">
        <f>SUM(D153:D192)</f>
        <v>1060</v>
      </c>
      <c r="E193" s="10">
        <f t="shared" ref="E193:H193" si="50">SUM(E153:E192)</f>
        <v>913</v>
      </c>
      <c r="F193" s="10">
        <f t="shared" si="50"/>
        <v>102</v>
      </c>
      <c r="G193" s="10">
        <f t="shared" si="50"/>
        <v>364</v>
      </c>
      <c r="H193" s="40">
        <f t="shared" si="50"/>
        <v>2439</v>
      </c>
    </row>
    <row r="194" spans="1:8" x14ac:dyDescent="0.3">
      <c r="A194" s="651" t="s">
        <v>58</v>
      </c>
      <c r="B194" s="652"/>
      <c r="C194" s="11" t="s">
        <v>57</v>
      </c>
      <c r="D194" s="26">
        <f>Balaka!G194+Balaka!H194+Balaka!I194</f>
        <v>3</v>
      </c>
      <c r="E194" s="26">
        <f>Liwonde!G194+Liwonde!H194+Liwonde!I194</f>
        <v>0</v>
      </c>
      <c r="F194" s="26">
        <f>Machinga!G194+Machinga!H194+Machinga!I194</f>
        <v>3</v>
      </c>
      <c r="G194" s="26">
        <f>Ntaja!G194+Ntaja!H194+Ntaja!I194</f>
        <v>3</v>
      </c>
      <c r="H194" s="39">
        <f>SUM(D194:G194)</f>
        <v>9</v>
      </c>
    </row>
    <row r="195" spans="1:8" x14ac:dyDescent="0.3">
      <c r="A195" s="653"/>
      <c r="B195" s="654"/>
      <c r="C195" s="16" t="s">
        <v>55</v>
      </c>
      <c r="D195" s="26">
        <f>Balaka!G195+Balaka!H195+Balaka!I195</f>
        <v>1080</v>
      </c>
      <c r="E195" s="26">
        <f>Liwonde!G195+Liwonde!H195+Liwonde!I195</f>
        <v>0</v>
      </c>
      <c r="F195" s="26">
        <f>Machinga!G195+Machinga!H195+Machinga!I195</f>
        <v>0</v>
      </c>
      <c r="G195" s="26">
        <f>Ntaja!G195+Ntaja!H195+Ntaja!I195</f>
        <v>1824</v>
      </c>
      <c r="H195" s="39">
        <f>SUM(D195:G195)</f>
        <v>2904</v>
      </c>
    </row>
    <row r="196" spans="1:8" x14ac:dyDescent="0.3">
      <c r="A196" s="85" t="s">
        <v>202</v>
      </c>
      <c r="B196" s="86"/>
      <c r="C196" s="16" t="s">
        <v>55</v>
      </c>
      <c r="D196" s="26">
        <f>Balaka!G196+Balaka!H196+Balaka!I196</f>
        <v>3600</v>
      </c>
      <c r="E196" s="26">
        <f>Liwonde!G196+Liwonde!H196+Liwonde!I196</f>
        <v>2084</v>
      </c>
      <c r="F196" s="26">
        <f>Machinga!G196+Machinga!H196+Machinga!I196</f>
        <v>2208</v>
      </c>
      <c r="G196" s="26">
        <f>Ntaja!G196+Ntaja!H196+Ntaja!I196</f>
        <v>2208</v>
      </c>
      <c r="H196" s="39">
        <f>SUM(D196:G196)</f>
        <v>10100</v>
      </c>
    </row>
    <row r="197" spans="1:8" x14ac:dyDescent="0.3">
      <c r="A197" s="582" t="s">
        <v>56</v>
      </c>
      <c r="B197" s="583"/>
      <c r="C197" s="16" t="s">
        <v>55</v>
      </c>
      <c r="D197" s="26">
        <f>Balaka!G197+Balaka!H197+Balaka!I197</f>
        <v>11</v>
      </c>
      <c r="E197" s="26">
        <f>Liwonde!G197+Liwonde!H197+Liwonde!I197</f>
        <v>142</v>
      </c>
      <c r="F197" s="26">
        <f>Machinga!G197+Machinga!H197+Machinga!I197</f>
        <v>0</v>
      </c>
      <c r="G197" s="26">
        <f>Ntaja!G197+Ntaja!H197+Ntaja!I197</f>
        <v>84</v>
      </c>
      <c r="H197" s="39">
        <f>SUM(D197:G197)</f>
        <v>237</v>
      </c>
    </row>
    <row r="198" spans="1:8" ht="14.4" x14ac:dyDescent="0.3">
      <c r="A198" s="586" t="s">
        <v>203</v>
      </c>
      <c r="B198" s="587"/>
      <c r="C198" s="587"/>
      <c r="D198" s="587"/>
      <c r="E198" s="587"/>
      <c r="F198" s="587"/>
      <c r="G198" s="587"/>
      <c r="H198" s="588"/>
    </row>
    <row r="199" spans="1:8" x14ac:dyDescent="0.3">
      <c r="A199" s="651" t="s">
        <v>54</v>
      </c>
      <c r="B199" s="79" t="s">
        <v>53</v>
      </c>
      <c r="C199" s="11" t="s">
        <v>47</v>
      </c>
      <c r="D199" s="26">
        <f>Balaka!G199+Balaka!H199+Balaka!I199</f>
        <v>0</v>
      </c>
      <c r="E199" s="26">
        <f>Liwonde!G199+Liwonde!H199+Liwonde!I199</f>
        <v>0</v>
      </c>
      <c r="F199" s="26">
        <f>Machinga!G199+Machinga!H199+Machinga!I199</f>
        <v>0</v>
      </c>
      <c r="G199" s="26">
        <f>Ntaja!G199+Ntaja!H199+Ntaja!I199</f>
        <v>1750</v>
      </c>
      <c r="H199" s="39">
        <f t="shared" ref="H199:H204" si="51">SUM(D199:G199)</f>
        <v>1750</v>
      </c>
    </row>
    <row r="200" spans="1:8" x14ac:dyDescent="0.3">
      <c r="A200" s="655"/>
      <c r="B200" s="79" t="s">
        <v>52</v>
      </c>
      <c r="C200" s="11" t="s">
        <v>47</v>
      </c>
      <c r="D200" s="26">
        <f>Balaka!G200+Balaka!H200+Balaka!I200</f>
        <v>0</v>
      </c>
      <c r="E200" s="26">
        <f>Liwonde!G200+Liwonde!H200+Liwonde!I200</f>
        <v>0</v>
      </c>
      <c r="F200" s="26">
        <f>Machinga!G200+Machinga!H200+Machinga!I200</f>
        <v>0</v>
      </c>
      <c r="G200" s="26">
        <f>Ntaja!G200+Ntaja!H200+Ntaja!I200</f>
        <v>0</v>
      </c>
      <c r="H200" s="39">
        <f t="shared" si="51"/>
        <v>0</v>
      </c>
    </row>
    <row r="201" spans="1:8" x14ac:dyDescent="0.3">
      <c r="A201" s="655"/>
      <c r="B201" s="79" t="s">
        <v>51</v>
      </c>
      <c r="C201" s="11" t="s">
        <v>47</v>
      </c>
      <c r="D201" s="26">
        <f>Balaka!G201+Balaka!H201+Balaka!I201</f>
        <v>120</v>
      </c>
      <c r="E201" s="26">
        <f>Liwonde!G201+Liwonde!H201+Liwonde!I201</f>
        <v>150</v>
      </c>
      <c r="F201" s="26">
        <f>Machinga!G201+Machinga!H201+Machinga!I201</f>
        <v>0</v>
      </c>
      <c r="G201" s="26">
        <f>Ntaja!G201+Ntaja!H201+Ntaja!I201</f>
        <v>0</v>
      </c>
      <c r="H201" s="39">
        <f t="shared" si="51"/>
        <v>270</v>
      </c>
    </row>
    <row r="202" spans="1:8" x14ac:dyDescent="0.3">
      <c r="A202" s="655"/>
      <c r="B202" s="79" t="s">
        <v>50</v>
      </c>
      <c r="C202" s="11" t="s">
        <v>47</v>
      </c>
      <c r="D202" s="26">
        <f>Balaka!G202+Balaka!H202+Balaka!I202</f>
        <v>0</v>
      </c>
      <c r="E202" s="26">
        <f>Liwonde!G202+Liwonde!H202+Liwonde!I202</f>
        <v>0</v>
      </c>
      <c r="F202" s="26">
        <f>Machinga!G202+Machinga!H202+Machinga!I202</f>
        <v>0</v>
      </c>
      <c r="G202" s="26">
        <f>Ntaja!G202+Ntaja!H202+Ntaja!I202</f>
        <v>0</v>
      </c>
      <c r="H202" s="39">
        <f t="shared" si="51"/>
        <v>0</v>
      </c>
    </row>
    <row r="203" spans="1:8" x14ac:dyDescent="0.3">
      <c r="A203" s="653"/>
      <c r="B203" s="79" t="s">
        <v>49</v>
      </c>
      <c r="C203" s="11" t="s">
        <v>47</v>
      </c>
      <c r="D203" s="26">
        <f>Balaka!G203+Balaka!H203+Balaka!I203</f>
        <v>0</v>
      </c>
      <c r="E203" s="26">
        <f>Liwonde!G203+Liwonde!H203+Liwonde!I203</f>
        <v>120</v>
      </c>
      <c r="F203" s="26">
        <f>Machinga!G203+Machinga!H203+Machinga!I203</f>
        <v>0</v>
      </c>
      <c r="G203" s="26">
        <f>Ntaja!G203+Ntaja!H203+Ntaja!I203</f>
        <v>0</v>
      </c>
      <c r="H203" s="39">
        <f t="shared" si="51"/>
        <v>120</v>
      </c>
    </row>
    <row r="204" spans="1:8" x14ac:dyDescent="0.3">
      <c r="A204" s="83" t="s">
        <v>48</v>
      </c>
      <c r="B204" s="79"/>
      <c r="C204" s="11" t="s">
        <v>47</v>
      </c>
      <c r="D204" s="15">
        <f t="shared" ref="D204:G204" si="52">SUM(D199:D203)</f>
        <v>120</v>
      </c>
      <c r="E204" s="15">
        <f t="shared" si="52"/>
        <v>270</v>
      </c>
      <c r="F204" s="15">
        <f t="shared" si="52"/>
        <v>0</v>
      </c>
      <c r="G204" s="15">
        <f t="shared" si="52"/>
        <v>1750</v>
      </c>
      <c r="H204" s="111">
        <f t="shared" si="51"/>
        <v>2140</v>
      </c>
    </row>
    <row r="205" spans="1:8" s="2" customFormat="1" ht="14.4" x14ac:dyDescent="0.3">
      <c r="A205" s="586" t="s">
        <v>46</v>
      </c>
      <c r="B205" s="587"/>
      <c r="C205" s="587"/>
      <c r="D205" s="587"/>
      <c r="E205" s="587"/>
      <c r="F205" s="587"/>
      <c r="G205" s="587"/>
      <c r="H205" s="588"/>
    </row>
    <row r="206" spans="1:8" x14ac:dyDescent="0.3">
      <c r="A206" s="582" t="s">
        <v>43</v>
      </c>
      <c r="B206" s="583"/>
      <c r="C206" s="11" t="s">
        <v>31</v>
      </c>
      <c r="D206" s="26">
        <f>Balaka!G206+Balaka!H206+Balaka!I206</f>
        <v>86246486.819999993</v>
      </c>
      <c r="E206" s="26">
        <f>Liwonde!G206+Liwonde!H206+Liwonde!I206</f>
        <v>93624580</v>
      </c>
      <c r="F206" s="26">
        <f>Machinga!G206+Machinga!H206+Machinga!I206</f>
        <v>3530631</v>
      </c>
      <c r="G206" s="26">
        <f>Ntaja!G206+Ntaja!H206+Ntaja!I206</f>
        <v>56259</v>
      </c>
      <c r="H206" s="39">
        <f>SUM(D206:G206)</f>
        <v>183457956.81999999</v>
      </c>
    </row>
    <row r="207" spans="1:8" x14ac:dyDescent="0.3">
      <c r="A207" s="582" t="s">
        <v>42</v>
      </c>
      <c r="B207" s="583"/>
      <c r="C207" s="11" t="s">
        <v>31</v>
      </c>
      <c r="D207" s="26">
        <f>Balaka!G207+Balaka!H207+Balaka!I207</f>
        <v>1214242.9300000002</v>
      </c>
      <c r="E207" s="26">
        <f>Liwonde!G207+Liwonde!H207+Liwonde!I207</f>
        <v>357500</v>
      </c>
      <c r="F207" s="26">
        <f>Machinga!G207+Machinga!H207+Machinga!I207</f>
        <v>0</v>
      </c>
      <c r="G207" s="26">
        <f>Ntaja!G207+Ntaja!H207+Ntaja!I207</f>
        <v>0</v>
      </c>
      <c r="H207" s="39">
        <f>SUM(D207:G207)</f>
        <v>1571742.9300000002</v>
      </c>
    </row>
    <row r="208" spans="1:8" x14ac:dyDescent="0.3">
      <c r="A208" s="589" t="s">
        <v>41</v>
      </c>
      <c r="B208" s="590"/>
      <c r="C208" s="11" t="s">
        <v>31</v>
      </c>
      <c r="D208" s="26">
        <f>Balaka!G208+Balaka!H208+Balaka!I208</f>
        <v>295250</v>
      </c>
      <c r="E208" s="26">
        <f>Liwonde!G208+Liwonde!H208+Liwonde!I208</f>
        <v>1523201</v>
      </c>
      <c r="F208" s="26">
        <f>Machinga!G208+Machinga!H208+Machinga!I208</f>
        <v>0</v>
      </c>
      <c r="G208" s="26">
        <f>Ntaja!G208+Ntaja!H208+Ntaja!I208</f>
        <v>0</v>
      </c>
      <c r="H208" s="39">
        <f>SUM(D208:G208)</f>
        <v>1818451</v>
      </c>
    </row>
    <row r="209" spans="1:8" x14ac:dyDescent="0.3">
      <c r="A209" s="582" t="s">
        <v>40</v>
      </c>
      <c r="B209" s="583"/>
      <c r="C209" s="11" t="s">
        <v>31</v>
      </c>
      <c r="D209" s="26">
        <f>Balaka!G209+Balaka!H209+Balaka!I209</f>
        <v>73700</v>
      </c>
      <c r="E209" s="26">
        <f>Liwonde!G209+Liwonde!H209+Liwonde!I209</f>
        <v>3441392</v>
      </c>
      <c r="F209" s="26">
        <f>Machinga!G209+Machinga!H209+Machinga!I209</f>
        <v>35400</v>
      </c>
      <c r="G209" s="26">
        <f>Ntaja!G209+Ntaja!H209+Ntaja!I209</f>
        <v>126520</v>
      </c>
      <c r="H209" s="39">
        <f>SUM(D209:G209)</f>
        <v>3677012</v>
      </c>
    </row>
    <row r="210" spans="1:8" x14ac:dyDescent="0.3">
      <c r="A210" s="649" t="s">
        <v>45</v>
      </c>
      <c r="B210" s="650"/>
      <c r="C210" s="11" t="s">
        <v>31</v>
      </c>
      <c r="D210" s="10">
        <f t="shared" ref="D210:G210" si="53">SUM(D206:D209)</f>
        <v>87829679.75</v>
      </c>
      <c r="E210" s="10">
        <f t="shared" si="53"/>
        <v>98946673</v>
      </c>
      <c r="F210" s="10">
        <f t="shared" si="53"/>
        <v>3566031</v>
      </c>
      <c r="G210" s="10">
        <f t="shared" si="53"/>
        <v>182779</v>
      </c>
      <c r="H210" s="39">
        <f>SUM(D210:G210)</f>
        <v>190525162.75</v>
      </c>
    </row>
    <row r="211" spans="1:8" s="2" customFormat="1" ht="14.4" x14ac:dyDescent="0.3">
      <c r="A211" s="586" t="s">
        <v>44</v>
      </c>
      <c r="B211" s="587"/>
      <c r="C211" s="587"/>
      <c r="D211" s="587"/>
      <c r="E211" s="587"/>
      <c r="F211" s="587"/>
      <c r="G211" s="587"/>
      <c r="H211" s="588"/>
    </row>
    <row r="212" spans="1:8" x14ac:dyDescent="0.3">
      <c r="A212" s="582" t="s">
        <v>43</v>
      </c>
      <c r="B212" s="583"/>
      <c r="C212" s="11" t="s">
        <v>31</v>
      </c>
      <c r="D212" s="26">
        <f>Balaka!G212+Balaka!H212+Balaka!I212</f>
        <v>37335345.740000002</v>
      </c>
      <c r="E212" s="26">
        <f>Liwonde!G212+Liwonde!H212+Liwonde!I212</f>
        <v>51373329.079999998</v>
      </c>
      <c r="F212" s="26">
        <f>Machinga!G212+Machinga!H212+Machinga!I212</f>
        <v>3513686.59</v>
      </c>
      <c r="G212" s="26">
        <f>Ntaja!G212+Ntaja!H212+Ntaja!I212</f>
        <v>11346027.119999999</v>
      </c>
      <c r="H212" s="39">
        <f>SUM(D212:G212)</f>
        <v>103568388.53</v>
      </c>
    </row>
    <row r="213" spans="1:8" x14ac:dyDescent="0.3">
      <c r="A213" s="582" t="s">
        <v>42</v>
      </c>
      <c r="B213" s="583"/>
      <c r="C213" s="11" t="s">
        <v>31</v>
      </c>
      <c r="D213" s="26">
        <f>Balaka!G213+Balaka!H213+Balaka!I213</f>
        <v>0</v>
      </c>
      <c r="E213" s="26">
        <f>Liwonde!G213+Liwonde!H213+Liwonde!I213</f>
        <v>0</v>
      </c>
      <c r="F213" s="26">
        <f>Machinga!G213+Machinga!H213+Machinga!I213</f>
        <v>0</v>
      </c>
      <c r="G213" s="26">
        <f>Ntaja!G213+Ntaja!H213+Ntaja!I213</f>
        <v>0</v>
      </c>
      <c r="H213" s="39">
        <f>SUM(D213:G213)</f>
        <v>0</v>
      </c>
    </row>
    <row r="214" spans="1:8" x14ac:dyDescent="0.3">
      <c r="A214" s="589" t="s">
        <v>41</v>
      </c>
      <c r="B214" s="590"/>
      <c r="C214" s="11" t="s">
        <v>31</v>
      </c>
      <c r="D214" s="26">
        <f>Balaka!G214+Balaka!H214+Balaka!I214</f>
        <v>0</v>
      </c>
      <c r="E214" s="26">
        <f>Liwonde!G214+Liwonde!H214+Liwonde!I214</f>
        <v>0</v>
      </c>
      <c r="F214" s="26">
        <f>Machinga!G214+Machinga!H214+Machinga!I214</f>
        <v>0</v>
      </c>
      <c r="G214" s="26">
        <f>Ntaja!G214+Ntaja!H214+Ntaja!I214</f>
        <v>0</v>
      </c>
      <c r="H214" s="39">
        <f>SUM(D214:G214)</f>
        <v>0</v>
      </c>
    </row>
    <row r="215" spans="1:8" x14ac:dyDescent="0.3">
      <c r="A215" s="582" t="s">
        <v>40</v>
      </c>
      <c r="B215" s="583"/>
      <c r="C215" s="11" t="s">
        <v>31</v>
      </c>
      <c r="D215" s="26">
        <f>Balaka!G215+Balaka!H215+Balaka!I215</f>
        <v>0</v>
      </c>
      <c r="E215" s="26">
        <f>Liwonde!G215+Liwonde!H215+Liwonde!I215</f>
        <v>0</v>
      </c>
      <c r="F215" s="26">
        <f>Machinga!G215+Machinga!H215+Machinga!I215</f>
        <v>0</v>
      </c>
      <c r="G215" s="26">
        <f>Ntaja!G215+Ntaja!H215+Ntaja!I215</f>
        <v>0</v>
      </c>
      <c r="H215" s="39">
        <f>SUM(D215:G215)</f>
        <v>0</v>
      </c>
    </row>
    <row r="216" spans="1:8" x14ac:dyDescent="0.3">
      <c r="A216" s="649" t="s">
        <v>39</v>
      </c>
      <c r="B216" s="650"/>
      <c r="C216" s="11" t="s">
        <v>31</v>
      </c>
      <c r="D216" s="10">
        <f t="shared" ref="D216:G216" si="54">SUM(D212:D215)</f>
        <v>37335345.740000002</v>
      </c>
      <c r="E216" s="10">
        <f t="shared" si="54"/>
        <v>51373329.079999998</v>
      </c>
      <c r="F216" s="10">
        <f t="shared" si="54"/>
        <v>3513686.59</v>
      </c>
      <c r="G216" s="10">
        <f t="shared" si="54"/>
        <v>11346027.119999999</v>
      </c>
      <c r="H216" s="39">
        <f>SUM(D216:G216)</f>
        <v>103568388.53</v>
      </c>
    </row>
    <row r="217" spans="1:8" s="2" customFormat="1" x14ac:dyDescent="0.3">
      <c r="A217" s="76" t="s">
        <v>38</v>
      </c>
      <c r="B217" s="77"/>
      <c r="C217" s="11" t="s">
        <v>31</v>
      </c>
      <c r="D217" s="10">
        <f>D210+D216</f>
        <v>125165025.49000001</v>
      </c>
      <c r="E217" s="10">
        <f t="shared" ref="E217:H217" si="55">E210+E216</f>
        <v>150320002.07999998</v>
      </c>
      <c r="F217" s="10">
        <f t="shared" si="55"/>
        <v>7079717.5899999999</v>
      </c>
      <c r="G217" s="10">
        <f t="shared" si="55"/>
        <v>11528806.119999999</v>
      </c>
      <c r="H217" s="40">
        <f t="shared" si="55"/>
        <v>294093551.27999997</v>
      </c>
    </row>
    <row r="218" spans="1:8" s="2" customFormat="1" ht="14.4" x14ac:dyDescent="0.3">
      <c r="A218" s="586" t="s">
        <v>37</v>
      </c>
      <c r="B218" s="587"/>
      <c r="C218" s="587"/>
      <c r="D218" s="587"/>
      <c r="E218" s="587"/>
      <c r="F218" s="587"/>
      <c r="G218" s="587"/>
      <c r="H218" s="588"/>
    </row>
    <row r="219" spans="1:8" x14ac:dyDescent="0.3">
      <c r="A219" s="582" t="s">
        <v>35</v>
      </c>
      <c r="B219" s="583"/>
      <c r="C219" s="11" t="s">
        <v>31</v>
      </c>
      <c r="D219" s="26">
        <f>Balaka!G219+Balaka!H219+Balaka!I219</f>
        <v>75170204.120000005</v>
      </c>
      <c r="E219" s="26">
        <f>Liwonde!G219+Liwonde!H219+Liwonde!I219</f>
        <v>67886159</v>
      </c>
      <c r="F219" s="26">
        <f>Machinga!G219+Machinga!H219+Machinga!I219</f>
        <v>2696045</v>
      </c>
      <c r="G219" s="26">
        <f>Ntaja!G219+Ntaja!H219+Ntaja!I219</f>
        <v>9910</v>
      </c>
      <c r="H219" s="39">
        <f>SUM(D219:G219)</f>
        <v>145762318.12</v>
      </c>
    </row>
    <row r="220" spans="1:8" x14ac:dyDescent="0.3">
      <c r="A220" s="582" t="s">
        <v>34</v>
      </c>
      <c r="B220" s="583"/>
      <c r="C220" s="11" t="s">
        <v>31</v>
      </c>
      <c r="D220" s="26">
        <f>Balaka!G220+Balaka!H220+Balaka!I220</f>
        <v>614005.59</v>
      </c>
      <c r="E220" s="26">
        <f>Liwonde!G220+Liwonde!H220+Liwonde!I220</f>
        <v>251793</v>
      </c>
      <c r="F220" s="26">
        <f>Machinga!G220+Machinga!H220+Machinga!I220</f>
        <v>0</v>
      </c>
      <c r="G220" s="26">
        <f>Ntaja!G220+Ntaja!H220+Ntaja!I220</f>
        <v>0</v>
      </c>
      <c r="H220" s="39">
        <f>SUM(D220:G220)</f>
        <v>865798.59</v>
      </c>
    </row>
    <row r="221" spans="1:8" x14ac:dyDescent="0.3">
      <c r="A221" s="582" t="s">
        <v>33</v>
      </c>
      <c r="B221" s="583"/>
      <c r="C221" s="11" t="s">
        <v>31</v>
      </c>
      <c r="D221" s="26">
        <f>Balaka!G221+Balaka!H221+Balaka!I221</f>
        <v>2661198.48</v>
      </c>
      <c r="E221" s="26">
        <f>Liwonde!G221+Liwonde!H221+Liwonde!I221</f>
        <v>21797674</v>
      </c>
      <c r="F221" s="26">
        <f>Machinga!G221+Machinga!H221+Machinga!I221</f>
        <v>410810</v>
      </c>
      <c r="G221" s="26">
        <f>Ntaja!G221+Ntaja!H221+Ntaja!I221</f>
        <v>76539</v>
      </c>
      <c r="H221" s="39">
        <f>SUM(D221:G221)</f>
        <v>24946221.48</v>
      </c>
    </row>
    <row r="222" spans="1:8" x14ac:dyDescent="0.3">
      <c r="A222" s="582" t="s">
        <v>32</v>
      </c>
      <c r="B222" s="583"/>
      <c r="C222" s="11" t="s">
        <v>31</v>
      </c>
      <c r="D222" s="26">
        <f>Balaka!G222+Balaka!H222+Balaka!I222</f>
        <v>1241417.51</v>
      </c>
      <c r="E222" s="26">
        <f>Liwonde!G222+Liwonde!H222+Liwonde!I222</f>
        <v>2228167</v>
      </c>
      <c r="F222" s="26">
        <f>Machinga!G222+Machinga!H222+Machinga!I222</f>
        <v>0</v>
      </c>
      <c r="G222" s="26">
        <f>Ntaja!G222+Ntaja!H222+Ntaja!I222</f>
        <v>0</v>
      </c>
      <c r="H222" s="39">
        <f>SUM(D222:G222)</f>
        <v>3469584.51</v>
      </c>
    </row>
    <row r="223" spans="1:8" x14ac:dyDescent="0.3">
      <c r="A223" s="649" t="s">
        <v>36</v>
      </c>
      <c r="B223" s="650"/>
      <c r="C223" s="11" t="s">
        <v>31</v>
      </c>
      <c r="D223" s="12">
        <f t="shared" ref="D223:G223" si="56">SUM(D219:D222)</f>
        <v>79686825.700000018</v>
      </c>
      <c r="E223" s="10">
        <f t="shared" si="56"/>
        <v>92163793</v>
      </c>
      <c r="F223" s="10">
        <f t="shared" si="56"/>
        <v>3106855</v>
      </c>
      <c r="G223" s="10">
        <f t="shared" si="56"/>
        <v>86449</v>
      </c>
      <c r="H223" s="39">
        <f>SUM(D223:G223)</f>
        <v>175043922.70000002</v>
      </c>
    </row>
    <row r="224" spans="1:8" ht="14.4" x14ac:dyDescent="0.3">
      <c r="A224" s="586" t="s">
        <v>211</v>
      </c>
      <c r="B224" s="587"/>
      <c r="C224" s="587"/>
      <c r="D224" s="587"/>
      <c r="E224" s="587"/>
      <c r="F224" s="587"/>
      <c r="G224" s="587"/>
      <c r="H224" s="588"/>
    </row>
    <row r="225" spans="1:8" x14ac:dyDescent="0.3">
      <c r="A225" s="582" t="s">
        <v>35</v>
      </c>
      <c r="B225" s="583"/>
      <c r="C225" s="11" t="s">
        <v>31</v>
      </c>
      <c r="D225" s="26">
        <f>Balaka!G225+Balaka!H225+Balaka!I225</f>
        <v>0</v>
      </c>
      <c r="E225" s="26">
        <f>Liwonde!G225+Liwonde!H225+Liwonde!I225</f>
        <v>0</v>
      </c>
      <c r="F225" s="26">
        <f>Machinga!G225+Machinga!H225+Machinga!I225</f>
        <v>0</v>
      </c>
      <c r="G225" s="26">
        <f>Ntaja!G225+Ntaja!H225+Ntaja!I225</f>
        <v>0</v>
      </c>
      <c r="H225" s="39">
        <f t="shared" ref="H225:H230" si="57">SUM(D225:G225)</f>
        <v>0</v>
      </c>
    </row>
    <row r="226" spans="1:8" x14ac:dyDescent="0.3">
      <c r="A226" s="582" t="s">
        <v>34</v>
      </c>
      <c r="B226" s="583"/>
      <c r="C226" s="11" t="s">
        <v>31</v>
      </c>
      <c r="D226" s="26">
        <f>Balaka!G226+Balaka!H226+Balaka!I226</f>
        <v>0</v>
      </c>
      <c r="E226" s="26">
        <f>Liwonde!G226+Liwonde!H226+Liwonde!I226</f>
        <v>0</v>
      </c>
      <c r="F226" s="26">
        <f>Machinga!G226+Machinga!H226+Machinga!I226</f>
        <v>0</v>
      </c>
      <c r="G226" s="26">
        <f>Ntaja!G226+Ntaja!H226+Ntaja!I226</f>
        <v>0</v>
      </c>
      <c r="H226" s="39">
        <f t="shared" si="57"/>
        <v>0</v>
      </c>
    </row>
    <row r="227" spans="1:8" x14ac:dyDescent="0.3">
      <c r="A227" s="582" t="s">
        <v>33</v>
      </c>
      <c r="B227" s="583"/>
      <c r="C227" s="11" t="s">
        <v>31</v>
      </c>
      <c r="D227" s="26">
        <f>Balaka!G227+Balaka!H227+Balaka!I227</f>
        <v>0</v>
      </c>
      <c r="E227" s="26">
        <f>Liwonde!G227+Liwonde!H227+Liwonde!I227</f>
        <v>0</v>
      </c>
      <c r="F227" s="26">
        <f>Machinga!G227+Machinga!H227+Machinga!I227</f>
        <v>0</v>
      </c>
      <c r="G227" s="26">
        <f>Ntaja!G227+Ntaja!H227+Ntaja!I227</f>
        <v>0</v>
      </c>
      <c r="H227" s="39">
        <f t="shared" si="57"/>
        <v>0</v>
      </c>
    </row>
    <row r="228" spans="1:8" x14ac:dyDescent="0.3">
      <c r="A228" s="582" t="s">
        <v>32</v>
      </c>
      <c r="B228" s="583"/>
      <c r="C228" s="11" t="s">
        <v>31</v>
      </c>
      <c r="D228" s="26">
        <f>Balaka!G228+Balaka!H228+Balaka!I228</f>
        <v>0</v>
      </c>
      <c r="E228" s="26">
        <f>Liwonde!G228+Liwonde!H228+Liwonde!I228</f>
        <v>0</v>
      </c>
      <c r="F228" s="26">
        <f>Machinga!G228+Machinga!H228+Machinga!I228</f>
        <v>0</v>
      </c>
      <c r="G228" s="26">
        <f>Ntaja!G228+Ntaja!H228+Ntaja!I228</f>
        <v>0</v>
      </c>
      <c r="H228" s="39">
        <f t="shared" si="57"/>
        <v>0</v>
      </c>
    </row>
    <row r="229" spans="1:8" x14ac:dyDescent="0.3">
      <c r="A229" s="649" t="s">
        <v>212</v>
      </c>
      <c r="B229" s="650"/>
      <c r="C229" s="11" t="s">
        <v>31</v>
      </c>
      <c r="D229" s="12">
        <f t="shared" ref="D229:G229" si="58">SUM(D225:D228)</f>
        <v>0</v>
      </c>
      <c r="E229" s="10">
        <f t="shared" si="58"/>
        <v>0</v>
      </c>
      <c r="F229" s="10">
        <f t="shared" si="58"/>
        <v>0</v>
      </c>
      <c r="G229" s="10">
        <f t="shared" si="58"/>
        <v>0</v>
      </c>
      <c r="H229" s="39">
        <f t="shared" si="57"/>
        <v>0</v>
      </c>
    </row>
    <row r="230" spans="1:8" x14ac:dyDescent="0.3">
      <c r="A230" s="76" t="s">
        <v>213</v>
      </c>
      <c r="B230" s="120"/>
      <c r="C230" s="11" t="s">
        <v>31</v>
      </c>
      <c r="D230" s="12">
        <f>D223+D229</f>
        <v>79686825.700000018</v>
      </c>
      <c r="E230" s="12">
        <f t="shared" ref="E230:G230" si="59">E223+E229</f>
        <v>92163793</v>
      </c>
      <c r="F230" s="12">
        <f t="shared" si="59"/>
        <v>3106855</v>
      </c>
      <c r="G230" s="12">
        <f t="shared" si="59"/>
        <v>86449</v>
      </c>
      <c r="H230" s="39">
        <f t="shared" si="57"/>
        <v>175043922.70000002</v>
      </c>
    </row>
    <row r="231" spans="1:8" ht="14.4" x14ac:dyDescent="0.3">
      <c r="A231" s="586" t="s">
        <v>30</v>
      </c>
      <c r="B231" s="587"/>
      <c r="C231" s="587"/>
      <c r="D231" s="587"/>
      <c r="E231" s="587"/>
      <c r="F231" s="587"/>
      <c r="G231" s="587"/>
      <c r="H231" s="588"/>
    </row>
    <row r="232" spans="1:8" x14ac:dyDescent="0.3">
      <c r="A232" s="582" t="s">
        <v>29</v>
      </c>
      <c r="B232" s="583"/>
      <c r="C232" s="11" t="s">
        <v>18</v>
      </c>
      <c r="D232" s="26">
        <f>Balaka!G232+Balaka!H232+Balaka!I232</f>
        <v>5387513.0700000003</v>
      </c>
      <c r="E232" s="26">
        <f>Liwonde!G232+Liwonde!H232+Liwonde!I232</f>
        <v>4163002</v>
      </c>
      <c r="F232" s="26">
        <f>Machinga!G232+Machinga!H232+Machinga!I232</f>
        <v>207658</v>
      </c>
      <c r="G232" s="26">
        <f>Ntaja!G232+Ntaja!H232+Ntaja!I232</f>
        <v>1485</v>
      </c>
      <c r="H232" s="39">
        <f>SUM(D232:G232)</f>
        <v>9759658.0700000003</v>
      </c>
    </row>
    <row r="233" spans="1:8" x14ac:dyDescent="0.3">
      <c r="A233" s="582" t="s">
        <v>28</v>
      </c>
      <c r="B233" s="583"/>
      <c r="C233" s="11" t="s">
        <v>18</v>
      </c>
      <c r="D233" s="26">
        <f>Balaka!G233+Balaka!H233+Balaka!I233</f>
        <v>7303.3799999999992</v>
      </c>
      <c r="E233" s="26">
        <f>Liwonde!G233+Liwonde!H233+Liwonde!I233</f>
        <v>6783</v>
      </c>
      <c r="F233" s="26">
        <f>Machinga!G233+Machinga!H233+Machinga!I233</f>
        <v>0</v>
      </c>
      <c r="G233" s="26">
        <f>Ntaja!G233+Ntaja!H233+Ntaja!I233</f>
        <v>0</v>
      </c>
      <c r="H233" s="39">
        <f>SUM(D233:G233)</f>
        <v>14086.38</v>
      </c>
    </row>
    <row r="234" spans="1:8" x14ac:dyDescent="0.3">
      <c r="A234" s="582" t="s">
        <v>27</v>
      </c>
      <c r="B234" s="583"/>
      <c r="C234" s="11" t="s">
        <v>18</v>
      </c>
      <c r="D234" s="26">
        <f>Balaka!G234+Balaka!H234+Balaka!I234</f>
        <v>126490.33000000002</v>
      </c>
      <c r="E234" s="26">
        <f>Liwonde!G234+Liwonde!H234+Liwonde!I234</f>
        <v>101809</v>
      </c>
      <c r="F234" s="26">
        <f>Machinga!G234+Machinga!H234+Machinga!I234</f>
        <v>27765</v>
      </c>
      <c r="G234" s="26">
        <f>Ntaja!G234+Ntaja!H234+Ntaja!I234</f>
        <v>9255</v>
      </c>
      <c r="H234" s="39">
        <f>SUM(D234:G234)</f>
        <v>265319.33</v>
      </c>
    </row>
    <row r="235" spans="1:8" x14ac:dyDescent="0.3">
      <c r="A235" s="582" t="s">
        <v>26</v>
      </c>
      <c r="B235" s="583"/>
      <c r="C235" s="11" t="s">
        <v>18</v>
      </c>
      <c r="D235" s="26">
        <f>Balaka!G235+Balaka!H235+Balaka!I235</f>
        <v>168630.8</v>
      </c>
      <c r="E235" s="26">
        <f>Liwonde!G235+Liwonde!H235+Liwonde!I235</f>
        <v>316183</v>
      </c>
      <c r="F235" s="26">
        <f>Machinga!G235+Machinga!H235+Machinga!I235</f>
        <v>0</v>
      </c>
      <c r="G235" s="26">
        <f>Ntaja!G235+Ntaja!H235+Ntaja!I235</f>
        <v>0</v>
      </c>
      <c r="H235" s="39">
        <f>SUM(D235:G235)</f>
        <v>484813.8</v>
      </c>
    </row>
    <row r="236" spans="1:8" x14ac:dyDescent="0.3">
      <c r="A236" s="649" t="s">
        <v>25</v>
      </c>
      <c r="B236" s="650"/>
      <c r="C236" s="11" t="s">
        <v>18</v>
      </c>
      <c r="D236" s="12">
        <f t="shared" ref="D236:G236" si="60">SUM(D232:D235)</f>
        <v>5689937.5800000001</v>
      </c>
      <c r="E236" s="12">
        <f t="shared" si="60"/>
        <v>4587777</v>
      </c>
      <c r="F236" s="12">
        <f t="shared" si="60"/>
        <v>235423</v>
      </c>
      <c r="G236" s="12">
        <f t="shared" si="60"/>
        <v>10740</v>
      </c>
      <c r="H236" s="40">
        <f t="shared" ref="H236" si="61">SUM(H232:H235)</f>
        <v>10523877.580000002</v>
      </c>
    </row>
    <row r="237" spans="1:8" ht="14.4" x14ac:dyDescent="0.3">
      <c r="A237" s="586" t="s">
        <v>24</v>
      </c>
      <c r="B237" s="587"/>
      <c r="C237" s="587"/>
      <c r="D237" s="587"/>
      <c r="E237" s="587"/>
      <c r="F237" s="587"/>
      <c r="G237" s="587"/>
      <c r="H237" s="588"/>
    </row>
    <row r="238" spans="1:8" x14ac:dyDescent="0.3">
      <c r="A238" s="582" t="s">
        <v>23</v>
      </c>
      <c r="B238" s="583"/>
      <c r="C238" s="11" t="s">
        <v>18</v>
      </c>
      <c r="D238" s="26">
        <f>Balaka!G238+Balaka!H238+Balaka!I238</f>
        <v>10134657</v>
      </c>
      <c r="E238" s="26">
        <f>Liwonde!G238+Liwonde!H238+Liwonde!I238</f>
        <v>7661047</v>
      </c>
      <c r="F238" s="26">
        <f>Machinga!G238+Machinga!H238+Machinga!I238</f>
        <v>417924</v>
      </c>
      <c r="G238" s="26">
        <f>Ntaja!G238+Ntaja!H238+Ntaja!I238</f>
        <v>2679</v>
      </c>
      <c r="H238" s="39">
        <f>SUM(D238:G238)</f>
        <v>18216307</v>
      </c>
    </row>
    <row r="239" spans="1:8" x14ac:dyDescent="0.3">
      <c r="A239" s="582" t="s">
        <v>22</v>
      </c>
      <c r="B239" s="583"/>
      <c r="C239" s="11" t="s">
        <v>18</v>
      </c>
      <c r="D239" s="26">
        <f>Balaka!G239+Balaka!H239+Balaka!I239</f>
        <v>37506</v>
      </c>
      <c r="E239" s="26">
        <f>Liwonde!G239+Liwonde!H239+Liwonde!I239</f>
        <v>34827</v>
      </c>
      <c r="F239" s="26">
        <f>Machinga!G239+Machinga!H239+Machinga!I239</f>
        <v>0</v>
      </c>
      <c r="G239" s="26">
        <f>Ntaja!G239+Ntaja!H239+Ntaja!I239</f>
        <v>0</v>
      </c>
      <c r="H239" s="39">
        <f>SUM(D239:G239)</f>
        <v>72333</v>
      </c>
    </row>
    <row r="240" spans="1:8" x14ac:dyDescent="0.3">
      <c r="A240" s="582" t="s">
        <v>21</v>
      </c>
      <c r="B240" s="583"/>
      <c r="C240" s="11" t="s">
        <v>18</v>
      </c>
      <c r="D240" s="26">
        <f>Balaka!G240+Balaka!H240+Balaka!I240</f>
        <v>36613</v>
      </c>
      <c r="E240" s="26">
        <f>Liwonde!G240+Liwonde!H240+Liwonde!I240</f>
        <v>29469</v>
      </c>
      <c r="F240" s="26">
        <f>Machinga!G240+Machinga!H240+Machinga!I240</f>
        <v>8037</v>
      </c>
      <c r="G240" s="26">
        <f>Ntaja!G240+Ntaja!H240+Ntaja!I240</f>
        <v>2679</v>
      </c>
      <c r="H240" s="39">
        <f>SUM(D240:G240)</f>
        <v>76798</v>
      </c>
    </row>
    <row r="241" spans="1:8" x14ac:dyDescent="0.3">
      <c r="A241" s="582" t="s">
        <v>20</v>
      </c>
      <c r="B241" s="583"/>
      <c r="C241" s="11" t="s">
        <v>18</v>
      </c>
      <c r="D241" s="26">
        <f>Balaka!G241+Balaka!H241+Balaka!I241</f>
        <v>35720</v>
      </c>
      <c r="E241" s="26">
        <f>Liwonde!G241+Liwonde!H241+Liwonde!I241</f>
        <v>66975</v>
      </c>
      <c r="F241" s="26">
        <f>Machinga!G241+Machinga!H241+Machinga!I241</f>
        <v>0</v>
      </c>
      <c r="G241" s="26">
        <f>Ntaja!G241+Ntaja!H241+Ntaja!I241</f>
        <v>0</v>
      </c>
      <c r="H241" s="39">
        <f>SUM(D241:G241)</f>
        <v>102695</v>
      </c>
    </row>
    <row r="242" spans="1:8" x14ac:dyDescent="0.3">
      <c r="A242" s="649" t="s">
        <v>19</v>
      </c>
      <c r="B242" s="650"/>
      <c r="C242" s="11" t="s">
        <v>18</v>
      </c>
      <c r="D242" s="12">
        <f t="shared" ref="D242:H242" si="62">SUM(D238:D241)</f>
        <v>10244496</v>
      </c>
      <c r="E242" s="12">
        <f t="shared" si="62"/>
        <v>7792318</v>
      </c>
      <c r="F242" s="12">
        <f t="shared" si="62"/>
        <v>425961</v>
      </c>
      <c r="G242" s="12">
        <f t="shared" si="62"/>
        <v>5358</v>
      </c>
      <c r="H242" s="40">
        <f t="shared" si="62"/>
        <v>18468133</v>
      </c>
    </row>
    <row r="243" spans="1:8" x14ac:dyDescent="0.3">
      <c r="A243" s="649" t="s">
        <v>214</v>
      </c>
      <c r="B243" s="650"/>
      <c r="C243" s="11" t="s">
        <v>18</v>
      </c>
      <c r="D243" s="10">
        <f>D230+D236+D242</f>
        <v>95621259.280000016</v>
      </c>
      <c r="E243" s="10">
        <f t="shared" ref="E243:G243" si="63">E230+E236+E242</f>
        <v>104543888</v>
      </c>
      <c r="F243" s="10">
        <f t="shared" si="63"/>
        <v>3768239</v>
      </c>
      <c r="G243" s="10">
        <f t="shared" si="63"/>
        <v>102547</v>
      </c>
      <c r="H243" s="40">
        <f t="shared" ref="H243" si="64">H216+H223+H236+H242</f>
        <v>307604321.81</v>
      </c>
    </row>
    <row r="244" spans="1:8" ht="14.4" x14ac:dyDescent="0.3">
      <c r="A244" s="586" t="s">
        <v>204</v>
      </c>
      <c r="B244" s="587"/>
      <c r="C244" s="587"/>
      <c r="D244" s="587"/>
      <c r="E244" s="587"/>
      <c r="F244" s="587"/>
      <c r="G244" s="587"/>
      <c r="H244" s="588"/>
    </row>
    <row r="245" spans="1:8" x14ac:dyDescent="0.3">
      <c r="A245" s="656" t="s">
        <v>205</v>
      </c>
      <c r="B245" s="657"/>
      <c r="C245" s="11" t="s">
        <v>18</v>
      </c>
      <c r="D245" s="15">
        <f>Balaka!G245+Balaka!H245+Balaka!I245</f>
        <v>618263637.08999991</v>
      </c>
      <c r="E245" s="15">
        <f>Liwonde!G245+Liwonde!H245+Liwonde!I245</f>
        <v>522108404.00000006</v>
      </c>
      <c r="F245" s="15">
        <f>Machinga!G245+Machinga!H245+Machinga!I245</f>
        <v>165976083.16999999</v>
      </c>
      <c r="G245" s="15">
        <f>Ntaja!G245+Ntaja!H245+Ntaja!I245</f>
        <v>11088709.43</v>
      </c>
      <c r="H245" s="40">
        <f t="shared" ref="H245" si="65">SUM(H241:H244)</f>
        <v>326175149.81</v>
      </c>
    </row>
    <row r="246" spans="1:8" x14ac:dyDescent="0.3">
      <c r="A246" s="656" t="s">
        <v>206</v>
      </c>
      <c r="B246" s="657"/>
      <c r="C246" s="11" t="s">
        <v>18</v>
      </c>
      <c r="D246" s="15">
        <f>Balaka!G246+Balaka!H246+Balaka!I246</f>
        <v>324142642.17000002</v>
      </c>
      <c r="E246" s="15">
        <f>Liwonde!G246+Liwonde!H246+Liwonde!I246</f>
        <v>291145466.56999999</v>
      </c>
      <c r="F246" s="15">
        <f>Machinga!G246+Machinga!H246+Machinga!I246</f>
        <v>306129605.87</v>
      </c>
      <c r="G246" s="15">
        <f>Ntaja!G246+Ntaja!H246+Ntaja!I246</f>
        <v>0</v>
      </c>
      <c r="H246" s="40">
        <f t="shared" ref="H246" si="66">SUM(H242:H245)</f>
        <v>652247604.62</v>
      </c>
    </row>
    <row r="247" spans="1:8" x14ac:dyDescent="0.3">
      <c r="A247" s="658" t="s">
        <v>207</v>
      </c>
      <c r="B247" s="659"/>
      <c r="C247" s="11" t="s">
        <v>18</v>
      </c>
      <c r="D247" s="143">
        <f>D245+D246</f>
        <v>942406279.25999999</v>
      </c>
      <c r="E247" s="143">
        <f t="shared" ref="E247:G247" si="67">E245+E246</f>
        <v>813253870.57000005</v>
      </c>
      <c r="F247" s="143">
        <f t="shared" si="67"/>
        <v>472105689.03999996</v>
      </c>
      <c r="G247" s="143">
        <f t="shared" si="67"/>
        <v>11088709.43</v>
      </c>
      <c r="H247" s="40">
        <f t="shared" ref="H247" si="68">SUM(H243:H246)</f>
        <v>1286027076.24</v>
      </c>
    </row>
    <row r="248" spans="1:8" ht="14.4" x14ac:dyDescent="0.3">
      <c r="A248" s="586" t="s">
        <v>17</v>
      </c>
      <c r="B248" s="587"/>
      <c r="C248" s="587"/>
      <c r="D248" s="587"/>
      <c r="E248" s="587"/>
      <c r="F248" s="587"/>
      <c r="G248" s="587"/>
      <c r="H248" s="588"/>
    </row>
    <row r="249" spans="1:8" x14ac:dyDescent="0.3">
      <c r="A249" s="613" t="s">
        <v>16</v>
      </c>
      <c r="B249" s="614"/>
      <c r="C249" s="5" t="s">
        <v>6</v>
      </c>
      <c r="D249" s="8">
        <f>D58/D243</f>
        <v>0.66969245667415966</v>
      </c>
      <c r="E249" s="8">
        <f t="shared" ref="E249:H249" si="69">E58/E243</f>
        <v>0.80137295294130451</v>
      </c>
      <c r="F249" s="8">
        <f t="shared" si="69"/>
        <v>2.1178828268323744</v>
      </c>
      <c r="G249" s="8">
        <f t="shared" si="69"/>
        <v>83.070295859849637</v>
      </c>
      <c r="H249" s="569">
        <f t="shared" si="69"/>
        <v>0.53417578011975519</v>
      </c>
    </row>
    <row r="250" spans="1:8" x14ac:dyDescent="0.3">
      <c r="A250" s="613" t="s">
        <v>208</v>
      </c>
      <c r="B250" s="614"/>
      <c r="C250" s="5" t="s">
        <v>6</v>
      </c>
      <c r="D250" s="29">
        <f>D210/(D223+D245)</f>
        <v>0.12583941759836081</v>
      </c>
      <c r="E250" s="29">
        <f t="shared" ref="E250:G250" si="70">E210/(E223+E245)</f>
        <v>0.16107952383851748</v>
      </c>
      <c r="F250" s="29">
        <f t="shared" si="70"/>
        <v>2.1090424844726958E-2</v>
      </c>
      <c r="G250" s="29">
        <f t="shared" si="70"/>
        <v>1.6355830760244532E-2</v>
      </c>
      <c r="H250" s="570">
        <f>H210/(H223+H245)</f>
        <v>0.38012352921027115</v>
      </c>
    </row>
    <row r="251" spans="1:8" ht="16.2" thickBot="1" x14ac:dyDescent="0.35">
      <c r="A251" s="662" t="s">
        <v>15</v>
      </c>
      <c r="B251" s="663"/>
      <c r="C251" s="5" t="s">
        <v>6</v>
      </c>
      <c r="D251" s="7">
        <f>D210/D223</f>
        <v>1.1021856998126101</v>
      </c>
      <c r="E251" s="7">
        <f t="shared" ref="E251:H251" si="71">E210/E223</f>
        <v>1.0735959293689226</v>
      </c>
      <c r="F251" s="7">
        <f t="shared" si="71"/>
        <v>1.1477944738328631</v>
      </c>
      <c r="G251" s="7">
        <f t="shared" si="71"/>
        <v>2.1142986038010849</v>
      </c>
      <c r="H251" s="571">
        <f t="shared" si="71"/>
        <v>1.0884420310697251</v>
      </c>
    </row>
    <row r="252" spans="1:8" ht="14.4" x14ac:dyDescent="0.3">
      <c r="A252" s="642" t="s">
        <v>14</v>
      </c>
      <c r="B252" s="643"/>
      <c r="C252" s="643"/>
      <c r="D252" s="643"/>
      <c r="E252" s="643"/>
      <c r="F252" s="643"/>
      <c r="G252" s="643"/>
      <c r="H252" s="644"/>
    </row>
    <row r="253" spans="1:8" s="2" customFormat="1" ht="15" customHeight="1" x14ac:dyDescent="0.3">
      <c r="A253" s="613" t="s">
        <v>13</v>
      </c>
      <c r="B253" s="614"/>
      <c r="C253" s="5" t="s">
        <v>3</v>
      </c>
      <c r="D253" s="26">
        <f>Balaka!G253+Balaka!H253+Balaka!I253</f>
        <v>145</v>
      </c>
      <c r="E253" s="26">
        <f>Liwonde!G253+Liwonde!H253+Liwonde!I253</f>
        <v>148</v>
      </c>
      <c r="F253" s="26">
        <f>Machinga!G253+Machinga!H253+Machinga!I253</f>
        <v>13</v>
      </c>
      <c r="G253" s="26">
        <f>Ntaja!G253+Ntaja!H253+Ntaja!I253</f>
        <v>85</v>
      </c>
      <c r="H253" s="572">
        <f>SUM(D253:G253)</f>
        <v>391</v>
      </c>
    </row>
    <row r="254" spans="1:8" s="2" customFormat="1" x14ac:dyDescent="0.3">
      <c r="A254" s="613" t="s">
        <v>12</v>
      </c>
      <c r="B254" s="614"/>
      <c r="C254" s="5" t="s">
        <v>3</v>
      </c>
      <c r="D254" s="26">
        <f>Balaka!G254+Balaka!H254+Balaka!I254</f>
        <v>3</v>
      </c>
      <c r="E254" s="26">
        <f>Liwonde!G254+Liwonde!H254+Liwonde!I254</f>
        <v>3</v>
      </c>
      <c r="F254" s="26">
        <f>Machinga!G254+Machinga!H254+Machinga!I254</f>
        <v>3</v>
      </c>
      <c r="G254" s="26">
        <f>Ntaja!G254+Ntaja!H254+Ntaja!I254</f>
        <v>3</v>
      </c>
      <c r="H254" s="572">
        <f>SUM(D254:G254)</f>
        <v>12</v>
      </c>
    </row>
    <row r="255" spans="1:8" ht="15.75" customHeight="1" x14ac:dyDescent="0.3">
      <c r="A255" s="613" t="s">
        <v>11</v>
      </c>
      <c r="B255" s="614"/>
      <c r="C255" s="5" t="s">
        <v>3</v>
      </c>
      <c r="D255" s="26">
        <f>Balaka!G255+Balaka!H255+Balaka!I255</f>
        <v>1319</v>
      </c>
      <c r="E255" s="26">
        <f>Liwonde!G255+Liwonde!H255+Liwonde!I255</f>
        <v>1036</v>
      </c>
      <c r="F255" s="26">
        <f>Machinga!G255+Machinga!H255+Machinga!I255</f>
        <v>36</v>
      </c>
      <c r="G255" s="26">
        <f>Ntaja!G255+Ntaja!H255+Ntaja!I255</f>
        <v>61</v>
      </c>
      <c r="H255" s="572">
        <f>SUM(D255:G255)</f>
        <v>2452</v>
      </c>
    </row>
    <row r="256" spans="1:8" x14ac:dyDescent="0.3">
      <c r="A256" s="613" t="s">
        <v>10</v>
      </c>
      <c r="B256" s="614"/>
      <c r="C256" s="5" t="s">
        <v>3</v>
      </c>
      <c r="D256" s="26">
        <f>Balaka!G256+Balaka!H256+Balaka!I256</f>
        <v>145</v>
      </c>
      <c r="E256" s="26">
        <f>Liwonde!G256+Liwonde!H256+Liwonde!I256</f>
        <v>131</v>
      </c>
      <c r="F256" s="26">
        <f>Machinga!G256+Machinga!H256+Machinga!I256</f>
        <v>14</v>
      </c>
      <c r="G256" s="26">
        <f>Ntaja!G256+Ntaja!H256+Ntaja!I256</f>
        <v>86</v>
      </c>
      <c r="H256" s="572">
        <f>SUM(D256:G256)</f>
        <v>376</v>
      </c>
    </row>
    <row r="257" spans="1:8" ht="15.6" customHeight="1" x14ac:dyDescent="0.3">
      <c r="A257" s="613" t="s">
        <v>9</v>
      </c>
      <c r="B257" s="614"/>
      <c r="C257" s="5" t="s">
        <v>3</v>
      </c>
      <c r="D257" s="26">
        <f>Balaka!G257+Balaka!H257+Balaka!I257</f>
        <v>55</v>
      </c>
      <c r="E257" s="26">
        <f>Liwonde!G257+Liwonde!H257+Liwonde!I257</f>
        <v>120</v>
      </c>
      <c r="F257" s="26">
        <f>Machinga!G257+Machinga!H257+Machinga!I257</f>
        <v>45</v>
      </c>
      <c r="G257" s="26">
        <f>Ntaja!G257+Ntaja!H257+Ntaja!I257</f>
        <v>61</v>
      </c>
      <c r="H257" s="572">
        <f>SUM(D257:G257)</f>
        <v>281</v>
      </c>
    </row>
    <row r="258" spans="1:8" x14ac:dyDescent="0.3">
      <c r="A258" s="649" t="s">
        <v>8</v>
      </c>
      <c r="B258" s="650"/>
      <c r="C258" s="5" t="s">
        <v>3</v>
      </c>
      <c r="D258" s="1">
        <f t="shared" ref="D258:H258" si="72">D257/D256</f>
        <v>0.37931034482758619</v>
      </c>
      <c r="E258" s="1">
        <f t="shared" si="72"/>
        <v>0.91603053435114501</v>
      </c>
      <c r="F258" s="1">
        <f t="shared" si="72"/>
        <v>3.2142857142857144</v>
      </c>
      <c r="G258" s="3">
        <f t="shared" si="72"/>
        <v>0.70930232558139539</v>
      </c>
      <c r="H258" s="572">
        <f t="shared" si="72"/>
        <v>0.74734042553191493</v>
      </c>
    </row>
    <row r="259" spans="1:8" x14ac:dyDescent="0.3">
      <c r="A259" s="649" t="s">
        <v>7</v>
      </c>
      <c r="B259" s="650"/>
      <c r="C259" s="5" t="s">
        <v>6</v>
      </c>
      <c r="D259" s="1">
        <f t="shared" ref="D259:H259" si="73">D92/D255*100</f>
        <v>9.3252463987869607</v>
      </c>
      <c r="E259" s="1">
        <f t="shared" si="73"/>
        <v>9.4594594594594597</v>
      </c>
      <c r="F259" s="1">
        <f t="shared" si="73"/>
        <v>38.888888888888893</v>
      </c>
      <c r="G259" s="6">
        <f t="shared" si="73"/>
        <v>0</v>
      </c>
      <c r="H259" s="110">
        <f t="shared" si="73"/>
        <v>9.5840130505709631</v>
      </c>
    </row>
    <row r="260" spans="1:8" ht="14.4" x14ac:dyDescent="0.3">
      <c r="A260" s="586" t="s">
        <v>5</v>
      </c>
      <c r="B260" s="587"/>
      <c r="C260" s="587"/>
      <c r="D260" s="587"/>
      <c r="E260" s="587"/>
      <c r="F260" s="587"/>
      <c r="G260" s="587"/>
      <c r="H260" s="588"/>
    </row>
    <row r="261" spans="1:8" s="2" customFormat="1" ht="15" customHeight="1" x14ac:dyDescent="0.3">
      <c r="A261" s="613" t="s">
        <v>4</v>
      </c>
      <c r="B261" s="614"/>
      <c r="C261" s="5" t="s">
        <v>3</v>
      </c>
      <c r="D261" s="26">
        <f>Balaka!G261+Balaka!H261+Balaka!I261</f>
        <v>70</v>
      </c>
      <c r="E261" s="26">
        <f>Liwonde!G261+Liwonde!H261+Liwonde!I261</f>
        <v>89</v>
      </c>
      <c r="F261" s="26">
        <f>Machinga!G261+Machinga!H261+Machinga!I261</f>
        <v>31</v>
      </c>
      <c r="G261" s="26">
        <f>Ntaja!G261+Ntaja!H261+Ntaja!I261</f>
        <v>13</v>
      </c>
      <c r="H261" s="519">
        <f>SUM(D261:G261)</f>
        <v>203</v>
      </c>
    </row>
    <row r="262" spans="1:8" s="2" customFormat="1" ht="15.75" customHeight="1" x14ac:dyDescent="0.3">
      <c r="A262" s="613" t="s">
        <v>2</v>
      </c>
      <c r="B262" s="614"/>
      <c r="C262" s="5" t="s">
        <v>0</v>
      </c>
      <c r="D262" s="26">
        <f>Balaka!G262+Balaka!H262+Balaka!I262</f>
        <v>90</v>
      </c>
      <c r="E262" s="26">
        <f>Liwonde!G262+Liwonde!H262+Liwonde!I262</f>
        <v>48</v>
      </c>
      <c r="F262" s="26">
        <f>Machinga!G262+Machinga!H262+Machinga!I262</f>
        <v>12</v>
      </c>
      <c r="G262" s="26">
        <f>Ntaja!G262+Ntaja!H262+Ntaja!I262</f>
        <v>5</v>
      </c>
      <c r="H262" s="519">
        <f>SUM(D262:G262)</f>
        <v>155</v>
      </c>
    </row>
    <row r="263" spans="1:8" ht="16.2" thickBot="1" x14ac:dyDescent="0.35">
      <c r="A263" s="660" t="s">
        <v>1</v>
      </c>
      <c r="B263" s="661"/>
      <c r="C263" s="116" t="s">
        <v>0</v>
      </c>
      <c r="D263" s="152">
        <f>D261/D262</f>
        <v>0.77777777777777779</v>
      </c>
      <c r="E263" s="152">
        <f t="shared" ref="E263:H263" si="74">E261/E262</f>
        <v>1.8541666666666667</v>
      </c>
      <c r="F263" s="152">
        <f t="shared" si="74"/>
        <v>2.5833333333333335</v>
      </c>
      <c r="G263" s="152">
        <f t="shared" si="74"/>
        <v>2.6</v>
      </c>
      <c r="H263" s="164">
        <f t="shared" si="74"/>
        <v>1.3096774193548386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CD87-6B05-4A99-A02C-AEB645275E63}">
  <sheetPr codeName="Sheet14"/>
  <dimension ref="A1:K263"/>
  <sheetViews>
    <sheetView workbookViewId="0">
      <pane ySplit="5" topLeftCell="A6" activePane="bottomLeft" state="frozen"/>
      <selection pane="bottomLeft" activeCell="F118" sqref="F118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4.5546875" style="521" bestFit="1" customWidth="1"/>
    <col min="11" max="11" width="11.109375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55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552"/>
    </row>
    <row r="3" spans="1:8" ht="18" thickBot="1" x14ac:dyDescent="0.35">
      <c r="A3" s="171" t="s">
        <v>217</v>
      </c>
      <c r="B3" s="172"/>
      <c r="C3" s="172"/>
      <c r="D3" s="172"/>
      <c r="E3" s="172"/>
      <c r="F3" s="172"/>
      <c r="G3" s="172"/>
      <c r="H3" s="563"/>
    </row>
    <row r="4" spans="1:8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553"/>
    </row>
    <row r="5" spans="1:8" ht="14.4" customHeight="1" x14ac:dyDescent="0.3">
      <c r="A5" s="95" t="s">
        <v>218</v>
      </c>
      <c r="B5" s="96"/>
      <c r="C5" s="96"/>
      <c r="D5" s="193"/>
      <c r="E5" s="96"/>
      <c r="F5" s="96"/>
      <c r="G5" s="193"/>
      <c r="H5" s="564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565"/>
    </row>
    <row r="7" spans="1:8" ht="16.2" thickBot="1" x14ac:dyDescent="0.35">
      <c r="A7" s="580" t="s">
        <v>174</v>
      </c>
      <c r="B7" s="58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59" t="s">
        <v>160</v>
      </c>
    </row>
    <row r="8" spans="1:8" ht="15" thickBot="1" x14ac:dyDescent="0.35">
      <c r="A8" s="591" t="s">
        <v>159</v>
      </c>
      <c r="B8" s="592"/>
      <c r="C8" s="592"/>
      <c r="D8" s="592"/>
      <c r="E8" s="592"/>
      <c r="F8" s="592"/>
      <c r="G8" s="592"/>
      <c r="H8" s="593"/>
    </row>
    <row r="9" spans="1:8" x14ac:dyDescent="0.3">
      <c r="A9" s="594" t="s">
        <v>176</v>
      </c>
      <c r="B9" s="595"/>
      <c r="C9" s="58" t="s">
        <v>152</v>
      </c>
      <c r="D9" s="57">
        <f>Balaka!D9+Balaka!E9+Balaka!F9+Balaka!G9+Balaka!H9+Balaka!I9</f>
        <v>363867</v>
      </c>
      <c r="E9" s="57">
        <f>Liwonde!D9+Liwonde!E9+Liwonde!F9+Liwonde!G9+Liwonde!H9+Liwonde!I9</f>
        <v>378576</v>
      </c>
      <c r="F9" s="57">
        <f>Machinga!D9+Machinga!E9+Machinga!F9+Machinga!G9+Machinga!H9+Machinga!I9</f>
        <v>19142</v>
      </c>
      <c r="G9" s="57">
        <f>Ntaja!D9+Ntaja!E9+Ntaja!F9+Ntaja!G9+Ntaja!H9+Ntaja!I9</f>
        <v>19010.010000000002</v>
      </c>
      <c r="H9" s="153">
        <f>SUM(D9:G9)</f>
        <v>780595.01</v>
      </c>
    </row>
    <row r="10" spans="1:8" ht="14.4" x14ac:dyDescent="0.3">
      <c r="A10" s="586" t="s">
        <v>177</v>
      </c>
      <c r="B10" s="587"/>
      <c r="C10" s="587"/>
      <c r="D10" s="664"/>
      <c r="E10" s="664"/>
      <c r="F10" s="664"/>
      <c r="G10" s="664"/>
      <c r="H10" s="679"/>
    </row>
    <row r="11" spans="1:8" x14ac:dyDescent="0.3">
      <c r="A11" s="589" t="s">
        <v>157</v>
      </c>
      <c r="B11" s="590"/>
      <c r="C11" s="11" t="s">
        <v>152</v>
      </c>
      <c r="D11" s="26">
        <f>Balaka!D11+Balaka!E11+Balaka!F11+Balaka!G11+Balaka!H11+Balaka!I11</f>
        <v>159211</v>
      </c>
      <c r="E11" s="26">
        <f>Liwonde!D11+Liwonde!E11+Liwonde!F11+Liwonde!G11+Liwonde!H11+Liwonde!I11</f>
        <v>149578</v>
      </c>
      <c r="F11" s="26">
        <f>Machinga!D11+Machinga!E11+Machinga!F11+Machinga!G11+Machinga!H11+Machinga!I11</f>
        <v>7363</v>
      </c>
      <c r="G11" s="26">
        <f>Ntaja!D11+Ntaja!E11+Ntaja!F11+Ntaja!G11+Ntaja!H11+Ntaja!I11</f>
        <v>1085</v>
      </c>
      <c r="H11" s="55">
        <f>SUM(D11:G11)</f>
        <v>317237</v>
      </c>
    </row>
    <row r="12" spans="1:8" x14ac:dyDescent="0.3">
      <c r="A12" s="589" t="s">
        <v>156</v>
      </c>
      <c r="B12" s="590"/>
      <c r="C12" s="11" t="s">
        <v>152</v>
      </c>
      <c r="D12" s="26">
        <f>Balaka!D12+Balaka!E12+Balaka!F12+Balaka!G12+Balaka!H12+Balaka!I12</f>
        <v>6000</v>
      </c>
      <c r="E12" s="26">
        <f>Liwonde!D12+Liwonde!E12+Liwonde!F12+Liwonde!G12+Liwonde!H12+Liwonde!I12</f>
        <v>2607</v>
      </c>
      <c r="F12" s="26">
        <f>Machinga!D12+Machinga!E12+Machinga!F12+Machinga!G12+Machinga!H12+Machinga!I12</f>
        <v>0</v>
      </c>
      <c r="G12" s="26">
        <f>Ntaja!D12+Ntaja!E12+Ntaja!F12+Ntaja!G12+Ntaja!H12+Ntaja!I12</f>
        <v>0</v>
      </c>
      <c r="H12" s="55">
        <f>SUM(D12:G12)</f>
        <v>8607</v>
      </c>
    </row>
    <row r="13" spans="1:8" x14ac:dyDescent="0.3">
      <c r="A13" s="589" t="s">
        <v>155</v>
      </c>
      <c r="B13" s="590"/>
      <c r="C13" s="11" t="s">
        <v>152</v>
      </c>
      <c r="D13" s="26">
        <f>Balaka!D13+Balaka!E13+Balaka!F13+Balaka!G13+Balaka!H13+Balaka!I13</f>
        <v>4111</v>
      </c>
      <c r="E13" s="26">
        <f>Liwonde!D13+Liwonde!E13+Liwonde!F13+Liwonde!G13+Liwonde!H13+Liwonde!I13</f>
        <v>13668</v>
      </c>
      <c r="F13" s="26">
        <f>Machinga!D13+Machinga!E13+Machinga!F13+Machinga!G13+Machinga!H13+Machinga!I13</f>
        <v>1856</v>
      </c>
      <c r="G13" s="26">
        <f>Ntaja!D13+Ntaja!E13+Ntaja!F13+Ntaja!G13+Ntaja!H13+Ntaja!I13</f>
        <v>104</v>
      </c>
      <c r="H13" s="55">
        <f>SUM(D13:G13)</f>
        <v>19739</v>
      </c>
    </row>
    <row r="14" spans="1:8" x14ac:dyDescent="0.3">
      <c r="A14" s="582" t="s">
        <v>154</v>
      </c>
      <c r="B14" s="583"/>
      <c r="C14" s="11" t="s">
        <v>152</v>
      </c>
      <c r="D14" s="26">
        <f>Balaka!D14+Balaka!E14+Balaka!F14+Balaka!G14+Balaka!H14+Balaka!I14</f>
        <v>600</v>
      </c>
      <c r="E14" s="26">
        <f>Liwonde!D14+Liwonde!E14+Liwonde!F14+Liwonde!G14+Liwonde!H14+Liwonde!I14</f>
        <v>1044</v>
      </c>
      <c r="F14" s="26">
        <f>Machinga!D14+Machinga!E14+Machinga!F14+Machinga!G14+Machinga!H14+Machinga!I14</f>
        <v>0</v>
      </c>
      <c r="G14" s="26">
        <f>Ntaja!D14+Ntaja!E14+Ntaja!F14+Ntaja!G14+Ntaja!H14+Ntaja!I14</f>
        <v>2</v>
      </c>
      <c r="H14" s="55">
        <f>SUM(D14:G14)</f>
        <v>1646</v>
      </c>
    </row>
    <row r="15" spans="1:8" s="63" customFormat="1" x14ac:dyDescent="0.3">
      <c r="A15" s="584" t="s">
        <v>158</v>
      </c>
      <c r="B15" s="585"/>
      <c r="C15" s="62" t="s">
        <v>152</v>
      </c>
      <c r="D15" s="34">
        <f t="shared" ref="D15:H15" si="0">SUM(D11:D14)</f>
        <v>169922</v>
      </c>
      <c r="E15" s="34">
        <f t="shared" si="0"/>
        <v>166897</v>
      </c>
      <c r="F15" s="34">
        <f t="shared" si="0"/>
        <v>9219</v>
      </c>
      <c r="G15" s="34">
        <f t="shared" si="0"/>
        <v>1191</v>
      </c>
      <c r="H15" s="55">
        <f t="shared" si="0"/>
        <v>347229</v>
      </c>
    </row>
    <row r="16" spans="1:8" s="2" customFormat="1" ht="14.4" x14ac:dyDescent="0.3">
      <c r="A16" s="586" t="s">
        <v>178</v>
      </c>
      <c r="B16" s="587"/>
      <c r="C16" s="587"/>
      <c r="D16" s="587"/>
      <c r="E16" s="587"/>
      <c r="F16" s="587"/>
      <c r="G16" s="587"/>
      <c r="H16" s="588"/>
    </row>
    <row r="17" spans="1:11" s="2" customFormat="1" x14ac:dyDescent="0.3">
      <c r="A17" s="589" t="s">
        <v>180</v>
      </c>
      <c r="B17" s="590"/>
      <c r="C17" s="11" t="s">
        <v>152</v>
      </c>
      <c r="D17" s="26">
        <f>Balaka!D17+Balaka!E17+Balaka!F17+Balaka!G17+Balaka!H17+Balaka!I17</f>
        <v>42147</v>
      </c>
      <c r="E17" s="26">
        <f>Liwonde!D17+Liwonde!E17+Liwonde!F17+Liwonde!G17+Liwonde!H17+Liwonde!I17</f>
        <v>59194.400000000001</v>
      </c>
      <c r="F17" s="26">
        <f>Machinga!D17+Machinga!E17+Machinga!F17+Machinga!G17+Machinga!H17+Machinga!I17</f>
        <v>7347.7999999999993</v>
      </c>
      <c r="G17" s="26">
        <f>Ntaja!D17+Ntaja!E17+Ntaja!F17+Ntaja!G17+Ntaja!H17+Ntaja!I17</f>
        <v>9774.9</v>
      </c>
      <c r="H17" s="55">
        <f>SUM(D17:G17)</f>
        <v>118464.09999999999</v>
      </c>
    </row>
    <row r="18" spans="1:11" s="2" customFormat="1" x14ac:dyDescent="0.3">
      <c r="A18" s="589" t="s">
        <v>181</v>
      </c>
      <c r="B18" s="590"/>
      <c r="C18" s="11" t="s">
        <v>152</v>
      </c>
      <c r="D18" s="26">
        <f>Balaka!D18+Balaka!E18+Balaka!F18+Balaka!G18+Balaka!H18+Balaka!I18</f>
        <v>0</v>
      </c>
      <c r="E18" s="26">
        <f>Liwonde!D18+Liwonde!E18+Liwonde!F18+Liwonde!G18+Liwonde!H18+Liwonde!I18</f>
        <v>0</v>
      </c>
      <c r="F18" s="26">
        <f>Machinga!D18+Machinga!E18+Machinga!F18+Machinga!G18+Machinga!H18+Machinga!I18</f>
        <v>0</v>
      </c>
      <c r="G18" s="26">
        <f>Ntaja!D18+Ntaja!E18+Ntaja!F18+Ntaja!G18+Ntaja!H18+Ntaja!I18</f>
        <v>324</v>
      </c>
      <c r="H18" s="55">
        <f>SUM(D18:G18)</f>
        <v>324</v>
      </c>
    </row>
    <row r="19" spans="1:11" s="2" customFormat="1" x14ac:dyDescent="0.3">
      <c r="A19" s="589" t="s">
        <v>182</v>
      </c>
      <c r="B19" s="590"/>
      <c r="C19" s="11" t="s">
        <v>152</v>
      </c>
      <c r="D19" s="26">
        <f>Balaka!D19+Balaka!E19+Balaka!F19+Balaka!G19+Balaka!H19+Balaka!I19</f>
        <v>1374</v>
      </c>
      <c r="E19" s="26">
        <f>Liwonde!D19+Liwonde!E19+Liwonde!F19+Liwonde!G19+Liwonde!H19+Liwonde!I19</f>
        <v>0</v>
      </c>
      <c r="F19" s="26">
        <f>Machinga!D19+Machinga!E19+Machinga!F19+Machinga!G19+Machinga!H19+Machinga!I19</f>
        <v>0</v>
      </c>
      <c r="G19" s="26">
        <f>Ntaja!D19+Ntaja!E19+Ntaja!F19+Ntaja!G19+Ntaja!H19+Ntaja!I19</f>
        <v>338</v>
      </c>
      <c r="H19" s="55">
        <f>SUM(D19:G19)</f>
        <v>1712</v>
      </c>
    </row>
    <row r="20" spans="1:11" s="2" customFormat="1" x14ac:dyDescent="0.3">
      <c r="A20" s="582" t="s">
        <v>183</v>
      </c>
      <c r="B20" s="583"/>
      <c r="C20" s="11" t="s">
        <v>152</v>
      </c>
      <c r="D20" s="26">
        <f>Balaka!D20+Balaka!E20+Balaka!F20+Balaka!G20+Balaka!H20+Balaka!I20</f>
        <v>551</v>
      </c>
      <c r="E20" s="26">
        <f>Liwonde!D20+Liwonde!E20+Liwonde!F20+Liwonde!G20+Liwonde!H20+Liwonde!I20</f>
        <v>0</v>
      </c>
      <c r="F20" s="26">
        <f>Machinga!D20+Machinga!E20+Machinga!F20+Machinga!G20+Machinga!H20+Machinga!I20</f>
        <v>0</v>
      </c>
      <c r="G20" s="26">
        <f>Ntaja!D20+Ntaja!E20+Ntaja!F20+Ntaja!G20+Ntaja!H20+Ntaja!I20</f>
        <v>450</v>
      </c>
      <c r="H20" s="55">
        <f>SUM(D20:G20)</f>
        <v>1001</v>
      </c>
    </row>
    <row r="21" spans="1:11" s="73" customFormat="1" x14ac:dyDescent="0.3">
      <c r="A21" s="584" t="s">
        <v>184</v>
      </c>
      <c r="B21" s="585"/>
      <c r="C21" s="62" t="s">
        <v>152</v>
      </c>
      <c r="D21" s="34">
        <f>SUM(D17:D20)</f>
        <v>44072</v>
      </c>
      <c r="E21" s="34">
        <f t="shared" ref="E21:H21" si="1">SUM(E17:E20)</f>
        <v>59194.400000000001</v>
      </c>
      <c r="F21" s="34">
        <f t="shared" si="1"/>
        <v>7347.7999999999993</v>
      </c>
      <c r="G21" s="34">
        <f t="shared" si="1"/>
        <v>10886.9</v>
      </c>
      <c r="H21" s="55">
        <f t="shared" si="1"/>
        <v>121501.09999999999</v>
      </c>
    </row>
    <row r="22" spans="1:11" s="2" customFormat="1" x14ac:dyDescent="0.3">
      <c r="A22" s="181" t="s">
        <v>185</v>
      </c>
      <c r="B22" s="174"/>
      <c r="C22" s="11" t="s">
        <v>152</v>
      </c>
      <c r="D22" s="34">
        <f>D21+D15</f>
        <v>213994</v>
      </c>
      <c r="E22" s="34">
        <f t="shared" ref="E22:H22" si="2">E21+E15</f>
        <v>226091.4</v>
      </c>
      <c r="F22" s="34">
        <f t="shared" si="2"/>
        <v>16566.8</v>
      </c>
      <c r="G22" s="34">
        <f t="shared" si="2"/>
        <v>12077.9</v>
      </c>
      <c r="H22" s="55">
        <f t="shared" si="2"/>
        <v>468730.1</v>
      </c>
      <c r="K22" s="170"/>
    </row>
    <row r="23" spans="1:11" ht="14.4" x14ac:dyDescent="0.3">
      <c r="A23" s="586" t="s">
        <v>215</v>
      </c>
      <c r="B23" s="587"/>
      <c r="C23" s="587"/>
      <c r="D23" s="587"/>
      <c r="E23" s="587"/>
      <c r="F23" s="587"/>
      <c r="G23" s="587"/>
      <c r="H23" s="588"/>
    </row>
    <row r="24" spans="1:11" x14ac:dyDescent="0.3">
      <c r="A24" s="603" t="s">
        <v>179</v>
      </c>
      <c r="B24" s="37" t="s">
        <v>153</v>
      </c>
      <c r="C24" s="5" t="s">
        <v>152</v>
      </c>
      <c r="D24" s="131">
        <f>D9-D22</f>
        <v>149873</v>
      </c>
      <c r="E24" s="131">
        <f t="shared" ref="E24:G24" si="3">E9-E22</f>
        <v>152484.6</v>
      </c>
      <c r="F24" s="131">
        <f t="shared" si="3"/>
        <v>2575.2000000000007</v>
      </c>
      <c r="G24" s="131">
        <f t="shared" si="3"/>
        <v>6932.1100000000024</v>
      </c>
      <c r="H24" s="55">
        <f>SUM(D24:G24)</f>
        <v>311864.90999999997</v>
      </c>
    </row>
    <row r="25" spans="1:11" x14ac:dyDescent="0.3">
      <c r="A25" s="604"/>
      <c r="B25" s="53" t="s">
        <v>151</v>
      </c>
      <c r="C25" s="52" t="s">
        <v>6</v>
      </c>
      <c r="D25" s="51">
        <f t="shared" ref="D25:H25" si="4">D24/D9</f>
        <v>0.41188950907886673</v>
      </c>
      <c r="E25" s="51">
        <f t="shared" si="4"/>
        <v>0.40278464561937366</v>
      </c>
      <c r="F25" s="51">
        <f t="shared" si="4"/>
        <v>0.13453139692822069</v>
      </c>
      <c r="G25" s="51">
        <f t="shared" si="4"/>
        <v>0.36465577871868565</v>
      </c>
      <c r="H25" s="154">
        <f t="shared" si="4"/>
        <v>0.39952203896358496</v>
      </c>
    </row>
    <row r="26" spans="1:11" ht="14.4" x14ac:dyDescent="0.3">
      <c r="A26" s="586" t="s">
        <v>150</v>
      </c>
      <c r="B26" s="587"/>
      <c r="C26" s="587"/>
      <c r="D26" s="587"/>
      <c r="E26" s="587"/>
      <c r="F26" s="587"/>
      <c r="G26" s="587"/>
      <c r="H26" s="588"/>
    </row>
    <row r="27" spans="1:11" ht="14.4" x14ac:dyDescent="0.3">
      <c r="A27" s="665" t="s">
        <v>149</v>
      </c>
      <c r="B27" s="666"/>
      <c r="C27" s="666"/>
      <c r="D27" s="666"/>
      <c r="E27" s="666"/>
      <c r="F27" s="666"/>
      <c r="G27" s="666"/>
      <c r="H27" s="667"/>
    </row>
    <row r="28" spans="1:11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6"/>
    </row>
    <row r="29" spans="1:11" x14ac:dyDescent="0.3">
      <c r="A29" s="596" t="s">
        <v>146</v>
      </c>
      <c r="B29" s="579">
        <f>176264.5/50</f>
        <v>3525.29</v>
      </c>
      <c r="C29" s="5" t="s">
        <v>140</v>
      </c>
      <c r="D29" s="26">
        <f>Balaka!D29+Balaka!E29+Balaka!F29+Balaka!G29+Balaka!H29+Balaka!I29</f>
        <v>660</v>
      </c>
      <c r="E29" s="26">
        <f>Liwonde!D29+Liwonde!E29+Liwonde!F29+Liwonde!G29+Liwonde!H29+Liwonde!I29</f>
        <v>1883</v>
      </c>
      <c r="F29" s="26">
        <f>Machinga!D29+Machinga!E29+Machinga!F29+Machinga!G29+Machinga!H29+Machinga!I29</f>
        <v>63</v>
      </c>
      <c r="G29" s="26">
        <f>Ntaja!D29+Ntaja!E29+Ntaja!F29+Ntaja!G29+Ntaja!H29+Ntaja!I29</f>
        <v>44</v>
      </c>
      <c r="H29" s="45">
        <f>SUM(D29:G29)</f>
        <v>2650</v>
      </c>
    </row>
    <row r="30" spans="1:11" x14ac:dyDescent="0.3">
      <c r="A30" s="597"/>
      <c r="B30" s="579"/>
      <c r="C30" s="42" t="s">
        <v>139</v>
      </c>
      <c r="D30" s="15">
        <f t="shared" ref="D30:H30" si="5">D29/(D9/1000)</f>
        <v>1.8138495659128198</v>
      </c>
      <c r="E30" s="15">
        <f t="shared" si="5"/>
        <v>4.9739022019356742</v>
      </c>
      <c r="F30" s="15">
        <f t="shared" si="5"/>
        <v>3.2911921429317732</v>
      </c>
      <c r="G30" s="15">
        <f t="shared" si="5"/>
        <v>2.3145700607206412</v>
      </c>
      <c r="H30" s="40">
        <f t="shared" si="5"/>
        <v>3.3948461955963567</v>
      </c>
    </row>
    <row r="31" spans="1:11" x14ac:dyDescent="0.3">
      <c r="A31" s="598" t="s">
        <v>145</v>
      </c>
      <c r="B31" s="579">
        <f>53000.511/50</f>
        <v>1060.0102199999999</v>
      </c>
      <c r="C31" s="5" t="s">
        <v>140</v>
      </c>
      <c r="D31" s="26">
        <f>Balaka!D31+Balaka!E31+Balaka!F31+Balaka!G31+Balaka!H31+Balaka!I31</f>
        <v>0</v>
      </c>
      <c r="E31" s="26">
        <f>Liwonde!D31+Liwonde!E31+Liwonde!F31+Liwonde!G31+Liwonde!H31+Liwonde!I31</f>
        <v>0</v>
      </c>
      <c r="F31" s="26">
        <f>Machinga!D31+Machinga!E31+Machinga!F31+Machinga!G31+Machinga!H31+Machinga!I31</f>
        <v>0</v>
      </c>
      <c r="G31" s="26">
        <f>Ntaja!D31+Ntaja!E31+Ntaja!F31+Ntaja!G31+Ntaja!H31+Ntaja!I31</f>
        <v>0</v>
      </c>
      <c r="H31" s="45">
        <f>SUM(D31:G31)</f>
        <v>0</v>
      </c>
    </row>
    <row r="32" spans="1:11" x14ac:dyDescent="0.3">
      <c r="A32" s="599"/>
      <c r="B32" s="579"/>
      <c r="C32" s="42" t="s">
        <v>139</v>
      </c>
      <c r="D32" s="15">
        <f t="shared" ref="D32:G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40">
        <f>H31/(H9/1000)</f>
        <v>0</v>
      </c>
    </row>
    <row r="33" spans="1:8" x14ac:dyDescent="0.3">
      <c r="A33" s="598" t="s">
        <v>144</v>
      </c>
      <c r="B33" s="579">
        <f>61414.43/50</f>
        <v>1228.2886000000001</v>
      </c>
      <c r="C33" s="5" t="s">
        <v>140</v>
      </c>
      <c r="D33" s="26">
        <f>Balaka!D33+Balaka!E33+Balaka!F33+Balaka!G33+Balaka!H33+Balaka!I33</f>
        <v>0</v>
      </c>
      <c r="E33" s="26">
        <f>Liwonde!D33+Liwonde!E33+Liwonde!F33+Liwonde!G33+Liwonde!H33+Liwonde!I33</f>
        <v>0</v>
      </c>
      <c r="F33" s="26">
        <f>Machinga!D33+Machinga!E33+Machinga!F33+Machinga!G33+Machinga!H33+Machinga!I33</f>
        <v>0</v>
      </c>
      <c r="G33" s="26">
        <f>Ntaja!D33+Ntaja!E33+Ntaja!F33+Ntaja!G33+Ntaja!H33+Ntaja!I33</f>
        <v>0</v>
      </c>
      <c r="H33" s="45">
        <f>SUM(D33:G33)</f>
        <v>0</v>
      </c>
    </row>
    <row r="34" spans="1:8" x14ac:dyDescent="0.3">
      <c r="A34" s="599"/>
      <c r="B34" s="579"/>
      <c r="C34" s="42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40">
        <f t="shared" si="7"/>
        <v>0</v>
      </c>
    </row>
    <row r="35" spans="1:8" x14ac:dyDescent="0.3">
      <c r="A35" s="598" t="s">
        <v>143</v>
      </c>
      <c r="B35" s="579">
        <f>745345.16/200</f>
        <v>3726.7258000000002</v>
      </c>
      <c r="C35" s="5" t="s">
        <v>126</v>
      </c>
      <c r="D35" s="26">
        <f>Balaka!D35+Balaka!E35+Balaka!F35+Balaka!G35+Balaka!H35+Balaka!I35</f>
        <v>0</v>
      </c>
      <c r="E35" s="26">
        <f>Liwonde!D35+Liwonde!E35+Liwonde!F35+Liwonde!G35+Liwonde!H35+Liwonde!I35</f>
        <v>1067</v>
      </c>
      <c r="F35" s="26">
        <f>Machinga!D35+Machinga!E35+Machinga!F35+Machinga!G35+Machinga!H35+Machinga!I35</f>
        <v>0</v>
      </c>
      <c r="G35" s="26">
        <f>Ntaja!D35+Ntaja!E35+Ntaja!F35+Ntaja!G35+Ntaja!H35+Ntaja!I35</f>
        <v>0</v>
      </c>
      <c r="H35" s="45">
        <f>SUM(D35:G35)</f>
        <v>1067</v>
      </c>
    </row>
    <row r="36" spans="1:8" x14ac:dyDescent="0.3">
      <c r="A36" s="599"/>
      <c r="B36" s="579"/>
      <c r="C36" s="5" t="s">
        <v>142</v>
      </c>
      <c r="D36" s="13"/>
      <c r="E36" s="13"/>
      <c r="F36" s="13"/>
      <c r="G36" s="13"/>
      <c r="H36" s="45">
        <f>SUM(D36:G36)</f>
        <v>0</v>
      </c>
    </row>
    <row r="37" spans="1:8" x14ac:dyDescent="0.3">
      <c r="A37" s="598" t="s">
        <v>186</v>
      </c>
      <c r="B37" s="579">
        <f>790318.72/200</f>
        <v>3951.5935999999997</v>
      </c>
      <c r="C37" s="5" t="s">
        <v>126</v>
      </c>
      <c r="D37" s="26">
        <f>Balaka!D37+Balaka!E37+Balaka!F37+Balaka!G37+Balaka!H37+Balaka!I37</f>
        <v>0</v>
      </c>
      <c r="E37" s="26">
        <f>Liwonde!D37+Liwonde!E37+Liwonde!F37+Liwonde!G37+Liwonde!H37+Liwonde!I37</f>
        <v>0</v>
      </c>
      <c r="F37" s="26">
        <f>Machinga!D37+Machinga!E37+Machinga!F37+Machinga!G37+Machinga!H37+Machinga!I37</f>
        <v>0</v>
      </c>
      <c r="G37" s="26">
        <f>Ntaja!D37+Ntaja!E37+Ntaja!F37+Ntaja!G37+Ntaja!H37+Ntaja!I37</f>
        <v>0</v>
      </c>
      <c r="H37" s="45">
        <f>SUM(D37:G37)</f>
        <v>0</v>
      </c>
    </row>
    <row r="38" spans="1:8" x14ac:dyDescent="0.3">
      <c r="A38" s="599"/>
      <c r="B38" s="579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40">
        <f t="shared" si="8"/>
        <v>0</v>
      </c>
    </row>
    <row r="39" spans="1:8" x14ac:dyDescent="0.3">
      <c r="A39" s="598" t="s">
        <v>141</v>
      </c>
      <c r="B39" s="579">
        <v>1950</v>
      </c>
      <c r="C39" s="5" t="s">
        <v>140</v>
      </c>
      <c r="D39" s="26">
        <f>Balaka!D39+Balaka!E39+Balaka!F39+Balaka!G39+Balaka!H39+Balaka!I39</f>
        <v>0</v>
      </c>
      <c r="E39" s="26">
        <f>Liwonde!D39+Liwonde!E39+Liwonde!F39+Liwonde!G39+Liwonde!H39+Liwonde!I39</f>
        <v>0</v>
      </c>
      <c r="F39" s="26">
        <f>Machinga!D39+Machinga!E39+Machinga!F39+Machinga!G39+Machinga!H39+Machinga!I39</f>
        <v>0</v>
      </c>
      <c r="G39" s="26">
        <f>Ntaja!D39+Ntaja!E39+Ntaja!F39+Ntaja!G39+Ntaja!H39+Ntaja!I39</f>
        <v>0</v>
      </c>
      <c r="H39" s="45">
        <f>SUM(D39:G39)</f>
        <v>0</v>
      </c>
    </row>
    <row r="40" spans="1:8" x14ac:dyDescent="0.3">
      <c r="A40" s="599"/>
      <c r="B40" s="579"/>
      <c r="C40" s="42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40">
        <f t="shared" si="9"/>
        <v>0</v>
      </c>
    </row>
    <row r="41" spans="1:8" x14ac:dyDescent="0.3">
      <c r="A41" s="582" t="s">
        <v>138</v>
      </c>
      <c r="B41" s="583"/>
      <c r="C41" s="11" t="s">
        <v>31</v>
      </c>
      <c r="D41" s="41">
        <f>(D29*$B29)+(D31*$B31)+(D33*$B33)+(D35*$B35)+(D37*$B37)+(D39*$B39)</f>
        <v>2326691.4</v>
      </c>
      <c r="E41" s="41">
        <f t="shared" ref="E41:G41" si="10">(E29*$B29)+(E31*$B31)+(E33*$B33)+(E35*$B35)+(E37*$B37)+(E39*$B39)</f>
        <v>10614537.498600001</v>
      </c>
      <c r="F41" s="41">
        <f t="shared" si="10"/>
        <v>222093.27</v>
      </c>
      <c r="G41" s="41">
        <f t="shared" si="10"/>
        <v>155112.76</v>
      </c>
      <c r="H41" s="39">
        <f>SUM(D41:G41)</f>
        <v>13318434.9286</v>
      </c>
    </row>
    <row r="42" spans="1:8" x14ac:dyDescent="0.3">
      <c r="A42" s="608" t="s">
        <v>137</v>
      </c>
      <c r="B42" s="609"/>
      <c r="C42" s="42" t="s">
        <v>115</v>
      </c>
      <c r="D42" s="15">
        <f t="shared" ref="D42:H42" si="11">D41/D9</f>
        <v>6.3943457362168044</v>
      </c>
      <c r="E42" s="15">
        <f t="shared" si="11"/>
        <v>28.038062366869532</v>
      </c>
      <c r="F42" s="15">
        <f t="shared" si="11"/>
        <v>11.60240674955595</v>
      </c>
      <c r="G42" s="15">
        <f t="shared" si="11"/>
        <v>8.1595306893578687</v>
      </c>
      <c r="H42" s="515">
        <f t="shared" si="11"/>
        <v>17.061901188171827</v>
      </c>
    </row>
    <row r="43" spans="1:8" ht="14.4" x14ac:dyDescent="0.3">
      <c r="A43" s="610" t="s">
        <v>136</v>
      </c>
      <c r="B43" s="611"/>
      <c r="C43" s="611"/>
      <c r="D43" s="611"/>
      <c r="E43" s="611"/>
      <c r="F43" s="611"/>
      <c r="G43" s="611"/>
      <c r="H43" s="612"/>
    </row>
    <row r="44" spans="1:8" x14ac:dyDescent="0.3">
      <c r="A44" s="582" t="s">
        <v>135</v>
      </c>
      <c r="B44" s="583"/>
      <c r="C44" s="11" t="s">
        <v>134</v>
      </c>
      <c r="D44" s="26">
        <f>Balaka!D44+Balaka!E44+Balaka!F44+Balaka!G44+Balaka!H44+Balaka!I44</f>
        <v>249005</v>
      </c>
      <c r="E44" s="26">
        <f>Liwonde!D44+Liwonde!E44+Liwonde!F44+Liwonde!G44+Liwonde!H44+Liwonde!I44</f>
        <v>415709.55000000005</v>
      </c>
      <c r="F44" s="26">
        <f>Machinga!D44+Machinga!E44+Machinga!F44+Machinga!G44+Machinga!H44+Machinga!I44</f>
        <v>2589</v>
      </c>
      <c r="G44" s="26">
        <f>Ntaja!D44+Ntaja!E44+Ntaja!F44+Ntaja!G44+Ntaja!H44+Ntaja!I44</f>
        <v>22224.050000000003</v>
      </c>
      <c r="H44" s="39">
        <f>SUM(D44:G44)</f>
        <v>689527.60000000009</v>
      </c>
    </row>
    <row r="45" spans="1:8" x14ac:dyDescent="0.3">
      <c r="A45" s="608" t="s">
        <v>133</v>
      </c>
      <c r="B45" s="609"/>
      <c r="C45" s="42" t="s">
        <v>132</v>
      </c>
      <c r="D45" s="15">
        <f t="shared" ref="D45:H45" si="12">D44/D9</f>
        <v>0.68432971387897223</v>
      </c>
      <c r="E45" s="15">
        <f t="shared" si="12"/>
        <v>1.0980874381894257</v>
      </c>
      <c r="F45" s="15">
        <f t="shared" si="12"/>
        <v>0.13525232473095811</v>
      </c>
      <c r="G45" s="15">
        <f t="shared" si="12"/>
        <v>1.1690709263172403</v>
      </c>
      <c r="H45" s="40">
        <f t="shared" si="12"/>
        <v>0.88333590551648555</v>
      </c>
    </row>
    <row r="46" spans="1:8" x14ac:dyDescent="0.3">
      <c r="A46" s="613" t="s">
        <v>131</v>
      </c>
      <c r="B46" s="614"/>
      <c r="C46" s="5" t="s">
        <v>31</v>
      </c>
      <c r="D46" s="26">
        <f>Balaka!D46+Balaka!E46+Balaka!F46+Balaka!G46+Balaka!H46+Balaka!I46</f>
        <v>37233832.331499994</v>
      </c>
      <c r="E46" s="26">
        <f>Liwonde!D46+Liwonde!E46+Liwonde!F46+Liwonde!G46+Liwonde!H46+Liwonde!I46</f>
        <v>61626298.179125004</v>
      </c>
      <c r="F46" s="26">
        <f>Machinga!D46+Machinga!E46+Machinga!F46+Machinga!G46+Machinga!H46+Machinga!I46</f>
        <v>494766.52950000006</v>
      </c>
      <c r="G46" s="26">
        <f>Ntaja!D46+Ntaja!E46+Ntaja!F46+Ntaja!G46+Ntaja!H46+Ntaja!I46</f>
        <v>3396793.2435750002</v>
      </c>
      <c r="H46" s="39">
        <f>SUM(D46:G46)</f>
        <v>102751690.2837</v>
      </c>
    </row>
    <row r="47" spans="1:8" s="2" customFormat="1" x14ac:dyDescent="0.3">
      <c r="A47" s="582" t="s">
        <v>130</v>
      </c>
      <c r="B47" s="583"/>
      <c r="C47" s="11" t="s">
        <v>115</v>
      </c>
      <c r="D47" s="15">
        <f t="shared" ref="D47:H47" si="13">D46/D9</f>
        <v>102.32813729054845</v>
      </c>
      <c r="E47" s="15">
        <f t="shared" si="13"/>
        <v>162.78448232092103</v>
      </c>
      <c r="F47" s="15">
        <f t="shared" si="13"/>
        <v>25.847170071047962</v>
      </c>
      <c r="G47" s="15">
        <f t="shared" si="13"/>
        <v>178.68445327356483</v>
      </c>
      <c r="H47" s="40">
        <f t="shared" si="13"/>
        <v>131.63252258517514</v>
      </c>
    </row>
    <row r="48" spans="1:8" ht="14.4" x14ac:dyDescent="0.3">
      <c r="A48" s="610" t="s">
        <v>129</v>
      </c>
      <c r="B48" s="611"/>
      <c r="C48" s="611"/>
      <c r="D48" s="611"/>
      <c r="E48" s="611"/>
      <c r="F48" s="611"/>
      <c r="G48" s="611"/>
      <c r="H48" s="612"/>
    </row>
    <row r="49" spans="1:8" x14ac:dyDescent="0.3">
      <c r="A49" s="582" t="s">
        <v>128</v>
      </c>
      <c r="B49" s="583"/>
      <c r="C49" s="5" t="s">
        <v>127</v>
      </c>
      <c r="D49" s="26">
        <f>Balaka!D49+Balaka!E49+Balaka!F49+Balaka!G49+Balaka!H49+Balaka!I49</f>
        <v>14625</v>
      </c>
      <c r="E49" s="26">
        <f>Liwonde!D49+Liwonde!E49+Liwonde!F49+Liwonde!G49+Liwonde!H49+Liwonde!I49</f>
        <v>15946</v>
      </c>
      <c r="F49" s="26">
        <f>Machinga!D49+Machinga!E49+Machinga!F49+Machinga!G49+Machinga!H49+Machinga!I49</f>
        <v>0</v>
      </c>
      <c r="G49" s="26">
        <f>Ntaja!D49+Ntaja!E49+Ntaja!F49+Ntaja!G49+Ntaja!H49+Ntaja!I49</f>
        <v>0</v>
      </c>
      <c r="H49" s="39">
        <f>SUM(D49:G49)</f>
        <v>30571</v>
      </c>
    </row>
    <row r="50" spans="1:8" x14ac:dyDescent="0.3">
      <c r="A50" s="582" t="s">
        <v>187</v>
      </c>
      <c r="B50" s="583"/>
      <c r="C50" s="5" t="s">
        <v>126</v>
      </c>
      <c r="D50" s="26">
        <f>Balaka!D50+Balaka!E50+Balaka!F50+Balaka!G50+Balaka!H50+Balaka!I50</f>
        <v>1453</v>
      </c>
      <c r="E50" s="26">
        <f>Liwonde!D50+Liwonde!E50+Liwonde!F50+Liwonde!G50+Liwonde!H50+Liwonde!I50</f>
        <v>1422.8600000000001</v>
      </c>
      <c r="F50" s="26">
        <f>Machinga!D50+Machinga!E50+Machinga!F50+Machinga!G50+Machinga!H50+Machinga!I50</f>
        <v>0</v>
      </c>
      <c r="G50" s="26">
        <f>Ntaja!D50+Ntaja!E50+Ntaja!F50+Ntaja!G50+Ntaja!H50+Ntaja!I50</f>
        <v>15</v>
      </c>
      <c r="H50" s="39">
        <f>SUM(D50:G50)</f>
        <v>2890.86</v>
      </c>
    </row>
    <row r="51" spans="1:8" x14ac:dyDescent="0.3">
      <c r="A51" s="613" t="s">
        <v>125</v>
      </c>
      <c r="B51" s="614"/>
      <c r="C51" s="5" t="s">
        <v>31</v>
      </c>
      <c r="D51" s="26">
        <f>Balaka!D51+Balaka!E51+Balaka!F51+Balaka!G51+Balaka!H51+Balaka!I51</f>
        <v>2912650</v>
      </c>
      <c r="E51" s="26">
        <f>Liwonde!D51+Liwonde!E51+Liwonde!F51+Liwonde!G51+Liwonde!H51+Liwonde!I51</f>
        <v>2731891.2</v>
      </c>
      <c r="F51" s="26">
        <f>Machinga!D51+Machinga!E51+Machinga!F51+Machinga!G51+Machinga!H51+Machinga!I51</f>
        <v>0</v>
      </c>
      <c r="G51" s="26">
        <f>Ntaja!D51+Ntaja!E51+Ntaja!F51+Ntaja!G51+Ntaja!H51+Ntaja!I51</f>
        <v>26190</v>
      </c>
      <c r="H51" s="40">
        <f>SUM(D51:G51)</f>
        <v>5670731.2000000002</v>
      </c>
    </row>
    <row r="52" spans="1:8" x14ac:dyDescent="0.3">
      <c r="A52" s="582" t="s">
        <v>124</v>
      </c>
      <c r="B52" s="583"/>
      <c r="C52" s="5" t="s">
        <v>31</v>
      </c>
      <c r="D52" s="13">
        <f>Balaka!D52+Balaka!E52+Balaka!F52+Balaka!G52+Balaka!H52+Balaka!I52</f>
        <v>0</v>
      </c>
      <c r="E52" s="13">
        <f>Balaka!E52+Balaka!F52+Balaka!G52+Balaka!H52+Balaka!I52+Balaka!J52</f>
        <v>0</v>
      </c>
      <c r="F52" s="13">
        <f>Balaka!F52+Balaka!G52+Balaka!H52+Balaka!I52+Balaka!J52+Balaka!K52</f>
        <v>0</v>
      </c>
      <c r="G52" s="13">
        <f>Balaka!G52+Balaka!H52+Balaka!I52+Balaka!J52+Balaka!K52+Balaka!L52</f>
        <v>0</v>
      </c>
      <c r="H52" s="40">
        <f>SUM(D52:G52)</f>
        <v>0</v>
      </c>
    </row>
    <row r="53" spans="1:8" ht="14.4" x14ac:dyDescent="0.3">
      <c r="A53" s="610" t="s">
        <v>123</v>
      </c>
      <c r="B53" s="611"/>
      <c r="C53" s="611"/>
      <c r="D53" s="611"/>
      <c r="E53" s="611"/>
      <c r="F53" s="611"/>
      <c r="G53" s="611"/>
      <c r="H53" s="612"/>
    </row>
    <row r="54" spans="1:8" x14ac:dyDescent="0.3">
      <c r="A54" s="582" t="s">
        <v>122</v>
      </c>
      <c r="B54" s="583"/>
      <c r="C54" s="11" t="s">
        <v>18</v>
      </c>
      <c r="D54" s="26">
        <f>Balaka!D54+Balaka!E54+Balaka!F54+Balaka!G54+Balaka!H54+Balaka!I54</f>
        <v>35797957.82</v>
      </c>
      <c r="E54" s="26">
        <f>Liwonde!D54+Liwonde!E54+Liwonde!F54+Liwonde!G54+Liwonde!H54+Liwonde!I54</f>
        <v>52668798.240000002</v>
      </c>
      <c r="F54" s="26">
        <f>Machinga!D54+Machinga!E54+Machinga!F54+Machinga!G54+Machinga!H54+Machinga!I54</f>
        <v>7044366.1299999999</v>
      </c>
      <c r="G54" s="26">
        <f>Ntaja!D54+Ntaja!E54+Ntaja!F54+Ntaja!G54+Ntaja!H54+Ntaja!I54</f>
        <v>8766688.5300000012</v>
      </c>
      <c r="H54" s="39">
        <f>SUM(D54:G54)</f>
        <v>104277810.72</v>
      </c>
    </row>
    <row r="55" spans="1:8" x14ac:dyDescent="0.3">
      <c r="A55" s="173" t="s">
        <v>121</v>
      </c>
      <c r="B55" s="174"/>
      <c r="C55" s="11" t="s">
        <v>18</v>
      </c>
      <c r="D55" s="26">
        <f>Balaka!D55+Balaka!E55+Balaka!F55+Balaka!G55+Balaka!H55+Balaka!I55</f>
        <v>8058777.1500000004</v>
      </c>
      <c r="E55" s="26">
        <f>Liwonde!D55+Liwonde!E55+Liwonde!F55+Liwonde!G55+Liwonde!H55+Liwonde!I55</f>
        <v>21152495.75</v>
      </c>
      <c r="F55" s="26">
        <f>Machinga!D55+Machinga!E55+Machinga!F55+Machinga!G55+Machinga!H55+Machinga!I55</f>
        <v>4200389.58</v>
      </c>
      <c r="G55" s="26">
        <f>Ntaja!D55+Ntaja!E55+Ntaja!F55+Ntaja!G55+Ntaja!H55+Ntaja!I55</f>
        <v>2054250.25</v>
      </c>
      <c r="H55" s="39">
        <f>SUM(D55:G55)</f>
        <v>35465912.729999997</v>
      </c>
    </row>
    <row r="56" spans="1:8" x14ac:dyDescent="0.3">
      <c r="A56" s="582" t="s">
        <v>120</v>
      </c>
      <c r="B56" s="583"/>
      <c r="C56" s="5" t="s">
        <v>18</v>
      </c>
      <c r="D56" s="26">
        <f>Balaka!D56+Balaka!E56+Balaka!F56+Balaka!G56+Balaka!H56+Balaka!I56</f>
        <v>24451673.149999999</v>
      </c>
      <c r="E56" s="26">
        <f>Liwonde!D56+Liwonde!E56+Liwonde!F56+Liwonde!G56+Liwonde!H56+Liwonde!I56</f>
        <v>11586937</v>
      </c>
      <c r="F56" s="26">
        <f>Machinga!D56+Machinga!E56+Machinga!F56+Machinga!G56+Machinga!H56+Machinga!I56</f>
        <v>4746500</v>
      </c>
      <c r="G56" s="26">
        <f>Ntaja!D56+Ntaja!E56+Ntaja!F56+Ntaja!G56+Ntaja!H56+Ntaja!I56</f>
        <v>1549686.83</v>
      </c>
      <c r="H56" s="39">
        <f>SUM(D56:G56)</f>
        <v>42334796.979999997</v>
      </c>
    </row>
    <row r="57" spans="1:8" ht="14.4" x14ac:dyDescent="0.3">
      <c r="A57" s="610" t="s">
        <v>119</v>
      </c>
      <c r="B57" s="611"/>
      <c r="C57" s="611"/>
      <c r="D57" s="611"/>
      <c r="E57" s="611"/>
      <c r="F57" s="611"/>
      <c r="G57" s="611"/>
      <c r="H57" s="612"/>
    </row>
    <row r="58" spans="1:8" x14ac:dyDescent="0.3">
      <c r="A58" s="613" t="s">
        <v>118</v>
      </c>
      <c r="B58" s="614"/>
      <c r="C58" s="5" t="s">
        <v>18</v>
      </c>
      <c r="D58" s="13">
        <f>D41+D46+D51+D52+D54+D55+D56</f>
        <v>110781581.8515</v>
      </c>
      <c r="E58" s="13">
        <f t="shared" ref="E58:G58" si="14">E41+E46+E51+E52+E54+E55+E56</f>
        <v>160380957.86772501</v>
      </c>
      <c r="F58" s="13">
        <f t="shared" si="14"/>
        <v>16708115.509500001</v>
      </c>
      <c r="G58" s="13">
        <f t="shared" si="14"/>
        <v>15948721.613575002</v>
      </c>
      <c r="H58" s="39">
        <f>SUM(D58:G58)</f>
        <v>303819376.84230006</v>
      </c>
    </row>
    <row r="59" spans="1:8" x14ac:dyDescent="0.3">
      <c r="A59" s="613" t="s">
        <v>117</v>
      </c>
      <c r="B59" s="614"/>
      <c r="C59" s="5" t="s">
        <v>115</v>
      </c>
      <c r="D59" s="15">
        <f t="shared" ref="D59:H59" si="15">D58/D9</f>
        <v>304.456248715877</v>
      </c>
      <c r="E59" s="15">
        <f t="shared" si="15"/>
        <v>423.64269755009565</v>
      </c>
      <c r="F59" s="15">
        <f t="shared" si="15"/>
        <v>872.85108711210955</v>
      </c>
      <c r="G59" s="15">
        <f t="shared" si="15"/>
        <v>838.96439894429307</v>
      </c>
      <c r="H59" s="40">
        <f t="shared" si="15"/>
        <v>389.21511532888235</v>
      </c>
    </row>
    <row r="60" spans="1:8" x14ac:dyDescent="0.3">
      <c r="A60" s="613" t="s">
        <v>116</v>
      </c>
      <c r="B60" s="614"/>
      <c r="C60" s="5" t="s">
        <v>115</v>
      </c>
      <c r="D60" s="15">
        <f>D58/D22</f>
        <v>517.68545777685358</v>
      </c>
      <c r="E60" s="15">
        <f t="shared" ref="E60:G60" si="16">E58/E22</f>
        <v>709.36337192712779</v>
      </c>
      <c r="F60" s="15">
        <f t="shared" si="16"/>
        <v>1008.5300425851705</v>
      </c>
      <c r="G60" s="15">
        <f t="shared" si="16"/>
        <v>1320.4879667471168</v>
      </c>
      <c r="H60" s="182">
        <f>H58/H22</f>
        <v>648.17552114169769</v>
      </c>
    </row>
    <row r="61" spans="1:8" x14ac:dyDescent="0.3">
      <c r="A61" s="582" t="s">
        <v>114</v>
      </c>
      <c r="B61" s="583"/>
      <c r="C61" s="5" t="s">
        <v>3</v>
      </c>
      <c r="D61" s="26">
        <f>Balaka!I61</f>
        <v>15</v>
      </c>
      <c r="E61" s="26">
        <f>Liwonde!I61</f>
        <v>13</v>
      </c>
      <c r="F61" s="26">
        <f>Machinga!I61</f>
        <v>3</v>
      </c>
      <c r="G61" s="26">
        <f>Ntaja!I61</f>
        <v>6</v>
      </c>
      <c r="H61" s="39">
        <f>SUM(D61:G61)</f>
        <v>37</v>
      </c>
    </row>
    <row r="62" spans="1:8" ht="15.6" customHeight="1" x14ac:dyDescent="0.3">
      <c r="A62" s="613" t="s">
        <v>113</v>
      </c>
      <c r="B62" s="614"/>
      <c r="C62" s="5" t="s">
        <v>112</v>
      </c>
      <c r="D62" s="15">
        <f t="shared" ref="D62:H62" si="17">(D61*1000*31)/D9</f>
        <v>1.277939466893123</v>
      </c>
      <c r="E62" s="15">
        <f t="shared" si="17"/>
        <v>1.0645154473606357</v>
      </c>
      <c r="F62" s="15">
        <f t="shared" si="17"/>
        <v>4.858426496708808</v>
      </c>
      <c r="G62" s="15">
        <f t="shared" si="17"/>
        <v>9.7843188930463469</v>
      </c>
      <c r="H62" s="40">
        <f t="shared" si="17"/>
        <v>1.4693919193769891</v>
      </c>
    </row>
    <row r="63" spans="1:8" x14ac:dyDescent="0.3">
      <c r="A63" s="627" t="s">
        <v>111</v>
      </c>
      <c r="B63" s="628"/>
      <c r="C63" s="38" t="s">
        <v>3</v>
      </c>
      <c r="D63" s="26">
        <f>Balaka!I63</f>
        <v>21</v>
      </c>
      <c r="E63" s="26">
        <f>Liwonde!I63</f>
        <v>19</v>
      </c>
      <c r="F63" s="26">
        <f>Machinga!I63</f>
        <v>6</v>
      </c>
      <c r="G63" s="26">
        <f>Ntaja!I63</f>
        <v>6</v>
      </c>
      <c r="H63" s="39">
        <f>SUM(D63:G63)</f>
        <v>52</v>
      </c>
    </row>
    <row r="64" spans="1:8" ht="14.4" x14ac:dyDescent="0.3">
      <c r="A64" s="668"/>
      <c r="B64" s="669"/>
      <c r="C64" s="669"/>
      <c r="D64" s="669"/>
      <c r="E64" s="669"/>
      <c r="F64" s="669"/>
      <c r="G64" s="669"/>
      <c r="H64" s="670"/>
    </row>
    <row r="65" spans="1:8" ht="14.4" customHeight="1" x14ac:dyDescent="0.3">
      <c r="A65" s="610" t="s">
        <v>110</v>
      </c>
      <c r="B65" s="611"/>
      <c r="C65" s="611"/>
      <c r="D65" s="611"/>
      <c r="E65" s="611"/>
      <c r="F65" s="611"/>
      <c r="G65" s="611"/>
      <c r="H65" s="612"/>
    </row>
    <row r="66" spans="1:8" x14ac:dyDescent="0.3">
      <c r="A66" s="615" t="s">
        <v>109</v>
      </c>
      <c r="B66" s="37" t="s">
        <v>85</v>
      </c>
      <c r="C66" s="5" t="s">
        <v>3</v>
      </c>
      <c r="D66" s="26">
        <f>Balaka!D66</f>
        <v>435</v>
      </c>
      <c r="E66" s="26">
        <f>Liwonde!D66</f>
        <v>288</v>
      </c>
      <c r="F66" s="26">
        <f>Machinga!D66</f>
        <v>22</v>
      </c>
      <c r="G66" s="26">
        <f>Ntaja!D66</f>
        <v>2</v>
      </c>
      <c r="H66" s="183">
        <f>SUM(D66:G66)</f>
        <v>747</v>
      </c>
    </row>
    <row r="67" spans="1:8" x14ac:dyDescent="0.3">
      <c r="A67" s="616"/>
      <c r="B67" s="24" t="s">
        <v>104</v>
      </c>
      <c r="C67" s="5" t="s">
        <v>3</v>
      </c>
      <c r="D67" s="26">
        <f>Balaka!D67+Balaka!E67+Balaka!F67+Balaka!G67+Balaka!H67+Balaka!I67</f>
        <v>218</v>
      </c>
      <c r="E67" s="26">
        <f>Liwonde!D67+Liwonde!E67+Liwonde!F67+Liwonde!G67+Liwonde!H67+Liwonde!I67</f>
        <v>243</v>
      </c>
      <c r="F67" s="26">
        <f>Machinga!D67+Machinga!E67+Machinga!F67+Machinga!G67+Machinga!H67+Machinga!I67</f>
        <v>40</v>
      </c>
      <c r="G67" s="26">
        <f>Ntaja!D67+Ntaja!E67+Ntaja!F67+Ntaja!G67+Ntaja!H67+Ntaja!I67</f>
        <v>122</v>
      </c>
      <c r="H67" s="183">
        <f>SUM(D67:G67)</f>
        <v>623</v>
      </c>
    </row>
    <row r="68" spans="1:8" ht="27" x14ac:dyDescent="0.3">
      <c r="A68" s="616"/>
      <c r="B68" s="24" t="s">
        <v>103</v>
      </c>
      <c r="C68" s="5" t="s">
        <v>3</v>
      </c>
      <c r="D68" s="26">
        <f>Balaka!D68+Balaka!E68+Balaka!F68+Balaka!G68+Balaka!H68+Balaka!I68</f>
        <v>211</v>
      </c>
      <c r="E68" s="26">
        <f>Liwonde!D68+Liwonde!E68+Liwonde!F68+Liwonde!G68+Liwonde!H68+Liwonde!I68</f>
        <v>156</v>
      </c>
      <c r="F68" s="26">
        <f>Machinga!D68+Machinga!E68+Machinga!F68+Machinga!G68+Machinga!H68+Machinga!I68</f>
        <v>19</v>
      </c>
      <c r="G68" s="26">
        <f>Ntaja!D68+Ntaja!E68+Ntaja!F68+Ntaja!G68+Ntaja!H68+Ntaja!I68</f>
        <v>0</v>
      </c>
      <c r="H68" s="183">
        <f>SUM(D68:G68)</f>
        <v>386</v>
      </c>
    </row>
    <row r="69" spans="1:8" s="2" customFormat="1" ht="27" x14ac:dyDescent="0.3">
      <c r="A69" s="616"/>
      <c r="B69" s="24" t="s">
        <v>102</v>
      </c>
      <c r="C69" s="11" t="s">
        <v>3</v>
      </c>
      <c r="D69" s="26">
        <f>Balaka!D69+Balaka!E69+Balaka!F69+Balaka!G69+Balaka!H69+Balaka!I69</f>
        <v>0</v>
      </c>
      <c r="E69" s="26">
        <f>Liwonde!D69+Liwonde!E69+Liwonde!F69+Liwonde!G69+Liwonde!H69+Liwonde!I69</f>
        <v>23</v>
      </c>
      <c r="F69" s="26">
        <f>Machinga!D69+Machinga!E69+Machinga!F69+Machinga!G69+Machinga!H69+Machinga!I69</f>
        <v>31</v>
      </c>
      <c r="G69" s="26">
        <f>Ntaja!D69+Ntaja!E69+Ntaja!F69+Ntaja!G69+Ntaja!H69+Ntaja!I69</f>
        <v>92</v>
      </c>
      <c r="H69" s="183">
        <f>SUM(D69:G69)</f>
        <v>146</v>
      </c>
    </row>
    <row r="70" spans="1:8" s="2" customFormat="1" x14ac:dyDescent="0.3">
      <c r="A70" s="616"/>
      <c r="B70" s="24" t="s">
        <v>188</v>
      </c>
      <c r="C70" s="11" t="s">
        <v>3</v>
      </c>
      <c r="D70" s="4">
        <f>D68+D69</f>
        <v>211</v>
      </c>
      <c r="E70" s="4">
        <f t="shared" ref="E70:H70" si="18">E68+E69</f>
        <v>179</v>
      </c>
      <c r="F70" s="4">
        <f t="shared" si="18"/>
        <v>50</v>
      </c>
      <c r="G70" s="4">
        <f t="shared" si="18"/>
        <v>92</v>
      </c>
      <c r="H70" s="549">
        <f t="shared" si="18"/>
        <v>532</v>
      </c>
    </row>
    <row r="71" spans="1:8" x14ac:dyDescent="0.3">
      <c r="A71" s="617"/>
      <c r="B71" s="37" t="s">
        <v>81</v>
      </c>
      <c r="C71" s="5" t="s">
        <v>3</v>
      </c>
      <c r="D71" s="26">
        <f>D66+D67-D70</f>
        <v>442</v>
      </c>
      <c r="E71" s="26">
        <f t="shared" ref="E71:G71" si="19">E66+E67-E70</f>
        <v>352</v>
      </c>
      <c r="F71" s="26">
        <f t="shared" si="19"/>
        <v>12</v>
      </c>
      <c r="G71" s="26">
        <f t="shared" si="19"/>
        <v>32</v>
      </c>
      <c r="H71" s="160">
        <f>H66+H67-H70</f>
        <v>838</v>
      </c>
    </row>
    <row r="72" spans="1:8" x14ac:dyDescent="0.3">
      <c r="A72" s="615" t="s">
        <v>108</v>
      </c>
      <c r="B72" s="37" t="s">
        <v>85</v>
      </c>
      <c r="C72" s="5" t="s">
        <v>3</v>
      </c>
      <c r="D72" s="26">
        <f>Balaka!D72</f>
        <v>0</v>
      </c>
      <c r="E72" s="26">
        <f>Liwonde!D72</f>
        <v>0</v>
      </c>
      <c r="F72" s="26">
        <f>Machinga!D72</f>
        <v>0</v>
      </c>
      <c r="G72" s="26">
        <f>Ntaja!D72</f>
        <v>0</v>
      </c>
      <c r="H72" s="183">
        <f>SUM(D72:G72)</f>
        <v>0</v>
      </c>
    </row>
    <row r="73" spans="1:8" x14ac:dyDescent="0.3">
      <c r="A73" s="616"/>
      <c r="B73" s="24" t="s">
        <v>104</v>
      </c>
      <c r="C73" s="5" t="s">
        <v>3</v>
      </c>
      <c r="D73" s="26">
        <f>Balaka!D73+Balaka!E73+Balaka!F73+Balaka!G73+Balaka!H73+Balaka!I73</f>
        <v>0</v>
      </c>
      <c r="E73" s="26">
        <f>Liwonde!D73+Liwonde!E73+Liwonde!F73+Liwonde!G73+Liwonde!H73+Liwonde!I73</f>
        <v>0</v>
      </c>
      <c r="F73" s="26">
        <f>Machinga!D73+Machinga!E73+Machinga!F73+Machinga!G73+Machinga!H73+Machinga!I73</f>
        <v>1</v>
      </c>
      <c r="G73" s="26">
        <f>Ntaja!D73+Ntaja!E73+Ntaja!F73+Ntaja!G73+Ntaja!H73+Ntaja!I73</f>
        <v>1</v>
      </c>
      <c r="H73" s="183">
        <f>SUM(D73:G73)</f>
        <v>2</v>
      </c>
    </row>
    <row r="74" spans="1:8" ht="27" x14ac:dyDescent="0.3">
      <c r="A74" s="616"/>
      <c r="B74" s="24" t="s">
        <v>103</v>
      </c>
      <c r="C74" s="5" t="s">
        <v>3</v>
      </c>
      <c r="D74" s="26">
        <f>Balaka!D74+Balaka!E74+Balaka!F74+Balaka!G74+Balaka!H74+Balaka!I74</f>
        <v>0</v>
      </c>
      <c r="E74" s="26">
        <f>Liwonde!D74+Liwonde!E74+Liwonde!F74+Liwonde!G74+Liwonde!H74+Liwonde!I74</f>
        <v>0</v>
      </c>
      <c r="F74" s="26">
        <f>Machinga!D74+Machinga!E74+Machinga!F74+Machinga!G74+Machinga!H74+Machinga!I74</f>
        <v>1</v>
      </c>
      <c r="G74" s="26">
        <f>Ntaja!D74+Ntaja!E74+Ntaja!F74+Ntaja!G74+Ntaja!H74+Ntaja!I74</f>
        <v>0</v>
      </c>
      <c r="H74" s="183">
        <f>SUM(D74:G74)</f>
        <v>1</v>
      </c>
    </row>
    <row r="75" spans="1:8" s="2" customFormat="1" ht="27" x14ac:dyDescent="0.3">
      <c r="A75" s="616"/>
      <c r="B75" s="24" t="s">
        <v>102</v>
      </c>
      <c r="C75" s="11" t="s">
        <v>3</v>
      </c>
      <c r="D75" s="26">
        <f>Balaka!D75+Balaka!E75+Balaka!F75+Balaka!G75+Balaka!H75+Balaka!I75</f>
        <v>0</v>
      </c>
      <c r="E75" s="26">
        <f>Liwonde!D75+Liwonde!E75+Liwonde!F75+Liwonde!G75+Liwonde!H75+Liwonde!I75</f>
        <v>0</v>
      </c>
      <c r="F75" s="26">
        <f>Machinga!D75+Machinga!E75+Machinga!F75+Machinga!G75+Machinga!H75+Machinga!I75</f>
        <v>0</v>
      </c>
      <c r="G75" s="26">
        <f>Ntaja!D75+Ntaja!E75+Ntaja!F75+Ntaja!G75+Ntaja!H75+Ntaja!I75</f>
        <v>1</v>
      </c>
      <c r="H75" s="160"/>
    </row>
    <row r="76" spans="1:8" s="2" customFormat="1" x14ac:dyDescent="0.3">
      <c r="A76" s="616"/>
      <c r="B76" s="24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1</v>
      </c>
      <c r="G76" s="4">
        <f t="shared" si="20"/>
        <v>1</v>
      </c>
      <c r="H76" s="549">
        <f t="shared" si="20"/>
        <v>1</v>
      </c>
    </row>
    <row r="77" spans="1:8" x14ac:dyDescent="0.3">
      <c r="A77" s="617"/>
      <c r="B77" s="37" t="s">
        <v>81</v>
      </c>
      <c r="C77" s="5" t="s">
        <v>3</v>
      </c>
      <c r="D77" s="26">
        <f>D73+D74-D76</f>
        <v>0</v>
      </c>
      <c r="E77" s="26">
        <f t="shared" ref="E77:H77" si="21">E73+E74-E76</f>
        <v>0</v>
      </c>
      <c r="F77" s="26">
        <f t="shared" si="21"/>
        <v>1</v>
      </c>
      <c r="G77" s="26">
        <f t="shared" si="21"/>
        <v>0</v>
      </c>
      <c r="H77" s="160">
        <f t="shared" si="21"/>
        <v>2</v>
      </c>
    </row>
    <row r="78" spans="1:8" ht="15.6" customHeight="1" x14ac:dyDescent="0.3">
      <c r="A78" s="615" t="s">
        <v>107</v>
      </c>
      <c r="B78" s="37" t="s">
        <v>85</v>
      </c>
      <c r="C78" s="5" t="s">
        <v>3</v>
      </c>
      <c r="D78" s="26">
        <f>Balaka!D78</f>
        <v>0</v>
      </c>
      <c r="E78" s="26">
        <f>Liwonde!D78</f>
        <v>0</v>
      </c>
      <c r="F78" s="26">
        <f>Machinga!D78</f>
        <v>0</v>
      </c>
      <c r="G78" s="26">
        <f>Ntaja!D78</f>
        <v>0</v>
      </c>
      <c r="H78" s="183">
        <f>SUM(D78:G78)</f>
        <v>0</v>
      </c>
    </row>
    <row r="79" spans="1:8" x14ac:dyDescent="0.3">
      <c r="A79" s="616"/>
      <c r="B79" s="24" t="s">
        <v>104</v>
      </c>
      <c r="C79" s="5" t="s">
        <v>3</v>
      </c>
      <c r="D79" s="26">
        <f>Balaka!D79+Balaka!E79+Balaka!F79+Balaka!G79+Balaka!H79+Balaka!I79</f>
        <v>0</v>
      </c>
      <c r="E79" s="26">
        <f>Liwonde!D79+Liwonde!E79+Liwonde!F79+Liwonde!G79+Liwonde!H79+Liwonde!I79</f>
        <v>0</v>
      </c>
      <c r="F79" s="26">
        <f>Machinga!D79+Machinga!E79+Machinga!F79+Machinga!G79+Machinga!H79+Machinga!I79</f>
        <v>0</v>
      </c>
      <c r="G79" s="26">
        <f>Ntaja!D79+Ntaja!E79+Ntaja!F79+Ntaja!G79+Ntaja!H79+Ntaja!I79</f>
        <v>0</v>
      </c>
      <c r="H79" s="183">
        <f>SUM(D79:G79)</f>
        <v>0</v>
      </c>
    </row>
    <row r="80" spans="1:8" ht="27" x14ac:dyDescent="0.3">
      <c r="A80" s="616"/>
      <c r="B80" s="24" t="s">
        <v>103</v>
      </c>
      <c r="C80" s="5" t="s">
        <v>3</v>
      </c>
      <c r="D80" s="26">
        <f>Balaka!D80+Balaka!E80+Balaka!F80+Balaka!G80+Balaka!H80+Balaka!I80</f>
        <v>0</v>
      </c>
      <c r="E80" s="26">
        <f>Liwonde!D80+Liwonde!E80+Liwonde!F80+Liwonde!G80+Liwonde!H80+Liwonde!I80</f>
        <v>0</v>
      </c>
      <c r="F80" s="26">
        <f>Machinga!D80+Machinga!E80+Machinga!F80+Machinga!G80+Machinga!H80+Machinga!I80</f>
        <v>0</v>
      </c>
      <c r="G80" s="26">
        <f>Ntaja!D80+Ntaja!E80+Ntaja!F80+Ntaja!G80+Ntaja!H80+Ntaja!I80</f>
        <v>0</v>
      </c>
      <c r="H80" s="183"/>
    </row>
    <row r="81" spans="1:8" s="2" customFormat="1" ht="27" x14ac:dyDescent="0.3">
      <c r="A81" s="616"/>
      <c r="B81" s="24" t="s">
        <v>102</v>
      </c>
      <c r="C81" s="11" t="s">
        <v>3</v>
      </c>
      <c r="D81" s="26">
        <f>Balaka!D81+Balaka!E81+Balaka!F81+Balaka!G81+Balaka!H81+Balaka!I81</f>
        <v>0</v>
      </c>
      <c r="E81" s="26">
        <f>Liwonde!D81+Liwonde!E81+Liwonde!F81+Liwonde!G81+Liwonde!H81+Liwonde!I81</f>
        <v>0</v>
      </c>
      <c r="F81" s="26">
        <f>Machinga!D81+Machinga!E81+Machinga!F81+Machinga!G81+Machinga!H81+Machinga!I81</f>
        <v>0</v>
      </c>
      <c r="G81" s="26">
        <f>Ntaja!D81+Ntaja!E81+Ntaja!F81+Ntaja!G81+Ntaja!H81+Ntaja!I81</f>
        <v>0</v>
      </c>
      <c r="H81" s="160">
        <f>SUM(D81:G81)</f>
        <v>0</v>
      </c>
    </row>
    <row r="82" spans="1:8" s="2" customFormat="1" x14ac:dyDescent="0.3">
      <c r="A82" s="616"/>
      <c r="B82" s="24" t="s">
        <v>188</v>
      </c>
      <c r="C82" s="11" t="s">
        <v>3</v>
      </c>
      <c r="D82" s="4">
        <f>D81+D80</f>
        <v>0</v>
      </c>
      <c r="E82" s="4">
        <f t="shared" ref="E82:H82" si="22">E81+E80</f>
        <v>0</v>
      </c>
      <c r="F82" s="4">
        <f t="shared" si="22"/>
        <v>0</v>
      </c>
      <c r="G82" s="4">
        <f t="shared" si="22"/>
        <v>0</v>
      </c>
      <c r="H82" s="549">
        <f t="shared" si="22"/>
        <v>0</v>
      </c>
    </row>
    <row r="83" spans="1:8" x14ac:dyDescent="0.3">
      <c r="A83" s="617"/>
      <c r="B83" s="37" t="s">
        <v>81</v>
      </c>
      <c r="C83" s="5" t="s">
        <v>3</v>
      </c>
      <c r="D83" s="26">
        <f>D78+D79-D82</f>
        <v>0</v>
      </c>
      <c r="E83" s="26">
        <f t="shared" ref="E83:H83" si="23">E78+E79-E82</f>
        <v>0</v>
      </c>
      <c r="F83" s="26">
        <f t="shared" si="23"/>
        <v>0</v>
      </c>
      <c r="G83" s="26">
        <f t="shared" si="23"/>
        <v>0</v>
      </c>
      <c r="H83" s="160">
        <f t="shared" si="23"/>
        <v>0</v>
      </c>
    </row>
    <row r="84" spans="1:8" x14ac:dyDescent="0.3">
      <c r="A84" s="618" t="s">
        <v>106</v>
      </c>
      <c r="B84" s="37" t="s">
        <v>85</v>
      </c>
      <c r="C84" s="5" t="s">
        <v>3</v>
      </c>
      <c r="D84" s="26">
        <f>Balaka!D84</f>
        <v>0</v>
      </c>
      <c r="E84" s="26">
        <f>Liwonde!D84</f>
        <v>0</v>
      </c>
      <c r="F84" s="26">
        <f>Machinga!D84</f>
        <v>0</v>
      </c>
      <c r="G84" s="26">
        <f>Ntaja!D84</f>
        <v>0</v>
      </c>
      <c r="H84" s="183">
        <f>SUM(D84:G84)</f>
        <v>0</v>
      </c>
    </row>
    <row r="85" spans="1:8" x14ac:dyDescent="0.3">
      <c r="A85" s="619"/>
      <c r="B85" s="37" t="s">
        <v>104</v>
      </c>
      <c r="C85" s="5" t="s">
        <v>3</v>
      </c>
      <c r="D85" s="26">
        <f>Balaka!D85+Balaka!E85+Balaka!F85+Balaka!G85+Balaka!H85+Balaka!I85</f>
        <v>0</v>
      </c>
      <c r="E85" s="26">
        <f>Liwonde!D85+Liwonde!E85+Liwonde!F85+Liwonde!G85+Liwonde!H85+Liwonde!I85</f>
        <v>0</v>
      </c>
      <c r="F85" s="26">
        <f>Machinga!D85+Machinga!E85+Machinga!F85+Machinga!G85+Machinga!H85+Machinga!I85</f>
        <v>0</v>
      </c>
      <c r="G85" s="26">
        <f>Ntaja!D85+Ntaja!E85+Ntaja!F85+Ntaja!G85+Ntaja!H85+Ntaja!I85</f>
        <v>0</v>
      </c>
      <c r="H85" s="183">
        <f>SUM(D85:G85)</f>
        <v>0</v>
      </c>
    </row>
    <row r="86" spans="1:8" ht="27" x14ac:dyDescent="0.3">
      <c r="A86" s="619"/>
      <c r="B86" s="37" t="s">
        <v>103</v>
      </c>
      <c r="C86" s="5" t="s">
        <v>3</v>
      </c>
      <c r="D86" s="26">
        <f>Balaka!D86+Balaka!E86+Balaka!F86+Balaka!G86+Balaka!H86+Balaka!I86</f>
        <v>0</v>
      </c>
      <c r="E86" s="26">
        <f>Liwonde!D86+Liwonde!E86+Liwonde!F86+Liwonde!G86+Liwonde!H86+Liwonde!I86</f>
        <v>0</v>
      </c>
      <c r="F86" s="26">
        <f>Machinga!D86+Machinga!E86+Machinga!F86+Machinga!G86+Machinga!H86+Machinga!I86</f>
        <v>0</v>
      </c>
      <c r="G86" s="26">
        <f>Ntaja!D86+Ntaja!E86+Ntaja!F86+Ntaja!G86+Ntaja!H86+Ntaja!I86</f>
        <v>0</v>
      </c>
      <c r="H86" s="183"/>
    </row>
    <row r="87" spans="1:8" s="2" customFormat="1" ht="27" x14ac:dyDescent="0.3">
      <c r="A87" s="619"/>
      <c r="B87" s="24" t="s">
        <v>102</v>
      </c>
      <c r="C87" s="11" t="s">
        <v>3</v>
      </c>
      <c r="D87" s="26">
        <f>Balaka!D87+Balaka!E87+Balaka!F87+Balaka!G87+Balaka!H87+Balaka!I87</f>
        <v>0</v>
      </c>
      <c r="E87" s="26">
        <f>Liwonde!D87+Liwonde!E87+Liwonde!F87+Liwonde!G87+Liwonde!H87+Liwonde!I87</f>
        <v>0</v>
      </c>
      <c r="F87" s="26">
        <f>Machinga!D87+Machinga!E87+Machinga!F87+Machinga!G87+Machinga!H87+Machinga!I87</f>
        <v>0</v>
      </c>
      <c r="G87" s="26">
        <f>Ntaja!D87+Ntaja!E87+Ntaja!F87+Ntaja!G87+Ntaja!H87+Ntaja!I87</f>
        <v>0</v>
      </c>
      <c r="H87" s="160">
        <f>SUM(D87:G87)</f>
        <v>0</v>
      </c>
    </row>
    <row r="88" spans="1:8" s="2" customFormat="1" x14ac:dyDescent="0.3">
      <c r="A88" s="619"/>
      <c r="B88" s="24" t="s">
        <v>188</v>
      </c>
      <c r="C88" s="11" t="s">
        <v>3</v>
      </c>
      <c r="D88" s="4">
        <f>D87+D86</f>
        <v>0</v>
      </c>
      <c r="E88" s="4">
        <f t="shared" ref="E88:G88" si="24">E87+E86</f>
        <v>0</v>
      </c>
      <c r="F88" s="4">
        <f t="shared" si="24"/>
        <v>0</v>
      </c>
      <c r="G88" s="4">
        <f t="shared" si="24"/>
        <v>0</v>
      </c>
      <c r="H88" s="160"/>
    </row>
    <row r="89" spans="1:8" x14ac:dyDescent="0.3">
      <c r="A89" s="620"/>
      <c r="B89" s="36" t="s">
        <v>81</v>
      </c>
      <c r="C89" s="5" t="s">
        <v>3</v>
      </c>
      <c r="D89" s="26">
        <f>D84+D85-D88</f>
        <v>0</v>
      </c>
      <c r="E89" s="26">
        <f t="shared" ref="E89:G89" si="25">E84+E85-E88</f>
        <v>0</v>
      </c>
      <c r="F89" s="26">
        <f t="shared" si="25"/>
        <v>0</v>
      </c>
      <c r="G89" s="26">
        <f t="shared" si="25"/>
        <v>0</v>
      </c>
      <c r="H89" s="160">
        <f t="shared" ref="H89" si="26">H84+H85-H86-H87</f>
        <v>0</v>
      </c>
    </row>
    <row r="90" spans="1:8" x14ac:dyDescent="0.3">
      <c r="A90" s="621" t="s">
        <v>105</v>
      </c>
      <c r="B90" s="24" t="s">
        <v>85</v>
      </c>
      <c r="C90" s="11" t="s">
        <v>3</v>
      </c>
      <c r="D90" s="136">
        <f>D66+D72+D78+D84</f>
        <v>435</v>
      </c>
      <c r="E90" s="136">
        <f t="shared" ref="E90:G90" si="27">E66+E72+E78+E84</f>
        <v>288</v>
      </c>
      <c r="F90" s="136">
        <f t="shared" si="27"/>
        <v>22</v>
      </c>
      <c r="G90" s="136">
        <f t="shared" si="27"/>
        <v>2</v>
      </c>
      <c r="H90" s="183">
        <f>SUM(D90:G90)</f>
        <v>747</v>
      </c>
    </row>
    <row r="91" spans="1:8" x14ac:dyDescent="0.3">
      <c r="A91" s="622"/>
      <c r="B91" s="24" t="s">
        <v>104</v>
      </c>
      <c r="C91" s="11" t="s">
        <v>3</v>
      </c>
      <c r="D91" s="136">
        <f t="shared" ref="D91:G93" si="28">D67+D73+D79+D85</f>
        <v>218</v>
      </c>
      <c r="E91" s="136">
        <f t="shared" si="28"/>
        <v>243</v>
      </c>
      <c r="F91" s="136">
        <f t="shared" si="28"/>
        <v>41</v>
      </c>
      <c r="G91" s="136">
        <f t="shared" si="28"/>
        <v>123</v>
      </c>
      <c r="H91" s="183">
        <f>SUM(D91:G91)</f>
        <v>625</v>
      </c>
    </row>
    <row r="92" spans="1:8" ht="27" x14ac:dyDescent="0.3">
      <c r="A92" s="622"/>
      <c r="B92" s="24" t="s">
        <v>103</v>
      </c>
      <c r="C92" s="11" t="s">
        <v>3</v>
      </c>
      <c r="D92" s="136">
        <f t="shared" si="28"/>
        <v>211</v>
      </c>
      <c r="E92" s="136">
        <f t="shared" si="28"/>
        <v>156</v>
      </c>
      <c r="F92" s="136">
        <f t="shared" si="28"/>
        <v>20</v>
      </c>
      <c r="G92" s="136">
        <f t="shared" si="28"/>
        <v>0</v>
      </c>
      <c r="H92" s="183">
        <f>SUM(D92:G92)</f>
        <v>387</v>
      </c>
    </row>
    <row r="93" spans="1:8" s="2" customFormat="1" ht="27" x14ac:dyDescent="0.3">
      <c r="A93" s="622"/>
      <c r="B93" s="24" t="s">
        <v>102</v>
      </c>
      <c r="C93" s="11"/>
      <c r="D93" s="136">
        <f t="shared" si="28"/>
        <v>0</v>
      </c>
      <c r="E93" s="136">
        <f t="shared" si="28"/>
        <v>23</v>
      </c>
      <c r="F93" s="136">
        <f t="shared" si="28"/>
        <v>31</v>
      </c>
      <c r="G93" s="136">
        <f t="shared" si="28"/>
        <v>93</v>
      </c>
      <c r="H93" s="183">
        <f>SUM(D93:G93)</f>
        <v>147</v>
      </c>
    </row>
    <row r="94" spans="1:8" s="2" customFormat="1" x14ac:dyDescent="0.3">
      <c r="A94" s="622"/>
      <c r="B94" s="24" t="s">
        <v>188</v>
      </c>
      <c r="C94" s="11" t="s">
        <v>3</v>
      </c>
      <c r="D94" s="137">
        <f>D93+D92</f>
        <v>211</v>
      </c>
      <c r="E94" s="137">
        <f t="shared" ref="E94:H94" si="29">E93+E92</f>
        <v>179</v>
      </c>
      <c r="F94" s="137">
        <f t="shared" si="29"/>
        <v>51</v>
      </c>
      <c r="G94" s="137">
        <f t="shared" si="29"/>
        <v>93</v>
      </c>
      <c r="H94" s="184">
        <f t="shared" si="29"/>
        <v>534</v>
      </c>
    </row>
    <row r="95" spans="1:8" ht="16.2" thickBot="1" x14ac:dyDescent="0.35">
      <c r="A95" s="623"/>
      <c r="B95" s="24" t="s">
        <v>81</v>
      </c>
      <c r="C95" s="11" t="s">
        <v>3</v>
      </c>
      <c r="D95" s="138">
        <f>D90+D91-D94</f>
        <v>442</v>
      </c>
      <c r="E95" s="138">
        <f t="shared" ref="E95:H95" si="30">E90+E91-E94</f>
        <v>352</v>
      </c>
      <c r="F95" s="138">
        <f t="shared" si="30"/>
        <v>12</v>
      </c>
      <c r="G95" s="138">
        <f t="shared" si="30"/>
        <v>32</v>
      </c>
      <c r="H95" s="185">
        <f t="shared" si="30"/>
        <v>838</v>
      </c>
    </row>
    <row r="96" spans="1:8" ht="16.2" customHeight="1" thickBot="1" x14ac:dyDescent="0.35">
      <c r="A96" s="671"/>
      <c r="B96" s="672"/>
      <c r="C96" s="672"/>
      <c r="D96" s="672"/>
      <c r="E96" s="672"/>
      <c r="F96" s="672"/>
      <c r="G96" s="672"/>
      <c r="H96" s="673"/>
    </row>
    <row r="97" spans="1:8" s="2" customFormat="1" ht="15.75" customHeight="1" thickBot="1" x14ac:dyDescent="0.35">
      <c r="A97" s="624" t="s">
        <v>189</v>
      </c>
      <c r="B97" s="625"/>
      <c r="C97" s="625"/>
      <c r="D97" s="625"/>
      <c r="E97" s="625"/>
      <c r="F97" s="625"/>
      <c r="G97" s="625"/>
      <c r="H97" s="626"/>
    </row>
    <row r="98" spans="1:8" x14ac:dyDescent="0.3">
      <c r="A98" s="88" t="s">
        <v>190</v>
      </c>
      <c r="B98" s="69"/>
      <c r="C98" s="11" t="s">
        <v>3</v>
      </c>
      <c r="D98" s="26">
        <f>Balaka!D98+Balaka!E98+Balaka!F98+Balaka!G98+Balaka!H98+Balaka!I98</f>
        <v>5598</v>
      </c>
      <c r="E98" s="26">
        <f>Liwonde!D98+Liwonde!E98+Liwonde!F98+Liwonde!G98+Liwonde!H98+Liwonde!I98</f>
        <v>4291</v>
      </c>
      <c r="F98" s="26">
        <f>Machinga!D98+Machinga!E98+Machinga!F98+Machinga!G98+Machinga!H98+Machinga!I98</f>
        <v>787</v>
      </c>
      <c r="G98" s="26">
        <f>Ntaja!D98+Ntaja!E98+Ntaja!F98+Ntaja!G98+Ntaja!H98+Ntaja!I98</f>
        <v>253</v>
      </c>
      <c r="H98" s="169">
        <f>SUM(D98:G98)</f>
        <v>10929</v>
      </c>
    </row>
    <row r="99" spans="1:8" x14ac:dyDescent="0.3">
      <c r="A99" s="88"/>
      <c r="B99" s="24"/>
      <c r="C99" s="11"/>
      <c r="D99" s="65"/>
      <c r="E99" s="65"/>
      <c r="F99" s="65"/>
      <c r="G99" s="65"/>
      <c r="H99" s="144"/>
    </row>
    <row r="100" spans="1:8" s="2" customFormat="1" ht="14.4" x14ac:dyDescent="0.3">
      <c r="A100" s="635" t="s">
        <v>101</v>
      </c>
      <c r="B100" s="636"/>
      <c r="C100" s="636"/>
      <c r="D100" s="636"/>
      <c r="E100" s="636"/>
      <c r="F100" s="636"/>
      <c r="G100" s="636"/>
      <c r="H100" s="637"/>
    </row>
    <row r="101" spans="1:8" x14ac:dyDescent="0.3">
      <c r="A101" s="582" t="s">
        <v>100</v>
      </c>
      <c r="B101" s="583"/>
      <c r="C101" s="11" t="s">
        <v>3</v>
      </c>
      <c r="D101" s="26">
        <f>Balaka!I101</f>
        <v>1946</v>
      </c>
      <c r="E101" s="26">
        <f>Liwonde!I101</f>
        <v>1329</v>
      </c>
      <c r="F101" s="26">
        <f>Machinga!I101</f>
        <v>0</v>
      </c>
      <c r="G101" s="26">
        <f>Ntaja!I101</f>
        <v>3</v>
      </c>
      <c r="H101" s="32">
        <f>SUM(D101:G101)</f>
        <v>3278</v>
      </c>
    </row>
    <row r="102" spans="1:8" x14ac:dyDescent="0.3">
      <c r="A102" s="582" t="s">
        <v>99</v>
      </c>
      <c r="B102" s="583"/>
      <c r="C102" s="11" t="s">
        <v>3</v>
      </c>
      <c r="D102" s="26">
        <f>Balaka!I102</f>
        <v>36</v>
      </c>
      <c r="E102" s="26">
        <f>Liwonde!I102</f>
        <v>43</v>
      </c>
      <c r="F102" s="26">
        <f>Machinga!I102</f>
        <v>0</v>
      </c>
      <c r="G102" s="26">
        <f>Ntaja!I102</f>
        <v>1</v>
      </c>
      <c r="H102" s="32">
        <f>SUM(D102:G102)</f>
        <v>80</v>
      </c>
    </row>
    <row r="103" spans="1:8" ht="15.6" customHeight="1" x14ac:dyDescent="0.3">
      <c r="A103" s="589" t="s">
        <v>98</v>
      </c>
      <c r="B103" s="590"/>
      <c r="C103" s="11" t="s">
        <v>3</v>
      </c>
      <c r="D103" s="26">
        <f>Balaka!I103</f>
        <v>98</v>
      </c>
      <c r="E103" s="26">
        <f>Liwonde!I103</f>
        <v>64</v>
      </c>
      <c r="F103" s="26">
        <f>Machinga!I103</f>
        <v>0</v>
      </c>
      <c r="G103" s="26">
        <f>Ntaja!I103</f>
        <v>0</v>
      </c>
      <c r="H103" s="32">
        <f>SUM(D103:G103)</f>
        <v>162</v>
      </c>
    </row>
    <row r="104" spans="1:8" x14ac:dyDescent="0.3">
      <c r="A104" s="589" t="s">
        <v>97</v>
      </c>
      <c r="B104" s="590"/>
      <c r="C104" s="11" t="s">
        <v>3</v>
      </c>
      <c r="D104" s="26">
        <f>Balaka!I104</f>
        <v>17</v>
      </c>
      <c r="E104" s="26">
        <f>Liwonde!I104</f>
        <v>15</v>
      </c>
      <c r="F104" s="26">
        <f>Machinga!I104</f>
        <v>0</v>
      </c>
      <c r="G104" s="26">
        <f>Ntaja!I104</f>
        <v>15</v>
      </c>
      <c r="H104" s="32">
        <f>SUM(D104:G104)</f>
        <v>47</v>
      </c>
    </row>
    <row r="105" spans="1:8" x14ac:dyDescent="0.3">
      <c r="A105" s="638" t="s">
        <v>96</v>
      </c>
      <c r="B105" s="639"/>
      <c r="C105" s="11" t="s">
        <v>3</v>
      </c>
      <c r="D105" s="33">
        <f>SUM(D101:D104)</f>
        <v>2097</v>
      </c>
      <c r="E105" s="33">
        <f t="shared" ref="E105:H105" si="31">SUM(E101:E104)</f>
        <v>1451</v>
      </c>
      <c r="F105" s="33">
        <f t="shared" si="31"/>
        <v>0</v>
      </c>
      <c r="G105" s="33">
        <f t="shared" si="31"/>
        <v>19</v>
      </c>
      <c r="H105" s="55">
        <f t="shared" si="31"/>
        <v>3567</v>
      </c>
    </row>
    <row r="106" spans="1:8" s="2" customFormat="1" ht="15.6" customHeight="1" x14ac:dyDescent="0.3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x14ac:dyDescent="0.3">
      <c r="A107" s="582" t="s">
        <v>193</v>
      </c>
      <c r="B107" s="583"/>
      <c r="C107" s="11" t="s">
        <v>3</v>
      </c>
      <c r="D107" s="26">
        <f>Balaka!I107</f>
        <v>3802</v>
      </c>
      <c r="E107" s="26">
        <f>Liwonde!I107</f>
        <v>2848</v>
      </c>
      <c r="F107" s="26">
        <f>Machinga!I107</f>
        <v>153</v>
      </c>
      <c r="G107" s="26">
        <f>Ntaja!I107</f>
        <v>3</v>
      </c>
      <c r="H107" s="32">
        <f>SUM(D107:G107)</f>
        <v>6806</v>
      </c>
    </row>
    <row r="108" spans="1:8" x14ac:dyDescent="0.3">
      <c r="A108" s="582" t="s">
        <v>194</v>
      </c>
      <c r="B108" s="583"/>
      <c r="C108" s="11" t="s">
        <v>3</v>
      </c>
      <c r="D108" s="26">
        <f>Balaka!I108</f>
        <v>14</v>
      </c>
      <c r="E108" s="26">
        <f>Liwonde!I108</f>
        <v>10</v>
      </c>
      <c r="F108" s="26">
        <f>Machinga!I108</f>
        <v>3</v>
      </c>
      <c r="G108" s="26">
        <f>Ntaja!I108</f>
        <v>1</v>
      </c>
      <c r="H108" s="32">
        <f>SUM(D108:G108)</f>
        <v>28</v>
      </c>
    </row>
    <row r="109" spans="1:8" x14ac:dyDescent="0.3">
      <c r="A109" s="582" t="s">
        <v>195</v>
      </c>
      <c r="B109" s="583"/>
      <c r="C109" s="11" t="s">
        <v>3</v>
      </c>
      <c r="D109" s="26">
        <f>Balaka!I109</f>
        <v>14</v>
      </c>
      <c r="E109" s="26">
        <f>Liwonde!I109</f>
        <v>23</v>
      </c>
      <c r="F109" s="26">
        <f>Machinga!I109</f>
        <v>0</v>
      </c>
      <c r="G109" s="26">
        <f>Ntaja!I109</f>
        <v>0</v>
      </c>
      <c r="H109" s="32">
        <f>SUM(D109:G109)</f>
        <v>37</v>
      </c>
    </row>
    <row r="110" spans="1:8" x14ac:dyDescent="0.3">
      <c r="A110" s="582" t="s">
        <v>196</v>
      </c>
      <c r="B110" s="583"/>
      <c r="C110" s="11" t="s">
        <v>3</v>
      </c>
      <c r="D110" s="26">
        <f>Balaka!I110</f>
        <v>13</v>
      </c>
      <c r="E110" s="26">
        <f>Liwonde!I110</f>
        <v>13</v>
      </c>
      <c r="F110" s="26">
        <f>Machinga!I110</f>
        <v>0</v>
      </c>
      <c r="G110" s="26">
        <f>Ntaja!I110</f>
        <v>0</v>
      </c>
      <c r="H110" s="32">
        <f>SUM(D110:G110)</f>
        <v>26</v>
      </c>
    </row>
    <row r="111" spans="1:8" x14ac:dyDescent="0.3">
      <c r="A111" s="584" t="s">
        <v>95</v>
      </c>
      <c r="B111" s="585"/>
      <c r="C111" s="11" t="s">
        <v>3</v>
      </c>
      <c r="D111" s="33">
        <f>SUM(D107:D110)</f>
        <v>3843</v>
      </c>
      <c r="E111" s="33">
        <f t="shared" ref="E111:H111" si="32">SUM(E107:E110)</f>
        <v>2894</v>
      </c>
      <c r="F111" s="33">
        <f t="shared" si="32"/>
        <v>156</v>
      </c>
      <c r="G111" s="33">
        <f t="shared" si="32"/>
        <v>4</v>
      </c>
      <c r="H111" s="55">
        <f t="shared" si="32"/>
        <v>6897</v>
      </c>
    </row>
    <row r="112" spans="1:8" s="2" customFormat="1" ht="15.6" customHeight="1" x14ac:dyDescent="0.3">
      <c r="A112" s="635" t="s">
        <v>210</v>
      </c>
      <c r="B112" s="636"/>
      <c r="C112" s="636"/>
      <c r="D112" s="636"/>
      <c r="E112" s="636"/>
      <c r="F112" s="636"/>
      <c r="G112" s="636"/>
      <c r="H112" s="637"/>
    </row>
    <row r="113" spans="1:8" x14ac:dyDescent="0.3">
      <c r="A113" s="582" t="s">
        <v>197</v>
      </c>
      <c r="B113" s="583"/>
      <c r="C113" s="11" t="s">
        <v>3</v>
      </c>
      <c r="D113" s="26">
        <f>Balaka!I113</f>
        <v>933</v>
      </c>
      <c r="E113" s="26">
        <f>Liwonde!I113</f>
        <v>887</v>
      </c>
      <c r="F113" s="26">
        <f>Machinga!I113</f>
        <v>139</v>
      </c>
      <c r="G113" s="26">
        <f>Ntaja!I113</f>
        <v>338</v>
      </c>
      <c r="H113" s="32">
        <f>SUM(D113:G113)</f>
        <v>2297</v>
      </c>
    </row>
    <row r="114" spans="1:8" x14ac:dyDescent="0.3">
      <c r="A114" s="582" t="s">
        <v>198</v>
      </c>
      <c r="B114" s="583"/>
      <c r="C114" s="11" t="s">
        <v>3</v>
      </c>
      <c r="D114" s="26">
        <f>Balaka!I114</f>
        <v>92</v>
      </c>
      <c r="E114" s="26">
        <f>Liwonde!I114</f>
        <v>77</v>
      </c>
      <c r="F114" s="26">
        <f>Machinga!I114</f>
        <v>0</v>
      </c>
      <c r="G114" s="26">
        <f>Ntaja!I114</f>
        <v>19</v>
      </c>
      <c r="H114" s="32">
        <f>SUM(D114:G114)</f>
        <v>188</v>
      </c>
    </row>
    <row r="115" spans="1:8" x14ac:dyDescent="0.3">
      <c r="A115" s="582" t="s">
        <v>199</v>
      </c>
      <c r="B115" s="583"/>
      <c r="C115" s="11" t="s">
        <v>3</v>
      </c>
      <c r="D115" s="26">
        <f>Balaka!I115</f>
        <v>90</v>
      </c>
      <c r="E115" s="26">
        <f>Liwonde!I115</f>
        <v>186</v>
      </c>
      <c r="F115" s="26">
        <f>Machinga!I115</f>
        <v>0</v>
      </c>
      <c r="G115" s="26">
        <f>Ntaja!I115</f>
        <v>15</v>
      </c>
      <c r="H115" s="32">
        <f>SUM(D115:G115)</f>
        <v>291</v>
      </c>
    </row>
    <row r="116" spans="1:8" x14ac:dyDescent="0.3">
      <c r="A116" s="582" t="s">
        <v>200</v>
      </c>
      <c r="B116" s="583"/>
      <c r="C116" s="11" t="s">
        <v>3</v>
      </c>
      <c r="D116" s="26">
        <f>Balaka!I116</f>
        <v>0</v>
      </c>
      <c r="E116" s="26">
        <f>Liwonde!I116</f>
        <v>0</v>
      </c>
      <c r="F116" s="26">
        <f>Machinga!I116</f>
        <v>0</v>
      </c>
      <c r="G116" s="26">
        <f>Ntaja!I116</f>
        <v>2</v>
      </c>
      <c r="H116" s="32">
        <f>SUM(D116:G116)</f>
        <v>2</v>
      </c>
    </row>
    <row r="117" spans="1:8" x14ac:dyDescent="0.3">
      <c r="A117" s="584" t="s">
        <v>94</v>
      </c>
      <c r="B117" s="585"/>
      <c r="C117" s="11" t="s">
        <v>3</v>
      </c>
      <c r="D117" s="33">
        <f>SUM(D113:D116)</f>
        <v>1115</v>
      </c>
      <c r="E117" s="33">
        <f t="shared" ref="E117:G117" si="33">SUM(E113:E116)</f>
        <v>1150</v>
      </c>
      <c r="F117" s="33">
        <f t="shared" si="33"/>
        <v>139</v>
      </c>
      <c r="G117" s="33">
        <f t="shared" si="33"/>
        <v>374</v>
      </c>
      <c r="H117" s="55">
        <f>SUM(H113:H116)</f>
        <v>2778</v>
      </c>
    </row>
    <row r="118" spans="1:8" s="2" customFormat="1" x14ac:dyDescent="0.3">
      <c r="A118" s="175" t="s">
        <v>191</v>
      </c>
      <c r="B118" s="176"/>
      <c r="C118" s="11" t="s">
        <v>3</v>
      </c>
      <c r="D118" s="33">
        <f>D111+D117</f>
        <v>4958</v>
      </c>
      <c r="E118" s="33">
        <f t="shared" ref="E118:H118" si="34">E111+E117</f>
        <v>4044</v>
      </c>
      <c r="F118" s="33">
        <f t="shared" si="34"/>
        <v>295</v>
      </c>
      <c r="G118" s="33">
        <f t="shared" si="34"/>
        <v>378</v>
      </c>
      <c r="H118" s="55">
        <f t="shared" si="34"/>
        <v>9675</v>
      </c>
    </row>
    <row r="119" spans="1:8" x14ac:dyDescent="0.3">
      <c r="A119" s="584" t="s">
        <v>192</v>
      </c>
      <c r="B119" s="585"/>
      <c r="C119" s="11" t="s">
        <v>3</v>
      </c>
      <c r="D119" s="33">
        <f>D118+D105</f>
        <v>7055</v>
      </c>
      <c r="E119" s="33">
        <f t="shared" ref="E119:G119" si="35">E118+E105</f>
        <v>5495</v>
      </c>
      <c r="F119" s="33">
        <f t="shared" si="35"/>
        <v>295</v>
      </c>
      <c r="G119" s="33">
        <f t="shared" si="35"/>
        <v>397</v>
      </c>
      <c r="H119" s="55">
        <f>H118+H105</f>
        <v>13242</v>
      </c>
    </row>
    <row r="120" spans="1:8" ht="14.4" x14ac:dyDescent="0.3">
      <c r="A120" s="586" t="s">
        <v>201</v>
      </c>
      <c r="B120" s="587"/>
      <c r="C120" s="587"/>
      <c r="D120" s="587"/>
      <c r="E120" s="587"/>
      <c r="F120" s="587"/>
      <c r="G120" s="587"/>
      <c r="H120" s="588"/>
    </row>
    <row r="121" spans="1:8" x14ac:dyDescent="0.3">
      <c r="A121" s="582" t="s">
        <v>93</v>
      </c>
      <c r="B121" s="583"/>
      <c r="C121" s="5" t="s">
        <v>3</v>
      </c>
      <c r="D121" s="26">
        <f>Balaka!I121</f>
        <v>38115</v>
      </c>
      <c r="E121" s="26">
        <f>Liwonde!I121</f>
        <v>33790</v>
      </c>
      <c r="F121" s="26">
        <f>Machinga!I121</f>
        <v>0</v>
      </c>
      <c r="G121" s="26">
        <f>Ntaja!I121</f>
        <v>0</v>
      </c>
      <c r="H121" s="32">
        <f>SUM(D121:G121)</f>
        <v>71905</v>
      </c>
    </row>
    <row r="122" spans="1:8" x14ac:dyDescent="0.3">
      <c r="A122" s="582" t="s">
        <v>92</v>
      </c>
      <c r="B122" s="583"/>
      <c r="C122" s="5" t="s">
        <v>3</v>
      </c>
      <c r="D122" s="26">
        <f>Balaka!I122</f>
        <v>32440</v>
      </c>
      <c r="E122" s="26">
        <f>Liwonde!I122</f>
        <v>30661.5</v>
      </c>
      <c r="F122" s="26">
        <f>Machinga!I122</f>
        <v>0</v>
      </c>
      <c r="G122" s="26">
        <f>Ntaja!I122</f>
        <v>0</v>
      </c>
      <c r="H122" s="32">
        <f>SUM(D122:G122)</f>
        <v>63101.5</v>
      </c>
    </row>
    <row r="123" spans="1:8" x14ac:dyDescent="0.3">
      <c r="A123" s="640" t="s">
        <v>91</v>
      </c>
      <c r="B123" s="641"/>
      <c r="C123" s="30" t="s">
        <v>6</v>
      </c>
      <c r="D123" s="29">
        <f t="shared" ref="D123:H123" si="36">D122/D121</f>
        <v>0.85110848747212386</v>
      </c>
      <c r="E123" s="29">
        <f t="shared" si="36"/>
        <v>0.90741343592778934</v>
      </c>
      <c r="F123" s="29" t="e">
        <f t="shared" si="36"/>
        <v>#DIV/0!</v>
      </c>
      <c r="G123" s="29" t="e">
        <f t="shared" si="36"/>
        <v>#DIV/0!</v>
      </c>
      <c r="H123" s="516">
        <f t="shared" si="36"/>
        <v>0.87756762394826504</v>
      </c>
    </row>
    <row r="124" spans="1:8" ht="14.4" x14ac:dyDescent="0.3">
      <c r="A124" s="642" t="s">
        <v>90</v>
      </c>
      <c r="B124" s="643"/>
      <c r="C124" s="643"/>
      <c r="D124" s="643"/>
      <c r="E124" s="643"/>
      <c r="F124" s="643"/>
      <c r="G124" s="643"/>
      <c r="H124" s="644"/>
    </row>
    <row r="125" spans="1:8" x14ac:dyDescent="0.3">
      <c r="A125" s="598" t="s">
        <v>235</v>
      </c>
      <c r="B125" s="24" t="s">
        <v>85</v>
      </c>
      <c r="C125" s="11" t="s">
        <v>3</v>
      </c>
      <c r="D125" s="26">
        <f>Balaka!D125</f>
        <v>0</v>
      </c>
      <c r="E125" s="26">
        <f>Liwonde!D125</f>
        <v>0</v>
      </c>
      <c r="F125" s="26">
        <f>Machinga!D125</f>
        <v>3</v>
      </c>
      <c r="G125" s="26">
        <f>Ntaja!D125</f>
        <v>0</v>
      </c>
      <c r="H125" s="183">
        <f>SUM(D125:G125)</f>
        <v>3</v>
      </c>
    </row>
    <row r="126" spans="1:8" x14ac:dyDescent="0.3">
      <c r="A126" s="648"/>
      <c r="B126" s="24" t="s">
        <v>84</v>
      </c>
      <c r="C126" s="11" t="s">
        <v>3</v>
      </c>
      <c r="D126" s="26">
        <f>Balaka!D126+Balaka!E126+Balaka!F126+Balaka!G126+Balaka!H126+Balaka!I126</f>
        <v>0</v>
      </c>
      <c r="E126" s="26">
        <f>Liwonde!D126+Liwonde!E126+Liwonde!F126+Liwonde!G126+Liwonde!H126+Liwonde!I126</f>
        <v>0</v>
      </c>
      <c r="F126" s="26">
        <f>Machinga!D126+Machinga!E126+Machinga!F126+Machinga!G126+Machinga!H126+Machinga!I126</f>
        <v>0</v>
      </c>
      <c r="G126" s="26">
        <f>Ntaja!D126+Ntaja!E126+Ntaja!F126+Ntaja!G126+Ntaja!H126+Ntaja!I126</f>
        <v>1</v>
      </c>
      <c r="H126" s="183">
        <f>SUM(D126:G126)</f>
        <v>1</v>
      </c>
    </row>
    <row r="127" spans="1:8" x14ac:dyDescent="0.3">
      <c r="A127" s="648"/>
      <c r="B127" s="82" t="s">
        <v>88</v>
      </c>
      <c r="C127" s="11" t="s">
        <v>3</v>
      </c>
      <c r="D127" s="26">
        <f>Balaka!D127+Balaka!E127+Balaka!F127+Balaka!G127+Balaka!H127+Balaka!I127</f>
        <v>0</v>
      </c>
      <c r="E127" s="26">
        <f>Liwonde!D127+Liwonde!E127+Liwonde!F127+Liwonde!G127+Liwonde!H127+Liwonde!I127</f>
        <v>0</v>
      </c>
      <c r="F127" s="26">
        <f>Machinga!D127+Machinga!E127+Machinga!F127+Machinga!G127+Machinga!H127+Machinga!I127</f>
        <v>3</v>
      </c>
      <c r="G127" s="26">
        <f>Ntaja!D127+Ntaja!E127+Ntaja!F127+Ntaja!G127+Ntaja!H127+Ntaja!I127</f>
        <v>1</v>
      </c>
      <c r="H127" s="183">
        <f>SUM(D127:G127)</f>
        <v>4</v>
      </c>
    </row>
    <row r="128" spans="1:8" x14ac:dyDescent="0.3">
      <c r="A128" s="648"/>
      <c r="B128" s="24" t="s">
        <v>82</v>
      </c>
      <c r="C128" s="11" t="s">
        <v>3</v>
      </c>
      <c r="D128" s="26">
        <f>Balaka!D128+Balaka!E128+Balaka!F128+Balaka!G128+Balaka!H128+Balaka!I128</f>
        <v>0</v>
      </c>
      <c r="E128" s="26">
        <f>Liwonde!D128+Liwonde!E128+Liwonde!F128+Liwonde!G128+Liwonde!H128+Liwonde!I128</f>
        <v>0</v>
      </c>
      <c r="F128" s="26">
        <f>Machinga!D128+Machinga!E128+Machinga!F128+Machinga!G128+Machinga!H128+Machinga!I128</f>
        <v>0</v>
      </c>
      <c r="G128" s="26">
        <f>Ntaja!D128+Ntaja!E128+Ntaja!F128+Ntaja!G128+Ntaja!H128+Ntaja!I128</f>
        <v>0</v>
      </c>
      <c r="H128" s="183">
        <f>SUM(D128:G128)</f>
        <v>0</v>
      </c>
    </row>
    <row r="129" spans="1:8" x14ac:dyDescent="0.3">
      <c r="A129" s="599"/>
      <c r="B129" s="24" t="s">
        <v>81</v>
      </c>
      <c r="C129" s="11" t="s">
        <v>3</v>
      </c>
      <c r="D129" s="140">
        <f t="shared" ref="D129:H129" si="37">D125+D126-D127-D128</f>
        <v>0</v>
      </c>
      <c r="E129" s="140">
        <f t="shared" si="37"/>
        <v>0</v>
      </c>
      <c r="F129" s="140">
        <f t="shared" si="37"/>
        <v>0</v>
      </c>
      <c r="G129" s="140">
        <f t="shared" si="37"/>
        <v>0</v>
      </c>
      <c r="H129" s="35">
        <f t="shared" si="37"/>
        <v>0</v>
      </c>
    </row>
    <row r="130" spans="1:8" x14ac:dyDescent="0.3">
      <c r="A130" s="598" t="s">
        <v>236</v>
      </c>
      <c r="B130" s="28" t="s">
        <v>85</v>
      </c>
      <c r="C130" s="27" t="s">
        <v>3</v>
      </c>
      <c r="D130" s="26">
        <f>Balaka!D130</f>
        <v>0</v>
      </c>
      <c r="E130" s="26">
        <f>Liwonde!D130</f>
        <v>0</v>
      </c>
      <c r="F130" s="26">
        <f>Machinga!D130</f>
        <v>0</v>
      </c>
      <c r="G130" s="26">
        <f>Ntaja!D130</f>
        <v>0</v>
      </c>
      <c r="H130" s="183">
        <f>SUM(D130:G130)</f>
        <v>0</v>
      </c>
    </row>
    <row r="131" spans="1:8" x14ac:dyDescent="0.3">
      <c r="A131" s="648"/>
      <c r="B131" s="24" t="s">
        <v>84</v>
      </c>
      <c r="C131" s="11" t="s">
        <v>3</v>
      </c>
      <c r="D131" s="26">
        <f>Balaka!D131+Balaka!E131+Balaka!F131+Balaka!G131+Balaka!H131+Balaka!I131</f>
        <v>0</v>
      </c>
      <c r="E131" s="26">
        <f>Liwonde!D131+Liwonde!E131+Liwonde!F131+Liwonde!G131+Liwonde!H131+Liwonde!I131</f>
        <v>0</v>
      </c>
      <c r="F131" s="26">
        <f>Machinga!D131+Machinga!E131+Machinga!F131+Machinga!G131+Machinga!H131+Machinga!I131</f>
        <v>0</v>
      </c>
      <c r="G131" s="26">
        <f>Ntaja!D131+Ntaja!E131+Ntaja!F131+Ntaja!G131+Ntaja!H131+Ntaja!I131</f>
        <v>0</v>
      </c>
      <c r="H131" s="183">
        <f>SUM(D131:G131)</f>
        <v>0</v>
      </c>
    </row>
    <row r="132" spans="1:8" x14ac:dyDescent="0.3">
      <c r="A132" s="648"/>
      <c r="B132" s="82" t="s">
        <v>88</v>
      </c>
      <c r="C132" s="11" t="s">
        <v>3</v>
      </c>
      <c r="D132" s="26">
        <f>Balaka!D132+Balaka!E132+Balaka!F132+Balaka!G132+Balaka!H132+Balaka!I132</f>
        <v>0</v>
      </c>
      <c r="E132" s="26">
        <f>Liwonde!D132+Liwonde!E132+Liwonde!F132+Liwonde!G132+Liwonde!H132+Liwonde!I132</f>
        <v>0</v>
      </c>
      <c r="F132" s="26">
        <f>Machinga!D132+Machinga!E132+Machinga!F132+Machinga!G132+Machinga!H132+Machinga!I132</f>
        <v>0</v>
      </c>
      <c r="G132" s="26">
        <f>Ntaja!D132+Ntaja!E132+Ntaja!F132+Ntaja!G132+Ntaja!H132+Ntaja!I132</f>
        <v>0</v>
      </c>
      <c r="H132" s="183">
        <f>SUM(D132:G132)</f>
        <v>0</v>
      </c>
    </row>
    <row r="133" spans="1:8" x14ac:dyDescent="0.3">
      <c r="A133" s="648"/>
      <c r="B133" s="24" t="s">
        <v>82</v>
      </c>
      <c r="C133" s="11" t="s">
        <v>3</v>
      </c>
      <c r="D133" s="26">
        <f>Balaka!D133+Balaka!E133+Balaka!F133+Balaka!G133+Balaka!H133+Balaka!I133</f>
        <v>0</v>
      </c>
      <c r="E133" s="26">
        <f>Liwonde!D133+Liwonde!E133+Liwonde!F133+Liwonde!G133+Liwonde!H133+Liwonde!I133</f>
        <v>0</v>
      </c>
      <c r="F133" s="26">
        <f>Machinga!D133+Machinga!E133+Machinga!F133+Machinga!G133+Machinga!H133+Machinga!I133</f>
        <v>0</v>
      </c>
      <c r="G133" s="26">
        <f>Ntaja!D133+Ntaja!E133+Ntaja!F133+Ntaja!G133+Ntaja!H133+Ntaja!I133</f>
        <v>0</v>
      </c>
      <c r="H133" s="183">
        <f>SUM(D133:G133)</f>
        <v>0</v>
      </c>
    </row>
    <row r="134" spans="1:8" x14ac:dyDescent="0.3">
      <c r="A134" s="599"/>
      <c r="B134" s="24" t="s">
        <v>81</v>
      </c>
      <c r="C134" s="11" t="s">
        <v>3</v>
      </c>
      <c r="D134" s="140">
        <f t="shared" ref="D134:H134" si="38">D130+D131-D132-D133</f>
        <v>0</v>
      </c>
      <c r="E134" s="140">
        <f t="shared" si="38"/>
        <v>0</v>
      </c>
      <c r="F134" s="140">
        <f t="shared" si="38"/>
        <v>0</v>
      </c>
      <c r="G134" s="140">
        <f t="shared" si="38"/>
        <v>0</v>
      </c>
      <c r="H134" s="35">
        <f t="shared" si="38"/>
        <v>0</v>
      </c>
    </row>
    <row r="135" spans="1:8" x14ac:dyDescent="0.3">
      <c r="A135" s="598" t="s">
        <v>89</v>
      </c>
      <c r="B135" s="24" t="s">
        <v>85</v>
      </c>
      <c r="C135" s="11" t="s">
        <v>3</v>
      </c>
      <c r="D135" s="26">
        <f>Balaka!D135</f>
        <v>0</v>
      </c>
      <c r="E135" s="26">
        <f>Liwonde!D135</f>
        <v>0</v>
      </c>
      <c r="F135" s="26">
        <f>Machinga!D135</f>
        <v>0</v>
      </c>
      <c r="G135" s="26">
        <f>Ntaja!D135</f>
        <v>0</v>
      </c>
      <c r="H135" s="183">
        <f>SUM(D135:G135)</f>
        <v>0</v>
      </c>
    </row>
    <row r="136" spans="1:8" x14ac:dyDescent="0.3">
      <c r="A136" s="648"/>
      <c r="B136" s="24" t="s">
        <v>84</v>
      </c>
      <c r="C136" s="11" t="s">
        <v>3</v>
      </c>
      <c r="D136" s="26">
        <f>Balaka!D136+Balaka!E136+Balaka!F136+Balaka!G136+Balaka!H136+Balaka!I136</f>
        <v>0</v>
      </c>
      <c r="E136" s="26">
        <f>Liwonde!D136+Liwonde!E136+Liwonde!F136+Liwonde!G136+Liwonde!H136+Liwonde!I136</f>
        <v>0</v>
      </c>
      <c r="F136" s="26">
        <f>Machinga!D136+Machinga!E136+Machinga!F136+Machinga!G136+Machinga!H136+Machinga!I136</f>
        <v>0</v>
      </c>
      <c r="G136" s="26">
        <f>Ntaja!D136+Ntaja!E136+Ntaja!F136+Ntaja!G136+Ntaja!H136+Ntaja!I136</f>
        <v>0</v>
      </c>
      <c r="H136" s="183">
        <f>SUM(D136:G136)</f>
        <v>0</v>
      </c>
    </row>
    <row r="137" spans="1:8" x14ac:dyDescent="0.3">
      <c r="A137" s="648"/>
      <c r="B137" s="82" t="s">
        <v>88</v>
      </c>
      <c r="C137" s="11" t="s">
        <v>3</v>
      </c>
      <c r="D137" s="26">
        <f>Balaka!D137+Balaka!E137+Balaka!F137+Balaka!G137+Balaka!H137+Balaka!I137</f>
        <v>0</v>
      </c>
      <c r="E137" s="26">
        <f>Liwonde!D137+Liwonde!E137+Liwonde!F137+Liwonde!G137+Liwonde!H137+Liwonde!I137</f>
        <v>0</v>
      </c>
      <c r="F137" s="26">
        <f>Machinga!D137+Machinga!E137+Machinga!F137+Machinga!G137+Machinga!H137+Machinga!I137</f>
        <v>0</v>
      </c>
      <c r="G137" s="26">
        <f>Ntaja!D137+Ntaja!E137+Ntaja!F137+Ntaja!G137+Ntaja!H137+Ntaja!I137</f>
        <v>0</v>
      </c>
      <c r="H137" s="183">
        <f>SUM(D137:G137)</f>
        <v>0</v>
      </c>
    </row>
    <row r="138" spans="1:8" x14ac:dyDescent="0.3">
      <c r="A138" s="648"/>
      <c r="B138" s="24" t="s">
        <v>82</v>
      </c>
      <c r="C138" s="11" t="s">
        <v>3</v>
      </c>
      <c r="D138" s="26">
        <f>Balaka!D138+Balaka!E138+Balaka!F138+Balaka!G138+Balaka!H138+Balaka!I138</f>
        <v>0</v>
      </c>
      <c r="E138" s="26">
        <f>Liwonde!D138+Liwonde!E138+Liwonde!F138+Liwonde!G138+Liwonde!H138+Liwonde!I138</f>
        <v>0</v>
      </c>
      <c r="F138" s="26">
        <f>Machinga!D138+Machinga!E138+Machinga!F138+Machinga!G138+Machinga!H138+Machinga!I138</f>
        <v>0</v>
      </c>
      <c r="G138" s="26">
        <f>Ntaja!D138+Ntaja!E138+Ntaja!F138+Ntaja!G138+Ntaja!H138+Ntaja!I138</f>
        <v>0</v>
      </c>
      <c r="H138" s="183">
        <f>SUM(D138:G138)</f>
        <v>0</v>
      </c>
    </row>
    <row r="139" spans="1:8" x14ac:dyDescent="0.3">
      <c r="A139" s="599"/>
      <c r="B139" s="24" t="s">
        <v>81</v>
      </c>
      <c r="C139" s="11" t="s">
        <v>3</v>
      </c>
      <c r="D139" s="140">
        <f t="shared" ref="D139:H139" si="39">D135+D136-D137-D138</f>
        <v>0</v>
      </c>
      <c r="E139" s="140">
        <f t="shared" si="39"/>
        <v>0</v>
      </c>
      <c r="F139" s="140">
        <f t="shared" si="39"/>
        <v>0</v>
      </c>
      <c r="G139" s="140">
        <f t="shared" si="39"/>
        <v>0</v>
      </c>
      <c r="H139" s="35">
        <f t="shared" si="39"/>
        <v>0</v>
      </c>
    </row>
    <row r="140" spans="1:8" x14ac:dyDescent="0.3">
      <c r="A140" s="598" t="s">
        <v>87</v>
      </c>
      <c r="B140" s="24" t="s">
        <v>85</v>
      </c>
      <c r="C140" s="11" t="s">
        <v>3</v>
      </c>
      <c r="D140" s="26">
        <f>Balaka!D140</f>
        <v>905</v>
      </c>
      <c r="E140" s="26">
        <f>Liwonde!D140</f>
        <v>658</v>
      </c>
      <c r="F140" s="26">
        <f>Machinga!D140</f>
        <v>3</v>
      </c>
      <c r="G140" s="26">
        <f>Ntaja!D140</f>
        <v>41</v>
      </c>
      <c r="H140" s="183">
        <f>SUM(D140:G140)</f>
        <v>1607</v>
      </c>
    </row>
    <row r="141" spans="1:8" x14ac:dyDescent="0.3">
      <c r="A141" s="648"/>
      <c r="B141" s="24" t="s">
        <v>84</v>
      </c>
      <c r="C141" s="11" t="s">
        <v>3</v>
      </c>
      <c r="D141" s="26">
        <f>Balaka!D141+Balaka!E141+Balaka!F141+Balaka!G141+Balaka!H141+Balaka!I141</f>
        <v>98</v>
      </c>
      <c r="E141" s="26">
        <f>Liwonde!D141+Liwonde!E141+Liwonde!F141+Liwonde!G141+Liwonde!H141+Liwonde!I141</f>
        <v>438</v>
      </c>
      <c r="F141" s="26">
        <f>Machinga!D141+Machinga!E141+Machinga!F141+Machinga!G141+Machinga!H141+Machinga!I141</f>
        <v>22</v>
      </c>
      <c r="G141" s="26">
        <f>Ntaja!D141+Ntaja!E141+Ntaja!F141+Ntaja!G141+Ntaja!H141+Ntaja!I141</f>
        <v>40</v>
      </c>
      <c r="H141" s="183">
        <f>SUM(D141:G141)</f>
        <v>598</v>
      </c>
    </row>
    <row r="142" spans="1:8" x14ac:dyDescent="0.3">
      <c r="A142" s="648"/>
      <c r="B142" s="24" t="s">
        <v>83</v>
      </c>
      <c r="C142" s="11" t="s">
        <v>3</v>
      </c>
      <c r="D142" s="26">
        <f>Balaka!D142+Balaka!E142+Balaka!F142+Balaka!G142+Balaka!H142+Balaka!I142</f>
        <v>25</v>
      </c>
      <c r="E142" s="26">
        <f>Liwonde!D142+Liwonde!E142+Liwonde!F142+Liwonde!G142+Liwonde!H142+Liwonde!I142</f>
        <v>283</v>
      </c>
      <c r="F142" s="26">
        <f>Machinga!D142+Machinga!E142+Machinga!F142+Machinga!G142+Machinga!H142+Machinga!I142</f>
        <v>21</v>
      </c>
      <c r="G142" s="26">
        <f>Ntaja!D142+Ntaja!E142+Ntaja!F142+Ntaja!G142+Ntaja!H142+Ntaja!I142</f>
        <v>2</v>
      </c>
      <c r="H142" s="183">
        <f>SUM(D142:G142)</f>
        <v>331</v>
      </c>
    </row>
    <row r="143" spans="1:8" x14ac:dyDescent="0.3">
      <c r="A143" s="648"/>
      <c r="B143" s="24" t="s">
        <v>82</v>
      </c>
      <c r="C143" s="11" t="s">
        <v>3</v>
      </c>
      <c r="D143" s="26">
        <f>Balaka!D143+Balaka!E143+Balaka!F143+Balaka!G143+Balaka!H143+Balaka!I143</f>
        <v>95</v>
      </c>
      <c r="E143" s="26">
        <f>Liwonde!D143+Liwonde!E143+Liwonde!F143+Liwonde!G143+Liwonde!H143+Liwonde!I143</f>
        <v>176</v>
      </c>
      <c r="F143" s="26">
        <f>Machinga!D143+Machinga!E143+Machinga!F143+Machinga!G143+Machinga!H143+Machinga!I143</f>
        <v>3</v>
      </c>
      <c r="G143" s="26">
        <f>Ntaja!D143+Ntaja!E143+Ntaja!F143+Ntaja!G143+Ntaja!H143+Ntaja!I143</f>
        <v>75</v>
      </c>
      <c r="H143" s="183">
        <f>SUM(D143:G143)</f>
        <v>349</v>
      </c>
    </row>
    <row r="144" spans="1:8" x14ac:dyDescent="0.3">
      <c r="A144" s="599"/>
      <c r="B144" s="24" t="s">
        <v>81</v>
      </c>
      <c r="C144" s="11" t="s">
        <v>3</v>
      </c>
      <c r="D144" s="140">
        <f t="shared" ref="D144:H144" si="40">D140+D141-D142-D143</f>
        <v>883</v>
      </c>
      <c r="E144" s="140">
        <f t="shared" si="40"/>
        <v>637</v>
      </c>
      <c r="F144" s="140">
        <f t="shared" si="40"/>
        <v>1</v>
      </c>
      <c r="G144" s="140">
        <f t="shared" si="40"/>
        <v>4</v>
      </c>
      <c r="H144" s="35">
        <f t="shared" si="40"/>
        <v>1525</v>
      </c>
    </row>
    <row r="145" spans="1:8" s="2" customFormat="1" x14ac:dyDescent="0.3">
      <c r="A145" s="598" t="s">
        <v>86</v>
      </c>
      <c r="B145" s="24" t="s">
        <v>85</v>
      </c>
      <c r="C145" s="11" t="s">
        <v>3</v>
      </c>
      <c r="D145" s="141">
        <f t="shared" ref="D145:G145" si="41">D125+D130+D135+D140</f>
        <v>905</v>
      </c>
      <c r="E145" s="141">
        <f t="shared" si="41"/>
        <v>658</v>
      </c>
      <c r="F145" s="141">
        <f t="shared" si="41"/>
        <v>6</v>
      </c>
      <c r="G145" s="141">
        <f t="shared" si="41"/>
        <v>41</v>
      </c>
      <c r="H145" s="110">
        <f t="shared" ref="H145:H149" si="42">H125+H130+H135+H140</f>
        <v>1610</v>
      </c>
    </row>
    <row r="146" spans="1:8" x14ac:dyDescent="0.3">
      <c r="A146" s="648"/>
      <c r="B146" s="24" t="s">
        <v>84</v>
      </c>
      <c r="C146" s="11" t="s">
        <v>3</v>
      </c>
      <c r="D146" s="141">
        <f t="shared" ref="D146:G148" si="43">D126+D131+D136+D141</f>
        <v>98</v>
      </c>
      <c r="E146" s="141">
        <f t="shared" si="43"/>
        <v>438</v>
      </c>
      <c r="F146" s="141">
        <f t="shared" si="43"/>
        <v>22</v>
      </c>
      <c r="G146" s="141">
        <f t="shared" si="43"/>
        <v>41</v>
      </c>
      <c r="H146" s="110">
        <f t="shared" si="42"/>
        <v>599</v>
      </c>
    </row>
    <row r="147" spans="1:8" x14ac:dyDescent="0.3">
      <c r="A147" s="648"/>
      <c r="B147" s="24" t="s">
        <v>83</v>
      </c>
      <c r="C147" s="11" t="s">
        <v>3</v>
      </c>
      <c r="D147" s="141">
        <f t="shared" si="43"/>
        <v>25</v>
      </c>
      <c r="E147" s="141">
        <f t="shared" si="43"/>
        <v>283</v>
      </c>
      <c r="F147" s="141">
        <f t="shared" si="43"/>
        <v>24</v>
      </c>
      <c r="G147" s="141">
        <f t="shared" si="43"/>
        <v>3</v>
      </c>
      <c r="H147" s="110">
        <f t="shared" si="42"/>
        <v>335</v>
      </c>
    </row>
    <row r="148" spans="1:8" x14ac:dyDescent="0.3">
      <c r="A148" s="648"/>
      <c r="B148" s="24" t="s">
        <v>82</v>
      </c>
      <c r="C148" s="11" t="s">
        <v>3</v>
      </c>
      <c r="D148" s="141">
        <f t="shared" si="43"/>
        <v>95</v>
      </c>
      <c r="E148" s="141">
        <f t="shared" si="43"/>
        <v>176</v>
      </c>
      <c r="F148" s="141">
        <f t="shared" si="43"/>
        <v>3</v>
      </c>
      <c r="G148" s="141">
        <f t="shared" si="43"/>
        <v>75</v>
      </c>
      <c r="H148" s="110">
        <f t="shared" si="42"/>
        <v>349</v>
      </c>
    </row>
    <row r="149" spans="1:8" x14ac:dyDescent="0.3">
      <c r="A149" s="599"/>
      <c r="B149" s="24" t="s">
        <v>81</v>
      </c>
      <c r="C149" s="11" t="s">
        <v>3</v>
      </c>
      <c r="D149" s="140">
        <f t="shared" ref="D149:G149" si="44">D145+D146-D147-D148</f>
        <v>883</v>
      </c>
      <c r="E149" s="140">
        <f t="shared" si="44"/>
        <v>637</v>
      </c>
      <c r="F149" s="140">
        <f t="shared" si="44"/>
        <v>1</v>
      </c>
      <c r="G149" s="140">
        <f t="shared" si="44"/>
        <v>4</v>
      </c>
      <c r="H149" s="110">
        <f t="shared" si="42"/>
        <v>1525</v>
      </c>
    </row>
    <row r="150" spans="1:8" ht="14.4" x14ac:dyDescent="0.3">
      <c r="A150" s="586" t="s">
        <v>80</v>
      </c>
      <c r="B150" s="587"/>
      <c r="C150" s="587"/>
      <c r="D150" s="587"/>
      <c r="E150" s="587"/>
      <c r="F150" s="587"/>
      <c r="G150" s="587"/>
      <c r="H150" s="588"/>
    </row>
    <row r="151" spans="1:8" ht="15.6" customHeight="1" x14ac:dyDescent="0.3">
      <c r="A151" s="676" t="s">
        <v>79</v>
      </c>
      <c r="B151" s="677"/>
      <c r="C151" s="677"/>
      <c r="D151" s="677"/>
      <c r="E151" s="677"/>
      <c r="F151" s="677"/>
      <c r="G151" s="677"/>
      <c r="H151" s="678"/>
    </row>
    <row r="152" spans="1:8" x14ac:dyDescent="0.3">
      <c r="A152" s="645" t="s">
        <v>78</v>
      </c>
      <c r="B152" s="92" t="s">
        <v>63</v>
      </c>
      <c r="C152" s="11"/>
      <c r="D152" s="15"/>
      <c r="E152" s="15"/>
      <c r="F152" s="15"/>
      <c r="G152" s="15"/>
      <c r="H152" s="39"/>
    </row>
    <row r="153" spans="1:8" x14ac:dyDescent="0.3">
      <c r="A153" s="646"/>
      <c r="B153" s="19" t="s">
        <v>73</v>
      </c>
      <c r="C153" s="11" t="s">
        <v>57</v>
      </c>
      <c r="D153" s="26">
        <f>Balaka!D153+Balaka!E153+Balaka!F153+Balaka!G153+Balaka!H153+Balaka!I153</f>
        <v>1014</v>
      </c>
      <c r="E153" s="26">
        <f>Liwonde!D153+Liwonde!E153+Liwonde!F153+Liwonde!G153+Liwonde!H153+Liwonde!I153</f>
        <v>742</v>
      </c>
      <c r="F153" s="26">
        <f>Machinga!D153+Machinga!E153+Machinga!F153+Machinga!G153+Machinga!H153+Machinga!I153</f>
        <v>60</v>
      </c>
      <c r="G153" s="26">
        <f>Ntaja!D153+Ntaja!E153+Ntaja!F153+Ntaja!G153+Ntaja!H153+Ntaja!I153</f>
        <v>538</v>
      </c>
      <c r="H153" s="74">
        <f t="shared" ref="H153:H165" si="45">SUM(D153:G153)</f>
        <v>2354</v>
      </c>
    </row>
    <row r="154" spans="1:8" x14ac:dyDescent="0.3">
      <c r="A154" s="646"/>
      <c r="B154" s="19" t="s">
        <v>72</v>
      </c>
      <c r="C154" s="11" t="s">
        <v>57</v>
      </c>
      <c r="D154" s="26">
        <f>Balaka!D154+Balaka!E154+Balaka!F154+Balaka!G154+Balaka!H154+Balaka!I154</f>
        <v>747</v>
      </c>
      <c r="E154" s="26">
        <f>Liwonde!D154+Liwonde!E154+Liwonde!F154+Liwonde!G154+Liwonde!H154+Liwonde!I154</f>
        <v>455</v>
      </c>
      <c r="F154" s="26">
        <f>Machinga!D154+Machinga!E154+Machinga!F154+Machinga!G154+Machinga!H154+Machinga!I154</f>
        <v>40</v>
      </c>
      <c r="G154" s="26">
        <f>Ntaja!D154+Ntaja!E154+Ntaja!F154+Ntaja!G154+Ntaja!H154+Ntaja!I154</f>
        <v>96</v>
      </c>
      <c r="H154" s="74">
        <f t="shared" si="45"/>
        <v>1338</v>
      </c>
    </row>
    <row r="155" spans="1:8" x14ac:dyDescent="0.3">
      <c r="A155" s="646"/>
      <c r="B155" s="19" t="s">
        <v>53</v>
      </c>
      <c r="C155" s="11" t="s">
        <v>57</v>
      </c>
      <c r="D155" s="26">
        <f>Balaka!D155+Balaka!E155+Balaka!F155+Balaka!G155+Balaka!H155+Balaka!I155</f>
        <v>98</v>
      </c>
      <c r="E155" s="26">
        <f>Liwonde!D155+Liwonde!E155+Liwonde!F155+Liwonde!G155+Liwonde!H155+Liwonde!I155</f>
        <v>142</v>
      </c>
      <c r="F155" s="26">
        <f>Machinga!D155+Machinga!E155+Machinga!F155+Machinga!G155+Machinga!H155+Machinga!I155</f>
        <v>33</v>
      </c>
      <c r="G155" s="26">
        <f>Ntaja!D155+Ntaja!E155+Ntaja!F155+Ntaja!G155+Ntaja!H155+Ntaja!I155</f>
        <v>33</v>
      </c>
      <c r="H155" s="74">
        <f t="shared" si="45"/>
        <v>306</v>
      </c>
    </row>
    <row r="156" spans="1:8" x14ac:dyDescent="0.3">
      <c r="A156" s="646"/>
      <c r="B156" s="19" t="s">
        <v>71</v>
      </c>
      <c r="C156" s="11" t="s">
        <v>57</v>
      </c>
      <c r="D156" s="26">
        <f>Balaka!D156+Balaka!E156+Balaka!F156+Balaka!G156+Balaka!H156+Balaka!I156</f>
        <v>29</v>
      </c>
      <c r="E156" s="26">
        <f>Liwonde!D156+Liwonde!E156+Liwonde!F156+Liwonde!G156+Liwonde!H156+Liwonde!I156</f>
        <v>30</v>
      </c>
      <c r="F156" s="26">
        <f>Machinga!D156+Machinga!E156+Machinga!F156+Machinga!G156+Machinga!H156+Machinga!I156</f>
        <v>19</v>
      </c>
      <c r="G156" s="26">
        <f>Ntaja!D156+Ntaja!E156+Ntaja!F156+Ntaja!G156+Ntaja!H156+Ntaja!I156</f>
        <v>12</v>
      </c>
      <c r="H156" s="74">
        <f t="shared" si="45"/>
        <v>90</v>
      </c>
    </row>
    <row r="157" spans="1:8" x14ac:dyDescent="0.3">
      <c r="A157" s="646"/>
      <c r="B157" s="19" t="s">
        <v>52</v>
      </c>
      <c r="C157" s="11" t="s">
        <v>57</v>
      </c>
      <c r="D157" s="26">
        <f>Balaka!D157+Balaka!E157+Balaka!F157+Balaka!G157+Balaka!H157+Balaka!I157</f>
        <v>35</v>
      </c>
      <c r="E157" s="26">
        <f>Liwonde!D157+Liwonde!E157+Liwonde!F157+Liwonde!G157+Liwonde!H157+Liwonde!I157</f>
        <v>39</v>
      </c>
      <c r="F157" s="26">
        <f>Machinga!D157+Machinga!E157+Machinga!F157+Machinga!G157+Machinga!H157+Machinga!I157</f>
        <v>9</v>
      </c>
      <c r="G157" s="26">
        <f>Ntaja!D157+Ntaja!E157+Ntaja!F157+Ntaja!G157+Ntaja!H157+Ntaja!I157</f>
        <v>27</v>
      </c>
      <c r="H157" s="74">
        <f t="shared" si="45"/>
        <v>110</v>
      </c>
    </row>
    <row r="158" spans="1:8" x14ac:dyDescent="0.3">
      <c r="A158" s="646"/>
      <c r="B158" s="19" t="s">
        <v>51</v>
      </c>
      <c r="C158" s="11" t="s">
        <v>57</v>
      </c>
      <c r="D158" s="26">
        <f>Balaka!D158+Balaka!E158+Balaka!F158+Balaka!G158+Balaka!H158+Balaka!I158</f>
        <v>65</v>
      </c>
      <c r="E158" s="26">
        <f>Liwonde!D158+Liwonde!E158+Liwonde!F158+Liwonde!G158+Liwonde!H158+Liwonde!I158</f>
        <v>73</v>
      </c>
      <c r="F158" s="26">
        <f>Machinga!D158+Machinga!E158+Machinga!F158+Machinga!G158+Machinga!H158+Machinga!I158</f>
        <v>13</v>
      </c>
      <c r="G158" s="26">
        <f>Ntaja!D158+Ntaja!E158+Ntaja!F158+Ntaja!G158+Ntaja!H158+Ntaja!I158</f>
        <v>6</v>
      </c>
      <c r="H158" s="74">
        <f t="shared" si="45"/>
        <v>157</v>
      </c>
    </row>
    <row r="159" spans="1:8" x14ac:dyDescent="0.3">
      <c r="A159" s="646"/>
      <c r="B159" s="19" t="s">
        <v>62</v>
      </c>
      <c r="C159" s="11" t="s">
        <v>57</v>
      </c>
      <c r="D159" s="26">
        <f>Balaka!D159+Balaka!E159+Balaka!F159+Balaka!G159+Balaka!H159+Balaka!I159</f>
        <v>0</v>
      </c>
      <c r="E159" s="26">
        <f>Liwonde!D159+Liwonde!E159+Liwonde!F159+Liwonde!G159+Liwonde!H159+Liwonde!I159</f>
        <v>3</v>
      </c>
      <c r="F159" s="26">
        <f>Machinga!D159+Machinga!E159+Machinga!F159+Machinga!G159+Machinga!H159+Machinga!I159</f>
        <v>0</v>
      </c>
      <c r="G159" s="26">
        <f>Ntaja!D159+Ntaja!E159+Ntaja!F159+Ntaja!G159+Ntaja!H159+Ntaja!I159</f>
        <v>0</v>
      </c>
      <c r="H159" s="74">
        <f t="shared" si="45"/>
        <v>3</v>
      </c>
    </row>
    <row r="160" spans="1:8" x14ac:dyDescent="0.3">
      <c r="A160" s="646"/>
      <c r="B160" s="19" t="s">
        <v>50</v>
      </c>
      <c r="C160" s="11" t="s">
        <v>57</v>
      </c>
      <c r="D160" s="26">
        <f>Balaka!D160+Balaka!E160+Balaka!F160+Balaka!G160+Balaka!H160+Balaka!I160</f>
        <v>5</v>
      </c>
      <c r="E160" s="26">
        <f>Liwonde!D160+Liwonde!E160+Liwonde!F160+Liwonde!G160+Liwonde!H160+Liwonde!I160</f>
        <v>29</v>
      </c>
      <c r="F160" s="26">
        <f>Machinga!D160+Machinga!E160+Machinga!F160+Machinga!G160+Machinga!H160+Machinga!I160</f>
        <v>5</v>
      </c>
      <c r="G160" s="26">
        <f>Ntaja!D160+Ntaja!E160+Ntaja!F160+Ntaja!G160+Ntaja!H160+Ntaja!I160</f>
        <v>4</v>
      </c>
      <c r="H160" s="74">
        <f t="shared" si="45"/>
        <v>43</v>
      </c>
    </row>
    <row r="161" spans="1:8" x14ac:dyDescent="0.3">
      <c r="A161" s="646"/>
      <c r="B161" s="19" t="s">
        <v>49</v>
      </c>
      <c r="C161" s="11" t="s">
        <v>57</v>
      </c>
      <c r="D161" s="26">
        <f>Balaka!D161+Balaka!E161+Balaka!F161+Balaka!G161+Balaka!H161+Balaka!I161</f>
        <v>16</v>
      </c>
      <c r="E161" s="26">
        <f>Liwonde!D161+Liwonde!E161+Liwonde!F161+Liwonde!G161+Liwonde!H161+Liwonde!I161</f>
        <v>24</v>
      </c>
      <c r="F161" s="26">
        <f>Machinga!D161+Machinga!E161+Machinga!F161+Machinga!G161+Machinga!H161+Machinga!I161</f>
        <v>2</v>
      </c>
      <c r="G161" s="26">
        <f>Ntaja!D161+Ntaja!E161+Ntaja!F161+Ntaja!G161+Ntaja!H161+Ntaja!I161</f>
        <v>0</v>
      </c>
      <c r="H161" s="74">
        <f t="shared" si="45"/>
        <v>42</v>
      </c>
    </row>
    <row r="162" spans="1:8" x14ac:dyDescent="0.3">
      <c r="A162" s="646"/>
      <c r="B162" s="19" t="s">
        <v>77</v>
      </c>
      <c r="C162" s="11" t="s">
        <v>57</v>
      </c>
      <c r="D162" s="26">
        <f>Balaka!D162+Balaka!E162+Balaka!F162+Balaka!G162+Balaka!H162+Balaka!I162</f>
        <v>6</v>
      </c>
      <c r="E162" s="26">
        <f>Liwonde!D162+Liwonde!E162+Liwonde!F162+Liwonde!G162+Liwonde!H162+Liwonde!I162</f>
        <v>14</v>
      </c>
      <c r="F162" s="26">
        <f>Machinga!D162+Machinga!E162+Machinga!F162+Machinga!G162+Machinga!H162+Machinga!I162</f>
        <v>0</v>
      </c>
      <c r="G162" s="26">
        <f>Ntaja!D162+Ntaja!E162+Ntaja!F162+Ntaja!G162+Ntaja!H162+Ntaja!I162</f>
        <v>3</v>
      </c>
      <c r="H162" s="74">
        <f t="shared" si="45"/>
        <v>23</v>
      </c>
    </row>
    <row r="163" spans="1:8" x14ac:dyDescent="0.3">
      <c r="A163" s="646"/>
      <c r="B163" s="19" t="s">
        <v>69</v>
      </c>
      <c r="C163" s="11" t="s">
        <v>57</v>
      </c>
      <c r="D163" s="26">
        <f>Balaka!D163+Balaka!E163+Balaka!F163+Balaka!G163+Balaka!H163+Balaka!I163</f>
        <v>20</v>
      </c>
      <c r="E163" s="26">
        <f>Liwonde!D163+Liwonde!E163+Liwonde!F163+Liwonde!G163+Liwonde!H163+Liwonde!I163</f>
        <v>7</v>
      </c>
      <c r="F163" s="26">
        <f>Machinga!D163+Machinga!E163+Machinga!F163+Machinga!G163+Machinga!H163+Machinga!I163</f>
        <v>0</v>
      </c>
      <c r="G163" s="26">
        <f>Ntaja!D163+Ntaja!E163+Ntaja!F163+Ntaja!G163+Ntaja!H163+Ntaja!I163</f>
        <v>0</v>
      </c>
      <c r="H163" s="74">
        <f t="shared" si="45"/>
        <v>27</v>
      </c>
    </row>
    <row r="164" spans="1:8" x14ac:dyDescent="0.3">
      <c r="A164" s="646"/>
      <c r="B164" s="19" t="s">
        <v>68</v>
      </c>
      <c r="C164" s="11" t="s">
        <v>57</v>
      </c>
      <c r="D164" s="26">
        <f>Balaka!D164+Balaka!E164+Balaka!F164+Balaka!G164+Balaka!H164+Balaka!I164</f>
        <v>0</v>
      </c>
      <c r="E164" s="26">
        <f>Liwonde!D164+Liwonde!E164+Liwonde!F164+Liwonde!G164+Liwonde!H164+Liwonde!I164</f>
        <v>3</v>
      </c>
      <c r="F164" s="26">
        <f>Machinga!D164+Machinga!E164+Machinga!F164+Machinga!G164+Machinga!H164+Machinga!I164</f>
        <v>0</v>
      </c>
      <c r="G164" s="26">
        <f>Ntaja!D164+Ntaja!E164+Ntaja!F164+Ntaja!G164+Ntaja!H164+Ntaja!I164</f>
        <v>0</v>
      </c>
      <c r="H164" s="74">
        <f t="shared" si="45"/>
        <v>3</v>
      </c>
    </row>
    <row r="165" spans="1:8" x14ac:dyDescent="0.3">
      <c r="A165" s="647"/>
      <c r="B165" s="19" t="s">
        <v>76</v>
      </c>
      <c r="C165" s="11" t="s">
        <v>57</v>
      </c>
      <c r="D165" s="26">
        <f>Balaka!D165+Balaka!E165+Balaka!F165+Balaka!G165+Balaka!H165+Balaka!I165</f>
        <v>0</v>
      </c>
      <c r="E165" s="26">
        <f>Liwonde!D165+Liwonde!E165+Liwonde!F165+Liwonde!G165+Liwonde!H165+Liwonde!I165</f>
        <v>0</v>
      </c>
      <c r="F165" s="26">
        <f>Machinga!D165+Machinga!E165+Machinga!F165+Machinga!G165+Machinga!H165+Machinga!I165</f>
        <v>0</v>
      </c>
      <c r="G165" s="26">
        <f>Ntaja!D165+Ntaja!E165+Ntaja!F165+Ntaja!G165+Ntaja!H165+Ntaja!I165</f>
        <v>0</v>
      </c>
      <c r="H165" s="74">
        <f t="shared" si="45"/>
        <v>0</v>
      </c>
    </row>
    <row r="166" spans="1:8" x14ac:dyDescent="0.3">
      <c r="A166" s="645" t="s">
        <v>75</v>
      </c>
      <c r="B166" s="21" t="s">
        <v>63</v>
      </c>
      <c r="C166" s="11"/>
      <c r="D166" s="4"/>
      <c r="E166" s="4"/>
      <c r="F166" s="4"/>
      <c r="G166" s="4"/>
      <c r="H166" s="74"/>
    </row>
    <row r="167" spans="1:8" x14ac:dyDescent="0.3">
      <c r="A167" s="646"/>
      <c r="B167" s="19" t="s">
        <v>74</v>
      </c>
      <c r="C167" s="11" t="s">
        <v>57</v>
      </c>
      <c r="D167" s="26">
        <f>Balaka!D167+Balaka!E167+Balaka!F167+Balaka!G167+Balaka!H167+Balaka!I167</f>
        <v>0</v>
      </c>
      <c r="E167" s="26">
        <f>Liwonde!D167+Liwonde!E167+Liwonde!F167+Liwonde!G167+Liwonde!H167+Liwonde!I167</f>
        <v>20</v>
      </c>
      <c r="F167" s="26">
        <f>Machinga!D167+Machinga!E167+Machinga!F167+Machinga!G167+Machinga!H167+Machinga!I167</f>
        <v>4</v>
      </c>
      <c r="G167" s="26">
        <f>Ntaja!D167+Ntaja!E167+Ntaja!F167+Ntaja!G167+Ntaja!H167+Ntaja!I167</f>
        <v>4</v>
      </c>
      <c r="H167" s="74">
        <f t="shared" ref="H167:H175" si="46">SUM(D167:G167)</f>
        <v>28</v>
      </c>
    </row>
    <row r="168" spans="1:8" x14ac:dyDescent="0.3">
      <c r="A168" s="646"/>
      <c r="B168" s="19" t="s">
        <v>73</v>
      </c>
      <c r="C168" s="11" t="s">
        <v>57</v>
      </c>
      <c r="D168" s="26">
        <f>Balaka!D168+Balaka!E168+Balaka!F168+Balaka!G168+Balaka!H168+Balaka!I168</f>
        <v>0</v>
      </c>
      <c r="E168" s="26">
        <f>Liwonde!D168+Liwonde!E168+Liwonde!F168+Liwonde!G168+Liwonde!H168+Liwonde!I168</f>
        <v>5</v>
      </c>
      <c r="F168" s="26">
        <f>Machinga!D168+Machinga!E168+Machinga!F168+Machinga!G168+Machinga!H168+Machinga!I168</f>
        <v>0</v>
      </c>
      <c r="G168" s="26">
        <f>Ntaja!D168+Ntaja!E168+Ntaja!F168+Ntaja!G168+Ntaja!H168+Ntaja!I168</f>
        <v>0</v>
      </c>
      <c r="H168" s="74">
        <f t="shared" si="46"/>
        <v>5</v>
      </c>
    </row>
    <row r="169" spans="1:8" x14ac:dyDescent="0.3">
      <c r="A169" s="646"/>
      <c r="B169" s="19" t="s">
        <v>72</v>
      </c>
      <c r="C169" s="11" t="s">
        <v>57</v>
      </c>
      <c r="D169" s="26">
        <f>Balaka!D169+Balaka!E169+Balaka!F169+Balaka!G169+Balaka!H169+Balaka!I169</f>
        <v>0</v>
      </c>
      <c r="E169" s="26">
        <f>Liwonde!D169+Liwonde!E169+Liwonde!F169+Liwonde!G169+Liwonde!H169+Liwonde!I169</f>
        <v>2</v>
      </c>
      <c r="F169" s="26">
        <f>Machinga!D169+Machinga!E169+Machinga!F169+Machinga!G169+Machinga!H169+Machinga!I169</f>
        <v>0</v>
      </c>
      <c r="G169" s="26">
        <f>Ntaja!D169+Ntaja!E169+Ntaja!F169+Ntaja!G169+Ntaja!H169+Ntaja!I169</f>
        <v>0</v>
      </c>
      <c r="H169" s="74">
        <f t="shared" si="46"/>
        <v>2</v>
      </c>
    </row>
    <row r="170" spans="1:8" x14ac:dyDescent="0.3">
      <c r="A170" s="646"/>
      <c r="B170" s="19" t="s">
        <v>71</v>
      </c>
      <c r="C170" s="11" t="s">
        <v>57</v>
      </c>
      <c r="D170" s="26">
        <f>Balaka!D170+Balaka!E170+Balaka!F170+Balaka!G170+Balaka!H170+Balaka!I170</f>
        <v>0</v>
      </c>
      <c r="E170" s="26">
        <f>Liwonde!D170+Liwonde!E170+Liwonde!F170+Liwonde!G170+Liwonde!H170+Liwonde!I170</f>
        <v>1</v>
      </c>
      <c r="F170" s="26">
        <f>Machinga!D170+Machinga!E170+Machinga!F170+Machinga!G170+Machinga!H170+Machinga!I170</f>
        <v>0</v>
      </c>
      <c r="G170" s="26">
        <f>Ntaja!D170+Ntaja!E170+Ntaja!F170+Ntaja!G170+Ntaja!H170+Ntaja!I170</f>
        <v>0</v>
      </c>
      <c r="H170" s="74">
        <f t="shared" si="46"/>
        <v>1</v>
      </c>
    </row>
    <row r="171" spans="1:8" x14ac:dyDescent="0.3">
      <c r="A171" s="646"/>
      <c r="B171" s="19" t="s">
        <v>52</v>
      </c>
      <c r="C171" s="11" t="s">
        <v>57</v>
      </c>
      <c r="D171" s="26">
        <f>Balaka!D171+Balaka!E171+Balaka!F171+Balaka!G171+Balaka!H171+Balaka!I171</f>
        <v>0</v>
      </c>
      <c r="E171" s="26">
        <f>Liwonde!D171+Liwonde!E171+Liwonde!F171+Liwonde!G171+Liwonde!H171+Liwonde!I171</f>
        <v>0</v>
      </c>
      <c r="F171" s="26">
        <f>Machinga!D171+Machinga!E171+Machinga!F171+Machinga!G171+Machinga!H171+Machinga!I171</f>
        <v>4</v>
      </c>
      <c r="G171" s="26">
        <f>Ntaja!D171+Ntaja!E171+Ntaja!F171+Ntaja!G171+Ntaja!H171+Ntaja!I171</f>
        <v>0</v>
      </c>
      <c r="H171" s="74">
        <f t="shared" si="46"/>
        <v>4</v>
      </c>
    </row>
    <row r="172" spans="1:8" x14ac:dyDescent="0.3">
      <c r="A172" s="646"/>
      <c r="B172" s="19" t="s">
        <v>62</v>
      </c>
      <c r="C172" s="11" t="s">
        <v>57</v>
      </c>
      <c r="D172" s="26">
        <f>Balaka!D172+Balaka!E172+Balaka!F172+Balaka!G172+Balaka!H172+Balaka!I172</f>
        <v>0</v>
      </c>
      <c r="E172" s="26">
        <f>Liwonde!D172+Liwonde!E172+Liwonde!F172+Liwonde!G172+Liwonde!H172+Liwonde!I172</f>
        <v>0</v>
      </c>
      <c r="F172" s="26">
        <f>Machinga!D172+Machinga!E172+Machinga!F172+Machinga!G172+Machinga!H172+Machinga!I172</f>
        <v>0</v>
      </c>
      <c r="G172" s="26">
        <f>Ntaja!D172+Ntaja!E172+Ntaja!F172+Ntaja!G172+Ntaja!H172+Ntaja!I172</f>
        <v>0</v>
      </c>
      <c r="H172" s="74">
        <f t="shared" si="46"/>
        <v>0</v>
      </c>
    </row>
    <row r="173" spans="1:8" x14ac:dyDescent="0.3">
      <c r="A173" s="646"/>
      <c r="B173" s="19" t="s">
        <v>61</v>
      </c>
      <c r="C173" s="11" t="s">
        <v>57</v>
      </c>
      <c r="D173" s="26">
        <f>Balaka!D173+Balaka!E173+Balaka!F173+Balaka!G173+Balaka!H173+Balaka!I173</f>
        <v>0</v>
      </c>
      <c r="E173" s="26">
        <f>Liwonde!D173+Liwonde!E173+Liwonde!F173+Liwonde!G173+Liwonde!H173+Liwonde!I173</f>
        <v>0</v>
      </c>
      <c r="F173" s="26">
        <f>Machinga!D173+Machinga!E173+Machinga!F173+Machinga!G173+Machinga!H173+Machinga!I173</f>
        <v>0</v>
      </c>
      <c r="G173" s="26">
        <f>Ntaja!D173+Ntaja!E173+Ntaja!F173+Ntaja!G173+Ntaja!H173+Ntaja!I173</f>
        <v>0</v>
      </c>
      <c r="H173" s="74">
        <f t="shared" si="46"/>
        <v>0</v>
      </c>
    </row>
    <row r="174" spans="1:8" x14ac:dyDescent="0.3">
      <c r="A174" s="646"/>
      <c r="B174" s="19" t="s">
        <v>60</v>
      </c>
      <c r="C174" s="11" t="s">
        <v>57</v>
      </c>
      <c r="D174" s="26">
        <f>Balaka!D174+Balaka!E174+Balaka!F174+Balaka!G174+Balaka!H174+Balaka!I174</f>
        <v>0</v>
      </c>
      <c r="E174" s="26">
        <f>Liwonde!D174+Liwonde!E174+Liwonde!F174+Liwonde!G174+Liwonde!H174+Liwonde!I174</f>
        <v>0</v>
      </c>
      <c r="F174" s="26">
        <f>Machinga!D174+Machinga!E174+Machinga!F174+Machinga!G174+Machinga!H174+Machinga!I174</f>
        <v>0</v>
      </c>
      <c r="G174" s="26">
        <f>Ntaja!D174+Ntaja!E174+Ntaja!F174+Ntaja!G174+Ntaja!H174+Ntaja!I174</f>
        <v>0</v>
      </c>
      <c r="H174" s="74">
        <f t="shared" si="46"/>
        <v>0</v>
      </c>
    </row>
    <row r="175" spans="1:8" x14ac:dyDescent="0.3">
      <c r="A175" s="647"/>
      <c r="B175" s="19" t="s">
        <v>69</v>
      </c>
      <c r="C175" s="11" t="s">
        <v>57</v>
      </c>
      <c r="D175" s="26">
        <f>Balaka!D175+Balaka!E175+Balaka!F175+Balaka!G175+Balaka!H175+Balaka!I175</f>
        <v>0</v>
      </c>
      <c r="E175" s="26">
        <f>Liwonde!D175+Liwonde!E175+Liwonde!F175+Liwonde!G175+Liwonde!H175+Liwonde!I175</f>
        <v>0</v>
      </c>
      <c r="F175" s="26">
        <f>Machinga!D175+Machinga!E175+Machinga!F175+Machinga!G175+Machinga!H175+Machinga!I175</f>
        <v>0</v>
      </c>
      <c r="G175" s="26">
        <f>Ntaja!D175+Ntaja!E175+Ntaja!F175+Ntaja!G175+Ntaja!H175+Ntaja!I175</f>
        <v>0</v>
      </c>
      <c r="H175" s="74">
        <f t="shared" si="46"/>
        <v>0</v>
      </c>
    </row>
    <row r="176" spans="1:8" x14ac:dyDescent="0.3">
      <c r="A176" s="645" t="s">
        <v>70</v>
      </c>
      <c r="B176" s="21" t="s">
        <v>63</v>
      </c>
      <c r="C176" s="11"/>
      <c r="D176" s="4"/>
      <c r="E176" s="4"/>
      <c r="F176" s="4"/>
      <c r="G176" s="4"/>
      <c r="H176" s="74"/>
    </row>
    <row r="177" spans="1:8" x14ac:dyDescent="0.3">
      <c r="A177" s="646"/>
      <c r="B177" s="19" t="s">
        <v>60</v>
      </c>
      <c r="C177" s="11" t="s">
        <v>57</v>
      </c>
      <c r="D177" s="26">
        <f>Balaka!D177+Balaka!E177+Balaka!F177+Balaka!G177+Balaka!H177+Balaka!I177</f>
        <v>0</v>
      </c>
      <c r="E177" s="26">
        <f>Liwonde!D177+Liwonde!E177+Liwonde!F177+Liwonde!G177+Liwonde!H177+Liwonde!I177</f>
        <v>0</v>
      </c>
      <c r="F177" s="26">
        <f>Machinga!D177+Machinga!E177+Machinga!F177+Machinga!G177+Machinga!H177+Machinga!I177</f>
        <v>0</v>
      </c>
      <c r="G177" s="26">
        <f>Ntaja!D177+Ntaja!E177+Ntaja!F177+Ntaja!G177+Ntaja!H177+Ntaja!I177</f>
        <v>0</v>
      </c>
      <c r="H177" s="74">
        <f t="shared" ref="H177:H182" si="47">SUM(D177:G177)</f>
        <v>0</v>
      </c>
    </row>
    <row r="178" spans="1:8" x14ac:dyDescent="0.3">
      <c r="A178" s="646"/>
      <c r="B178" s="19" t="s">
        <v>69</v>
      </c>
      <c r="C178" s="11" t="s">
        <v>57</v>
      </c>
      <c r="D178" s="26">
        <f>Balaka!D178+Balaka!E178+Balaka!F178+Balaka!G178+Balaka!H178+Balaka!I178</f>
        <v>0</v>
      </c>
      <c r="E178" s="26">
        <f>Liwonde!D178+Liwonde!E178+Liwonde!F178+Liwonde!G178+Liwonde!H178+Liwonde!I178</f>
        <v>0</v>
      </c>
      <c r="F178" s="26">
        <f>Machinga!D178+Machinga!E178+Machinga!F178+Machinga!G178+Machinga!H178+Machinga!I178</f>
        <v>0</v>
      </c>
      <c r="G178" s="26">
        <f>Ntaja!D178+Ntaja!E178+Ntaja!F178+Ntaja!G178+Ntaja!H178+Ntaja!I178</f>
        <v>0</v>
      </c>
      <c r="H178" s="74">
        <f t="shared" si="47"/>
        <v>0</v>
      </c>
    </row>
    <row r="179" spans="1:8" x14ac:dyDescent="0.3">
      <c r="A179" s="646"/>
      <c r="B179" s="19" t="s">
        <v>68</v>
      </c>
      <c r="C179" s="11" t="s">
        <v>57</v>
      </c>
      <c r="D179" s="26">
        <f>Balaka!D179+Balaka!E179+Balaka!F179+Balaka!G179+Balaka!H179+Balaka!I179</f>
        <v>0</v>
      </c>
      <c r="E179" s="26">
        <f>Liwonde!D179+Liwonde!E179+Liwonde!F179+Liwonde!G179+Liwonde!H179+Liwonde!I179</f>
        <v>0</v>
      </c>
      <c r="F179" s="26">
        <f>Machinga!D179+Machinga!E179+Machinga!F179+Machinga!G179+Machinga!H179+Machinga!I179</f>
        <v>0</v>
      </c>
      <c r="G179" s="26">
        <f>Ntaja!D179+Ntaja!E179+Ntaja!F179+Ntaja!G179+Ntaja!H179+Ntaja!I179</f>
        <v>0</v>
      </c>
      <c r="H179" s="74">
        <f t="shared" si="47"/>
        <v>0</v>
      </c>
    </row>
    <row r="180" spans="1:8" x14ac:dyDescent="0.3">
      <c r="A180" s="646"/>
      <c r="B180" s="19" t="s">
        <v>67</v>
      </c>
      <c r="C180" s="11" t="s">
        <v>57</v>
      </c>
      <c r="D180" s="26">
        <f>Balaka!D180+Balaka!E180+Balaka!F180+Balaka!G180+Balaka!H180+Balaka!I180</f>
        <v>0</v>
      </c>
      <c r="E180" s="26">
        <f>Liwonde!D180+Liwonde!E180+Liwonde!F180+Liwonde!G180+Liwonde!H180+Liwonde!I180</f>
        <v>0</v>
      </c>
      <c r="F180" s="26">
        <f>Machinga!D180+Machinga!E180+Machinga!F180+Machinga!G180+Machinga!H180+Machinga!I180</f>
        <v>0</v>
      </c>
      <c r="G180" s="26">
        <f>Ntaja!D180+Ntaja!E180+Ntaja!F180+Ntaja!G180+Ntaja!H180+Ntaja!I180</f>
        <v>0</v>
      </c>
      <c r="H180" s="74">
        <f t="shared" si="47"/>
        <v>0</v>
      </c>
    </row>
    <row r="181" spans="1:8" x14ac:dyDescent="0.3">
      <c r="A181" s="646"/>
      <c r="B181" s="19" t="s">
        <v>66</v>
      </c>
      <c r="C181" s="11" t="s">
        <v>57</v>
      </c>
      <c r="D181" s="26">
        <f>Balaka!D181+Balaka!E181+Balaka!F181+Balaka!G181+Balaka!H181+Balaka!I181</f>
        <v>0</v>
      </c>
      <c r="E181" s="26">
        <f>Liwonde!D181+Liwonde!E181+Liwonde!F181+Liwonde!G181+Liwonde!H181+Liwonde!I181</f>
        <v>0</v>
      </c>
      <c r="F181" s="26">
        <f>Machinga!D181+Machinga!E181+Machinga!F181+Machinga!G181+Machinga!H181+Machinga!I181</f>
        <v>0</v>
      </c>
      <c r="G181" s="26">
        <f>Ntaja!D181+Ntaja!E181+Ntaja!F181+Ntaja!G181+Ntaja!H181+Ntaja!I181</f>
        <v>0</v>
      </c>
      <c r="H181" s="74">
        <f t="shared" si="47"/>
        <v>0</v>
      </c>
    </row>
    <row r="182" spans="1:8" x14ac:dyDescent="0.3">
      <c r="A182" s="647"/>
      <c r="B182" s="19" t="s">
        <v>65</v>
      </c>
      <c r="C182" s="11" t="s">
        <v>57</v>
      </c>
      <c r="D182" s="26">
        <f>Balaka!D182+Balaka!E182+Balaka!F182+Balaka!G182+Balaka!H182+Balaka!I182</f>
        <v>0</v>
      </c>
      <c r="E182" s="26">
        <f>Liwonde!D182+Liwonde!E182+Liwonde!F182+Liwonde!G182+Liwonde!H182+Liwonde!I182</f>
        <v>0</v>
      </c>
      <c r="F182" s="26">
        <f>Machinga!D182+Machinga!E182+Machinga!F182+Machinga!G182+Machinga!H182+Machinga!I182</f>
        <v>0</v>
      </c>
      <c r="G182" s="26">
        <f>Ntaja!D182+Ntaja!E182+Ntaja!F182+Ntaja!G182+Ntaja!H182+Ntaja!I182</f>
        <v>0</v>
      </c>
      <c r="H182" s="74">
        <f t="shared" si="47"/>
        <v>0</v>
      </c>
    </row>
    <row r="183" spans="1:8" x14ac:dyDescent="0.3">
      <c r="A183" s="645" t="s">
        <v>209</v>
      </c>
      <c r="B183" s="21" t="s">
        <v>63</v>
      </c>
      <c r="C183" s="11"/>
      <c r="D183" s="4"/>
      <c r="E183" s="4"/>
      <c r="F183" s="4"/>
      <c r="G183" s="4"/>
      <c r="H183" s="74"/>
    </row>
    <row r="184" spans="1:8" x14ac:dyDescent="0.3">
      <c r="A184" s="646"/>
      <c r="B184" s="19" t="s">
        <v>73</v>
      </c>
      <c r="C184" s="11" t="s">
        <v>57</v>
      </c>
      <c r="D184" s="26">
        <f>Balaka!D184+Balaka!E184+Balaka!F184+Balaka!G184+Balaka!H184+Balaka!I184</f>
        <v>0</v>
      </c>
      <c r="E184" s="26">
        <f>Liwonde!D184+Liwonde!E184+Liwonde!F184+Liwonde!G184+Liwonde!H184+Liwonde!I184</f>
        <v>0</v>
      </c>
      <c r="F184" s="26">
        <f>Machinga!D184+Machinga!E184+Machinga!F184+Machinga!G184+Machinga!H184+Machinga!I184</f>
        <v>0</v>
      </c>
      <c r="G184" s="26">
        <f>Ntaja!D184+Ntaja!E184+Ntaja!F184+Ntaja!G184+Ntaja!H184+Ntaja!I184</f>
        <v>0</v>
      </c>
      <c r="H184" s="74">
        <f>SUM(D184:G184)</f>
        <v>0</v>
      </c>
    </row>
    <row r="185" spans="1:8" x14ac:dyDescent="0.3">
      <c r="A185" s="646"/>
      <c r="B185" s="19" t="s">
        <v>72</v>
      </c>
      <c r="C185" s="11" t="s">
        <v>57</v>
      </c>
      <c r="D185" s="26">
        <f>Balaka!D185+Balaka!E185+Balaka!F185+Balaka!G185+Balaka!H185+Balaka!I185</f>
        <v>0</v>
      </c>
      <c r="E185" s="26">
        <f>Liwonde!D185+Liwonde!E185+Liwonde!F185+Liwonde!G185+Liwonde!H185+Liwonde!I185</f>
        <v>0</v>
      </c>
      <c r="F185" s="26">
        <f>Machinga!D185+Machinga!E185+Machinga!F185+Machinga!G185+Machinga!H185+Machinga!I185</f>
        <v>0</v>
      </c>
      <c r="G185" s="26">
        <f>Ntaja!D185+Ntaja!E185+Ntaja!F185+Ntaja!G185+Ntaja!H185+Ntaja!I185</f>
        <v>0</v>
      </c>
      <c r="H185" s="74">
        <f>SUM(D185:G185)</f>
        <v>0</v>
      </c>
    </row>
    <row r="186" spans="1:8" x14ac:dyDescent="0.3">
      <c r="A186" s="646"/>
      <c r="B186" s="19" t="s">
        <v>53</v>
      </c>
      <c r="C186" s="11" t="s">
        <v>57</v>
      </c>
      <c r="D186" s="26">
        <f>Balaka!D186+Balaka!E186+Balaka!F186+Balaka!G186+Balaka!H186+Balaka!I186</f>
        <v>0</v>
      </c>
      <c r="E186" s="26">
        <f>Liwonde!D186+Liwonde!E186+Liwonde!F186+Liwonde!G186+Liwonde!H186+Liwonde!I186</f>
        <v>0</v>
      </c>
      <c r="F186" s="26">
        <f>Machinga!D186+Machinga!E186+Machinga!F186+Machinga!G186+Machinga!H186+Machinga!I186</f>
        <v>0</v>
      </c>
      <c r="G186" s="26">
        <f>Ntaja!D186+Ntaja!E186+Ntaja!F186+Ntaja!G186+Ntaja!H186+Ntaja!I186</f>
        <v>0</v>
      </c>
      <c r="H186" s="74">
        <f>SUM(D186:G186)</f>
        <v>0</v>
      </c>
    </row>
    <row r="187" spans="1:8" x14ac:dyDescent="0.3">
      <c r="A187" s="647"/>
      <c r="B187" s="19" t="s">
        <v>52</v>
      </c>
      <c r="C187" s="11" t="s">
        <v>57</v>
      </c>
      <c r="D187" s="26">
        <f>Balaka!D187+Balaka!E187+Balaka!F187+Balaka!G187+Balaka!H187+Balaka!I187</f>
        <v>0</v>
      </c>
      <c r="E187" s="26">
        <f>Liwonde!D187+Liwonde!E187+Liwonde!F187+Liwonde!G187+Liwonde!H187+Liwonde!I187</f>
        <v>0</v>
      </c>
      <c r="F187" s="26">
        <f>Machinga!D187+Machinga!E187+Machinga!F187+Machinga!G187+Machinga!H187+Machinga!I187</f>
        <v>0</v>
      </c>
      <c r="G187" s="26">
        <f>Ntaja!D187+Ntaja!E187+Ntaja!F187+Ntaja!G187+Ntaja!H187+Ntaja!I187</f>
        <v>0</v>
      </c>
      <c r="H187" s="74">
        <f>SUM(D187:G187)</f>
        <v>0</v>
      </c>
    </row>
    <row r="188" spans="1:8" x14ac:dyDescent="0.3">
      <c r="A188" s="645" t="s">
        <v>64</v>
      </c>
      <c r="B188" s="21" t="s">
        <v>63</v>
      </c>
      <c r="C188" s="11"/>
      <c r="D188" s="4"/>
      <c r="E188" s="4"/>
      <c r="F188" s="4"/>
      <c r="G188" s="4"/>
      <c r="H188" s="74"/>
    </row>
    <row r="189" spans="1:8" x14ac:dyDescent="0.3">
      <c r="A189" s="646"/>
      <c r="B189" s="20" t="s">
        <v>52</v>
      </c>
      <c r="C189" s="11" t="s">
        <v>57</v>
      </c>
      <c r="D189" s="26">
        <f>Balaka!D189+Balaka!E189+Balaka!F189+Balaka!G189+Balaka!H189+Balaka!I189</f>
        <v>0</v>
      </c>
      <c r="E189" s="26">
        <f>Liwonde!D189+Liwonde!E189+Liwonde!F189+Liwonde!G189+Liwonde!H189+Liwonde!I189</f>
        <v>0</v>
      </c>
      <c r="F189" s="26">
        <f>Machinga!D189+Machinga!E189+Machinga!F189+Machinga!G189+Machinga!H189+Machinga!I189</f>
        <v>0</v>
      </c>
      <c r="G189" s="26">
        <f>Ntaja!D189+Ntaja!E189+Ntaja!F189+Ntaja!G189+Ntaja!H189+Ntaja!I189</f>
        <v>0</v>
      </c>
      <c r="H189" s="74">
        <f>SUM(D189:G189)</f>
        <v>0</v>
      </c>
    </row>
    <row r="190" spans="1:8" x14ac:dyDescent="0.3">
      <c r="A190" s="646"/>
      <c r="B190" s="19" t="s">
        <v>62</v>
      </c>
      <c r="C190" s="11" t="s">
        <v>57</v>
      </c>
      <c r="D190" s="26">
        <f>Balaka!D190+Balaka!E190+Balaka!F190+Balaka!G190+Balaka!H190+Balaka!I190</f>
        <v>0</v>
      </c>
      <c r="E190" s="26">
        <f>Liwonde!D190+Liwonde!E190+Liwonde!F190+Liwonde!G190+Liwonde!H190+Liwonde!I190</f>
        <v>0</v>
      </c>
      <c r="F190" s="26">
        <f>Machinga!D190+Machinga!E190+Machinga!F190+Machinga!G190+Machinga!H190+Machinga!I190</f>
        <v>0</v>
      </c>
      <c r="G190" s="26">
        <f>Ntaja!D190+Ntaja!E190+Ntaja!F190+Ntaja!G190+Ntaja!H190+Ntaja!I190</f>
        <v>0</v>
      </c>
      <c r="H190" s="74">
        <f>SUM(D190:G190)</f>
        <v>0</v>
      </c>
    </row>
    <row r="191" spans="1:8" x14ac:dyDescent="0.3">
      <c r="A191" s="646"/>
      <c r="B191" s="19" t="s">
        <v>61</v>
      </c>
      <c r="C191" s="11" t="s">
        <v>57</v>
      </c>
      <c r="D191" s="26">
        <f>Balaka!D191+Balaka!E191+Balaka!F191+Balaka!G191+Balaka!H191+Balaka!I191</f>
        <v>0</v>
      </c>
      <c r="E191" s="26">
        <f>Liwonde!D191+Liwonde!E191+Liwonde!F191+Liwonde!G191+Liwonde!H191+Liwonde!I191</f>
        <v>0</v>
      </c>
      <c r="F191" s="26">
        <f>Machinga!D191+Machinga!E191+Machinga!F191+Machinga!G191+Machinga!H191+Machinga!I191</f>
        <v>0</v>
      </c>
      <c r="G191" s="26">
        <f>Ntaja!D191+Ntaja!E191+Ntaja!F191+Ntaja!G191+Ntaja!H191+Ntaja!I191</f>
        <v>0</v>
      </c>
      <c r="H191" s="74">
        <f>SUM(D191:G191)</f>
        <v>0</v>
      </c>
    </row>
    <row r="192" spans="1:8" x14ac:dyDescent="0.3">
      <c r="A192" s="647"/>
      <c r="B192" s="19" t="s">
        <v>60</v>
      </c>
      <c r="C192" s="11" t="s">
        <v>57</v>
      </c>
      <c r="D192" s="26">
        <f>Balaka!D192+Balaka!E192+Balaka!F192+Balaka!G192+Balaka!H192+Balaka!I192</f>
        <v>0</v>
      </c>
      <c r="E192" s="26">
        <f>Liwonde!D192+Liwonde!E192+Liwonde!F192+Liwonde!G192+Liwonde!H192+Liwonde!I192</f>
        <v>0</v>
      </c>
      <c r="F192" s="26">
        <f>Machinga!D192+Machinga!E192+Machinga!F192+Machinga!G192+Machinga!H192+Machinga!I192</f>
        <v>0</v>
      </c>
      <c r="G192" s="26">
        <f>Ntaja!D192+Ntaja!E192+Ntaja!F192+Ntaja!G192+Ntaja!H192+Ntaja!I192</f>
        <v>0</v>
      </c>
      <c r="H192" s="74">
        <f>SUM(D192:G192)</f>
        <v>0</v>
      </c>
    </row>
    <row r="193" spans="1:8" x14ac:dyDescent="0.3">
      <c r="A193" s="674" t="s">
        <v>59</v>
      </c>
      <c r="B193" s="675"/>
      <c r="C193" s="11"/>
      <c r="D193" s="10">
        <f>SUM(D153:D192)</f>
        <v>2035</v>
      </c>
      <c r="E193" s="10">
        <f t="shared" ref="E193:H193" si="48">SUM(E153:E192)</f>
        <v>1589</v>
      </c>
      <c r="F193" s="10">
        <f t="shared" si="48"/>
        <v>189</v>
      </c>
      <c r="G193" s="10">
        <f t="shared" si="48"/>
        <v>723</v>
      </c>
      <c r="H193" s="160">
        <f t="shared" si="48"/>
        <v>4536</v>
      </c>
    </row>
    <row r="194" spans="1:8" x14ac:dyDescent="0.3">
      <c r="A194" s="651" t="s">
        <v>58</v>
      </c>
      <c r="B194" s="652"/>
      <c r="C194" s="11" t="s">
        <v>57</v>
      </c>
      <c r="D194" s="26">
        <f>Balaka!D194+Balaka!E194+Balaka!F194+Balaka!G194+Balaka!H194+Balaka!I194</f>
        <v>6</v>
      </c>
      <c r="E194" s="26">
        <f>Liwonde!D194+Liwonde!E194+Liwonde!F194+Liwonde!G194+Liwonde!H194+Liwonde!I194</f>
        <v>2</v>
      </c>
      <c r="F194" s="26">
        <f>Machinga!D194+Machinga!E194+Machinga!F194+Machinga!G194+Machinga!H194+Machinga!I194</f>
        <v>6</v>
      </c>
      <c r="G194" s="26">
        <f>Ntaja!D194+Ntaja!E194+Ntaja!F194+Ntaja!G194+Ntaja!H194+Ntaja!I194</f>
        <v>8</v>
      </c>
      <c r="H194" s="74">
        <f>SUM(D194:G194)</f>
        <v>22</v>
      </c>
    </row>
    <row r="195" spans="1:8" x14ac:dyDescent="0.3">
      <c r="A195" s="653"/>
      <c r="B195" s="654"/>
      <c r="C195" s="16" t="s">
        <v>55</v>
      </c>
      <c r="D195" s="26">
        <f>Balaka!D195+Balaka!E195+Balaka!F195+Balaka!G195+Balaka!H195+Balaka!I195</f>
        <v>2520</v>
      </c>
      <c r="E195" s="26">
        <f>Liwonde!D195+Liwonde!E195+Liwonde!F195+Liwonde!G195+Liwonde!H195+Liwonde!I195</f>
        <v>888</v>
      </c>
      <c r="F195" s="26">
        <f>Machinga!D195+Machinga!E195+Machinga!F195+Machinga!G195+Machinga!H195+Machinga!I195</f>
        <v>0</v>
      </c>
      <c r="G195" s="26">
        <f>Ntaja!D195+Ntaja!E195+Ntaja!F195+Ntaja!G195+Ntaja!H195+Ntaja!I195</f>
        <v>3384</v>
      </c>
      <c r="H195" s="74">
        <f>SUM(D195:G195)</f>
        <v>6792</v>
      </c>
    </row>
    <row r="196" spans="1:8" x14ac:dyDescent="0.3">
      <c r="A196" s="177" t="s">
        <v>202</v>
      </c>
      <c r="B196" s="178"/>
      <c r="C196" s="16" t="s">
        <v>55</v>
      </c>
      <c r="D196" s="26">
        <f>Balaka!I196</f>
        <v>1200</v>
      </c>
      <c r="E196" s="26">
        <f>Liwonde!I196</f>
        <v>720</v>
      </c>
      <c r="F196" s="26">
        <f>Machinga!I196</f>
        <v>720</v>
      </c>
      <c r="G196" s="26">
        <f>Ntaja!I196</f>
        <v>720</v>
      </c>
      <c r="H196" s="74">
        <f>SUM(D196:G196)/10</f>
        <v>336</v>
      </c>
    </row>
    <row r="197" spans="1:8" x14ac:dyDescent="0.3">
      <c r="A197" s="582" t="s">
        <v>56</v>
      </c>
      <c r="B197" s="583"/>
      <c r="C197" s="16" t="s">
        <v>55</v>
      </c>
      <c r="D197" s="26">
        <f>Balaka!D197+Balaka!E197+Balaka!F197+Balaka!G197+Balaka!H197+Balaka!I197</f>
        <v>36</v>
      </c>
      <c r="E197" s="26">
        <f>Liwonde!D197+Liwonde!E197+Liwonde!F197+Liwonde!G197+Liwonde!H197+Liwonde!I197</f>
        <v>432</v>
      </c>
      <c r="F197" s="26">
        <f>Machinga!D197+Machinga!E197+Machinga!F197+Machinga!G197+Machinga!H197+Machinga!I197</f>
        <v>0</v>
      </c>
      <c r="G197" s="26">
        <f>Ntaja!D197+Ntaja!E197+Ntaja!F197+Ntaja!G197+Ntaja!H197+Ntaja!I197</f>
        <v>254</v>
      </c>
      <c r="H197" s="74">
        <f>SUM(D197:G197)</f>
        <v>722</v>
      </c>
    </row>
    <row r="198" spans="1:8" ht="14.4" x14ac:dyDescent="0.3">
      <c r="A198" s="586" t="s">
        <v>203</v>
      </c>
      <c r="B198" s="587"/>
      <c r="C198" s="587"/>
      <c r="D198" s="587"/>
      <c r="E198" s="587"/>
      <c r="F198" s="587"/>
      <c r="G198" s="587"/>
      <c r="H198" s="588"/>
    </row>
    <row r="199" spans="1:8" x14ac:dyDescent="0.3">
      <c r="A199" s="651" t="s">
        <v>54</v>
      </c>
      <c r="B199" s="174" t="s">
        <v>53</v>
      </c>
      <c r="C199" s="11" t="s">
        <v>47</v>
      </c>
      <c r="D199" s="26">
        <f>Balaka!D199+Balaka!E199+Balaka!F199+Balaka!G199+Balaka!H199+Balaka!I199</f>
        <v>0</v>
      </c>
      <c r="E199" s="26">
        <f>Liwonde!D199+Liwonde!E199+Liwonde!F199+Liwonde!G199+Liwonde!H199+Liwonde!I199</f>
        <v>0</v>
      </c>
      <c r="F199" s="26">
        <f>Machinga!D199+Machinga!E199+Machinga!F199+Machinga!G199+Machinga!H199+Machinga!I199</f>
        <v>0</v>
      </c>
      <c r="G199" s="26">
        <f>Ntaja!D199+Ntaja!E199+Ntaja!F199+Ntaja!G199+Ntaja!H199+Ntaja!I199</f>
        <v>1750</v>
      </c>
      <c r="H199" s="165">
        <f t="shared" ref="H199:H204" si="49">SUM(D199:G199)</f>
        <v>1750</v>
      </c>
    </row>
    <row r="200" spans="1:8" x14ac:dyDescent="0.3">
      <c r="A200" s="655"/>
      <c r="B200" s="174" t="s">
        <v>52</v>
      </c>
      <c r="C200" s="11" t="s">
        <v>47</v>
      </c>
      <c r="D200" s="26">
        <f>Balaka!D200+Balaka!E200+Balaka!F200+Balaka!G200+Balaka!H200+Balaka!I200</f>
        <v>0</v>
      </c>
      <c r="E200" s="26">
        <f>Liwonde!D200+Liwonde!E200+Liwonde!F200+Liwonde!G200+Liwonde!H200+Liwonde!I200</f>
        <v>0</v>
      </c>
      <c r="F200" s="26">
        <f>Machinga!D200+Machinga!E200+Machinga!F200+Machinga!G200+Machinga!H200+Machinga!I200</f>
        <v>0</v>
      </c>
      <c r="G200" s="26">
        <f>Ntaja!D200+Ntaja!E200+Ntaja!F200+Ntaja!G200+Ntaja!H200+Ntaja!I200</f>
        <v>0</v>
      </c>
      <c r="H200" s="165">
        <f t="shared" si="49"/>
        <v>0</v>
      </c>
    </row>
    <row r="201" spans="1:8" x14ac:dyDescent="0.3">
      <c r="A201" s="655"/>
      <c r="B201" s="174" t="s">
        <v>51</v>
      </c>
      <c r="C201" s="11" t="s">
        <v>47</v>
      </c>
      <c r="D201" s="26">
        <f>Balaka!D201+Balaka!E201+Balaka!F201+Balaka!G201+Balaka!H201+Balaka!I201</f>
        <v>120</v>
      </c>
      <c r="E201" s="26">
        <f>Liwonde!D201+Liwonde!E201+Liwonde!F201+Liwonde!G201+Liwonde!H201+Liwonde!I201</f>
        <v>450</v>
      </c>
      <c r="F201" s="26">
        <f>Machinga!D201+Machinga!E201+Machinga!F201+Machinga!G201+Machinga!H201+Machinga!I201</f>
        <v>0</v>
      </c>
      <c r="G201" s="26">
        <f>Ntaja!D201+Ntaja!E201+Ntaja!F201+Ntaja!G201+Ntaja!H201+Ntaja!I201</f>
        <v>0</v>
      </c>
      <c r="H201" s="165">
        <f t="shared" si="49"/>
        <v>570</v>
      </c>
    </row>
    <row r="202" spans="1:8" x14ac:dyDescent="0.3">
      <c r="A202" s="655"/>
      <c r="B202" s="174" t="s">
        <v>50</v>
      </c>
      <c r="C202" s="11" t="s">
        <v>47</v>
      </c>
      <c r="D202" s="26">
        <f>Balaka!D202+Balaka!E202+Balaka!F202+Balaka!G202+Balaka!H202+Balaka!I202</f>
        <v>0</v>
      </c>
      <c r="E202" s="26">
        <f>Liwonde!D202+Liwonde!E202+Liwonde!F202+Liwonde!G202+Liwonde!H202+Liwonde!I202</f>
        <v>0</v>
      </c>
      <c r="F202" s="26">
        <f>Machinga!D202+Machinga!E202+Machinga!F202+Machinga!G202+Machinga!H202+Machinga!I202</f>
        <v>0</v>
      </c>
      <c r="G202" s="26">
        <f>Ntaja!D202+Ntaja!E202+Ntaja!F202+Ntaja!G202+Ntaja!H202+Ntaja!I202</f>
        <v>0</v>
      </c>
      <c r="H202" s="165">
        <f t="shared" si="49"/>
        <v>0</v>
      </c>
    </row>
    <row r="203" spans="1:8" x14ac:dyDescent="0.3">
      <c r="A203" s="653"/>
      <c r="B203" s="174" t="s">
        <v>49</v>
      </c>
      <c r="C203" s="11" t="s">
        <v>47</v>
      </c>
      <c r="D203" s="26">
        <f>Balaka!D203+Balaka!E203+Balaka!F203+Balaka!G203+Balaka!H203+Balaka!I203</f>
        <v>0</v>
      </c>
      <c r="E203" s="26">
        <f>Liwonde!D203+Liwonde!E203+Liwonde!F203+Liwonde!G203+Liwonde!H203+Liwonde!I203</f>
        <v>120</v>
      </c>
      <c r="F203" s="26">
        <f>Machinga!D203+Machinga!E203+Machinga!F203+Machinga!G203+Machinga!H203+Machinga!I203</f>
        <v>0</v>
      </c>
      <c r="G203" s="26">
        <f>Ntaja!D203+Ntaja!E203+Ntaja!F203+Ntaja!G203+Ntaja!H203+Ntaja!I203</f>
        <v>0</v>
      </c>
      <c r="H203" s="165">
        <f t="shared" si="49"/>
        <v>120</v>
      </c>
    </row>
    <row r="204" spans="1:8" x14ac:dyDescent="0.3">
      <c r="A204" s="83" t="s">
        <v>48</v>
      </c>
      <c r="B204" s="174"/>
      <c r="C204" s="11" t="s">
        <v>47</v>
      </c>
      <c r="D204" s="15">
        <f t="shared" ref="D204:G204" si="50">SUM(D199:D203)</f>
        <v>120</v>
      </c>
      <c r="E204" s="15">
        <f t="shared" si="50"/>
        <v>570</v>
      </c>
      <c r="F204" s="15">
        <f t="shared" si="50"/>
        <v>0</v>
      </c>
      <c r="G204" s="15">
        <f t="shared" si="50"/>
        <v>1750</v>
      </c>
      <c r="H204" s="165">
        <f t="shared" si="49"/>
        <v>2440</v>
      </c>
    </row>
    <row r="205" spans="1:8" s="2" customFormat="1" ht="14.4" x14ac:dyDescent="0.3">
      <c r="A205" s="586" t="s">
        <v>46</v>
      </c>
      <c r="B205" s="587"/>
      <c r="C205" s="587"/>
      <c r="D205" s="587"/>
      <c r="E205" s="587"/>
      <c r="F205" s="587"/>
      <c r="G205" s="587"/>
      <c r="H205" s="588"/>
    </row>
    <row r="206" spans="1:8" x14ac:dyDescent="0.3">
      <c r="A206" s="582" t="s">
        <v>43</v>
      </c>
      <c r="B206" s="583"/>
      <c r="C206" s="11" t="s">
        <v>31</v>
      </c>
      <c r="D206" s="15">
        <f>Balaka!D206+Balaka!E206+Balaka!F206+Balaka!G206+Balaka!H206+Balaka!I206</f>
        <v>151106525.78999999</v>
      </c>
      <c r="E206" s="15">
        <f>Liwonde!D206+Liwonde!E206+Liwonde!F206+Liwonde!G206+Liwonde!H206+Liwonde!I206</f>
        <v>143421835</v>
      </c>
      <c r="F206" s="15">
        <f>Machinga!D206+Machinga!E206+Machinga!F206+Machinga!G206+Machinga!H206+Machinga!I206</f>
        <v>5361821</v>
      </c>
      <c r="G206" s="15">
        <f>Ntaja!D206+Ntaja!E206+Ntaja!F206+Ntaja!G206+Ntaja!H206+Ntaja!I206</f>
        <v>366631</v>
      </c>
      <c r="H206" s="39">
        <f>SUM(D206:G206)</f>
        <v>300256812.78999996</v>
      </c>
    </row>
    <row r="207" spans="1:8" x14ac:dyDescent="0.3">
      <c r="A207" s="582" t="s">
        <v>42</v>
      </c>
      <c r="B207" s="583"/>
      <c r="C207" s="11" t="s">
        <v>31</v>
      </c>
      <c r="D207" s="15">
        <f>Balaka!D207+Balaka!E207+Balaka!F207+Balaka!G207+Balaka!H207+Balaka!I207</f>
        <v>1916485.8599999999</v>
      </c>
      <c r="E207" s="15">
        <f>Liwonde!D207+Liwonde!E207+Liwonde!F207+Liwonde!G207+Liwonde!H207+Liwonde!I207</f>
        <v>619600</v>
      </c>
      <c r="F207" s="15">
        <f>Machinga!D207+Machinga!E207+Machinga!F207+Machinga!G207+Machinga!H207+Machinga!I207</f>
        <v>0</v>
      </c>
      <c r="G207" s="15">
        <f>Ntaja!D207+Ntaja!E207+Ntaja!F207+Ntaja!G207+Ntaja!H207+Ntaja!I207</f>
        <v>0</v>
      </c>
      <c r="H207" s="39">
        <f>SUM(D207:G207)</f>
        <v>2536085.86</v>
      </c>
    </row>
    <row r="208" spans="1:8" x14ac:dyDescent="0.3">
      <c r="A208" s="589" t="s">
        <v>41</v>
      </c>
      <c r="B208" s="590"/>
      <c r="C208" s="11" t="s">
        <v>31</v>
      </c>
      <c r="D208" s="15">
        <f>Balaka!D208+Balaka!E208+Balaka!F208+Balaka!G208+Balaka!H208+Balaka!I208</f>
        <v>672316.8</v>
      </c>
      <c r="E208" s="15">
        <f>Liwonde!D208+Liwonde!E208+Liwonde!F208+Liwonde!G208+Liwonde!H208+Liwonde!I208</f>
        <v>2210948</v>
      </c>
      <c r="F208" s="15">
        <f>Machinga!D208+Machinga!E208+Machinga!F208+Machinga!G208+Machinga!H208+Machinga!I208</f>
        <v>0</v>
      </c>
      <c r="G208" s="15">
        <f>Ntaja!D208+Ntaja!E208+Ntaja!F208+Ntaja!G208+Ntaja!H208+Ntaja!I208</f>
        <v>8800</v>
      </c>
      <c r="H208" s="39">
        <f>SUM(D208:G208)</f>
        <v>2892064.8</v>
      </c>
    </row>
    <row r="209" spans="1:8" x14ac:dyDescent="0.3">
      <c r="A209" s="582" t="s">
        <v>40</v>
      </c>
      <c r="B209" s="583"/>
      <c r="C209" s="11" t="s">
        <v>31</v>
      </c>
      <c r="D209" s="15">
        <f>Balaka!D209+Balaka!E209+Balaka!F209+Balaka!G209+Balaka!H209+Balaka!I209</f>
        <v>332128.62</v>
      </c>
      <c r="E209" s="15">
        <f>Liwonde!D209+Liwonde!E209+Liwonde!F209+Liwonde!G209+Liwonde!H209+Liwonde!I209</f>
        <v>6628977</v>
      </c>
      <c r="F209" s="15">
        <f>Machinga!D209+Machinga!E209+Machinga!F209+Machinga!G209+Machinga!H209+Machinga!I209</f>
        <v>35400</v>
      </c>
      <c r="G209" s="15">
        <f>Ntaja!D209+Ntaja!E209+Ntaja!F209+Ntaja!G209+Ntaja!H209+Ntaja!I209</f>
        <v>166520</v>
      </c>
      <c r="H209" s="39">
        <f>SUM(D209:G209)</f>
        <v>7163025.6200000001</v>
      </c>
    </row>
    <row r="210" spans="1:8" x14ac:dyDescent="0.3">
      <c r="A210" s="649" t="s">
        <v>45</v>
      </c>
      <c r="B210" s="650"/>
      <c r="C210" s="11" t="s">
        <v>31</v>
      </c>
      <c r="D210" s="10">
        <f t="shared" ref="D210:G210" si="51">SUM(D206:D209)</f>
        <v>154027457.07000002</v>
      </c>
      <c r="E210" s="10">
        <f t="shared" si="51"/>
        <v>152881360</v>
      </c>
      <c r="F210" s="10">
        <f t="shared" si="51"/>
        <v>5397221</v>
      </c>
      <c r="G210" s="10">
        <f t="shared" si="51"/>
        <v>541951</v>
      </c>
      <c r="H210" s="39">
        <f>SUM(D210:G210)</f>
        <v>312847989.07000005</v>
      </c>
    </row>
    <row r="211" spans="1:8" s="2" customFormat="1" ht="14.4" x14ac:dyDescent="0.3">
      <c r="A211" s="586" t="s">
        <v>44</v>
      </c>
      <c r="B211" s="587"/>
      <c r="C211" s="587"/>
      <c r="D211" s="587"/>
      <c r="E211" s="587"/>
      <c r="F211" s="587"/>
      <c r="G211" s="587"/>
      <c r="H211" s="588"/>
    </row>
    <row r="212" spans="1:8" x14ac:dyDescent="0.3">
      <c r="A212" s="582" t="s">
        <v>43</v>
      </c>
      <c r="B212" s="583"/>
      <c r="C212" s="11" t="s">
        <v>31</v>
      </c>
      <c r="D212" s="15">
        <f>Balaka!D212+Balaka!E212+Balaka!F212+Balaka!G212+Balaka!H212+Balaka!I212</f>
        <v>63358870.57</v>
      </c>
      <c r="E212" s="15">
        <f>Liwonde!D212+Liwonde!E212+Liwonde!F212+Liwonde!G212+Liwonde!H212+Liwonde!I212</f>
        <v>94158877.850000009</v>
      </c>
      <c r="F212" s="15">
        <f>Machinga!D212+Machinga!E212+Machinga!F212+Machinga!G212+Machinga!H212+Machinga!I212</f>
        <v>24298303.59</v>
      </c>
      <c r="G212" s="15">
        <f>Ntaja!D212+Ntaja!E212+Ntaja!F212+Ntaja!G212+Ntaja!H212+Ntaja!I212</f>
        <v>14638233.559999999</v>
      </c>
      <c r="H212" s="39">
        <f>SUM(D212:G212)</f>
        <v>196454285.57000002</v>
      </c>
    </row>
    <row r="213" spans="1:8" x14ac:dyDescent="0.3">
      <c r="A213" s="582" t="s">
        <v>42</v>
      </c>
      <c r="B213" s="583"/>
      <c r="C213" s="11" t="s">
        <v>31</v>
      </c>
      <c r="D213" s="15">
        <f>Balaka!D213+Balaka!E213+Balaka!F213+Balaka!G213+Balaka!H213+Balaka!I213</f>
        <v>0</v>
      </c>
      <c r="E213" s="15">
        <f>Liwonde!D213+Liwonde!E213+Liwonde!F213+Liwonde!G213+Liwonde!H213+Liwonde!I213</f>
        <v>0</v>
      </c>
      <c r="F213" s="15">
        <f>Machinga!D213+Machinga!E213+Machinga!F213+Machinga!G213+Machinga!H213+Machinga!I213</f>
        <v>0</v>
      </c>
      <c r="G213" s="15">
        <f>Ntaja!D213+Ntaja!E213+Ntaja!F213+Ntaja!G213+Ntaja!H213+Ntaja!I213</f>
        <v>0</v>
      </c>
      <c r="H213" s="39">
        <f>SUM(D213:G213)</f>
        <v>0</v>
      </c>
    </row>
    <row r="214" spans="1:8" x14ac:dyDescent="0.3">
      <c r="A214" s="589" t="s">
        <v>41</v>
      </c>
      <c r="B214" s="590"/>
      <c r="C214" s="11" t="s">
        <v>31</v>
      </c>
      <c r="D214" s="15">
        <f>Balaka!D214+Balaka!E214+Balaka!F214+Balaka!G214+Balaka!H214+Balaka!I214</f>
        <v>0</v>
      </c>
      <c r="E214" s="15">
        <f>Liwonde!D214+Liwonde!E214+Liwonde!F214+Liwonde!G214+Liwonde!H214+Liwonde!I214</f>
        <v>0</v>
      </c>
      <c r="F214" s="15">
        <f>Machinga!D214+Machinga!E214+Machinga!F214+Machinga!G214+Machinga!H214+Machinga!I214</f>
        <v>0</v>
      </c>
      <c r="G214" s="15">
        <f>Ntaja!D214+Ntaja!E214+Ntaja!F214+Ntaja!G214+Ntaja!H214+Ntaja!I214</f>
        <v>0</v>
      </c>
      <c r="H214" s="39">
        <f>SUM(D214:G214)</f>
        <v>0</v>
      </c>
    </row>
    <row r="215" spans="1:8" x14ac:dyDescent="0.3">
      <c r="A215" s="582" t="s">
        <v>40</v>
      </c>
      <c r="B215" s="583"/>
      <c r="C215" s="11" t="s">
        <v>31</v>
      </c>
      <c r="D215" s="15">
        <f>Balaka!D215+Balaka!E215+Balaka!F215+Balaka!G215+Balaka!H215+Balaka!I215</f>
        <v>0</v>
      </c>
      <c r="E215" s="15">
        <f>Liwonde!D215+Liwonde!E215+Liwonde!F215+Liwonde!G215+Liwonde!H215+Liwonde!I215</f>
        <v>0</v>
      </c>
      <c r="F215" s="15">
        <f>Machinga!D215+Machinga!E215+Machinga!F215+Machinga!G215+Machinga!H215+Machinga!I215</f>
        <v>0</v>
      </c>
      <c r="G215" s="15">
        <f>Ntaja!D215+Ntaja!E215+Ntaja!F215+Ntaja!G215+Ntaja!H215+Ntaja!I215</f>
        <v>0</v>
      </c>
      <c r="H215" s="39">
        <f>SUM(D215:G215)</f>
        <v>0</v>
      </c>
    </row>
    <row r="216" spans="1:8" x14ac:dyDescent="0.3">
      <c r="A216" s="649" t="s">
        <v>39</v>
      </c>
      <c r="B216" s="650"/>
      <c r="C216" s="11" t="s">
        <v>31</v>
      </c>
      <c r="D216" s="10">
        <f t="shared" ref="D216:G216" si="52">SUM(D212:D215)</f>
        <v>63358870.57</v>
      </c>
      <c r="E216" s="10">
        <f t="shared" si="52"/>
        <v>94158877.850000009</v>
      </c>
      <c r="F216" s="10">
        <f t="shared" si="52"/>
        <v>24298303.59</v>
      </c>
      <c r="G216" s="10">
        <f t="shared" si="52"/>
        <v>14638233.559999999</v>
      </c>
      <c r="H216" s="39">
        <f>SUM(D216:G216)</f>
        <v>196454285.57000002</v>
      </c>
    </row>
    <row r="217" spans="1:8" s="2" customFormat="1" x14ac:dyDescent="0.3">
      <c r="A217" s="179" t="s">
        <v>38</v>
      </c>
      <c r="B217" s="180"/>
      <c r="C217" s="11" t="s">
        <v>31</v>
      </c>
      <c r="D217" s="10">
        <f>D210+D216</f>
        <v>217386327.64000002</v>
      </c>
      <c r="E217" s="10">
        <f t="shared" ref="E217:H217" si="53">E210+E216</f>
        <v>247040237.85000002</v>
      </c>
      <c r="F217" s="10">
        <f t="shared" si="53"/>
        <v>29695524.59</v>
      </c>
      <c r="G217" s="10">
        <f t="shared" si="53"/>
        <v>15180184.559999999</v>
      </c>
      <c r="H217" s="40">
        <f t="shared" si="53"/>
        <v>509302274.6400001</v>
      </c>
    </row>
    <row r="218" spans="1:8" s="2" customFormat="1" ht="14.4" x14ac:dyDescent="0.3">
      <c r="A218" s="586" t="s">
        <v>37</v>
      </c>
      <c r="B218" s="587"/>
      <c r="C218" s="587"/>
      <c r="D218" s="587"/>
      <c r="E218" s="587"/>
      <c r="F218" s="587"/>
      <c r="G218" s="587"/>
      <c r="H218" s="588"/>
    </row>
    <row r="219" spans="1:8" x14ac:dyDescent="0.3">
      <c r="A219" s="582" t="s">
        <v>35</v>
      </c>
      <c r="B219" s="583"/>
      <c r="C219" s="11" t="s">
        <v>31</v>
      </c>
      <c r="D219" s="15">
        <f>Balaka!D219+Balaka!E219+Balaka!F219+Balaka!G219+Balaka!H219+Balaka!I219</f>
        <v>136342007.66999999</v>
      </c>
      <c r="E219" s="15">
        <f>Liwonde!D219+Liwonde!E219+Liwonde!F219+Liwonde!G219+Liwonde!H219+Liwonde!I219</f>
        <v>122772526</v>
      </c>
      <c r="F219" s="15">
        <f>Machinga!D219+Machinga!E219+Machinga!F219+Machinga!G219+Machinga!H219+Machinga!I219</f>
        <v>4873775</v>
      </c>
      <c r="G219" s="15">
        <f>Ntaja!D219+Ntaja!E219+Ntaja!F219+Ntaja!G219+Ntaja!H219+Ntaja!I219</f>
        <v>451959</v>
      </c>
      <c r="H219" s="39">
        <f>SUM(D219:G219)</f>
        <v>264440267.66999999</v>
      </c>
    </row>
    <row r="220" spans="1:8" x14ac:dyDescent="0.3">
      <c r="A220" s="582" t="s">
        <v>34</v>
      </c>
      <c r="B220" s="583"/>
      <c r="C220" s="11" t="s">
        <v>31</v>
      </c>
      <c r="D220" s="15">
        <f>Balaka!D220+Balaka!E220+Balaka!F220+Balaka!G220+Balaka!H220+Balaka!I220</f>
        <v>1173236.2</v>
      </c>
      <c r="E220" s="15">
        <f>Liwonde!D220+Liwonde!E220+Liwonde!F220+Liwonde!G220+Liwonde!H220+Liwonde!I220</f>
        <v>453331</v>
      </c>
      <c r="F220" s="15">
        <f>Machinga!D220+Machinga!E220+Machinga!F220+Machinga!G220+Machinga!H220+Machinga!I220</f>
        <v>0</v>
      </c>
      <c r="G220" s="15">
        <f>Ntaja!D220+Ntaja!E220+Ntaja!F220+Ntaja!G220+Ntaja!H220+Ntaja!I220</f>
        <v>0</v>
      </c>
      <c r="H220" s="39">
        <f>SUM(D220:G220)</f>
        <v>1626567.2</v>
      </c>
    </row>
    <row r="221" spans="1:8" x14ac:dyDescent="0.3">
      <c r="A221" s="582" t="s">
        <v>33</v>
      </c>
      <c r="B221" s="583"/>
      <c r="C221" s="11" t="s">
        <v>31</v>
      </c>
      <c r="D221" s="15">
        <f>Balaka!D221+Balaka!E221+Balaka!F221+Balaka!G221+Balaka!H221+Balaka!I221</f>
        <v>4795680.8900000006</v>
      </c>
      <c r="E221" s="15">
        <f>Liwonde!D221+Liwonde!E221+Liwonde!F221+Liwonde!G221+Liwonde!H221+Liwonde!I221</f>
        <v>40626396</v>
      </c>
      <c r="F221" s="15">
        <f>Machinga!D221+Machinga!E221+Machinga!F221+Machinga!G221+Machinga!H221+Machinga!I221</f>
        <v>10174608</v>
      </c>
      <c r="G221" s="15">
        <f>Ntaja!D221+Ntaja!E221+Ntaja!F221+Ntaja!G221+Ntaja!H221+Ntaja!I221</f>
        <v>139845</v>
      </c>
      <c r="H221" s="39">
        <f>SUM(D221:G221)</f>
        <v>55736529.890000001</v>
      </c>
    </row>
    <row r="222" spans="1:8" x14ac:dyDescent="0.3">
      <c r="A222" s="582" t="s">
        <v>32</v>
      </c>
      <c r="B222" s="583"/>
      <c r="C222" s="11" t="s">
        <v>31</v>
      </c>
      <c r="D222" s="15">
        <f>Balaka!D222+Balaka!E222+Balaka!F222+Balaka!G222+Balaka!H222+Balaka!I222</f>
        <v>1646962.89</v>
      </c>
      <c r="E222" s="15">
        <f>Liwonde!D222+Liwonde!E222+Liwonde!F222+Liwonde!G222+Liwonde!H222+Liwonde!I222</f>
        <v>3474822</v>
      </c>
      <c r="F222" s="15">
        <f>Machinga!D222+Machinga!E222+Machinga!F222+Machinga!G222+Machinga!H222+Machinga!I222</f>
        <v>0</v>
      </c>
      <c r="G222" s="15">
        <f>Ntaja!D222+Ntaja!E222+Ntaja!F222+Ntaja!G222+Ntaja!H222+Ntaja!I222</f>
        <v>7646</v>
      </c>
      <c r="H222" s="39">
        <f>SUM(D222:G222)</f>
        <v>5129430.8899999997</v>
      </c>
    </row>
    <row r="223" spans="1:8" x14ac:dyDescent="0.3">
      <c r="A223" s="649" t="s">
        <v>36</v>
      </c>
      <c r="B223" s="650"/>
      <c r="C223" s="11" t="s">
        <v>31</v>
      </c>
      <c r="D223" s="12">
        <f t="shared" ref="D223:G223" si="54">SUM(D219:D222)</f>
        <v>143957887.64999998</v>
      </c>
      <c r="E223" s="10">
        <f t="shared" si="54"/>
        <v>167327075</v>
      </c>
      <c r="F223" s="10">
        <f t="shared" si="54"/>
        <v>15048383</v>
      </c>
      <c r="G223" s="10">
        <f t="shared" si="54"/>
        <v>599450</v>
      </c>
      <c r="H223" s="39">
        <f>SUM(D223:G223)</f>
        <v>326932795.64999998</v>
      </c>
    </row>
    <row r="224" spans="1:8" ht="14.4" x14ac:dyDescent="0.3">
      <c r="A224" s="586" t="s">
        <v>211</v>
      </c>
      <c r="B224" s="587"/>
      <c r="C224" s="587"/>
      <c r="D224" s="587"/>
      <c r="E224" s="587"/>
      <c r="F224" s="587"/>
      <c r="G224" s="587"/>
      <c r="H224" s="588"/>
    </row>
    <row r="225" spans="1:8" x14ac:dyDescent="0.3">
      <c r="A225" s="582" t="s">
        <v>35</v>
      </c>
      <c r="B225" s="583"/>
      <c r="C225" s="11" t="s">
        <v>31</v>
      </c>
      <c r="D225" s="15">
        <f>Balaka!D225+Balaka!E225+Balaka!F225+Balaka!G225+Balaka!H225+Balaka!I225</f>
        <v>0</v>
      </c>
      <c r="E225" s="15">
        <f>Liwonde!D225+Liwonde!E225+Liwonde!F225+Liwonde!G225+Liwonde!H225+Liwonde!I225</f>
        <v>0</v>
      </c>
      <c r="F225" s="15">
        <f>Machinga!D225+Machinga!E225+Machinga!F225+Machinga!G225+Machinga!H225+Machinga!I225</f>
        <v>0</v>
      </c>
      <c r="G225" s="15">
        <f>Ntaja!D225+Ntaja!E225+Ntaja!F225+Ntaja!G225+Ntaja!H225+Ntaja!I225</f>
        <v>0</v>
      </c>
      <c r="H225" s="39">
        <f t="shared" ref="H225:H230" si="55">SUM(D225:G225)</f>
        <v>0</v>
      </c>
    </row>
    <row r="226" spans="1:8" x14ac:dyDescent="0.3">
      <c r="A226" s="582" t="s">
        <v>34</v>
      </c>
      <c r="B226" s="583"/>
      <c r="C226" s="11" t="s">
        <v>31</v>
      </c>
      <c r="D226" s="15">
        <f>Balaka!D226+Balaka!E226+Balaka!F226+Balaka!G226+Balaka!H226+Balaka!I226</f>
        <v>0</v>
      </c>
      <c r="E226" s="15">
        <f>Liwonde!D226+Liwonde!E226+Liwonde!F226+Liwonde!G226+Liwonde!H226+Liwonde!I226</f>
        <v>0</v>
      </c>
      <c r="F226" s="15">
        <f>Machinga!D226+Machinga!E226+Machinga!F226+Machinga!G226+Machinga!H226+Machinga!I226</f>
        <v>0</v>
      </c>
      <c r="G226" s="15">
        <f>Ntaja!D226+Ntaja!E226+Ntaja!F226+Ntaja!G226+Ntaja!H226+Ntaja!I226</f>
        <v>0</v>
      </c>
      <c r="H226" s="39">
        <f t="shared" si="55"/>
        <v>0</v>
      </c>
    </row>
    <row r="227" spans="1:8" x14ac:dyDescent="0.3">
      <c r="A227" s="582" t="s">
        <v>33</v>
      </c>
      <c r="B227" s="583"/>
      <c r="C227" s="11" t="s">
        <v>31</v>
      </c>
      <c r="D227" s="15">
        <f>Balaka!D227+Balaka!E227+Balaka!F227+Balaka!G227+Balaka!H227+Balaka!I227</f>
        <v>0</v>
      </c>
      <c r="E227" s="15">
        <f>Liwonde!D227+Liwonde!E227+Liwonde!F227+Liwonde!G227+Liwonde!H227+Liwonde!I227</f>
        <v>0</v>
      </c>
      <c r="F227" s="15">
        <f>Machinga!D227+Machinga!E227+Machinga!F227+Machinga!G227+Machinga!H227+Machinga!I227</f>
        <v>0</v>
      </c>
      <c r="G227" s="15">
        <f>Ntaja!D227+Ntaja!E227+Ntaja!F227+Ntaja!G227+Ntaja!H227+Ntaja!I227</f>
        <v>0</v>
      </c>
      <c r="H227" s="39">
        <f t="shared" si="55"/>
        <v>0</v>
      </c>
    </row>
    <row r="228" spans="1:8" x14ac:dyDescent="0.3">
      <c r="A228" s="582" t="s">
        <v>32</v>
      </c>
      <c r="B228" s="583"/>
      <c r="C228" s="11" t="s">
        <v>31</v>
      </c>
      <c r="D228" s="15">
        <f>Balaka!D228+Balaka!E228+Balaka!F228+Balaka!G228+Balaka!H228+Balaka!I228</f>
        <v>0</v>
      </c>
      <c r="E228" s="15">
        <f>Liwonde!D228+Liwonde!E228+Liwonde!F228+Liwonde!G228+Liwonde!H228+Liwonde!I228</f>
        <v>0</v>
      </c>
      <c r="F228" s="15">
        <f>Machinga!D228+Machinga!E228+Machinga!F228+Machinga!G228+Machinga!H228+Machinga!I228</f>
        <v>0</v>
      </c>
      <c r="G228" s="15">
        <f>Ntaja!D228+Ntaja!E228+Ntaja!F228+Ntaja!G228+Ntaja!H228+Ntaja!I228</f>
        <v>0</v>
      </c>
      <c r="H228" s="39">
        <f t="shared" si="55"/>
        <v>0</v>
      </c>
    </row>
    <row r="229" spans="1:8" x14ac:dyDescent="0.3">
      <c r="A229" s="649" t="s">
        <v>212</v>
      </c>
      <c r="B229" s="650"/>
      <c r="C229" s="11" t="s">
        <v>31</v>
      </c>
      <c r="D229" s="12">
        <f t="shared" ref="D229:G229" si="56">SUM(D225:D228)</f>
        <v>0</v>
      </c>
      <c r="E229" s="10">
        <f t="shared" si="56"/>
        <v>0</v>
      </c>
      <c r="F229" s="10">
        <f t="shared" si="56"/>
        <v>0</v>
      </c>
      <c r="G229" s="10">
        <f t="shared" si="56"/>
        <v>0</v>
      </c>
      <c r="H229" s="39">
        <f t="shared" si="55"/>
        <v>0</v>
      </c>
    </row>
    <row r="230" spans="1:8" x14ac:dyDescent="0.3">
      <c r="A230" s="179" t="s">
        <v>213</v>
      </c>
      <c r="B230" s="120"/>
      <c r="C230" s="11" t="s">
        <v>31</v>
      </c>
      <c r="D230" s="12">
        <f>D223+D229</f>
        <v>143957887.64999998</v>
      </c>
      <c r="E230" s="12">
        <f t="shared" ref="E230:G230" si="57">E223+E229</f>
        <v>167327075</v>
      </c>
      <c r="F230" s="12">
        <f t="shared" si="57"/>
        <v>15048383</v>
      </c>
      <c r="G230" s="12">
        <f t="shared" si="57"/>
        <v>599450</v>
      </c>
      <c r="H230" s="39">
        <f t="shared" si="55"/>
        <v>326932795.64999998</v>
      </c>
    </row>
    <row r="231" spans="1:8" ht="14.4" x14ac:dyDescent="0.3">
      <c r="A231" s="586" t="s">
        <v>30</v>
      </c>
      <c r="B231" s="587"/>
      <c r="C231" s="587"/>
      <c r="D231" s="587"/>
      <c r="E231" s="587"/>
      <c r="F231" s="587"/>
      <c r="G231" s="587"/>
      <c r="H231" s="588"/>
    </row>
    <row r="232" spans="1:8" x14ac:dyDescent="0.3">
      <c r="A232" s="582" t="s">
        <v>29</v>
      </c>
      <c r="B232" s="583"/>
      <c r="C232" s="11" t="s">
        <v>18</v>
      </c>
      <c r="D232" s="15">
        <f>Balaka!D232+Balaka!E232+Balaka!F232+Balaka!G232+Balaka!H232+Balaka!I232</f>
        <v>9920234.4800000004</v>
      </c>
      <c r="E232" s="15">
        <f>Liwonde!D232+Liwonde!E232+Liwonde!F232+Liwonde!G232+Liwonde!H232+Liwonde!I232</f>
        <v>7776097</v>
      </c>
      <c r="F232" s="15">
        <f>Machinga!D232+Machinga!E232+Machinga!F232+Machinga!G232+Machinga!H232+Machinga!I232</f>
        <v>383191</v>
      </c>
      <c r="G232" s="15">
        <f>Ntaja!D232+Ntaja!E232+Ntaja!F232+Ntaja!G232+Ntaja!H232+Ntaja!I232</f>
        <v>51370</v>
      </c>
      <c r="H232" s="39">
        <f>SUM(D232:G232)</f>
        <v>18130892.48</v>
      </c>
    </row>
    <row r="233" spans="1:8" x14ac:dyDescent="0.3">
      <c r="A233" s="582" t="s">
        <v>28</v>
      </c>
      <c r="B233" s="583"/>
      <c r="C233" s="11" t="s">
        <v>18</v>
      </c>
      <c r="D233" s="15">
        <f>Balaka!D233+Balaka!E233+Balaka!F233+Balaka!G233+Balaka!H233+Balaka!I233</f>
        <v>14606.76</v>
      </c>
      <c r="E233" s="15">
        <f>Liwonde!D233+Liwonde!E233+Liwonde!F233+Liwonde!G233+Liwonde!H233+Liwonde!I233</f>
        <v>13566</v>
      </c>
      <c r="F233" s="15">
        <f>Machinga!D233+Machinga!E233+Machinga!F233+Machinga!G233+Machinga!H233+Machinga!I233</f>
        <v>0</v>
      </c>
      <c r="G233" s="15">
        <f>Ntaja!D233+Ntaja!E233+Ntaja!F233+Ntaja!G233+Ntaja!H233+Ntaja!I233</f>
        <v>0</v>
      </c>
      <c r="H233" s="39">
        <f>SUM(D233:G233)</f>
        <v>28172.760000000002</v>
      </c>
    </row>
    <row r="234" spans="1:8" x14ac:dyDescent="0.3">
      <c r="A234" s="582" t="s">
        <v>27</v>
      </c>
      <c r="B234" s="583"/>
      <c r="C234" s="11" t="s">
        <v>18</v>
      </c>
      <c r="D234" s="15">
        <f>Balaka!D234+Balaka!E234+Balaka!F234+Balaka!G234+Balaka!H234+Balaka!I234</f>
        <v>250923.86000000002</v>
      </c>
      <c r="E234" s="15">
        <f>Liwonde!D234+Liwonde!E234+Liwonde!F234+Liwonde!G234+Liwonde!H234+Liwonde!I234</f>
        <v>204647</v>
      </c>
      <c r="F234" s="15">
        <f>Machinga!D234+Machinga!E234+Machinga!F234+Machinga!G234+Machinga!H234+Machinga!I234</f>
        <v>49360</v>
      </c>
      <c r="G234" s="15">
        <f>Ntaja!D234+Ntaja!E234+Ntaja!F234+Ntaja!G234+Ntaja!H234+Ntaja!I234</f>
        <v>21595</v>
      </c>
      <c r="H234" s="39">
        <f>SUM(D234:G234)</f>
        <v>526525.86</v>
      </c>
    </row>
    <row r="235" spans="1:8" x14ac:dyDescent="0.3">
      <c r="A235" s="582" t="s">
        <v>26</v>
      </c>
      <c r="B235" s="583"/>
      <c r="C235" s="11" t="s">
        <v>18</v>
      </c>
      <c r="D235" s="15">
        <f>Balaka!D235+Balaka!E235+Balaka!F235+Balaka!G235+Balaka!H235+Balaka!I235</f>
        <v>292293.34999999998</v>
      </c>
      <c r="E235" s="15">
        <f>Liwonde!D235+Liwonde!E235+Liwonde!F235+Liwonde!G235+Liwonde!H235+Liwonde!I235</f>
        <v>569130</v>
      </c>
      <c r="F235" s="15">
        <f>Machinga!D235+Machinga!E235+Machinga!F235+Machinga!G235+Machinga!H235+Machinga!I235</f>
        <v>0</v>
      </c>
      <c r="G235" s="15">
        <f>Ntaja!D235+Ntaja!E235+Ntaja!F235+Ntaja!G235+Ntaja!H235+Ntaja!I235</f>
        <v>8291.91</v>
      </c>
      <c r="H235" s="39">
        <f>SUM(D235:G235)</f>
        <v>869715.26</v>
      </c>
    </row>
    <row r="236" spans="1:8" x14ac:dyDescent="0.3">
      <c r="A236" s="649" t="s">
        <v>25</v>
      </c>
      <c r="B236" s="650"/>
      <c r="C236" s="11" t="s">
        <v>18</v>
      </c>
      <c r="D236" s="12">
        <f t="shared" ref="D236:G236" si="58">SUM(D232:D235)</f>
        <v>10478058.449999999</v>
      </c>
      <c r="E236" s="10">
        <f t="shared" si="58"/>
        <v>8563440</v>
      </c>
      <c r="F236" s="10">
        <f t="shared" si="58"/>
        <v>432551</v>
      </c>
      <c r="G236" s="10">
        <f t="shared" si="58"/>
        <v>81256.91</v>
      </c>
      <c r="H236" s="40">
        <f t="shared" ref="H236" si="59">SUM(H232:H235)</f>
        <v>19555306.360000003</v>
      </c>
    </row>
    <row r="237" spans="1:8" ht="14.4" x14ac:dyDescent="0.3">
      <c r="A237" s="586" t="s">
        <v>24</v>
      </c>
      <c r="B237" s="587"/>
      <c r="C237" s="587"/>
      <c r="D237" s="587"/>
      <c r="E237" s="587"/>
      <c r="F237" s="587"/>
      <c r="G237" s="587"/>
      <c r="H237" s="588"/>
    </row>
    <row r="238" spans="1:8" x14ac:dyDescent="0.3">
      <c r="A238" s="582" t="s">
        <v>23</v>
      </c>
      <c r="B238" s="583"/>
      <c r="C238" s="11" t="s">
        <v>18</v>
      </c>
      <c r="D238" s="15">
        <f>Balaka!D238+Balaka!E238+Balaka!F238+Balaka!G238+Balaka!H238+Balaka!I238</f>
        <v>19759411</v>
      </c>
      <c r="E238" s="15">
        <f>Liwonde!D238+Liwonde!E238+Liwonde!F238+Liwonde!G238+Liwonde!H238+Liwonde!I238</f>
        <v>15135457</v>
      </c>
      <c r="F238" s="15">
        <f>Machinga!D238+Machinga!E238+Machinga!F238+Machinga!G238+Machinga!H238+Machinga!I238</f>
        <v>814416</v>
      </c>
      <c r="G238" s="15">
        <f>Ntaja!D238+Ntaja!E238+Ntaja!F238+Ntaja!G238+Ntaja!H238+Ntaja!I238</f>
        <v>92872</v>
      </c>
      <c r="H238" s="39">
        <f>SUM(D238:G238)</f>
        <v>35802156</v>
      </c>
    </row>
    <row r="239" spans="1:8" x14ac:dyDescent="0.3">
      <c r="A239" s="582" t="s">
        <v>22</v>
      </c>
      <c r="B239" s="583"/>
      <c r="C239" s="11" t="s">
        <v>18</v>
      </c>
      <c r="D239" s="15">
        <f>Balaka!D239+Balaka!E239+Balaka!F239+Balaka!G239+Balaka!H239+Balaka!I239</f>
        <v>75012</v>
      </c>
      <c r="E239" s="15">
        <f>Liwonde!D239+Liwonde!E239+Liwonde!F239+Liwonde!G239+Liwonde!H239+Liwonde!I239</f>
        <v>69654</v>
      </c>
      <c r="F239" s="15">
        <f>Machinga!D239+Machinga!E239+Machinga!F239+Machinga!G239+Machinga!H239+Machinga!I239</f>
        <v>0</v>
      </c>
      <c r="G239" s="15">
        <f>Ntaja!D239+Ntaja!E239+Ntaja!F239+Ntaja!G239+Ntaja!H239+Ntaja!I239</f>
        <v>0</v>
      </c>
      <c r="H239" s="39">
        <f>SUM(D239:G239)</f>
        <v>144666</v>
      </c>
    </row>
    <row r="240" spans="1:8" x14ac:dyDescent="0.3">
      <c r="A240" s="582" t="s">
        <v>21</v>
      </c>
      <c r="B240" s="583"/>
      <c r="C240" s="11" t="s">
        <v>18</v>
      </c>
      <c r="D240" s="15">
        <f>Balaka!D240+Balaka!E240+Balaka!F240+Balaka!G240+Balaka!H240+Balaka!I240</f>
        <v>76798</v>
      </c>
      <c r="E240" s="15">
        <f>Liwonde!D240+Liwonde!E240+Liwonde!F240+Liwonde!G240+Liwonde!H240+Liwonde!I240</f>
        <v>62510</v>
      </c>
      <c r="F240" s="15">
        <f>Machinga!D240+Machinga!E240+Machinga!F240+Machinga!G240+Machinga!H240+Machinga!I240</f>
        <v>15181</v>
      </c>
      <c r="G240" s="15">
        <f>Ntaja!D240+Ntaja!E240+Ntaja!F240+Ntaja!G240+Ntaja!H240+Ntaja!I240</f>
        <v>6251</v>
      </c>
      <c r="H240" s="39">
        <f>SUM(D240:G240)</f>
        <v>160740</v>
      </c>
    </row>
    <row r="241" spans="1:8" x14ac:dyDescent="0.3">
      <c r="A241" s="582" t="s">
        <v>20</v>
      </c>
      <c r="B241" s="583"/>
      <c r="C241" s="11" t="s">
        <v>18</v>
      </c>
      <c r="D241" s="15">
        <f>Balaka!D241+Balaka!E241+Balaka!F241+Balaka!G241+Balaka!H241+Balaka!I241</f>
        <v>65189</v>
      </c>
      <c r="E241" s="15">
        <f>Liwonde!D241+Liwonde!E241+Liwonde!F241+Liwonde!G241+Liwonde!H241+Liwonde!I241</f>
        <v>126806</v>
      </c>
      <c r="F241" s="15">
        <f>Machinga!D241+Machinga!E241+Machinga!F241+Machinga!G241+Machinga!H241+Machinga!I241</f>
        <v>0</v>
      </c>
      <c r="G241" s="15">
        <f>Ntaja!D241+Ntaja!E241+Ntaja!F241+Ntaja!G241+Ntaja!H241+Ntaja!I241</f>
        <v>893</v>
      </c>
      <c r="H241" s="39">
        <f>SUM(D241:G241)</f>
        <v>192888</v>
      </c>
    </row>
    <row r="242" spans="1:8" x14ac:dyDescent="0.3">
      <c r="A242" s="649" t="s">
        <v>19</v>
      </c>
      <c r="B242" s="650"/>
      <c r="C242" s="11" t="s">
        <v>18</v>
      </c>
      <c r="D242" s="12">
        <f t="shared" ref="D242:H242" si="60">SUM(D238:D241)</f>
        <v>19976410</v>
      </c>
      <c r="E242" s="12">
        <f t="shared" si="60"/>
        <v>15394427</v>
      </c>
      <c r="F242" s="12">
        <f t="shared" si="60"/>
        <v>829597</v>
      </c>
      <c r="G242" s="12">
        <f t="shared" si="60"/>
        <v>100016</v>
      </c>
      <c r="H242" s="40">
        <f t="shared" si="60"/>
        <v>36300450</v>
      </c>
    </row>
    <row r="243" spans="1:8" x14ac:dyDescent="0.3">
      <c r="A243" s="649" t="s">
        <v>214</v>
      </c>
      <c r="B243" s="650"/>
      <c r="C243" s="11" t="s">
        <v>18</v>
      </c>
      <c r="D243" s="10">
        <f>D230+D236+D242</f>
        <v>174412356.09999996</v>
      </c>
      <c r="E243" s="10">
        <f t="shared" ref="E243:G243" si="61">E230+E236+E242</f>
        <v>191284942</v>
      </c>
      <c r="F243" s="10">
        <f t="shared" si="61"/>
        <v>16310531</v>
      </c>
      <c r="G243" s="10">
        <f t="shared" si="61"/>
        <v>780722.91</v>
      </c>
      <c r="H243" s="40">
        <f t="shared" ref="H243" si="62">H216+H223+H236+H242</f>
        <v>579242837.58000004</v>
      </c>
    </row>
    <row r="244" spans="1:8" ht="14.4" x14ac:dyDescent="0.3">
      <c r="A244" s="586" t="s">
        <v>204</v>
      </c>
      <c r="B244" s="587"/>
      <c r="C244" s="587"/>
      <c r="D244" s="587"/>
      <c r="E244" s="587"/>
      <c r="F244" s="587"/>
      <c r="G244" s="587"/>
      <c r="H244" s="588"/>
    </row>
    <row r="245" spans="1:8" x14ac:dyDescent="0.3">
      <c r="A245" s="656" t="s">
        <v>205</v>
      </c>
      <c r="B245" s="657"/>
      <c r="C245" s="11" t="s">
        <v>18</v>
      </c>
      <c r="D245" s="26">
        <f>Balaka!I245</f>
        <v>6144245.1699999999</v>
      </c>
      <c r="E245" s="26">
        <f>Liwonde!I245</f>
        <v>25193761.16</v>
      </c>
      <c r="F245" s="26">
        <f>Machinga!I245</f>
        <v>133815145.02</v>
      </c>
      <c r="G245" s="26">
        <f>Ntaja!I245</f>
        <v>3883830.25</v>
      </c>
      <c r="H245" s="39">
        <f>SUM(D245:G245)</f>
        <v>169036981.59999999</v>
      </c>
    </row>
    <row r="246" spans="1:8" x14ac:dyDescent="0.3">
      <c r="A246" s="656" t="s">
        <v>206</v>
      </c>
      <c r="B246" s="657"/>
      <c r="C246" s="11" t="s">
        <v>18</v>
      </c>
      <c r="D246" s="26">
        <f>Balaka!I246</f>
        <v>307084783.61000001</v>
      </c>
      <c r="E246" s="26">
        <f>Liwonde!I246</f>
        <v>241161270.41999999</v>
      </c>
      <c r="F246" s="26">
        <f>Machinga!I246</f>
        <v>16291871.02</v>
      </c>
      <c r="G246" s="26">
        <f>Ntaja!I246</f>
        <v>0</v>
      </c>
      <c r="H246" s="39">
        <f>SUM(D246:G246)</f>
        <v>564537925.04999995</v>
      </c>
    </row>
    <row r="247" spans="1:8" x14ac:dyDescent="0.3">
      <c r="A247" s="658" t="s">
        <v>207</v>
      </c>
      <c r="B247" s="659"/>
      <c r="C247" s="11" t="s">
        <v>18</v>
      </c>
      <c r="D247" s="72">
        <f>D245+D246</f>
        <v>313229028.78000003</v>
      </c>
      <c r="E247" s="72">
        <f t="shared" ref="E247:H247" si="63">E245+E246</f>
        <v>266355031.57999998</v>
      </c>
      <c r="F247" s="72">
        <f t="shared" si="63"/>
        <v>150107016.03999999</v>
      </c>
      <c r="G247" s="72">
        <f t="shared" si="63"/>
        <v>3883830.25</v>
      </c>
      <c r="H247" s="163">
        <f t="shared" si="63"/>
        <v>733574906.64999998</v>
      </c>
    </row>
    <row r="248" spans="1:8" ht="14.4" x14ac:dyDescent="0.3">
      <c r="A248" s="586" t="s">
        <v>17</v>
      </c>
      <c r="B248" s="587"/>
      <c r="C248" s="587"/>
      <c r="D248" s="587"/>
      <c r="E248" s="587"/>
      <c r="F248" s="587"/>
      <c r="G248" s="587"/>
      <c r="H248" s="588"/>
    </row>
    <row r="249" spans="1:8" x14ac:dyDescent="0.3">
      <c r="A249" s="613" t="s">
        <v>16</v>
      </c>
      <c r="B249" s="614"/>
      <c r="C249" s="5" t="s">
        <v>6</v>
      </c>
      <c r="D249" s="8">
        <f>D58/D243</f>
        <v>0.6351704909483763</v>
      </c>
      <c r="E249" s="8">
        <f t="shared" ref="E249:H249" si="64">E58/E243</f>
        <v>0.83844005801421118</v>
      </c>
      <c r="F249" s="8">
        <f t="shared" si="64"/>
        <v>1.0243759390482137</v>
      </c>
      <c r="G249" s="8">
        <f t="shared" si="64"/>
        <v>20.428146028883667</v>
      </c>
      <c r="H249" s="517">
        <f t="shared" si="64"/>
        <v>0.52451123627461194</v>
      </c>
    </row>
    <row r="250" spans="1:8" x14ac:dyDescent="0.3">
      <c r="A250" s="613" t="s">
        <v>208</v>
      </c>
      <c r="B250" s="614"/>
      <c r="C250" s="5" t="s">
        <v>6</v>
      </c>
      <c r="D250" s="29">
        <f>D210/(D223+D245)</f>
        <v>1.026151022482187</v>
      </c>
      <c r="E250" s="29">
        <f t="shared" ref="E250:H250" si="65">E210/(E223+E245)</f>
        <v>0.79410292958079376</v>
      </c>
      <c r="F250" s="29">
        <f t="shared" si="65"/>
        <v>3.6256167456107026E-2</v>
      </c>
      <c r="G250" s="29">
        <f t="shared" si="65"/>
        <v>0.12088269520960684</v>
      </c>
      <c r="H250" s="516">
        <f t="shared" si="65"/>
        <v>0.63078034876368072</v>
      </c>
    </row>
    <row r="251" spans="1:8" ht="16.2" thickBot="1" x14ac:dyDescent="0.35">
      <c r="A251" s="662" t="s">
        <v>15</v>
      </c>
      <c r="B251" s="663"/>
      <c r="C251" s="5" t="s">
        <v>6</v>
      </c>
      <c r="D251" s="7">
        <f>D210/D223</f>
        <v>1.0699480214969663</v>
      </c>
      <c r="E251" s="7">
        <f t="shared" ref="E251:H251" si="66">E210/E223</f>
        <v>0.91366779703762824</v>
      </c>
      <c r="F251" s="7">
        <f t="shared" si="66"/>
        <v>0.35865787041704084</v>
      </c>
      <c r="G251" s="7">
        <f t="shared" si="66"/>
        <v>0.90408040703978643</v>
      </c>
      <c r="H251" s="518">
        <f t="shared" si="66"/>
        <v>0.956918342951808</v>
      </c>
    </row>
    <row r="252" spans="1:8" ht="14.4" x14ac:dyDescent="0.3">
      <c r="A252" s="642" t="s">
        <v>14</v>
      </c>
      <c r="B252" s="643"/>
      <c r="C252" s="643"/>
      <c r="D252" s="643"/>
      <c r="E252" s="643"/>
      <c r="F252" s="643"/>
      <c r="G252" s="643"/>
      <c r="H252" s="644"/>
    </row>
    <row r="253" spans="1:8" s="2" customFormat="1" ht="15" customHeight="1" x14ac:dyDescent="0.3">
      <c r="A253" s="613" t="s">
        <v>13</v>
      </c>
      <c r="B253" s="614"/>
      <c r="C253" s="5" t="s">
        <v>3</v>
      </c>
      <c r="D253" s="15">
        <f>Balaka!D253+Balaka!E253+Balaka!F253+Balaka!G253+Balaka!H253+Balaka!I253</f>
        <v>213</v>
      </c>
      <c r="E253" s="15">
        <f>Liwonde!D253+Liwonde!E253+Liwonde!F253+Liwonde!G253+Liwonde!H253+Liwonde!I253</f>
        <v>269</v>
      </c>
      <c r="F253" s="15">
        <f>Machinga!D253+Machinga!E253+Machinga!F253+Machinga!G253+Machinga!H253+Machinga!I253</f>
        <v>19</v>
      </c>
      <c r="G253" s="15">
        <f>Ntaja!D253+Ntaja!E253+Ntaja!F253+Ntaja!G253+Ntaja!H253+Ntaja!I253</f>
        <v>105</v>
      </c>
      <c r="H253" s="519">
        <f>SUM(D253:G253)</f>
        <v>606</v>
      </c>
    </row>
    <row r="254" spans="1:8" s="2" customFormat="1" x14ac:dyDescent="0.3">
      <c r="A254" s="613" t="s">
        <v>12</v>
      </c>
      <c r="B254" s="614"/>
      <c r="C254" s="5" t="s">
        <v>3</v>
      </c>
      <c r="D254" s="15">
        <f>Balaka!D254+Balaka!E254+Balaka!F254+Balaka!G254+Balaka!H254+Balaka!I254</f>
        <v>6</v>
      </c>
      <c r="E254" s="15">
        <f>Liwonde!D254+Liwonde!E254+Liwonde!F254+Liwonde!G254+Liwonde!H254+Liwonde!I254</f>
        <v>6</v>
      </c>
      <c r="F254" s="15">
        <f>Machinga!D254+Machinga!E254+Machinga!F254+Machinga!G254+Machinga!H254+Machinga!I254</f>
        <v>5</v>
      </c>
      <c r="G254" s="15">
        <f>Ntaja!D254+Ntaja!E254+Ntaja!F254+Ntaja!G254+Ntaja!H254+Ntaja!I254</f>
        <v>4</v>
      </c>
      <c r="H254" s="519">
        <f>SUM(D254:G254)</f>
        <v>21</v>
      </c>
    </row>
    <row r="255" spans="1:8" ht="15.75" customHeight="1" x14ac:dyDescent="0.3">
      <c r="A255" s="613" t="s">
        <v>11</v>
      </c>
      <c r="B255" s="614"/>
      <c r="C255" s="5" t="s">
        <v>3</v>
      </c>
      <c r="D255" s="4">
        <f>D95</f>
        <v>442</v>
      </c>
      <c r="E255" s="4">
        <f t="shared" ref="E255:G255" si="67">E95</f>
        <v>352</v>
      </c>
      <c r="F255" s="4">
        <f t="shared" si="67"/>
        <v>12</v>
      </c>
      <c r="G255" s="4">
        <f t="shared" si="67"/>
        <v>32</v>
      </c>
      <c r="H255" s="519">
        <f>SUM(D255:G255)</f>
        <v>838</v>
      </c>
    </row>
    <row r="256" spans="1:8" x14ac:dyDescent="0.3">
      <c r="A256" s="613" t="s">
        <v>10</v>
      </c>
      <c r="B256" s="614"/>
      <c r="C256" s="5" t="s">
        <v>3</v>
      </c>
      <c r="D256" s="4">
        <f>D91</f>
        <v>218</v>
      </c>
      <c r="E256" s="4">
        <f t="shared" ref="E256:G256" si="68">E91</f>
        <v>243</v>
      </c>
      <c r="F256" s="4">
        <f t="shared" si="68"/>
        <v>41</v>
      </c>
      <c r="G256" s="4">
        <f t="shared" si="68"/>
        <v>123</v>
      </c>
      <c r="H256" s="519">
        <f>SUM(D256:G256)</f>
        <v>625</v>
      </c>
    </row>
    <row r="257" spans="1:8" ht="15.6" customHeight="1" x14ac:dyDescent="0.3">
      <c r="A257" s="613" t="s">
        <v>9</v>
      </c>
      <c r="B257" s="614"/>
      <c r="C257" s="5" t="s">
        <v>3</v>
      </c>
      <c r="D257" s="15">
        <f>Balaka!D257+Balaka!E257+Balaka!F257+Balaka!G257+Balaka!H257+Balaka!I257</f>
        <v>155</v>
      </c>
      <c r="E257" s="15">
        <f>Liwonde!D257+Liwonde!E257+Liwonde!F257+Liwonde!G257+Liwonde!H257+Liwonde!I257</f>
        <v>315</v>
      </c>
      <c r="F257" s="15">
        <f>Machinga!D257+Machinga!E257+Machinga!F257+Machinga!G257+Machinga!H257+Machinga!I257</f>
        <v>105</v>
      </c>
      <c r="G257" s="15">
        <f>Ntaja!D257+Ntaja!E257+Ntaja!F257+Ntaja!G257+Ntaja!H257+Ntaja!I257</f>
        <v>83</v>
      </c>
      <c r="H257" s="519">
        <f>SUM(D257:G257)</f>
        <v>658</v>
      </c>
    </row>
    <row r="258" spans="1:8" x14ac:dyDescent="0.3">
      <c r="A258" s="649" t="s">
        <v>8</v>
      </c>
      <c r="B258" s="650"/>
      <c r="C258" s="5" t="s">
        <v>3</v>
      </c>
      <c r="D258" s="1">
        <f t="shared" ref="D258:H258" si="69">D257/D256</f>
        <v>0.71100917431192656</v>
      </c>
      <c r="E258" s="1">
        <f t="shared" si="69"/>
        <v>1.2962962962962963</v>
      </c>
      <c r="F258" s="1">
        <f t="shared" si="69"/>
        <v>2.5609756097560976</v>
      </c>
      <c r="G258" s="3">
        <f t="shared" si="69"/>
        <v>0.67479674796747968</v>
      </c>
      <c r="H258" s="519">
        <f t="shared" si="69"/>
        <v>1.0528</v>
      </c>
    </row>
    <row r="259" spans="1:8" x14ac:dyDescent="0.3">
      <c r="A259" s="649" t="s">
        <v>7</v>
      </c>
      <c r="B259" s="650"/>
      <c r="C259" s="5" t="s">
        <v>6</v>
      </c>
      <c r="D259" s="1">
        <f t="shared" ref="D259:H259" si="70">D92/D255*100</f>
        <v>47.737556561085974</v>
      </c>
      <c r="E259" s="1">
        <f t="shared" si="70"/>
        <v>44.31818181818182</v>
      </c>
      <c r="F259" s="1">
        <f t="shared" si="70"/>
        <v>166.66666666666669</v>
      </c>
      <c r="G259" s="6">
        <f t="shared" si="70"/>
        <v>0</v>
      </c>
      <c r="H259" s="568">
        <f t="shared" si="70"/>
        <v>46.181384248210023</v>
      </c>
    </row>
    <row r="260" spans="1:8" ht="14.4" x14ac:dyDescent="0.3">
      <c r="A260" s="586" t="s">
        <v>5</v>
      </c>
      <c r="B260" s="587"/>
      <c r="C260" s="587"/>
      <c r="D260" s="587"/>
      <c r="E260" s="587"/>
      <c r="F260" s="587"/>
      <c r="G260" s="587"/>
      <c r="H260" s="588"/>
    </row>
    <row r="261" spans="1:8" s="2" customFormat="1" ht="15" customHeight="1" x14ac:dyDescent="0.3">
      <c r="A261" s="613" t="s">
        <v>4</v>
      </c>
      <c r="B261" s="614"/>
      <c r="C261" s="5" t="s">
        <v>3</v>
      </c>
      <c r="D261" s="15">
        <f>Balaka!D261+Balaka!E261+Balaka!F261+Balaka!G261+Balaka!H261+Balaka!I261</f>
        <v>114</v>
      </c>
      <c r="E261" s="15">
        <f>Liwonde!D261+Liwonde!E261+Liwonde!F261+Liwonde!G261+Liwonde!H261+Liwonde!I261</f>
        <v>179</v>
      </c>
      <c r="F261" s="15">
        <f>Machinga!D261+Machinga!E261+Machinga!F261+Machinga!G261+Machinga!H261+Machinga!I261</f>
        <v>48</v>
      </c>
      <c r="G261" s="15">
        <f>Ntaja!D261+Ntaja!E261+Ntaja!F261+Ntaja!G261+Ntaja!H261+Ntaja!I261</f>
        <v>23</v>
      </c>
      <c r="H261" s="519">
        <f>SUM(D261:G261)</f>
        <v>364</v>
      </c>
    </row>
    <row r="262" spans="1:8" s="2" customFormat="1" ht="15.75" customHeight="1" x14ac:dyDescent="0.3">
      <c r="A262" s="613" t="s">
        <v>2</v>
      </c>
      <c r="B262" s="614"/>
      <c r="C262" s="5" t="s">
        <v>0</v>
      </c>
      <c r="D262" s="15">
        <f>Balaka!D262+Balaka!E262+Balaka!F262+Balaka!G262+Balaka!H262+Balaka!I262</f>
        <v>159</v>
      </c>
      <c r="E262" s="15">
        <f>Liwonde!D262+Liwonde!E262+Liwonde!F262+Liwonde!G262+Liwonde!H262+Liwonde!I262</f>
        <v>90</v>
      </c>
      <c r="F262" s="15">
        <f>Machinga!D262+Machinga!E262+Machinga!F262+Machinga!G262+Machinga!H262+Machinga!I262</f>
        <v>18</v>
      </c>
      <c r="G262" s="15">
        <f>Ntaja!D262+Ntaja!E262+Ntaja!F262+Ntaja!G262+Ntaja!H262+Ntaja!I262</f>
        <v>8</v>
      </c>
      <c r="H262" s="519">
        <f>SUM(D262:G262)</f>
        <v>275</v>
      </c>
    </row>
    <row r="263" spans="1:8" ht="16.2" thickBot="1" x14ac:dyDescent="0.35">
      <c r="A263" s="660" t="s">
        <v>1</v>
      </c>
      <c r="B263" s="661"/>
      <c r="C263" s="116" t="s">
        <v>0</v>
      </c>
      <c r="D263" s="117">
        <f>D261/D262</f>
        <v>0.71698113207547165</v>
      </c>
      <c r="E263" s="117">
        <f t="shared" ref="E263:H263" si="71">E261/E262</f>
        <v>1.9888888888888889</v>
      </c>
      <c r="F263" s="117">
        <f t="shared" si="71"/>
        <v>2.6666666666666665</v>
      </c>
      <c r="G263" s="117">
        <f t="shared" si="71"/>
        <v>2.875</v>
      </c>
      <c r="H263" s="164">
        <f t="shared" si="71"/>
        <v>1.3236363636363637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F682-4A29-4F47-93B2-A47C18F0962C}">
  <sheetPr codeName="Sheet15"/>
  <dimension ref="A1:H263"/>
  <sheetViews>
    <sheetView tabSelected="1" workbookViewId="0">
      <pane xSplit="2" ySplit="8" topLeftCell="C111" activePane="bottomRight" state="frozen"/>
      <selection pane="topRight" activeCell="C1" sqref="C1"/>
      <selection pane="bottomLeft" activeCell="A9" sqref="A9"/>
      <selection pane="bottomRight" activeCell="C117" sqref="C117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2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123"/>
    </row>
    <row r="3" spans="1:8" ht="18" thickBot="1" x14ac:dyDescent="0.35">
      <c r="A3" s="89" t="s">
        <v>217</v>
      </c>
      <c r="B3" s="90"/>
      <c r="C3" s="90"/>
      <c r="D3" s="90"/>
      <c r="E3" s="90"/>
      <c r="F3" s="90"/>
      <c r="G3" s="90"/>
      <c r="H3" s="91"/>
    </row>
    <row r="4" spans="1:8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5"/>
    </row>
    <row r="5" spans="1:8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126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99"/>
    </row>
    <row r="7" spans="1:8" ht="16.2" thickBot="1" x14ac:dyDescent="0.35">
      <c r="A7" s="580" t="s">
        <v>174</v>
      </c>
      <c r="B7" s="58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59" t="s">
        <v>160</v>
      </c>
    </row>
    <row r="8" spans="1:8" ht="15" thickBot="1" x14ac:dyDescent="0.35">
      <c r="A8" s="591" t="s">
        <v>159</v>
      </c>
      <c r="B8" s="592"/>
      <c r="C8" s="592"/>
      <c r="D8" s="592"/>
      <c r="E8" s="592"/>
      <c r="F8" s="592"/>
      <c r="G8" s="592"/>
      <c r="H8" s="593"/>
    </row>
    <row r="9" spans="1:8" ht="15.6" x14ac:dyDescent="0.3">
      <c r="A9" s="594" t="s">
        <v>176</v>
      </c>
      <c r="B9" s="595"/>
      <c r="C9" s="58" t="s">
        <v>152</v>
      </c>
      <c r="D9" s="57">
        <f>Balaka!J9+Balaka!K9+Balaka!L9</f>
        <v>209117</v>
      </c>
      <c r="E9" s="57">
        <f>Liwonde!J9+Liwonde!K9+Liwonde!L9</f>
        <v>218239.7</v>
      </c>
      <c r="F9" s="57">
        <f>Machinga!J9+Machinga!K9+Machinga!L9</f>
        <v>9334</v>
      </c>
      <c r="G9" s="57">
        <f>Ntaja!J9+Ntaja!K9+Ntaja!L9</f>
        <v>8971</v>
      </c>
      <c r="H9" s="153">
        <f>SUM(D9:G9)</f>
        <v>445661.7</v>
      </c>
    </row>
    <row r="10" spans="1:8" ht="15" thickBot="1" x14ac:dyDescent="0.35">
      <c r="A10" s="586" t="s">
        <v>177</v>
      </c>
      <c r="B10" s="587"/>
      <c r="C10" s="587"/>
      <c r="D10" s="664"/>
      <c r="E10" s="587"/>
      <c r="F10" s="587"/>
      <c r="G10" s="664"/>
      <c r="H10" s="588"/>
    </row>
    <row r="11" spans="1:8" ht="15.6" x14ac:dyDescent="0.3">
      <c r="A11" s="589" t="s">
        <v>157</v>
      </c>
      <c r="B11" s="590"/>
      <c r="C11" s="11" t="s">
        <v>152</v>
      </c>
      <c r="D11" s="26">
        <f>Balaka!J11+Balaka!K11+Balaka!L11</f>
        <v>102329</v>
      </c>
      <c r="E11" s="188">
        <f>Liwonde!J11+Liwonde!K11+Liwonde!L11</f>
        <v>88098</v>
      </c>
      <c r="F11" s="188">
        <f>Machinga!J11+Machinga!K11+Machinga!L11</f>
        <v>3409</v>
      </c>
      <c r="G11" s="26">
        <f>Ntaja!J11+Ntaja!K11+Ntaja!L11</f>
        <v>205</v>
      </c>
      <c r="H11" s="55">
        <f>SUM(D11:G11)</f>
        <v>194041</v>
      </c>
    </row>
    <row r="12" spans="1:8" ht="15.6" x14ac:dyDescent="0.3">
      <c r="A12" s="589" t="s">
        <v>156</v>
      </c>
      <c r="B12" s="590"/>
      <c r="C12" s="11" t="s">
        <v>152</v>
      </c>
      <c r="D12" s="26">
        <f>Balaka!J12+Balaka!K12+Balaka!L12</f>
        <v>3765</v>
      </c>
      <c r="E12" s="26">
        <f>Liwonde!J12+Liwonde!K12+Liwonde!L12</f>
        <v>1528</v>
      </c>
      <c r="F12" s="26">
        <f>Machinga!J12+Machinga!K12+Machinga!L12</f>
        <v>0</v>
      </c>
      <c r="G12" s="26">
        <f>Ntaja!J12+Ntaja!K12+Ntaja!L12</f>
        <v>0</v>
      </c>
      <c r="H12" s="55">
        <f>SUM(D12:G12)</f>
        <v>5293</v>
      </c>
    </row>
    <row r="13" spans="1:8" ht="15.6" x14ac:dyDescent="0.3">
      <c r="A13" s="589" t="s">
        <v>155</v>
      </c>
      <c r="B13" s="590"/>
      <c r="C13" s="11" t="s">
        <v>152</v>
      </c>
      <c r="D13" s="26">
        <f>Balaka!J13+Balaka!K13+Balaka!L13</f>
        <v>791</v>
      </c>
      <c r="E13" s="26">
        <f>Liwonde!J13+Liwonde!K13+Liwonde!L13</f>
        <v>7766</v>
      </c>
      <c r="F13" s="26">
        <f>Machinga!J13+Machinga!K13+Machinga!L13</f>
        <v>108</v>
      </c>
      <c r="G13" s="26">
        <f>Ntaja!J13+Ntaja!K13+Ntaja!L13</f>
        <v>11</v>
      </c>
      <c r="H13" s="55">
        <f>SUM(D13:G13)</f>
        <v>8676</v>
      </c>
    </row>
    <row r="14" spans="1:8" ht="15.6" x14ac:dyDescent="0.3">
      <c r="A14" s="582" t="s">
        <v>154</v>
      </c>
      <c r="B14" s="583"/>
      <c r="C14" s="11" t="s">
        <v>152</v>
      </c>
      <c r="D14" s="26">
        <f>Balaka!J14+Balaka!K14+Balaka!L14</f>
        <v>187</v>
      </c>
      <c r="E14" s="4">
        <f>Liwonde!J14+Liwonde!K14+Liwonde!L14</f>
        <v>841</v>
      </c>
      <c r="F14" s="26">
        <f>Machinga!J14+Machinga!K14+Machinga!L14</f>
        <v>0</v>
      </c>
      <c r="G14" s="26">
        <f>Ntaja!J14+Ntaja!K14+Ntaja!L14</f>
        <v>0</v>
      </c>
      <c r="H14" s="55">
        <f>SUM(D14:G14)</f>
        <v>1028</v>
      </c>
    </row>
    <row r="15" spans="1:8" s="63" customFormat="1" ht="15.6" x14ac:dyDescent="0.3">
      <c r="A15" s="584" t="s">
        <v>158</v>
      </c>
      <c r="B15" s="585"/>
      <c r="C15" s="62" t="s">
        <v>152</v>
      </c>
      <c r="D15" s="34">
        <f t="shared" ref="D15:H15" si="0">SUM(D11:D14)</f>
        <v>107072</v>
      </c>
      <c r="E15" s="34">
        <f t="shared" si="0"/>
        <v>98233</v>
      </c>
      <c r="F15" s="34">
        <f t="shared" si="0"/>
        <v>3517</v>
      </c>
      <c r="G15" s="34">
        <f t="shared" si="0"/>
        <v>216</v>
      </c>
      <c r="H15" s="55">
        <f t="shared" si="0"/>
        <v>209038</v>
      </c>
    </row>
    <row r="16" spans="1:8" s="2" customFormat="1" ht="15" thickBot="1" x14ac:dyDescent="0.35">
      <c r="A16" s="586" t="s">
        <v>178</v>
      </c>
      <c r="B16" s="587"/>
      <c r="C16" s="587"/>
      <c r="D16" s="587"/>
      <c r="E16" s="587"/>
      <c r="F16" s="587"/>
      <c r="G16" s="587"/>
      <c r="H16" s="588"/>
    </row>
    <row r="17" spans="1:8" s="2" customFormat="1" ht="15.6" x14ac:dyDescent="0.3">
      <c r="A17" s="589" t="s">
        <v>180</v>
      </c>
      <c r="B17" s="590"/>
      <c r="C17" s="11" t="s">
        <v>152</v>
      </c>
      <c r="D17" s="26">
        <f>Balaka!J17+Balaka!K17+Balaka!L17</f>
        <v>20401</v>
      </c>
      <c r="E17" s="188">
        <f>Liwonde!J17+Liwonde!K17+Liwonde!L17</f>
        <v>33743</v>
      </c>
      <c r="F17" s="188">
        <f>Machinga!J17+Machinga!K17+Machinga!L17</f>
        <v>4629.3</v>
      </c>
      <c r="G17" s="26">
        <f>Ntaja!J17+Ntaja!K17+Ntaja!L17</f>
        <v>7064</v>
      </c>
      <c r="H17" s="55">
        <f>SUM(D17:G17)</f>
        <v>65837.3</v>
      </c>
    </row>
    <row r="18" spans="1:8" s="2" customFormat="1" ht="15.6" x14ac:dyDescent="0.3">
      <c r="A18" s="589" t="s">
        <v>181</v>
      </c>
      <c r="B18" s="590"/>
      <c r="C18" s="11" t="s">
        <v>152</v>
      </c>
      <c r="D18" s="26">
        <f>Balaka!J18+Balaka!K18+Balaka!L18</f>
        <v>0</v>
      </c>
      <c r="E18" s="26">
        <f>Liwonde!J18+Liwonde!K18+Liwonde!L18</f>
        <v>0</v>
      </c>
      <c r="F18" s="26">
        <f>Machinga!J18+Machinga!K18+Machinga!L18</f>
        <v>0</v>
      </c>
      <c r="G18" s="26">
        <f>Ntaja!J18+Ntaja!K18+Ntaja!L18</f>
        <v>397</v>
      </c>
      <c r="H18" s="55">
        <f>SUM(D18:G18)</f>
        <v>397</v>
      </c>
    </row>
    <row r="19" spans="1:8" s="2" customFormat="1" ht="15.6" x14ac:dyDescent="0.3">
      <c r="A19" s="589" t="s">
        <v>182</v>
      </c>
      <c r="B19" s="590"/>
      <c r="C19" s="11" t="s">
        <v>152</v>
      </c>
      <c r="D19" s="26">
        <f>Balaka!J19+Balaka!K19+Balaka!L19</f>
        <v>4439</v>
      </c>
      <c r="E19" s="26">
        <f>Liwonde!J19+Liwonde!K19+Liwonde!L19</f>
        <v>0</v>
      </c>
      <c r="F19" s="26">
        <f>Machinga!J19+Machinga!K19+Machinga!L19</f>
        <v>0</v>
      </c>
      <c r="G19" s="26">
        <f>Ntaja!J19+Ntaja!K19+Ntaja!L19</f>
        <v>353</v>
      </c>
      <c r="H19" s="55">
        <f>SUM(D19:G19)</f>
        <v>4792</v>
      </c>
    </row>
    <row r="20" spans="1:8" s="2" customFormat="1" ht="15.6" x14ac:dyDescent="0.3">
      <c r="A20" s="582" t="s">
        <v>183</v>
      </c>
      <c r="B20" s="583"/>
      <c r="C20" s="11" t="s">
        <v>152</v>
      </c>
      <c r="D20" s="26">
        <f>Balaka!J20+Balaka!K20+Balaka!L20</f>
        <v>1720</v>
      </c>
      <c r="E20" s="4">
        <f>Liwonde!J20+Liwonde!K20+Liwonde!L20</f>
        <v>0</v>
      </c>
      <c r="F20" s="26">
        <f>Machinga!J20+Machinga!K20+Machinga!L20</f>
        <v>0</v>
      </c>
      <c r="G20" s="26">
        <f>Ntaja!J20+Ntaja!K20+Ntaja!L20</f>
        <v>367</v>
      </c>
      <c r="H20" s="55">
        <f>SUM(D20:G20)</f>
        <v>2087</v>
      </c>
    </row>
    <row r="21" spans="1:8" s="73" customFormat="1" ht="15.6" x14ac:dyDescent="0.3">
      <c r="A21" s="584" t="s">
        <v>184</v>
      </c>
      <c r="B21" s="585"/>
      <c r="C21" s="62" t="s">
        <v>152</v>
      </c>
      <c r="D21" s="34">
        <f>SUM(D17:D20)</f>
        <v>26560</v>
      </c>
      <c r="E21" s="34">
        <f>SUM(E17:E20)</f>
        <v>33743</v>
      </c>
      <c r="F21" s="34">
        <f t="shared" ref="F21:H21" si="1">SUM(F17:F20)</f>
        <v>4629.3</v>
      </c>
      <c r="G21" s="34">
        <f t="shared" si="1"/>
        <v>8181</v>
      </c>
      <c r="H21" s="55">
        <f t="shared" si="1"/>
        <v>73113.3</v>
      </c>
    </row>
    <row r="22" spans="1:8" s="2" customFormat="1" ht="15.6" x14ac:dyDescent="0.3">
      <c r="A22" s="75" t="s">
        <v>185</v>
      </c>
      <c r="B22" s="79"/>
      <c r="C22" s="11" t="s">
        <v>152</v>
      </c>
      <c r="D22" s="34">
        <f>D21+D15</f>
        <v>133632</v>
      </c>
      <c r="E22" s="34">
        <f t="shared" ref="E22:H22" si="2">E21+E15</f>
        <v>131976</v>
      </c>
      <c r="F22" s="34">
        <f t="shared" si="2"/>
        <v>8146.3</v>
      </c>
      <c r="G22" s="34">
        <f t="shared" si="2"/>
        <v>8397</v>
      </c>
      <c r="H22" s="55">
        <f t="shared" si="2"/>
        <v>282151.3</v>
      </c>
    </row>
    <row r="23" spans="1:8" x14ac:dyDescent="0.3">
      <c r="A23" s="586" t="s">
        <v>215</v>
      </c>
      <c r="B23" s="587"/>
      <c r="C23" s="587"/>
      <c r="D23" s="587"/>
      <c r="E23" s="587"/>
      <c r="F23" s="587"/>
      <c r="G23" s="587"/>
      <c r="H23" s="588"/>
    </row>
    <row r="24" spans="1:8" ht="15.6" x14ac:dyDescent="0.3">
      <c r="A24" s="603" t="s">
        <v>179</v>
      </c>
      <c r="B24" s="37" t="s">
        <v>153</v>
      </c>
      <c r="C24" s="5" t="s">
        <v>152</v>
      </c>
      <c r="D24" s="54">
        <f>D9-D22</f>
        <v>75485</v>
      </c>
      <c r="E24" s="54">
        <f t="shared" ref="E24:H24" si="3">E9-E22</f>
        <v>86263.700000000012</v>
      </c>
      <c r="F24" s="54">
        <f t="shared" si="3"/>
        <v>1187.6999999999998</v>
      </c>
      <c r="G24" s="54">
        <f t="shared" si="3"/>
        <v>574</v>
      </c>
      <c r="H24" s="100">
        <f t="shared" si="3"/>
        <v>163510.40000000002</v>
      </c>
    </row>
    <row r="25" spans="1:8" ht="15.6" x14ac:dyDescent="0.3">
      <c r="A25" s="604"/>
      <c r="B25" s="53" t="s">
        <v>151</v>
      </c>
      <c r="C25" s="52" t="s">
        <v>6</v>
      </c>
      <c r="D25" s="51">
        <f t="shared" ref="D25:H25" si="4">D24/D9</f>
        <v>0.36097017459125752</v>
      </c>
      <c r="E25" s="51">
        <f t="shared" si="4"/>
        <v>0.3952704297155834</v>
      </c>
      <c r="F25" s="51">
        <f t="shared" si="4"/>
        <v>0.12724448253696163</v>
      </c>
      <c r="G25" s="51">
        <f t="shared" si="4"/>
        <v>6.3983948277783975E-2</v>
      </c>
      <c r="H25" s="101">
        <f t="shared" si="4"/>
        <v>0.36689354279266095</v>
      </c>
    </row>
    <row r="26" spans="1:8" x14ac:dyDescent="0.3">
      <c r="A26" s="586" t="s">
        <v>150</v>
      </c>
      <c r="B26" s="587"/>
      <c r="C26" s="587"/>
      <c r="D26" s="587"/>
      <c r="E26" s="587"/>
      <c r="F26" s="587"/>
      <c r="G26" s="587"/>
      <c r="H26" s="588"/>
    </row>
    <row r="27" spans="1:8" x14ac:dyDescent="0.3">
      <c r="A27" s="665" t="s">
        <v>149</v>
      </c>
      <c r="B27" s="666"/>
      <c r="C27" s="666"/>
      <c r="D27" s="666"/>
      <c r="E27" s="666"/>
      <c r="F27" s="666"/>
      <c r="G27" s="666"/>
      <c r="H27" s="667"/>
    </row>
    <row r="28" spans="1:8" ht="15.6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6"/>
    </row>
    <row r="29" spans="1:8" ht="15.6" x14ac:dyDescent="0.3">
      <c r="A29" s="596" t="s">
        <v>146</v>
      </c>
      <c r="B29" s="579">
        <f>176264.5/50</f>
        <v>3525.29</v>
      </c>
      <c r="C29" s="5" t="s">
        <v>140</v>
      </c>
      <c r="D29" s="26">
        <f>Balaka!J29+Balaka!K29+Balaka!L29</f>
        <v>357</v>
      </c>
      <c r="E29" s="4">
        <f>Liwonde!J29+Liwonde!K29+Liwonde!L29</f>
        <v>1213</v>
      </c>
      <c r="F29" s="4">
        <f>Machinga!J29+Machinga!K29+Machinga!L29</f>
        <v>32</v>
      </c>
      <c r="G29" s="26">
        <f>Ntaja!J29+Ntaja!K29+Ntaja!L29</f>
        <v>28</v>
      </c>
      <c r="H29" s="45">
        <f>SUM(D29:G29)</f>
        <v>1630</v>
      </c>
    </row>
    <row r="30" spans="1:8" ht="15.6" x14ac:dyDescent="0.3">
      <c r="A30" s="597"/>
      <c r="B30" s="579"/>
      <c r="C30" s="42" t="s">
        <v>139</v>
      </c>
      <c r="D30" s="15">
        <f t="shared" ref="D30:H30" si="5">D29/(D9/1000)</f>
        <v>1.7071782781887652</v>
      </c>
      <c r="E30" s="15">
        <f t="shared" si="5"/>
        <v>5.5581088133827166</v>
      </c>
      <c r="F30" s="15">
        <f t="shared" si="5"/>
        <v>3.4283265481037071</v>
      </c>
      <c r="G30" s="15">
        <f t="shared" si="5"/>
        <v>3.1211682086723886</v>
      </c>
      <c r="H30" s="103">
        <f t="shared" si="5"/>
        <v>3.6574827946848472</v>
      </c>
    </row>
    <row r="31" spans="1:8" ht="15.6" x14ac:dyDescent="0.3">
      <c r="A31" s="598" t="s">
        <v>145</v>
      </c>
      <c r="B31" s="579">
        <f>53000.511/50</f>
        <v>1060.0102199999999</v>
      </c>
      <c r="C31" s="5" t="s">
        <v>140</v>
      </c>
      <c r="D31" s="26">
        <f>Balaka!J31+Balaka!K31+Balaka!L31</f>
        <v>0</v>
      </c>
      <c r="E31" s="4">
        <f>Liwonde!J31+Liwonde!K31+Liwonde!L31</f>
        <v>0</v>
      </c>
      <c r="F31" s="4">
        <f>Machinga!J31+Machinga!K31+Machinga!L31</f>
        <v>0</v>
      </c>
      <c r="G31" s="26">
        <f>Ntaja!J31+Ntaja!K31+Ntaja!L31</f>
        <v>0</v>
      </c>
      <c r="H31" s="45">
        <f>SUM(D31:G31)</f>
        <v>0</v>
      </c>
    </row>
    <row r="32" spans="1:8" ht="15.6" x14ac:dyDescent="0.3">
      <c r="A32" s="599"/>
      <c r="B32" s="579"/>
      <c r="C32" s="42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03">
        <f t="shared" si="6"/>
        <v>0</v>
      </c>
    </row>
    <row r="33" spans="1:8" ht="15.6" x14ac:dyDescent="0.3">
      <c r="A33" s="598" t="s">
        <v>144</v>
      </c>
      <c r="B33" s="579">
        <f>61414.43/50</f>
        <v>1228.2886000000001</v>
      </c>
      <c r="C33" s="5" t="s">
        <v>140</v>
      </c>
      <c r="D33" s="26">
        <f>Balaka!J33+Balaka!K33+Balaka!L33</f>
        <v>0</v>
      </c>
      <c r="E33" s="4">
        <f>Liwonde!J33+Liwonde!K33+Liwonde!L33</f>
        <v>0</v>
      </c>
      <c r="F33" s="4">
        <f>Machinga!J33+Machinga!K33+Machinga!L33</f>
        <v>0</v>
      </c>
      <c r="G33" s="26">
        <f>Ntaja!J33+Ntaja!K33+Ntaja!L33</f>
        <v>0</v>
      </c>
      <c r="H33" s="45">
        <f>SUM(D33:G33)</f>
        <v>0</v>
      </c>
    </row>
    <row r="34" spans="1:8" ht="15.6" x14ac:dyDescent="0.3">
      <c r="A34" s="599"/>
      <c r="B34" s="579"/>
      <c r="C34" s="42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03">
        <f t="shared" si="7"/>
        <v>0</v>
      </c>
    </row>
    <row r="35" spans="1:8" ht="15.6" x14ac:dyDescent="0.3">
      <c r="A35" s="598" t="s">
        <v>143</v>
      </c>
      <c r="B35" s="579">
        <f>745345.16/200</f>
        <v>3726.7258000000002</v>
      </c>
      <c r="C35" s="5" t="s">
        <v>126</v>
      </c>
      <c r="D35" s="26">
        <f>Balaka!J35+Balaka!K35+Balaka!L35</f>
        <v>0</v>
      </c>
      <c r="E35" s="4">
        <f>Liwonde!J35+Liwonde!K35+Liwonde!L35</f>
        <v>394</v>
      </c>
      <c r="F35" s="4">
        <f>Machinga!J35+Machinga!K35+Machinga!L35</f>
        <v>0</v>
      </c>
      <c r="G35" s="26">
        <f>Ntaja!J35+Ntaja!K35+Ntaja!L35</f>
        <v>0</v>
      </c>
      <c r="H35" s="103"/>
    </row>
    <row r="36" spans="1:8" ht="15.6" x14ac:dyDescent="0.3">
      <c r="A36" s="599"/>
      <c r="B36" s="579"/>
      <c r="C36" s="5" t="s">
        <v>142</v>
      </c>
      <c r="D36" s="26"/>
      <c r="E36" s="15"/>
      <c r="F36" s="15"/>
      <c r="G36" s="13"/>
      <c r="H36" s="103"/>
    </row>
    <row r="37" spans="1:8" ht="15.6" x14ac:dyDescent="0.3">
      <c r="A37" s="598" t="s">
        <v>186</v>
      </c>
      <c r="B37" s="579">
        <f>790318.72/200</f>
        <v>3951.5935999999997</v>
      </c>
      <c r="C37" s="5" t="s">
        <v>126</v>
      </c>
      <c r="D37" s="26">
        <f>Balaka!J37+Balaka!K37+Balaka!L37</f>
        <v>0</v>
      </c>
      <c r="E37" s="4">
        <f>Liwonde!J37+Liwonde!K37+Liwonde!L37</f>
        <v>0</v>
      </c>
      <c r="F37" s="4">
        <f>Machinga!J37+Machinga!K37+Machinga!L37</f>
        <v>0</v>
      </c>
      <c r="G37" s="26">
        <f>Ntaja!J37+Ntaja!K37+Ntaja!L37</f>
        <v>0</v>
      </c>
      <c r="H37" s="45">
        <f>SUM(D37:G37)</f>
        <v>0</v>
      </c>
    </row>
    <row r="38" spans="1:8" ht="15.6" x14ac:dyDescent="0.3">
      <c r="A38" s="599"/>
      <c r="B38" s="579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03">
        <f t="shared" si="8"/>
        <v>0</v>
      </c>
    </row>
    <row r="39" spans="1:8" ht="15.6" x14ac:dyDescent="0.3">
      <c r="A39" s="598" t="s">
        <v>141</v>
      </c>
      <c r="B39" s="579">
        <v>1950</v>
      </c>
      <c r="C39" s="5" t="s">
        <v>140</v>
      </c>
      <c r="D39" s="26">
        <f>Balaka!J39+Balaka!K39+Balaka!L39</f>
        <v>0</v>
      </c>
      <c r="E39" s="4">
        <f>Liwonde!J39+Liwonde!K39+Liwonde!L39</f>
        <v>0</v>
      </c>
      <c r="F39" s="4">
        <f>Machinga!J39+Machinga!K39+Machinga!L39</f>
        <v>0</v>
      </c>
      <c r="G39" s="26">
        <f>Ntaja!J39+Ntaja!K39+Ntaja!L39</f>
        <v>0</v>
      </c>
      <c r="H39" s="45">
        <f>SUM(D39:G39)</f>
        <v>0</v>
      </c>
    </row>
    <row r="40" spans="1:8" ht="15.6" x14ac:dyDescent="0.3">
      <c r="A40" s="599"/>
      <c r="B40" s="579"/>
      <c r="C40" s="42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03">
        <f t="shared" si="9"/>
        <v>0</v>
      </c>
    </row>
    <row r="41" spans="1:8" ht="15.6" x14ac:dyDescent="0.3">
      <c r="A41" s="582" t="s">
        <v>138</v>
      </c>
      <c r="B41" s="583"/>
      <c r="C41" s="11" t="s">
        <v>31</v>
      </c>
      <c r="D41" s="41">
        <f>(D29*$B29)+(D31*$B31)+(D33*$B33)+(D35*$B35)+(D37*$B37)+(D39*$B39)</f>
        <v>1258528.53</v>
      </c>
      <c r="E41" s="41">
        <f t="shared" ref="E41:G41" si="10">(E29*$B29)+(E31*$B31)+(E33*$B33)+(E35*$B35)+(E37*$B37)+(E39*$B39)</f>
        <v>5744506.7351999991</v>
      </c>
      <c r="F41" s="41">
        <f t="shared" si="10"/>
        <v>112809.28</v>
      </c>
      <c r="G41" s="41">
        <f t="shared" si="10"/>
        <v>98708.12</v>
      </c>
      <c r="H41" s="39">
        <f>SUM(D41:G41)</f>
        <v>7214552.6651999997</v>
      </c>
    </row>
    <row r="42" spans="1:8" ht="15.6" x14ac:dyDescent="0.3">
      <c r="A42" s="608" t="s">
        <v>137</v>
      </c>
      <c r="B42" s="609"/>
      <c r="C42" s="42" t="s">
        <v>115</v>
      </c>
      <c r="D42" s="15">
        <f t="shared" ref="D42:H42" si="11">D41/D9</f>
        <v>6.0182985123160719</v>
      </c>
      <c r="E42" s="15">
        <f t="shared" si="11"/>
        <v>26.322006194106748</v>
      </c>
      <c r="F42" s="15">
        <f t="shared" si="11"/>
        <v>12.085845296764516</v>
      </c>
      <c r="G42" s="15">
        <f t="shared" si="11"/>
        <v>11.003023074350684</v>
      </c>
      <c r="H42" s="44">
        <f t="shared" si="11"/>
        <v>16.188406284856875</v>
      </c>
    </row>
    <row r="43" spans="1:8" ht="15" thickBot="1" x14ac:dyDescent="0.35">
      <c r="A43" s="610" t="s">
        <v>136</v>
      </c>
      <c r="B43" s="611"/>
      <c r="C43" s="611"/>
      <c r="D43" s="611"/>
      <c r="E43" s="611"/>
      <c r="F43" s="611"/>
      <c r="G43" s="611"/>
      <c r="H43" s="612"/>
    </row>
    <row r="44" spans="1:8" ht="15.6" x14ac:dyDescent="0.3">
      <c r="A44" s="582" t="s">
        <v>135</v>
      </c>
      <c r="B44" s="583"/>
      <c r="C44" s="11" t="s">
        <v>134</v>
      </c>
      <c r="D44" s="26">
        <f>Balaka!J44+Balaka!K44+Balaka!L44</f>
        <v>119419</v>
      </c>
      <c r="E44" s="188">
        <f>Liwonde!J44+Liwonde!K44+Liwonde!L44</f>
        <v>216058.71999999997</v>
      </c>
      <c r="F44" s="4">
        <f>Machinga!J44+Machinga!K44+Machinga!L44</f>
        <v>1684</v>
      </c>
      <c r="G44" s="26">
        <f>Ntaja!J44+Ntaja!K44+Ntaja!L44</f>
        <v>10613.08</v>
      </c>
      <c r="H44" s="39">
        <f>SUM(D44:G44)</f>
        <v>347774.8</v>
      </c>
    </row>
    <row r="45" spans="1:8" ht="15.6" x14ac:dyDescent="0.3">
      <c r="A45" s="608" t="s">
        <v>133</v>
      </c>
      <c r="B45" s="609"/>
      <c r="C45" s="42" t="s">
        <v>132</v>
      </c>
      <c r="D45" s="15">
        <f t="shared" ref="D45:H45" si="12">D44/D9</f>
        <v>0.57106308908410119</v>
      </c>
      <c r="E45" s="15">
        <f t="shared" si="12"/>
        <v>0.99000649286083131</v>
      </c>
      <c r="F45" s="15">
        <f t="shared" si="12"/>
        <v>0.18041568459395757</v>
      </c>
      <c r="G45" s="15">
        <f t="shared" si="12"/>
        <v>1.1830431390034555</v>
      </c>
      <c r="H45" s="103">
        <f t="shared" si="12"/>
        <v>0.78035604136500847</v>
      </c>
    </row>
    <row r="46" spans="1:8" ht="15.6" x14ac:dyDescent="0.3">
      <c r="A46" s="613" t="s">
        <v>131</v>
      </c>
      <c r="B46" s="614"/>
      <c r="C46" s="5" t="s">
        <v>31</v>
      </c>
      <c r="D46" s="26">
        <f>Balaka!J46+Balaka!K46+Balaka!L46</f>
        <v>20022186.872499999</v>
      </c>
      <c r="E46" s="4">
        <f>Liwonde!J46+Liwonde!K46+Liwonde!L46</f>
        <v>36178173.662799999</v>
      </c>
      <c r="F46" s="4">
        <f>Machinga!J46+Machinga!K46+Machinga!L46</f>
        <v>339543.91</v>
      </c>
      <c r="G46" s="26">
        <f>Ntaja!J46+Ntaja!K46+Ntaja!L46</f>
        <v>1583023.5292000002</v>
      </c>
      <c r="H46" s="39">
        <f>SUM(D46:G46)</f>
        <v>58122927.9745</v>
      </c>
    </row>
    <row r="47" spans="1:8" s="2" customFormat="1" ht="15.6" x14ac:dyDescent="0.3">
      <c r="A47" s="582" t="s">
        <v>130</v>
      </c>
      <c r="B47" s="583"/>
      <c r="C47" s="11" t="s">
        <v>115</v>
      </c>
      <c r="D47" s="15">
        <f t="shared" ref="D47:H47" si="13">D46/D9</f>
        <v>95.746337564616937</v>
      </c>
      <c r="E47" s="15">
        <f t="shared" si="13"/>
        <v>165.77265118491272</v>
      </c>
      <c r="F47" s="15">
        <f t="shared" si="13"/>
        <v>36.377106278122987</v>
      </c>
      <c r="G47" s="15">
        <f t="shared" si="13"/>
        <v>176.46009688997884</v>
      </c>
      <c r="H47" s="103">
        <f t="shared" si="13"/>
        <v>130.41939205119039</v>
      </c>
    </row>
    <row r="48" spans="1:8" ht="15" thickBot="1" x14ac:dyDescent="0.35">
      <c r="A48" s="610" t="s">
        <v>129</v>
      </c>
      <c r="B48" s="611"/>
      <c r="C48" s="611"/>
      <c r="D48" s="611"/>
      <c r="E48" s="611"/>
      <c r="F48" s="611"/>
      <c r="G48" s="611"/>
      <c r="H48" s="612"/>
    </row>
    <row r="49" spans="1:8" ht="15.6" x14ac:dyDescent="0.3">
      <c r="A49" s="582" t="s">
        <v>128</v>
      </c>
      <c r="B49" s="583"/>
      <c r="C49" s="5" t="s">
        <v>127</v>
      </c>
      <c r="D49" s="26">
        <f>Balaka!J49+Balaka!K49+Balaka!L49</f>
        <v>4849</v>
      </c>
      <c r="E49" s="188">
        <f>Liwonde!J49+Liwonde!K49+Liwonde!L49</f>
        <v>7804</v>
      </c>
      <c r="F49" s="188">
        <f>Machinga!J49+Machinga!K49+Machinga!L49</f>
        <v>0</v>
      </c>
      <c r="G49" s="26">
        <f>Ntaja!J49+Ntaja!K49+Ntaja!L49</f>
        <v>0</v>
      </c>
      <c r="H49" s="39">
        <f>SUM(D49:G49)</f>
        <v>12653</v>
      </c>
    </row>
    <row r="50" spans="1:8" ht="15.6" x14ac:dyDescent="0.3">
      <c r="A50" s="582" t="s">
        <v>187</v>
      </c>
      <c r="B50" s="583"/>
      <c r="C50" s="5" t="s">
        <v>126</v>
      </c>
      <c r="D50" s="26">
        <f>Balaka!J50+Balaka!K50+Balaka!L50</f>
        <v>900</v>
      </c>
      <c r="E50" s="26">
        <f>Liwonde!J50+Liwonde!K50+Liwonde!L50</f>
        <v>626.03</v>
      </c>
      <c r="F50" s="26">
        <f>Machinga!J50+Machinga!K50+Machinga!L50</f>
        <v>0</v>
      </c>
      <c r="G50" s="26">
        <f>Ntaja!J50+Ntaja!K50+Ntaja!L50</f>
        <v>20</v>
      </c>
      <c r="H50" s="39">
        <f>SUM(D50:G50)</f>
        <v>1546.03</v>
      </c>
    </row>
    <row r="51" spans="1:8" ht="15.6" x14ac:dyDescent="0.3">
      <c r="A51" s="613" t="s">
        <v>125</v>
      </c>
      <c r="B51" s="614"/>
      <c r="C51" s="5" t="s">
        <v>31</v>
      </c>
      <c r="D51" s="26">
        <f>Balaka!J51+Balaka!K51+Balaka!L51</f>
        <v>2191980</v>
      </c>
      <c r="E51" s="26">
        <f>Liwonde!J51+Liwonde!K51+Liwonde!L51</f>
        <v>2150345.6800000002</v>
      </c>
      <c r="F51" s="26">
        <f>Machinga!J51+Machinga!K51+Machinga!L51</f>
        <v>0</v>
      </c>
      <c r="G51" s="26">
        <f>Ntaja!J51+Ntaja!K51+Ntaja!L51</f>
        <v>50600</v>
      </c>
      <c r="H51" s="40">
        <f>SUM(D51:G51)</f>
        <v>4392925.68</v>
      </c>
    </row>
    <row r="52" spans="1:8" ht="15.6" x14ac:dyDescent="0.3">
      <c r="A52" s="582" t="s">
        <v>124</v>
      </c>
      <c r="B52" s="583"/>
      <c r="C52" s="5" t="s">
        <v>31</v>
      </c>
      <c r="D52" s="26">
        <f>Balaka!J52+Balaka!K52+Balaka!L52</f>
        <v>0</v>
      </c>
      <c r="E52" s="4">
        <f>Liwonde!J52+Liwonde!K52+Liwonde!L52</f>
        <v>0</v>
      </c>
      <c r="F52" s="26">
        <f>Machinga!J52+Machinga!K52+Machinga!L52</f>
        <v>0</v>
      </c>
      <c r="G52" s="26">
        <f>Ntaja!J52+Ntaja!K52+Ntaja!L52</f>
        <v>0</v>
      </c>
      <c r="H52" s="40">
        <f>SUM(D52:G52)</f>
        <v>0</v>
      </c>
    </row>
    <row r="53" spans="1:8" ht="15" thickBot="1" x14ac:dyDescent="0.35">
      <c r="A53" s="610" t="s">
        <v>123</v>
      </c>
      <c r="B53" s="611"/>
      <c r="C53" s="611"/>
      <c r="D53" s="611"/>
      <c r="E53" s="611"/>
      <c r="F53" s="611"/>
      <c r="G53" s="611"/>
      <c r="H53" s="612"/>
    </row>
    <row r="54" spans="1:8" ht="15.6" x14ac:dyDescent="0.3">
      <c r="A54" s="582" t="s">
        <v>122</v>
      </c>
      <c r="B54" s="583"/>
      <c r="C54" s="11" t="s">
        <v>18</v>
      </c>
      <c r="D54" s="26">
        <f>Balaka!J54+Balaka!K54+Balaka!L54</f>
        <v>21491043.41</v>
      </c>
      <c r="E54" s="191">
        <f>Liwonde!J54+Liwonde!K54+Liwonde!L54</f>
        <v>28559198.670000002</v>
      </c>
      <c r="F54" s="191">
        <f>Machinga!J54+Machinga!K54+Machinga!L54</f>
        <v>5448451.6100000003</v>
      </c>
      <c r="G54" s="26">
        <f>Ntaja!J54+Ntaja!K54+Ntaja!L54</f>
        <v>5371109.8900000006</v>
      </c>
      <c r="H54" s="39">
        <f>SUM(D54:G54)</f>
        <v>60869803.579999998</v>
      </c>
    </row>
    <row r="55" spans="1:8" ht="15.6" x14ac:dyDescent="0.3">
      <c r="A55" s="78" t="s">
        <v>121</v>
      </c>
      <c r="B55" s="79"/>
      <c r="C55" s="11" t="s">
        <v>18</v>
      </c>
      <c r="D55" s="26">
        <f>Balaka!J55+Balaka!K55+Balaka!L55</f>
        <v>8413936.2100000009</v>
      </c>
      <c r="E55" s="26">
        <f>Liwonde!J55+Liwonde!K55+Liwonde!L55</f>
        <v>11730051.710000001</v>
      </c>
      <c r="F55" s="26">
        <f>Machinga!J55+Machinga!K55+Machinga!L55</f>
        <v>1601511.88</v>
      </c>
      <c r="G55" s="26">
        <f>Ntaja!J55+Ntaja!K55+Ntaja!L55</f>
        <v>1540287.08</v>
      </c>
      <c r="H55" s="39">
        <f>SUM(D55:G55)</f>
        <v>23285786.880000003</v>
      </c>
    </row>
    <row r="56" spans="1:8" ht="15.6" x14ac:dyDescent="0.3">
      <c r="A56" s="582" t="s">
        <v>120</v>
      </c>
      <c r="B56" s="583"/>
      <c r="C56" s="5" t="s">
        <v>18</v>
      </c>
      <c r="D56" s="26">
        <f>Balaka!J56+Balaka!K56+Balaka!L56</f>
        <v>15366846.939999999</v>
      </c>
      <c r="E56" s="4">
        <f>Liwonde!J56+Liwonde!K56+Liwonde!L56</f>
        <v>9869661.5299999993</v>
      </c>
      <c r="F56" s="4">
        <f>Machinga!J56+Machinga!K56+Machinga!L56</f>
        <v>292884.8</v>
      </c>
      <c r="G56" s="26">
        <f>Ntaja!J56+Ntaja!K56+Ntaja!L56</f>
        <v>162000</v>
      </c>
      <c r="H56" s="39">
        <f>SUM(D56:G56)</f>
        <v>25691393.27</v>
      </c>
    </row>
    <row r="57" spans="1:8" x14ac:dyDescent="0.3">
      <c r="A57" s="610" t="s">
        <v>119</v>
      </c>
      <c r="B57" s="611"/>
      <c r="C57" s="611"/>
      <c r="D57" s="611"/>
      <c r="E57" s="611"/>
      <c r="F57" s="611"/>
      <c r="G57" s="611"/>
      <c r="H57" s="612"/>
    </row>
    <row r="58" spans="1:8" ht="15.6" x14ac:dyDescent="0.3">
      <c r="A58" s="613" t="s">
        <v>118</v>
      </c>
      <c r="B58" s="614"/>
      <c r="C58" s="5" t="s">
        <v>18</v>
      </c>
      <c r="D58" s="13">
        <f>D41+D46+D51+D52+D54+D55+D56</f>
        <v>68744521.962500006</v>
      </c>
      <c r="E58" s="13">
        <f t="shared" ref="E58:G58" si="14">E41+E46+E51+E52+E54+E55+E56</f>
        <v>94231937.988000005</v>
      </c>
      <c r="F58" s="13">
        <f t="shared" si="14"/>
        <v>7795201.4800000004</v>
      </c>
      <c r="G58" s="13">
        <f t="shared" si="14"/>
        <v>8805728.6192000005</v>
      </c>
      <c r="H58" s="64">
        <f>SUM(D58:G58)</f>
        <v>179577390.04969999</v>
      </c>
    </row>
    <row r="59" spans="1:8" ht="15.6" x14ac:dyDescent="0.3">
      <c r="A59" s="613" t="s">
        <v>117</v>
      </c>
      <c r="B59" s="614"/>
      <c r="C59" s="5" t="s">
        <v>115</v>
      </c>
      <c r="D59" s="15">
        <f t="shared" ref="D59:H59" si="15">D58/D9</f>
        <v>328.73712783991738</v>
      </c>
      <c r="E59" s="15">
        <f t="shared" si="15"/>
        <v>431.78183432253621</v>
      </c>
      <c r="F59" s="15">
        <f t="shared" si="15"/>
        <v>835.14050567816594</v>
      </c>
      <c r="G59" s="15">
        <f t="shared" si="15"/>
        <v>981.57715073013048</v>
      </c>
      <c r="H59" s="103">
        <f t="shared" si="15"/>
        <v>402.94553031974698</v>
      </c>
    </row>
    <row r="60" spans="1:8" ht="15.6" x14ac:dyDescent="0.3">
      <c r="A60" s="613" t="s">
        <v>116</v>
      </c>
      <c r="B60" s="614"/>
      <c r="C60" s="5" t="s">
        <v>115</v>
      </c>
      <c r="D60" s="15">
        <f>D58/D22</f>
        <v>514.43158796171576</v>
      </c>
      <c r="E60" s="15">
        <f t="shared" ref="E60:G60" si="16">E58/E22</f>
        <v>714.00813775231859</v>
      </c>
      <c r="F60" s="15">
        <f t="shared" si="16"/>
        <v>956.90086051336198</v>
      </c>
      <c r="G60" s="15">
        <f t="shared" si="16"/>
        <v>1048.6755530784806</v>
      </c>
      <c r="H60" s="104">
        <f>H58/H22</f>
        <v>636.45778009777018</v>
      </c>
    </row>
    <row r="61" spans="1:8" ht="15.6" x14ac:dyDescent="0.3">
      <c r="A61" s="582" t="s">
        <v>114</v>
      </c>
      <c r="B61" s="583"/>
      <c r="C61" s="5" t="s">
        <v>3</v>
      </c>
      <c r="D61" s="26">
        <f>Balaka!J61+Balaka!K61+Balaka!L61</f>
        <v>43</v>
      </c>
      <c r="E61" s="4">
        <f>Liwonde!J61+Liwonde!K61+Liwonde!L61</f>
        <v>39</v>
      </c>
      <c r="F61" s="4">
        <f>Machinga!J61+Machinga!K61+Machinga!L61</f>
        <v>9</v>
      </c>
      <c r="G61" s="4"/>
      <c r="H61" s="39">
        <f>SUM(D61:G61)</f>
        <v>91</v>
      </c>
    </row>
    <row r="62" spans="1:8" ht="15.6" customHeight="1" x14ac:dyDescent="0.3">
      <c r="A62" s="613" t="s">
        <v>113</v>
      </c>
      <c r="B62" s="614"/>
      <c r="C62" s="5" t="s">
        <v>112</v>
      </c>
      <c r="D62" s="15">
        <f t="shared" ref="D62:H62" si="17">(D61*1000*31)/D9</f>
        <v>6.3744219743014678</v>
      </c>
      <c r="E62" s="15">
        <f t="shared" si="17"/>
        <v>5.539780342439987</v>
      </c>
      <c r="F62" s="15">
        <f t="shared" si="17"/>
        <v>29.890722091279194</v>
      </c>
      <c r="G62" s="15">
        <f t="shared" si="17"/>
        <v>0</v>
      </c>
      <c r="H62" s="103">
        <f t="shared" si="17"/>
        <v>6.3299134747275794</v>
      </c>
    </row>
    <row r="63" spans="1:8" ht="15.6" x14ac:dyDescent="0.3">
      <c r="A63" s="627" t="s">
        <v>111</v>
      </c>
      <c r="B63" s="628"/>
      <c r="C63" s="38" t="s">
        <v>3</v>
      </c>
      <c r="D63" s="26">
        <f>Balaka!J63+Balaka!K63+Balaka!L63</f>
        <v>63</v>
      </c>
      <c r="E63" s="4">
        <f>Liwonde!J63+Liwonde!K63+Liwonde!L63</f>
        <v>57</v>
      </c>
      <c r="F63" s="4">
        <f>Machinga!J63+Machinga!K63+Machinga!L63</f>
        <v>18</v>
      </c>
      <c r="G63" s="4"/>
      <c r="H63" s="39">
        <f>SUM(D63:G63)</f>
        <v>138</v>
      </c>
    </row>
    <row r="64" spans="1:8" x14ac:dyDescent="0.3">
      <c r="A64" s="668"/>
      <c r="B64" s="669"/>
      <c r="C64" s="669"/>
      <c r="D64" s="669"/>
      <c r="E64" s="669"/>
      <c r="F64" s="669"/>
      <c r="G64" s="669"/>
      <c r="H64" s="670"/>
    </row>
    <row r="65" spans="1:8" ht="14.4" customHeight="1" x14ac:dyDescent="0.3">
      <c r="A65" s="610" t="s">
        <v>110</v>
      </c>
      <c r="B65" s="611"/>
      <c r="C65" s="611"/>
      <c r="D65" s="611"/>
      <c r="E65" s="680"/>
      <c r="F65" s="680"/>
      <c r="G65" s="611"/>
      <c r="H65" s="612"/>
    </row>
    <row r="66" spans="1:8" ht="15.6" x14ac:dyDescent="0.3">
      <c r="A66" s="615" t="s">
        <v>109</v>
      </c>
      <c r="B66" s="37" t="s">
        <v>85</v>
      </c>
      <c r="C66" s="5" t="s">
        <v>3</v>
      </c>
      <c r="D66" s="26">
        <f>Balaka!J66</f>
        <v>442</v>
      </c>
      <c r="E66" s="26">
        <f>Liwonde!J66</f>
        <v>352</v>
      </c>
      <c r="F66" s="26">
        <f>Machinga!J66</f>
        <v>12</v>
      </c>
      <c r="G66" s="26">
        <f>Ntaja!J66</f>
        <v>32</v>
      </c>
      <c r="H66" s="35">
        <f>SUM(D66:G66)</f>
        <v>838</v>
      </c>
    </row>
    <row r="67" spans="1:8" ht="15.6" x14ac:dyDescent="0.3">
      <c r="A67" s="616"/>
      <c r="B67" s="24" t="s">
        <v>104</v>
      </c>
      <c r="C67" s="5" t="s">
        <v>3</v>
      </c>
      <c r="D67" s="26">
        <f>Balaka!J67+Balaka!K67+Balaka!L67</f>
        <v>86</v>
      </c>
      <c r="E67" s="26">
        <f>Liwonde!J67+Liwonde!K67+Liwonde!L67</f>
        <v>100</v>
      </c>
      <c r="F67" s="26">
        <f>Machinga!J67+Machinga!K67+Machinga!L67</f>
        <v>3</v>
      </c>
      <c r="G67" s="26">
        <f>Ntaja!J67+Ntaja!K67+Ntaja!L67</f>
        <v>27</v>
      </c>
      <c r="H67" s="35">
        <f>SUM(D67:G67)</f>
        <v>216</v>
      </c>
    </row>
    <row r="68" spans="1:8" ht="27" x14ac:dyDescent="0.3">
      <c r="A68" s="616"/>
      <c r="B68" s="24" t="s">
        <v>103</v>
      </c>
      <c r="C68" s="5" t="s">
        <v>3</v>
      </c>
      <c r="D68" s="26">
        <f>Balaka!J68+Balaka!K68+Balaka!L68</f>
        <v>120</v>
      </c>
      <c r="E68" s="26">
        <f>Liwonde!J68+Liwonde!K68+Liwonde!L68</f>
        <v>113</v>
      </c>
      <c r="F68" s="26">
        <f>Machinga!J68+Machinga!K68+Machinga!L68</f>
        <v>4</v>
      </c>
      <c r="G68" s="26">
        <f>Ntaja!J68+Ntaja!K68+Ntaja!L68</f>
        <v>0</v>
      </c>
      <c r="H68" s="35">
        <f>SUM(D68:G68)</f>
        <v>237</v>
      </c>
    </row>
    <row r="69" spans="1:8" s="2" customFormat="1" ht="27" x14ac:dyDescent="0.3">
      <c r="A69" s="616"/>
      <c r="B69" s="24" t="s">
        <v>102</v>
      </c>
      <c r="C69" s="11" t="s">
        <v>3</v>
      </c>
      <c r="D69" s="26">
        <f>Balaka!J69+Balaka!K69+Balaka!L69</f>
        <v>0</v>
      </c>
      <c r="E69" s="26">
        <f>Liwonde!J69+Liwonde!K69+Liwonde!L69</f>
        <v>0</v>
      </c>
      <c r="F69" s="26">
        <f>Machinga!J69+Machinga!K69+Machinga!L69</f>
        <v>0</v>
      </c>
      <c r="G69" s="26">
        <f>Ntaja!J69+Ntaja!K69+Ntaja!L69</f>
        <v>0</v>
      </c>
      <c r="H69" s="35">
        <f>SUM(D69:G69)</f>
        <v>0</v>
      </c>
    </row>
    <row r="70" spans="1:8" s="2" customFormat="1" ht="15.6" x14ac:dyDescent="0.3">
      <c r="A70" s="616"/>
      <c r="B70" s="24" t="s">
        <v>188</v>
      </c>
      <c r="C70" s="11" t="s">
        <v>3</v>
      </c>
      <c r="D70" s="4">
        <f>D68+D69</f>
        <v>120</v>
      </c>
      <c r="E70" s="26">
        <f t="shared" ref="E70:H70" si="18">E68+E69</f>
        <v>113</v>
      </c>
      <c r="F70" s="26">
        <f t="shared" si="18"/>
        <v>4</v>
      </c>
      <c r="G70" s="4">
        <f t="shared" si="18"/>
        <v>0</v>
      </c>
      <c r="H70" s="35">
        <f t="shared" si="18"/>
        <v>237</v>
      </c>
    </row>
    <row r="71" spans="1:8" ht="15.6" x14ac:dyDescent="0.3">
      <c r="A71" s="617"/>
      <c r="B71" s="37" t="s">
        <v>81</v>
      </c>
      <c r="C71" s="5" t="s">
        <v>3</v>
      </c>
      <c r="D71" s="26">
        <f>D66+D67-D70</f>
        <v>408</v>
      </c>
      <c r="E71" s="26">
        <f t="shared" ref="E71:G71" si="19">E66+E67-E70</f>
        <v>339</v>
      </c>
      <c r="F71" s="26">
        <f t="shared" si="19"/>
        <v>11</v>
      </c>
      <c r="G71" s="26">
        <f t="shared" si="19"/>
        <v>59</v>
      </c>
      <c r="H71" s="55">
        <f>H66+H67-H70</f>
        <v>817</v>
      </c>
    </row>
    <row r="72" spans="1:8" ht="15.6" x14ac:dyDescent="0.3">
      <c r="A72" s="615" t="s">
        <v>108</v>
      </c>
      <c r="B72" s="37" t="s">
        <v>85</v>
      </c>
      <c r="C72" s="5" t="s">
        <v>3</v>
      </c>
      <c r="D72" s="26">
        <f>Balaka!J72</f>
        <v>0</v>
      </c>
      <c r="E72" s="26">
        <f>Liwonde!J72</f>
        <v>0</v>
      </c>
      <c r="F72" s="26">
        <f>Machinga!J72</f>
        <v>0</v>
      </c>
      <c r="G72" s="26">
        <f>Ntaja!J72</f>
        <v>0</v>
      </c>
      <c r="H72" s="35">
        <f>SUM(D72:G72)</f>
        <v>0</v>
      </c>
    </row>
    <row r="73" spans="1:8" ht="15.6" x14ac:dyDescent="0.3">
      <c r="A73" s="616"/>
      <c r="B73" s="24" t="s">
        <v>104</v>
      </c>
      <c r="C73" s="5" t="s">
        <v>3</v>
      </c>
      <c r="D73" s="26">
        <f>Balaka!J73+Balaka!K73+Balaka!L73</f>
        <v>0</v>
      </c>
      <c r="E73" s="26">
        <f>Liwonde!J73+Liwonde!K73+Liwonde!L73</f>
        <v>0</v>
      </c>
      <c r="F73" s="26">
        <f>Machinga!J73+Machinga!K73+Machinga!L73</f>
        <v>0</v>
      </c>
      <c r="G73" s="26">
        <f>Ntaja!J73+Ntaja!K73+Ntaja!L73</f>
        <v>0</v>
      </c>
      <c r="H73" s="35">
        <f>SUM(D73:G73)</f>
        <v>0</v>
      </c>
    </row>
    <row r="74" spans="1:8" ht="27" x14ac:dyDescent="0.3">
      <c r="A74" s="616"/>
      <c r="B74" s="24" t="s">
        <v>103</v>
      </c>
      <c r="C74" s="5" t="s">
        <v>3</v>
      </c>
      <c r="D74" s="26">
        <f>Balaka!J74+Balaka!K74+Balaka!L74</f>
        <v>0</v>
      </c>
      <c r="E74" s="26">
        <f>Liwonde!J74+Liwonde!K74+Liwonde!L74</f>
        <v>0</v>
      </c>
      <c r="F74" s="26">
        <f>Machinga!J74+Machinga!K74+Machinga!L74</f>
        <v>0</v>
      </c>
      <c r="G74" s="26">
        <f>Ntaja!J74+Ntaja!K74+Ntaja!L74</f>
        <v>0</v>
      </c>
      <c r="H74" s="35">
        <f>SUM(D74:G74)</f>
        <v>0</v>
      </c>
    </row>
    <row r="75" spans="1:8" s="2" customFormat="1" ht="27" x14ac:dyDescent="0.3">
      <c r="A75" s="616"/>
      <c r="B75" s="24" t="s">
        <v>102</v>
      </c>
      <c r="C75" s="11" t="s">
        <v>3</v>
      </c>
      <c r="D75" s="26">
        <f>Balaka!J75+Balaka!K75+Balaka!L75</f>
        <v>0</v>
      </c>
      <c r="E75" s="26">
        <f>Liwonde!J75+Liwonde!K75+Liwonde!L75</f>
        <v>0</v>
      </c>
      <c r="F75" s="26">
        <f>Machinga!J75+Machinga!K75+Machinga!L75</f>
        <v>0</v>
      </c>
      <c r="G75" s="26">
        <f>Ntaja!J75+Ntaja!K75+Ntaja!L75</f>
        <v>0</v>
      </c>
      <c r="H75" s="35">
        <f>SUM(D75:G75)</f>
        <v>0</v>
      </c>
    </row>
    <row r="76" spans="1:8" s="2" customFormat="1" ht="15.6" x14ac:dyDescent="0.3">
      <c r="A76" s="616"/>
      <c r="B76" s="24" t="s">
        <v>188</v>
      </c>
      <c r="C76" s="11" t="s">
        <v>3</v>
      </c>
      <c r="D76" s="4">
        <f>D74+D75</f>
        <v>0</v>
      </c>
      <c r="E76" s="26">
        <f t="shared" ref="E76:H76" si="20">E74+E75</f>
        <v>0</v>
      </c>
      <c r="F76" s="26">
        <f t="shared" si="20"/>
        <v>0</v>
      </c>
      <c r="G76" s="4">
        <f t="shared" si="20"/>
        <v>0</v>
      </c>
      <c r="H76" s="35">
        <f t="shared" si="20"/>
        <v>0</v>
      </c>
    </row>
    <row r="77" spans="1:8" ht="15.6" x14ac:dyDescent="0.3">
      <c r="A77" s="617"/>
      <c r="B77" s="37" t="s">
        <v>81</v>
      </c>
      <c r="C77" s="5" t="s">
        <v>3</v>
      </c>
      <c r="D77" s="26">
        <f>D73+D74-D76</f>
        <v>0</v>
      </c>
      <c r="E77" s="26">
        <f t="shared" ref="E77:H77" si="21">E73+E74-E76</f>
        <v>0</v>
      </c>
      <c r="F77" s="26">
        <f t="shared" si="21"/>
        <v>0</v>
      </c>
      <c r="G77" s="26">
        <f t="shared" si="21"/>
        <v>0</v>
      </c>
      <c r="H77" s="55">
        <f t="shared" si="21"/>
        <v>0</v>
      </c>
    </row>
    <row r="78" spans="1:8" ht="15.6" customHeight="1" x14ac:dyDescent="0.3">
      <c r="A78" s="615" t="s">
        <v>107</v>
      </c>
      <c r="B78" s="37" t="s">
        <v>85</v>
      </c>
      <c r="C78" s="5" t="s">
        <v>3</v>
      </c>
      <c r="D78" s="26">
        <f>Balaka!J78</f>
        <v>0</v>
      </c>
      <c r="E78" s="26">
        <f>Liwonde!J78</f>
        <v>0</v>
      </c>
      <c r="F78" s="26">
        <f>Machinga!J78</f>
        <v>0</v>
      </c>
      <c r="G78" s="26">
        <f>Ntaja!J78</f>
        <v>0</v>
      </c>
      <c r="H78" s="35">
        <f>SUM(D78:G78)</f>
        <v>0</v>
      </c>
    </row>
    <row r="79" spans="1:8" ht="15.6" x14ac:dyDescent="0.3">
      <c r="A79" s="616"/>
      <c r="B79" s="24" t="s">
        <v>104</v>
      </c>
      <c r="C79" s="5" t="s">
        <v>3</v>
      </c>
      <c r="D79" s="26">
        <f>Balaka!J79+Balaka!K79+Balaka!L79</f>
        <v>0</v>
      </c>
      <c r="E79" s="26">
        <f>Liwonde!J79+Liwonde!K79+Liwonde!L79</f>
        <v>0</v>
      </c>
      <c r="F79" s="26">
        <f>Machinga!J79+Machinga!K79+Machinga!L79</f>
        <v>0</v>
      </c>
      <c r="G79" s="26">
        <f>Ntaja!J79+Ntaja!K79+Ntaja!L79</f>
        <v>0</v>
      </c>
      <c r="H79" s="35">
        <f>SUM(D79:G79)</f>
        <v>0</v>
      </c>
    </row>
    <row r="80" spans="1:8" ht="27" x14ac:dyDescent="0.3">
      <c r="A80" s="616"/>
      <c r="B80" s="24" t="s">
        <v>103</v>
      </c>
      <c r="C80" s="5" t="s">
        <v>3</v>
      </c>
      <c r="D80" s="26">
        <f>Balaka!J80+Balaka!K80+Balaka!L80</f>
        <v>0</v>
      </c>
      <c r="E80" s="26">
        <f>Liwonde!J80+Liwonde!K80+Liwonde!L80</f>
        <v>0</v>
      </c>
      <c r="F80" s="26">
        <f>Machinga!J80+Machinga!K80+Machinga!L80</f>
        <v>0</v>
      </c>
      <c r="G80" s="26">
        <f>Ntaja!J80+Ntaja!K80+Ntaja!L80</f>
        <v>0</v>
      </c>
      <c r="H80" s="35">
        <f>SUM(D80:G80)</f>
        <v>0</v>
      </c>
    </row>
    <row r="81" spans="1:8" s="2" customFormat="1" ht="27" x14ac:dyDescent="0.3">
      <c r="A81" s="616"/>
      <c r="B81" s="24" t="s">
        <v>102</v>
      </c>
      <c r="C81" s="11" t="s">
        <v>3</v>
      </c>
      <c r="D81" s="26">
        <f>Balaka!J81+Balaka!K81+Balaka!L81</f>
        <v>0</v>
      </c>
      <c r="E81" s="26">
        <f>Liwonde!J81+Liwonde!K81+Liwonde!L81</f>
        <v>0</v>
      </c>
      <c r="F81" s="26">
        <f>Machinga!J81+Machinga!K81+Machinga!L81</f>
        <v>0</v>
      </c>
      <c r="G81" s="26">
        <f>Ntaja!J81+Ntaja!K81+Ntaja!L81</f>
        <v>0</v>
      </c>
      <c r="H81" s="35">
        <f>SUM(D81:G81)</f>
        <v>0</v>
      </c>
    </row>
    <row r="82" spans="1:8" s="2" customFormat="1" ht="15.6" x14ac:dyDescent="0.3">
      <c r="A82" s="616"/>
      <c r="B82" s="24" t="s">
        <v>188</v>
      </c>
      <c r="C82" s="11" t="s">
        <v>3</v>
      </c>
      <c r="D82" s="4">
        <f>D81+D80</f>
        <v>0</v>
      </c>
      <c r="E82" s="26">
        <f t="shared" ref="E82:H82" si="22">E81+E80</f>
        <v>0</v>
      </c>
      <c r="F82" s="26">
        <f t="shared" si="22"/>
        <v>0</v>
      </c>
      <c r="G82" s="4">
        <f t="shared" si="22"/>
        <v>0</v>
      </c>
      <c r="H82" s="35">
        <f t="shared" si="22"/>
        <v>0</v>
      </c>
    </row>
    <row r="83" spans="1:8" ht="15.6" x14ac:dyDescent="0.3">
      <c r="A83" s="617"/>
      <c r="B83" s="37" t="s">
        <v>81</v>
      </c>
      <c r="C83" s="5" t="s">
        <v>3</v>
      </c>
      <c r="D83" s="26">
        <f>D78+D79-D82</f>
        <v>0</v>
      </c>
      <c r="E83" s="26">
        <f>Liwonde!J83+Liwonde!K83+Liwonde!L83</f>
        <v>0</v>
      </c>
      <c r="F83" s="26">
        <f t="shared" ref="F83:H83" si="23">F78+F79-F82</f>
        <v>0</v>
      </c>
      <c r="G83" s="26">
        <f t="shared" si="23"/>
        <v>0</v>
      </c>
      <c r="H83" s="55">
        <f t="shared" si="23"/>
        <v>0</v>
      </c>
    </row>
    <row r="84" spans="1:8" ht="15.6" x14ac:dyDescent="0.3">
      <c r="A84" s="618" t="s">
        <v>106</v>
      </c>
      <c r="B84" s="37" t="s">
        <v>85</v>
      </c>
      <c r="C84" s="5" t="s">
        <v>3</v>
      </c>
      <c r="D84" s="26">
        <f>Balaka!J84</f>
        <v>0</v>
      </c>
      <c r="E84" s="26">
        <f>Liwonde!J84</f>
        <v>0</v>
      </c>
      <c r="F84" s="26">
        <f>Machinga!J84</f>
        <v>0</v>
      </c>
      <c r="G84" s="26">
        <f>Ntaja!J84</f>
        <v>0</v>
      </c>
      <c r="H84" s="35">
        <f>SUM(D84:G84)</f>
        <v>0</v>
      </c>
    </row>
    <row r="85" spans="1:8" ht="15.6" x14ac:dyDescent="0.3">
      <c r="A85" s="619"/>
      <c r="B85" s="37" t="s">
        <v>104</v>
      </c>
      <c r="C85" s="5" t="s">
        <v>3</v>
      </c>
      <c r="D85" s="26">
        <f>Balaka!J85+Balaka!K85+Balaka!L85</f>
        <v>0</v>
      </c>
      <c r="E85" s="26">
        <f>Liwonde!J85+Liwonde!K85+Liwonde!L85</f>
        <v>0</v>
      </c>
      <c r="F85" s="26">
        <f>Machinga!J85+Machinga!K85+Machinga!L85</f>
        <v>0</v>
      </c>
      <c r="G85" s="26">
        <f>Ntaja!J85+Ntaja!K85+Ntaja!L85</f>
        <v>0</v>
      </c>
      <c r="H85" s="35">
        <f>SUM(D85:G85)</f>
        <v>0</v>
      </c>
    </row>
    <row r="86" spans="1:8" ht="27" x14ac:dyDescent="0.3">
      <c r="A86" s="619"/>
      <c r="B86" s="37" t="s">
        <v>103</v>
      </c>
      <c r="C86" s="5" t="s">
        <v>3</v>
      </c>
      <c r="D86" s="26">
        <f>Balaka!J86+Balaka!K86+Balaka!L86</f>
        <v>0</v>
      </c>
      <c r="E86" s="26">
        <f>Liwonde!J86+Liwonde!K86+Liwonde!L86</f>
        <v>0</v>
      </c>
      <c r="F86" s="26">
        <f>Machinga!J86+Machinga!K86+Machinga!L86</f>
        <v>0</v>
      </c>
      <c r="G86" s="26">
        <f>Ntaja!J86+Ntaja!K86+Ntaja!L86</f>
        <v>0</v>
      </c>
      <c r="H86" s="35">
        <f>SUM(D86:G86)</f>
        <v>0</v>
      </c>
    </row>
    <row r="87" spans="1:8" s="2" customFormat="1" ht="27" x14ac:dyDescent="0.3">
      <c r="A87" s="619"/>
      <c r="B87" s="24" t="s">
        <v>102</v>
      </c>
      <c r="C87" s="11" t="s">
        <v>3</v>
      </c>
      <c r="D87" s="26">
        <f>Balaka!J87+Balaka!K87+Balaka!L87</f>
        <v>0</v>
      </c>
      <c r="E87" s="26">
        <f>Liwonde!J87+Liwonde!K87+Liwonde!L87</f>
        <v>0</v>
      </c>
      <c r="F87" s="26">
        <f>Machinga!J87+Machinga!K87+Machinga!L87</f>
        <v>0</v>
      </c>
      <c r="G87" s="26">
        <f>Ntaja!J87+Ntaja!K87+Ntaja!L87</f>
        <v>0</v>
      </c>
      <c r="H87" s="35">
        <f>SUM(D87:G87)</f>
        <v>0</v>
      </c>
    </row>
    <row r="88" spans="1:8" s="2" customFormat="1" ht="15.6" x14ac:dyDescent="0.3">
      <c r="A88" s="619"/>
      <c r="B88" s="24" t="s">
        <v>188</v>
      </c>
      <c r="C88" s="11" t="s">
        <v>3</v>
      </c>
      <c r="D88" s="4">
        <f>D87+D86</f>
        <v>0</v>
      </c>
      <c r="E88" s="26">
        <f t="shared" ref="E88:G88" si="24">E87+E86</f>
        <v>0</v>
      </c>
      <c r="F88" s="26">
        <f t="shared" si="24"/>
        <v>0</v>
      </c>
      <c r="G88" s="4">
        <f t="shared" si="24"/>
        <v>0</v>
      </c>
      <c r="H88" s="35"/>
    </row>
    <row r="89" spans="1:8" ht="15.6" x14ac:dyDescent="0.3">
      <c r="A89" s="620"/>
      <c r="B89" s="36" t="s">
        <v>81</v>
      </c>
      <c r="C89" s="5" t="s">
        <v>3</v>
      </c>
      <c r="D89" s="26">
        <f>D84+D85-D88</f>
        <v>0</v>
      </c>
      <c r="E89" s="26">
        <f t="shared" ref="E89:G89" si="25">E84+E85-E88</f>
        <v>0</v>
      </c>
      <c r="F89" s="26">
        <f t="shared" si="25"/>
        <v>0</v>
      </c>
      <c r="G89" s="26">
        <f t="shared" si="25"/>
        <v>0</v>
      </c>
      <c r="H89" s="55">
        <f t="shared" ref="H89" si="26">H84+H85-H86-H87</f>
        <v>0</v>
      </c>
    </row>
    <row r="90" spans="1:8" ht="15.6" x14ac:dyDescent="0.3">
      <c r="A90" s="621" t="s">
        <v>105</v>
      </c>
      <c r="B90" s="24" t="s">
        <v>85</v>
      </c>
      <c r="C90" s="11" t="s">
        <v>3</v>
      </c>
      <c r="D90" s="136">
        <f t="shared" ref="D90:E93" si="27">D66+D72+D78+D84</f>
        <v>442</v>
      </c>
      <c r="E90" s="136">
        <f t="shared" si="27"/>
        <v>352</v>
      </c>
      <c r="F90" s="136">
        <f t="shared" ref="F90:G90" si="28">F66+F72+F78+F84</f>
        <v>12</v>
      </c>
      <c r="G90" s="136">
        <f t="shared" si="28"/>
        <v>32</v>
      </c>
      <c r="H90" s="35">
        <f>SUM(D90:G90)</f>
        <v>838</v>
      </c>
    </row>
    <row r="91" spans="1:8" ht="15.6" x14ac:dyDescent="0.3">
      <c r="A91" s="622"/>
      <c r="B91" s="24" t="s">
        <v>104</v>
      </c>
      <c r="C91" s="11" t="s">
        <v>3</v>
      </c>
      <c r="D91" s="136">
        <f t="shared" si="27"/>
        <v>86</v>
      </c>
      <c r="E91" s="136">
        <f t="shared" si="27"/>
        <v>100</v>
      </c>
      <c r="F91" s="136">
        <f t="shared" ref="F91:G91" si="29">F67+F73+F79+F85</f>
        <v>3</v>
      </c>
      <c r="G91" s="136">
        <f t="shared" si="29"/>
        <v>27</v>
      </c>
      <c r="H91" s="35">
        <f>SUM(D91:G91)</f>
        <v>216</v>
      </c>
    </row>
    <row r="92" spans="1:8" ht="27" x14ac:dyDescent="0.3">
      <c r="A92" s="622"/>
      <c r="B92" s="24" t="s">
        <v>103</v>
      </c>
      <c r="C92" s="11" t="s">
        <v>3</v>
      </c>
      <c r="D92" s="136">
        <f t="shared" si="27"/>
        <v>120</v>
      </c>
      <c r="E92" s="136">
        <f t="shared" si="27"/>
        <v>113</v>
      </c>
      <c r="F92" s="136">
        <f t="shared" ref="F92:G92" si="30">F68+F74+F80+F86</f>
        <v>4</v>
      </c>
      <c r="G92" s="136">
        <f t="shared" si="30"/>
        <v>0</v>
      </c>
      <c r="H92" s="35">
        <f>SUM(D92:G92)</f>
        <v>237</v>
      </c>
    </row>
    <row r="93" spans="1:8" s="2" customFormat="1" ht="27" x14ac:dyDescent="0.3">
      <c r="A93" s="622"/>
      <c r="B93" s="24" t="s">
        <v>102</v>
      </c>
      <c r="C93" s="11"/>
      <c r="D93" s="136">
        <f t="shared" si="27"/>
        <v>0</v>
      </c>
      <c r="E93" s="136">
        <f t="shared" si="27"/>
        <v>0</v>
      </c>
      <c r="F93" s="136">
        <f t="shared" ref="F93:G93" si="31">F69+F75+F81+F87</f>
        <v>0</v>
      </c>
      <c r="G93" s="136">
        <f t="shared" si="31"/>
        <v>0</v>
      </c>
      <c r="H93" s="35">
        <f>SUM(D93:G93)</f>
        <v>0</v>
      </c>
    </row>
    <row r="94" spans="1:8" s="2" customFormat="1" ht="15.6" x14ac:dyDescent="0.3">
      <c r="A94" s="622"/>
      <c r="B94" s="24" t="s">
        <v>188</v>
      </c>
      <c r="C94" s="11" t="s">
        <v>3</v>
      </c>
      <c r="D94" s="137">
        <f t="shared" ref="D94:E94" si="32">D93+D92</f>
        <v>120</v>
      </c>
      <c r="E94" s="137">
        <f t="shared" si="32"/>
        <v>113</v>
      </c>
      <c r="F94" s="137">
        <f t="shared" ref="F94:H94" si="33">F93+F92</f>
        <v>4</v>
      </c>
      <c r="G94" s="137">
        <f t="shared" si="33"/>
        <v>0</v>
      </c>
      <c r="H94" s="35">
        <f t="shared" si="33"/>
        <v>237</v>
      </c>
    </row>
    <row r="95" spans="1:8" ht="16.2" thickBot="1" x14ac:dyDescent="0.35">
      <c r="A95" s="623"/>
      <c r="B95" s="24" t="s">
        <v>81</v>
      </c>
      <c r="C95" s="11" t="s">
        <v>3</v>
      </c>
      <c r="D95" s="138">
        <f t="shared" ref="D95:E95" si="34">D90+D91-D94</f>
        <v>408</v>
      </c>
      <c r="E95" s="138">
        <f t="shared" si="34"/>
        <v>339</v>
      </c>
      <c r="F95" s="138">
        <f t="shared" ref="F95:H95" si="35">F90+F91-F94</f>
        <v>11</v>
      </c>
      <c r="G95" s="138">
        <f t="shared" si="35"/>
        <v>59</v>
      </c>
      <c r="H95" s="55">
        <f t="shared" si="35"/>
        <v>817</v>
      </c>
    </row>
    <row r="96" spans="1:8" ht="16.2" customHeight="1" thickBot="1" x14ac:dyDescent="0.35">
      <c r="A96" s="671"/>
      <c r="B96" s="672"/>
      <c r="C96" s="672"/>
      <c r="D96" s="672"/>
      <c r="E96" s="672"/>
      <c r="F96" s="672"/>
      <c r="G96" s="672"/>
      <c r="H96" s="673"/>
    </row>
    <row r="97" spans="1:8" s="2" customFormat="1" ht="15.75" customHeight="1" thickBot="1" x14ac:dyDescent="0.35">
      <c r="A97" s="624" t="s">
        <v>189</v>
      </c>
      <c r="B97" s="625"/>
      <c r="C97" s="625"/>
      <c r="D97" s="625"/>
      <c r="E97" s="625"/>
      <c r="F97" s="625"/>
      <c r="G97" s="625"/>
      <c r="H97" s="626"/>
    </row>
    <row r="98" spans="1:8" ht="15.6" x14ac:dyDescent="0.3">
      <c r="A98" s="88" t="s">
        <v>190</v>
      </c>
      <c r="B98" s="69"/>
      <c r="C98" s="11" t="s">
        <v>3</v>
      </c>
      <c r="D98" s="26">
        <f>Balaka!J98+Balaka!K98+Balaka!L98</f>
        <v>2799</v>
      </c>
      <c r="E98" s="188">
        <f>Liwonde!J98+Liwonde!K98+Liwonde!L98</f>
        <v>2157</v>
      </c>
      <c r="F98" s="188">
        <f>Machinga!J98+Machinga!K98+Machinga!L98</f>
        <v>417</v>
      </c>
      <c r="G98" s="26">
        <f>Ntaja!J98+Ntaja!K98+Ntaja!L98</f>
        <v>0</v>
      </c>
      <c r="H98" s="108">
        <f>SUM(D98:G98)</f>
        <v>5373</v>
      </c>
    </row>
    <row r="99" spans="1:8" ht="15.6" x14ac:dyDescent="0.3">
      <c r="A99" s="88"/>
      <c r="B99" s="24"/>
      <c r="C99" s="11"/>
      <c r="D99" s="65"/>
      <c r="E99" s="65"/>
      <c r="F99" s="65"/>
      <c r="G99" s="65"/>
      <c r="H99" s="107"/>
    </row>
    <row r="100" spans="1:8" s="2" customFormat="1" ht="15" thickBot="1" x14ac:dyDescent="0.35">
      <c r="A100" s="635" t="s">
        <v>101</v>
      </c>
      <c r="B100" s="636"/>
      <c r="C100" s="636"/>
      <c r="D100" s="636"/>
      <c r="E100" s="636"/>
      <c r="F100" s="636"/>
      <c r="G100" s="636"/>
      <c r="H100" s="637"/>
    </row>
    <row r="101" spans="1:8" ht="15.6" x14ac:dyDescent="0.3">
      <c r="A101" s="582" t="s">
        <v>100</v>
      </c>
      <c r="B101" s="583"/>
      <c r="C101" s="11" t="s">
        <v>3</v>
      </c>
      <c r="D101" s="192">
        <f>Balaka!L101</f>
        <v>2289</v>
      </c>
      <c r="E101" s="191">
        <f>Liwonde!L101</f>
        <v>1398</v>
      </c>
      <c r="F101" s="191">
        <f>Machinga!L101</f>
        <v>0</v>
      </c>
      <c r="G101" s="192">
        <f>Ntaja!L101</f>
        <v>4</v>
      </c>
      <c r="H101" s="32">
        <f>SUM(D101:G101)</f>
        <v>3691</v>
      </c>
    </row>
    <row r="102" spans="1:8" ht="15.6" x14ac:dyDescent="0.3">
      <c r="A102" s="582" t="s">
        <v>99</v>
      </c>
      <c r="B102" s="583"/>
      <c r="C102" s="11" t="s">
        <v>3</v>
      </c>
      <c r="D102" s="26">
        <f>Balaka!L102</f>
        <v>36</v>
      </c>
      <c r="E102" s="26">
        <f>Liwonde!L102</f>
        <v>40</v>
      </c>
      <c r="F102" s="26">
        <f>Machinga!L102</f>
        <v>0</v>
      </c>
      <c r="G102" s="26">
        <f>Ntaja!L102</f>
        <v>1</v>
      </c>
      <c r="H102" s="32">
        <f>SUM(D102:G102)</f>
        <v>77</v>
      </c>
    </row>
    <row r="103" spans="1:8" ht="15.6" customHeight="1" x14ac:dyDescent="0.3">
      <c r="A103" s="589" t="s">
        <v>98</v>
      </c>
      <c r="B103" s="590"/>
      <c r="C103" s="11" t="s">
        <v>3</v>
      </c>
      <c r="D103" s="26">
        <f>Balaka!L103</f>
        <v>98</v>
      </c>
      <c r="E103" s="26">
        <f>Liwonde!L103</f>
        <v>67</v>
      </c>
      <c r="F103" s="26">
        <f>Machinga!L103</f>
        <v>0</v>
      </c>
      <c r="G103" s="26">
        <f>Ntaja!L103</f>
        <v>2</v>
      </c>
      <c r="H103" s="32">
        <f>SUM(D103:G103)</f>
        <v>167</v>
      </c>
    </row>
    <row r="104" spans="1:8" ht="15.6" x14ac:dyDescent="0.3">
      <c r="A104" s="589" t="s">
        <v>97</v>
      </c>
      <c r="B104" s="590"/>
      <c r="C104" s="11" t="s">
        <v>3</v>
      </c>
      <c r="D104" s="26">
        <f>Balaka!L104</f>
        <v>17</v>
      </c>
      <c r="E104" s="26">
        <f>Liwonde!L104</f>
        <v>15</v>
      </c>
      <c r="F104" s="26">
        <f>Machinga!L104</f>
        <v>0</v>
      </c>
      <c r="G104" s="26">
        <f>Ntaja!L104</f>
        <v>15</v>
      </c>
      <c r="H104" s="32">
        <f>SUM(D104:G104)</f>
        <v>47</v>
      </c>
    </row>
    <row r="105" spans="1:8" ht="15.6" x14ac:dyDescent="0.3">
      <c r="A105" s="638" t="s">
        <v>96</v>
      </c>
      <c r="B105" s="639"/>
      <c r="C105" s="11" t="s">
        <v>3</v>
      </c>
      <c r="D105" s="33">
        <f>SUM(D101:D104)</f>
        <v>2440</v>
      </c>
      <c r="E105" s="33">
        <f t="shared" ref="E105:G105" si="36">SUM(E101:E104)</f>
        <v>1520</v>
      </c>
      <c r="F105" s="33">
        <f t="shared" si="36"/>
        <v>0</v>
      </c>
      <c r="G105" s="33">
        <f t="shared" si="36"/>
        <v>22</v>
      </c>
      <c r="H105" s="33">
        <f>SUM(D105:G105)</f>
        <v>3982</v>
      </c>
    </row>
    <row r="106" spans="1:8" s="2" customFormat="1" ht="15.6" customHeight="1" thickBot="1" x14ac:dyDescent="0.35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ht="15.6" x14ac:dyDescent="0.3">
      <c r="A107" s="582" t="s">
        <v>193</v>
      </c>
      <c r="B107" s="583"/>
      <c r="C107" s="11" t="s">
        <v>3</v>
      </c>
      <c r="D107" s="192">
        <f>Balaka!L107</f>
        <v>3577</v>
      </c>
      <c r="E107" s="191">
        <f>Liwonde!L107</f>
        <v>2872</v>
      </c>
      <c r="F107" s="191">
        <f>Machinga!L107</f>
        <v>144</v>
      </c>
      <c r="G107" s="192">
        <f>Ntaja!L107</f>
        <v>8</v>
      </c>
      <c r="H107" s="32">
        <f>SUM(D107:G107)</f>
        <v>6601</v>
      </c>
    </row>
    <row r="108" spans="1:8" ht="15.6" x14ac:dyDescent="0.3">
      <c r="A108" s="582" t="s">
        <v>194</v>
      </c>
      <c r="B108" s="583"/>
      <c r="C108" s="11" t="s">
        <v>3</v>
      </c>
      <c r="D108" s="26">
        <f>Balaka!L108</f>
        <v>10</v>
      </c>
      <c r="E108" s="26">
        <f>Liwonde!L108</f>
        <v>13</v>
      </c>
      <c r="F108" s="26">
        <f>Machinga!L108</f>
        <v>3</v>
      </c>
      <c r="G108" s="26">
        <f>Ntaja!L108</f>
        <v>0</v>
      </c>
      <c r="H108" s="32">
        <f>SUM(D108:G108)</f>
        <v>26</v>
      </c>
    </row>
    <row r="109" spans="1:8" ht="15.6" x14ac:dyDescent="0.3">
      <c r="A109" s="582" t="s">
        <v>195</v>
      </c>
      <c r="B109" s="583"/>
      <c r="C109" s="11" t="s">
        <v>3</v>
      </c>
      <c r="D109" s="26">
        <f>Balaka!L109</f>
        <v>11</v>
      </c>
      <c r="E109" s="26">
        <f>Liwonde!L109</f>
        <v>20</v>
      </c>
      <c r="F109" s="26">
        <f>Machinga!L109</f>
        <v>0</v>
      </c>
      <c r="G109" s="26">
        <f>Ntaja!L109</f>
        <v>0</v>
      </c>
      <c r="H109" s="32">
        <f>SUM(D109:G109)</f>
        <v>31</v>
      </c>
    </row>
    <row r="110" spans="1:8" ht="15.6" x14ac:dyDescent="0.3">
      <c r="A110" s="582" t="s">
        <v>196</v>
      </c>
      <c r="B110" s="583"/>
      <c r="C110" s="11" t="s">
        <v>3</v>
      </c>
      <c r="D110" s="26">
        <f>Balaka!L110</f>
        <v>13</v>
      </c>
      <c r="E110" s="26">
        <f>Liwonde!L110</f>
        <v>13</v>
      </c>
      <c r="F110" s="26">
        <f>Machinga!L110</f>
        <v>0</v>
      </c>
      <c r="G110" s="26">
        <f>Ntaja!L110</f>
        <v>0</v>
      </c>
      <c r="H110" s="32">
        <f>SUM(D110:G110)</f>
        <v>26</v>
      </c>
    </row>
    <row r="111" spans="1:8" ht="15.6" x14ac:dyDescent="0.3">
      <c r="A111" s="584" t="s">
        <v>95</v>
      </c>
      <c r="B111" s="585"/>
      <c r="C111" s="11" t="s">
        <v>3</v>
      </c>
      <c r="D111" s="33">
        <f>SUM(D107:D110)</f>
        <v>3611</v>
      </c>
      <c r="E111" s="33">
        <f t="shared" ref="E111:G111" si="37">SUM(E107:E110)</f>
        <v>2918</v>
      </c>
      <c r="F111" s="33">
        <f t="shared" si="37"/>
        <v>147</v>
      </c>
      <c r="G111" s="33">
        <f t="shared" si="37"/>
        <v>8</v>
      </c>
      <c r="H111" s="33">
        <f>SUM(D111:G111)</f>
        <v>6684</v>
      </c>
    </row>
    <row r="112" spans="1:8" s="2" customFormat="1" ht="15.6" customHeight="1" thickBot="1" x14ac:dyDescent="0.35">
      <c r="A112" s="635" t="s">
        <v>210</v>
      </c>
      <c r="B112" s="636"/>
      <c r="C112" s="636"/>
      <c r="D112" s="636"/>
      <c r="E112" s="636"/>
      <c r="F112" s="636"/>
      <c r="G112" s="636"/>
      <c r="H112" s="637"/>
    </row>
    <row r="113" spans="1:8" ht="15.6" x14ac:dyDescent="0.3">
      <c r="A113" s="582" t="s">
        <v>197</v>
      </c>
      <c r="B113" s="583"/>
      <c r="C113" s="11" t="s">
        <v>3</v>
      </c>
      <c r="D113" s="192">
        <f>Balaka!L113</f>
        <v>933</v>
      </c>
      <c r="E113" s="191">
        <f>Liwonde!L113</f>
        <v>887</v>
      </c>
      <c r="F113" s="191">
        <f>Machinga!L113</f>
        <v>139</v>
      </c>
      <c r="G113" s="192">
        <f>Ntaja!L113</f>
        <v>392</v>
      </c>
      <c r="H113" s="32">
        <f t="shared" ref="H113:H119" si="38">SUM(D113:G113)</f>
        <v>2351</v>
      </c>
    </row>
    <row r="114" spans="1:8" ht="15.6" x14ac:dyDescent="0.3">
      <c r="A114" s="582" t="s">
        <v>198</v>
      </c>
      <c r="B114" s="583"/>
      <c r="C114" s="11" t="s">
        <v>3</v>
      </c>
      <c r="D114" s="26">
        <f>Balaka!L114</f>
        <v>92</v>
      </c>
      <c r="E114" s="26">
        <f>Liwonde!L114</f>
        <v>77</v>
      </c>
      <c r="F114" s="26">
        <f>Machinga!L114</f>
        <v>0</v>
      </c>
      <c r="G114" s="26">
        <f>Ntaja!L114</f>
        <v>20</v>
      </c>
      <c r="H114" s="32">
        <f t="shared" si="38"/>
        <v>189</v>
      </c>
    </row>
    <row r="115" spans="1:8" ht="15.6" x14ac:dyDescent="0.3">
      <c r="A115" s="582" t="s">
        <v>199</v>
      </c>
      <c r="B115" s="583"/>
      <c r="C115" s="11" t="s">
        <v>3</v>
      </c>
      <c r="D115" s="26">
        <f>Balaka!L115</f>
        <v>90</v>
      </c>
      <c r="E115" s="26">
        <f>Liwonde!L115</f>
        <v>186</v>
      </c>
      <c r="F115" s="26">
        <f>Machinga!L115</f>
        <v>0</v>
      </c>
      <c r="G115" s="26">
        <f>Ntaja!L115</f>
        <v>15</v>
      </c>
      <c r="H115" s="32">
        <f t="shared" si="38"/>
        <v>291</v>
      </c>
    </row>
    <row r="116" spans="1:8" ht="15.6" x14ac:dyDescent="0.3">
      <c r="A116" s="582" t="s">
        <v>200</v>
      </c>
      <c r="B116" s="583"/>
      <c r="C116" s="11" t="s">
        <v>3</v>
      </c>
      <c r="D116" s="26">
        <f>Balaka!L116</f>
        <v>0</v>
      </c>
      <c r="E116" s="26">
        <f>Liwonde!L116</f>
        <v>0</v>
      </c>
      <c r="F116" s="26">
        <f>Machinga!L116</f>
        <v>0</v>
      </c>
      <c r="G116" s="26">
        <f>Ntaja!L116</f>
        <v>2</v>
      </c>
      <c r="H116" s="32">
        <f t="shared" si="38"/>
        <v>2</v>
      </c>
    </row>
    <row r="117" spans="1:8" ht="15.6" x14ac:dyDescent="0.3">
      <c r="A117" s="584" t="s">
        <v>94</v>
      </c>
      <c r="B117" s="585"/>
      <c r="C117" s="11" t="s">
        <v>3</v>
      </c>
      <c r="D117" s="33">
        <f>SUM(D113:D116)</f>
        <v>1115</v>
      </c>
      <c r="E117" s="33">
        <f t="shared" ref="E117:G117" si="39">SUM(E113:E116)</f>
        <v>1150</v>
      </c>
      <c r="F117" s="33">
        <f t="shared" si="39"/>
        <v>139</v>
      </c>
      <c r="G117" s="33">
        <f t="shared" si="39"/>
        <v>429</v>
      </c>
      <c r="H117" s="33">
        <f t="shared" si="38"/>
        <v>2833</v>
      </c>
    </row>
    <row r="118" spans="1:8" s="2" customFormat="1" ht="15.6" x14ac:dyDescent="0.3">
      <c r="A118" s="80" t="s">
        <v>191</v>
      </c>
      <c r="B118" s="81"/>
      <c r="C118" s="11" t="s">
        <v>3</v>
      </c>
      <c r="D118" s="33">
        <f t="shared" ref="D118:G118" si="40">D117+D111</f>
        <v>4726</v>
      </c>
      <c r="E118" s="33">
        <f t="shared" si="40"/>
        <v>4068</v>
      </c>
      <c r="F118" s="33">
        <f t="shared" si="40"/>
        <v>286</v>
      </c>
      <c r="G118" s="33">
        <f t="shared" si="40"/>
        <v>437</v>
      </c>
      <c r="H118" s="55">
        <f t="shared" si="38"/>
        <v>9517</v>
      </c>
    </row>
    <row r="119" spans="1:8" ht="15.6" x14ac:dyDescent="0.3">
      <c r="A119" s="584" t="s">
        <v>192</v>
      </c>
      <c r="B119" s="585"/>
      <c r="C119" s="11" t="s">
        <v>3</v>
      </c>
      <c r="D119" s="33">
        <f>D118+D105</f>
        <v>7166</v>
      </c>
      <c r="E119" s="33">
        <f t="shared" ref="E119:G119" si="41">E118+E105</f>
        <v>5588</v>
      </c>
      <c r="F119" s="33">
        <f t="shared" si="41"/>
        <v>286</v>
      </c>
      <c r="G119" s="33">
        <f t="shared" si="41"/>
        <v>459</v>
      </c>
      <c r="H119" s="55">
        <f t="shared" si="38"/>
        <v>13499</v>
      </c>
    </row>
    <row r="120" spans="1:8" ht="15" thickBot="1" x14ac:dyDescent="0.35">
      <c r="A120" s="586" t="s">
        <v>201</v>
      </c>
      <c r="B120" s="587"/>
      <c r="C120" s="587"/>
      <c r="D120" s="587"/>
      <c r="E120" s="587"/>
      <c r="F120" s="587"/>
      <c r="G120" s="587"/>
      <c r="H120" s="588"/>
    </row>
    <row r="121" spans="1:8" ht="16.2" thickBot="1" x14ac:dyDescent="0.35">
      <c r="A121" s="582" t="s">
        <v>93</v>
      </c>
      <c r="B121" s="583"/>
      <c r="C121" s="5" t="s">
        <v>3</v>
      </c>
      <c r="D121" s="192">
        <f>Balaka!L121</f>
        <v>38115</v>
      </c>
      <c r="E121" s="191">
        <f>Liwonde!L121</f>
        <v>33853</v>
      </c>
      <c r="F121" s="191">
        <f>Machinga!L121</f>
        <v>0</v>
      </c>
      <c r="G121" s="192">
        <f>Ntaja!L121</f>
        <v>0</v>
      </c>
      <c r="H121" s="31">
        <f>SUM(D121:G121)</f>
        <v>71968</v>
      </c>
    </row>
    <row r="122" spans="1:8" ht="15.6" x14ac:dyDescent="0.3">
      <c r="A122" s="582" t="s">
        <v>92</v>
      </c>
      <c r="B122" s="583"/>
      <c r="C122" s="5" t="s">
        <v>3</v>
      </c>
      <c r="D122" s="192">
        <f>Balaka!L122</f>
        <v>33040</v>
      </c>
      <c r="E122" s="191">
        <f>Liwonde!L122</f>
        <v>31170</v>
      </c>
      <c r="F122" s="191">
        <f>Machinga!L122</f>
        <v>0</v>
      </c>
      <c r="G122" s="192">
        <f>Ntaja!L122</f>
        <v>0</v>
      </c>
      <c r="H122" s="31">
        <f>SUM(D122:G122)</f>
        <v>64210</v>
      </c>
    </row>
    <row r="123" spans="1:8" ht="15.6" x14ac:dyDescent="0.3">
      <c r="A123" s="640" t="s">
        <v>91</v>
      </c>
      <c r="B123" s="641"/>
      <c r="C123" s="30" t="s">
        <v>6</v>
      </c>
      <c r="D123" s="29">
        <f t="shared" ref="D123:H123" si="42">D122/D121</f>
        <v>0.86685032139577589</v>
      </c>
      <c r="E123" s="29">
        <f t="shared" si="42"/>
        <v>0.92074557646294275</v>
      </c>
      <c r="F123" s="29" t="e">
        <f t="shared" si="42"/>
        <v>#DIV/0!</v>
      </c>
      <c r="G123" s="29" t="e">
        <f t="shared" si="42"/>
        <v>#DIV/0!</v>
      </c>
      <c r="H123" s="109">
        <f t="shared" si="42"/>
        <v>0.89220208981769678</v>
      </c>
    </row>
    <row r="124" spans="1:8" x14ac:dyDescent="0.3">
      <c r="A124" s="642" t="s">
        <v>90</v>
      </c>
      <c r="B124" s="643"/>
      <c r="C124" s="643"/>
      <c r="D124" s="643"/>
      <c r="E124" s="643"/>
      <c r="F124" s="643"/>
      <c r="G124" s="643"/>
      <c r="H124" s="644"/>
    </row>
    <row r="125" spans="1:8" ht="15.6" x14ac:dyDescent="0.3">
      <c r="A125" s="598" t="s">
        <v>235</v>
      </c>
      <c r="B125" s="24" t="s">
        <v>85</v>
      </c>
      <c r="C125" s="11" t="s">
        <v>3</v>
      </c>
      <c r="D125" s="26">
        <f>Balaka!J125</f>
        <v>0</v>
      </c>
      <c r="E125" s="26">
        <f>Liwonde!J125</f>
        <v>0</v>
      </c>
      <c r="F125" s="26">
        <f>Machinga!J125</f>
        <v>0</v>
      </c>
      <c r="G125" s="26">
        <f>Ntaja!J125</f>
        <v>0</v>
      </c>
      <c r="H125" s="25">
        <f>SUM(D125:G125)</f>
        <v>0</v>
      </c>
    </row>
    <row r="126" spans="1:8" ht="15.6" x14ac:dyDescent="0.3">
      <c r="A126" s="648"/>
      <c r="B126" s="24" t="s">
        <v>84</v>
      </c>
      <c r="C126" s="11" t="s">
        <v>3</v>
      </c>
      <c r="D126" s="26">
        <f>Balaka!J126+Balaka!K126+Balaka!L126</f>
        <v>0</v>
      </c>
      <c r="E126" s="26">
        <f>Liwonde!J126+Liwonde!K126+Liwonde!L126</f>
        <v>0</v>
      </c>
      <c r="F126" s="26">
        <f>Machinga!J126+Machinga!K126+Machinga!L126</f>
        <v>0</v>
      </c>
      <c r="G126" s="26">
        <f>Ntaja!J126+Ntaja!K126+Ntaja!L126</f>
        <v>0</v>
      </c>
      <c r="H126" s="18">
        <f>SUM(D126:G126)</f>
        <v>0</v>
      </c>
    </row>
    <row r="127" spans="1:8" ht="15.6" x14ac:dyDescent="0.3">
      <c r="A127" s="648"/>
      <c r="B127" s="82" t="s">
        <v>88</v>
      </c>
      <c r="C127" s="11" t="s">
        <v>3</v>
      </c>
      <c r="D127" s="26">
        <f>Balaka!J127+Balaka!K127+Balaka!L127</f>
        <v>0</v>
      </c>
      <c r="E127" s="26">
        <f>Liwonde!J127+Liwonde!K127+Liwonde!L127</f>
        <v>0</v>
      </c>
      <c r="F127" s="26">
        <f>Machinga!J127+Machinga!K127+Machinga!L127</f>
        <v>0</v>
      </c>
      <c r="G127" s="26">
        <f>Ntaja!J127+Ntaja!K127+Ntaja!L127</f>
        <v>0</v>
      </c>
      <c r="H127" s="18">
        <f>SUM(D127:G127)</f>
        <v>0</v>
      </c>
    </row>
    <row r="128" spans="1:8" ht="15.6" x14ac:dyDescent="0.3">
      <c r="A128" s="648"/>
      <c r="B128" s="24" t="s">
        <v>82</v>
      </c>
      <c r="C128" s="11" t="s">
        <v>3</v>
      </c>
      <c r="D128" s="26">
        <f>Balaka!J128+Balaka!K128+Balaka!L128</f>
        <v>0</v>
      </c>
      <c r="E128" s="26">
        <f>Liwonde!J128+Liwonde!K128+Liwonde!L128</f>
        <v>0</v>
      </c>
      <c r="F128" s="26">
        <f>Machinga!J128+Machinga!K128+Machinga!L128</f>
        <v>0</v>
      </c>
      <c r="G128" s="26">
        <f>Ntaja!J128+Ntaja!K128+Ntaja!L128</f>
        <v>0</v>
      </c>
      <c r="H128" s="18">
        <f>SUM(D128:G128)</f>
        <v>0</v>
      </c>
    </row>
    <row r="129" spans="1:8" ht="15.6" x14ac:dyDescent="0.3">
      <c r="A129" s="599"/>
      <c r="B129" s="24" t="s">
        <v>81</v>
      </c>
      <c r="C129" s="11" t="s">
        <v>3</v>
      </c>
      <c r="D129" s="140">
        <f t="shared" ref="D129:H129" si="43">D125+D126-D127-D128</f>
        <v>0</v>
      </c>
      <c r="E129" s="141">
        <f t="shared" si="43"/>
        <v>0</v>
      </c>
      <c r="F129" s="141">
        <f t="shared" si="43"/>
        <v>0</v>
      </c>
      <c r="G129" s="140">
        <f t="shared" si="43"/>
        <v>0</v>
      </c>
      <c r="H129" s="25">
        <f t="shared" si="43"/>
        <v>0</v>
      </c>
    </row>
    <row r="130" spans="1:8" ht="15.6" x14ac:dyDescent="0.3">
      <c r="A130" s="598" t="s">
        <v>236</v>
      </c>
      <c r="B130" s="28" t="s">
        <v>85</v>
      </c>
      <c r="C130" s="27" t="s">
        <v>3</v>
      </c>
      <c r="D130" s="26">
        <f>Balaka!J130</f>
        <v>0</v>
      </c>
      <c r="E130" s="26">
        <f>Liwonde!J130</f>
        <v>0</v>
      </c>
      <c r="F130" s="26">
        <f>Machinga!J130</f>
        <v>0</v>
      </c>
      <c r="G130" s="26">
        <f>Ntaja!J130</f>
        <v>0</v>
      </c>
      <c r="H130" s="25">
        <f>SUM(D130:G130)</f>
        <v>0</v>
      </c>
    </row>
    <row r="131" spans="1:8" ht="15.6" x14ac:dyDescent="0.3">
      <c r="A131" s="648"/>
      <c r="B131" s="24" t="s">
        <v>84</v>
      </c>
      <c r="C131" s="11" t="s">
        <v>3</v>
      </c>
      <c r="D131" s="26">
        <f>Balaka!J131+Balaka!K131+Balaka!L131</f>
        <v>0</v>
      </c>
      <c r="E131" s="26">
        <f>Liwonde!J131+Liwonde!K131+Liwonde!L131</f>
        <v>0</v>
      </c>
      <c r="F131" s="26">
        <f>Machinga!J131+Machinga!K131+Machinga!L131</f>
        <v>0</v>
      </c>
      <c r="G131" s="26">
        <f>Ntaja!J131+Ntaja!K131+Ntaja!L131</f>
        <v>0</v>
      </c>
      <c r="H131" s="18">
        <f>SUM(D131:G131)</f>
        <v>0</v>
      </c>
    </row>
    <row r="132" spans="1:8" ht="15.6" x14ac:dyDescent="0.3">
      <c r="A132" s="648"/>
      <c r="B132" s="82" t="s">
        <v>88</v>
      </c>
      <c r="C132" s="11" t="s">
        <v>3</v>
      </c>
      <c r="D132" s="26">
        <f>Balaka!J132+Balaka!K132+Balaka!L132</f>
        <v>0</v>
      </c>
      <c r="E132" s="26">
        <f>Liwonde!J132+Liwonde!K132+Liwonde!L132</f>
        <v>0</v>
      </c>
      <c r="F132" s="26">
        <f>Machinga!J132+Machinga!K132+Machinga!L132</f>
        <v>0</v>
      </c>
      <c r="G132" s="26">
        <f>Ntaja!J132+Ntaja!K132+Ntaja!L132</f>
        <v>0</v>
      </c>
      <c r="H132" s="18">
        <f>SUM(D132:G132)</f>
        <v>0</v>
      </c>
    </row>
    <row r="133" spans="1:8" ht="15.6" x14ac:dyDescent="0.3">
      <c r="A133" s="648"/>
      <c r="B133" s="24" t="s">
        <v>82</v>
      </c>
      <c r="C133" s="11" t="s">
        <v>3</v>
      </c>
      <c r="D133" s="26">
        <f>Balaka!J133+Balaka!K133+Balaka!L133</f>
        <v>0</v>
      </c>
      <c r="E133" s="26">
        <f>Liwonde!J133+Liwonde!K133+Liwonde!L133</f>
        <v>0</v>
      </c>
      <c r="F133" s="26">
        <f>Machinga!J133+Machinga!K133+Machinga!L133</f>
        <v>0</v>
      </c>
      <c r="G133" s="26">
        <f>Ntaja!J133+Ntaja!K133+Ntaja!L133</f>
        <v>0</v>
      </c>
      <c r="H133" s="18">
        <f>SUM(D133:G133)</f>
        <v>0</v>
      </c>
    </row>
    <row r="134" spans="1:8" ht="15.6" x14ac:dyDescent="0.3">
      <c r="A134" s="599"/>
      <c r="B134" s="24" t="s">
        <v>81</v>
      </c>
      <c r="C134" s="11" t="s">
        <v>3</v>
      </c>
      <c r="D134" s="140">
        <f t="shared" ref="D134:H134" si="44">D130+D131-D132-D133</f>
        <v>0</v>
      </c>
      <c r="E134" s="141">
        <f t="shared" si="44"/>
        <v>0</v>
      </c>
      <c r="F134" s="141">
        <f t="shared" si="44"/>
        <v>0</v>
      </c>
      <c r="G134" s="140">
        <f t="shared" si="44"/>
        <v>0</v>
      </c>
      <c r="H134" s="25">
        <f t="shared" si="44"/>
        <v>0</v>
      </c>
    </row>
    <row r="135" spans="1:8" ht="15.6" x14ac:dyDescent="0.3">
      <c r="A135" s="598" t="s">
        <v>89</v>
      </c>
      <c r="B135" s="24" t="s">
        <v>85</v>
      </c>
      <c r="C135" s="11" t="s">
        <v>3</v>
      </c>
      <c r="D135" s="26">
        <f>Balaka!J135</f>
        <v>0</v>
      </c>
      <c r="E135" s="26">
        <f>Liwonde!J135</f>
        <v>0</v>
      </c>
      <c r="F135" s="26">
        <f>Machinga!J135</f>
        <v>0</v>
      </c>
      <c r="G135" s="26">
        <f>Ntaja!J135</f>
        <v>0</v>
      </c>
      <c r="H135" s="25">
        <f>SUM(D135:G135)</f>
        <v>0</v>
      </c>
    </row>
    <row r="136" spans="1:8" ht="15.6" x14ac:dyDescent="0.3">
      <c r="A136" s="648"/>
      <c r="B136" s="24" t="s">
        <v>84</v>
      </c>
      <c r="C136" s="11" t="s">
        <v>3</v>
      </c>
      <c r="D136" s="26">
        <f>Balaka!J136+Balaka!K136+Balaka!L136</f>
        <v>0</v>
      </c>
      <c r="E136" s="26">
        <f>Liwonde!J136+Liwonde!K136+Liwonde!L136</f>
        <v>0</v>
      </c>
      <c r="F136" s="26">
        <f>Machinga!J136+Machinga!K136+Machinga!L136</f>
        <v>0</v>
      </c>
      <c r="G136" s="26">
        <f>Ntaja!J136+Ntaja!K136+Ntaja!L136</f>
        <v>0</v>
      </c>
      <c r="H136" s="18">
        <f>SUM(D136:G136)</f>
        <v>0</v>
      </c>
    </row>
    <row r="137" spans="1:8" ht="15.6" x14ac:dyDescent="0.3">
      <c r="A137" s="648"/>
      <c r="B137" s="82" t="s">
        <v>88</v>
      </c>
      <c r="C137" s="11" t="s">
        <v>3</v>
      </c>
      <c r="D137" s="26">
        <f>Balaka!J137+Balaka!K137+Balaka!L137</f>
        <v>0</v>
      </c>
      <c r="E137" s="26">
        <f>Liwonde!J137+Liwonde!K137+Liwonde!L137</f>
        <v>0</v>
      </c>
      <c r="F137" s="26">
        <f>Machinga!J137+Machinga!K137+Machinga!L137</f>
        <v>0</v>
      </c>
      <c r="G137" s="26">
        <f>Ntaja!J137+Ntaja!K137+Ntaja!L137</f>
        <v>0</v>
      </c>
      <c r="H137" s="18">
        <f>SUM(D137:G137)</f>
        <v>0</v>
      </c>
    </row>
    <row r="138" spans="1:8" ht="15.6" x14ac:dyDescent="0.3">
      <c r="A138" s="648"/>
      <c r="B138" s="24" t="s">
        <v>82</v>
      </c>
      <c r="C138" s="11" t="s">
        <v>3</v>
      </c>
      <c r="D138" s="26">
        <f>Balaka!J138+Balaka!K138+Balaka!L138</f>
        <v>0</v>
      </c>
      <c r="E138" s="26">
        <f>Liwonde!J138+Liwonde!K138+Liwonde!L138</f>
        <v>0</v>
      </c>
      <c r="F138" s="26">
        <f>Machinga!J138+Machinga!K138+Machinga!L138</f>
        <v>0</v>
      </c>
      <c r="G138" s="26">
        <f>Ntaja!J138+Ntaja!K138+Ntaja!L138</f>
        <v>0</v>
      </c>
      <c r="H138" s="18">
        <f>SUM(D138:G138)</f>
        <v>0</v>
      </c>
    </row>
    <row r="139" spans="1:8" ht="15.6" x14ac:dyDescent="0.3">
      <c r="A139" s="599"/>
      <c r="B139" s="24" t="s">
        <v>81</v>
      </c>
      <c r="C139" s="11" t="s">
        <v>3</v>
      </c>
      <c r="D139" s="140">
        <f t="shared" ref="D139:H139" si="45">D135+D136-D137-D138</f>
        <v>0</v>
      </c>
      <c r="E139" s="141">
        <f t="shared" si="45"/>
        <v>0</v>
      </c>
      <c r="F139" s="141">
        <f t="shared" si="45"/>
        <v>0</v>
      </c>
      <c r="G139" s="140">
        <f t="shared" si="45"/>
        <v>0</v>
      </c>
      <c r="H139" s="25">
        <f t="shared" si="45"/>
        <v>0</v>
      </c>
    </row>
    <row r="140" spans="1:8" ht="15.6" x14ac:dyDescent="0.3">
      <c r="A140" s="598" t="s">
        <v>87</v>
      </c>
      <c r="B140" s="24" t="s">
        <v>85</v>
      </c>
      <c r="C140" s="11" t="s">
        <v>3</v>
      </c>
      <c r="D140" s="26">
        <f>Balaka!J140</f>
        <v>883</v>
      </c>
      <c r="E140" s="26">
        <f>Liwonde!J140</f>
        <v>637</v>
      </c>
      <c r="F140" s="26">
        <f>Machinga!J140</f>
        <v>1</v>
      </c>
      <c r="G140" s="26">
        <f>Ntaja!J140</f>
        <v>0</v>
      </c>
      <c r="H140" s="25">
        <f>SUM(D140:G140)</f>
        <v>1521</v>
      </c>
    </row>
    <row r="141" spans="1:8" ht="15.6" x14ac:dyDescent="0.3">
      <c r="A141" s="648"/>
      <c r="B141" s="24" t="s">
        <v>84</v>
      </c>
      <c r="C141" s="11" t="s">
        <v>3</v>
      </c>
      <c r="D141" s="26">
        <f>Balaka!J141+Balaka!K141+Balaka!L141</f>
        <v>29</v>
      </c>
      <c r="E141" s="26">
        <f>Liwonde!J141+Liwonde!K141+Liwonde!L141</f>
        <v>162</v>
      </c>
      <c r="F141" s="26">
        <f>Machinga!J141+Machinga!K141+Machinga!L141</f>
        <v>4</v>
      </c>
      <c r="G141" s="26">
        <f>Ntaja!J141+Ntaja!K141+Ntaja!L141</f>
        <v>0</v>
      </c>
      <c r="H141" s="18">
        <f>SUM(D141:G141)</f>
        <v>195</v>
      </c>
    </row>
    <row r="142" spans="1:8" ht="15.6" x14ac:dyDescent="0.3">
      <c r="A142" s="648"/>
      <c r="B142" s="24" t="s">
        <v>83</v>
      </c>
      <c r="C142" s="11" t="s">
        <v>3</v>
      </c>
      <c r="D142" s="26">
        <f>Balaka!J142+Balaka!K142+Balaka!L142</f>
        <v>0</v>
      </c>
      <c r="E142" s="26">
        <f>Liwonde!J142+Liwonde!K142+Liwonde!L142</f>
        <v>64</v>
      </c>
      <c r="F142" s="26">
        <f>Machinga!J142+Machinga!K142+Machinga!L142</f>
        <v>2</v>
      </c>
      <c r="G142" s="26">
        <f>Ntaja!J142+Ntaja!K142+Ntaja!L142</f>
        <v>0</v>
      </c>
      <c r="H142" s="18">
        <f>SUM(D142:G142)</f>
        <v>66</v>
      </c>
    </row>
    <row r="143" spans="1:8" ht="15.6" x14ac:dyDescent="0.3">
      <c r="A143" s="648"/>
      <c r="B143" s="24" t="s">
        <v>82</v>
      </c>
      <c r="C143" s="11" t="s">
        <v>3</v>
      </c>
      <c r="D143" s="26">
        <f>Balaka!J143+Balaka!K143+Balaka!L143</f>
        <v>40</v>
      </c>
      <c r="E143" s="26">
        <f>Liwonde!J143+Liwonde!K143+Liwonde!L143</f>
        <v>79</v>
      </c>
      <c r="F143" s="26">
        <f>Machinga!J143+Machinga!K143+Machinga!L143</f>
        <v>1</v>
      </c>
      <c r="G143" s="26">
        <f>Ntaja!J143+Ntaja!K143+Ntaja!L143</f>
        <v>0</v>
      </c>
      <c r="H143" s="18">
        <f>SUM(D143:G143)</f>
        <v>120</v>
      </c>
    </row>
    <row r="144" spans="1:8" ht="15.6" x14ac:dyDescent="0.3">
      <c r="A144" s="599"/>
      <c r="B144" s="24" t="s">
        <v>81</v>
      </c>
      <c r="C144" s="11" t="s">
        <v>3</v>
      </c>
      <c r="D144" s="140">
        <f t="shared" ref="D144:H144" si="46">D140+D141-D142-D143</f>
        <v>872</v>
      </c>
      <c r="E144" s="141">
        <f t="shared" si="46"/>
        <v>656</v>
      </c>
      <c r="F144" s="141">
        <f t="shared" si="46"/>
        <v>2</v>
      </c>
      <c r="G144" s="140">
        <f t="shared" si="46"/>
        <v>0</v>
      </c>
      <c r="H144" s="25">
        <f t="shared" si="46"/>
        <v>1530</v>
      </c>
    </row>
    <row r="145" spans="1:8" s="2" customFormat="1" ht="15.6" x14ac:dyDescent="0.3">
      <c r="A145" s="598" t="s">
        <v>86</v>
      </c>
      <c r="B145" s="24" t="s">
        <v>85</v>
      </c>
      <c r="C145" s="11" t="s">
        <v>3</v>
      </c>
      <c r="D145" s="139">
        <f t="shared" ref="D145:H149" si="47">D125+D130+D135+D140</f>
        <v>883</v>
      </c>
      <c r="E145" s="139">
        <f t="shared" si="47"/>
        <v>637</v>
      </c>
      <c r="F145" s="139">
        <f t="shared" si="47"/>
        <v>1</v>
      </c>
      <c r="G145" s="139">
        <f t="shared" si="47"/>
        <v>0</v>
      </c>
      <c r="H145" s="110">
        <f t="shared" si="47"/>
        <v>1521</v>
      </c>
    </row>
    <row r="146" spans="1:8" ht="15.6" x14ac:dyDescent="0.3">
      <c r="A146" s="648"/>
      <c r="B146" s="24" t="s">
        <v>84</v>
      </c>
      <c r="C146" s="11" t="s">
        <v>3</v>
      </c>
      <c r="D146" s="139">
        <f t="shared" si="47"/>
        <v>29</v>
      </c>
      <c r="E146" s="139">
        <f t="shared" si="47"/>
        <v>162</v>
      </c>
      <c r="F146" s="139">
        <f t="shared" si="47"/>
        <v>4</v>
      </c>
      <c r="G146" s="139">
        <f t="shared" si="47"/>
        <v>0</v>
      </c>
      <c r="H146" s="110">
        <f t="shared" si="47"/>
        <v>195</v>
      </c>
    </row>
    <row r="147" spans="1:8" ht="15.6" x14ac:dyDescent="0.3">
      <c r="A147" s="648"/>
      <c r="B147" s="24" t="s">
        <v>83</v>
      </c>
      <c r="C147" s="11" t="s">
        <v>3</v>
      </c>
      <c r="D147" s="139">
        <f t="shared" si="47"/>
        <v>0</v>
      </c>
      <c r="E147" s="139">
        <f t="shared" si="47"/>
        <v>64</v>
      </c>
      <c r="F147" s="139">
        <f t="shared" si="47"/>
        <v>2</v>
      </c>
      <c r="G147" s="139">
        <f t="shared" si="47"/>
        <v>0</v>
      </c>
      <c r="H147" s="110">
        <f t="shared" si="47"/>
        <v>66</v>
      </c>
    </row>
    <row r="148" spans="1:8" ht="15.6" x14ac:dyDescent="0.3">
      <c r="A148" s="648"/>
      <c r="B148" s="24" t="s">
        <v>82</v>
      </c>
      <c r="C148" s="11" t="s">
        <v>3</v>
      </c>
      <c r="D148" s="139">
        <f t="shared" si="47"/>
        <v>40</v>
      </c>
      <c r="E148" s="139">
        <f t="shared" si="47"/>
        <v>79</v>
      </c>
      <c r="F148" s="139">
        <f t="shared" si="47"/>
        <v>1</v>
      </c>
      <c r="G148" s="139">
        <f t="shared" si="47"/>
        <v>0</v>
      </c>
      <c r="H148" s="110">
        <f t="shared" si="47"/>
        <v>120</v>
      </c>
    </row>
    <row r="149" spans="1:8" ht="15.6" x14ac:dyDescent="0.3">
      <c r="A149" s="599"/>
      <c r="B149" s="24" t="s">
        <v>81</v>
      </c>
      <c r="C149" s="11" t="s">
        <v>3</v>
      </c>
      <c r="D149" s="140">
        <f t="shared" ref="D149:G149" si="48">D145+D146-D147-D148</f>
        <v>872</v>
      </c>
      <c r="E149" s="141">
        <f t="shared" si="48"/>
        <v>656</v>
      </c>
      <c r="F149" s="141">
        <f t="shared" si="48"/>
        <v>2</v>
      </c>
      <c r="G149" s="140">
        <f t="shared" si="48"/>
        <v>0</v>
      </c>
      <c r="H149" s="110">
        <f t="shared" si="47"/>
        <v>1530</v>
      </c>
    </row>
    <row r="150" spans="1:8" x14ac:dyDescent="0.3">
      <c r="A150" s="586" t="s">
        <v>80</v>
      </c>
      <c r="B150" s="587"/>
      <c r="C150" s="587"/>
      <c r="D150" s="587"/>
      <c r="E150" s="587"/>
      <c r="F150" s="587"/>
      <c r="G150" s="587"/>
      <c r="H150" s="588"/>
    </row>
    <row r="151" spans="1:8" ht="15.6" customHeight="1" x14ac:dyDescent="0.3">
      <c r="A151" s="676" t="s">
        <v>79</v>
      </c>
      <c r="B151" s="677"/>
      <c r="C151" s="677"/>
      <c r="D151" s="677"/>
      <c r="E151" s="677"/>
      <c r="F151" s="677"/>
      <c r="G151" s="677"/>
      <c r="H151" s="678"/>
    </row>
    <row r="152" spans="1:8" ht="15.6" x14ac:dyDescent="0.3">
      <c r="A152" s="645" t="s">
        <v>78</v>
      </c>
      <c r="B152" s="92" t="s">
        <v>63</v>
      </c>
      <c r="C152" s="11"/>
      <c r="D152" s="189"/>
      <c r="E152" s="189"/>
      <c r="F152" s="189"/>
      <c r="G152" s="189"/>
      <c r="H152" s="9"/>
    </row>
    <row r="153" spans="1:8" ht="15.6" x14ac:dyDescent="0.3">
      <c r="A153" s="646"/>
      <c r="B153" s="19" t="s">
        <v>73</v>
      </c>
      <c r="C153" s="11" t="s">
        <v>57</v>
      </c>
      <c r="D153" s="26">
        <f>Balaka!J153+Balaka!K153+Balaka!L153</f>
        <v>506</v>
      </c>
      <c r="E153" s="26">
        <f>Liwonde!J153+Liwonde!K153+Liwonde!L153</f>
        <v>416</v>
      </c>
      <c r="F153" s="26">
        <f>Machinga!J153+Machinga!K153+Machinga!L153</f>
        <v>31</v>
      </c>
      <c r="G153" s="26">
        <f>Ntaja!J153+Ntaja!K153+Ntaja!L153</f>
        <v>201</v>
      </c>
      <c r="H153" s="18">
        <f t="shared" ref="H153:H165" si="49">SUM(D153:G153)</f>
        <v>1154</v>
      </c>
    </row>
    <row r="154" spans="1:8" ht="15.6" x14ac:dyDescent="0.3">
      <c r="A154" s="646"/>
      <c r="B154" s="19" t="s">
        <v>72</v>
      </c>
      <c r="C154" s="11" t="s">
        <v>57</v>
      </c>
      <c r="D154" s="26">
        <f>Balaka!J154+Balaka!K154+Balaka!L154</f>
        <v>367</v>
      </c>
      <c r="E154" s="26">
        <f>Liwonde!J154+Liwonde!K154+Liwonde!L154</f>
        <v>229</v>
      </c>
      <c r="F154" s="26">
        <f>Machinga!J154+Machinga!K154+Machinga!L154</f>
        <v>20</v>
      </c>
      <c r="G154" s="26">
        <f>Ntaja!J154+Ntaja!K154+Ntaja!L154</f>
        <v>40</v>
      </c>
      <c r="H154" s="18">
        <f t="shared" si="49"/>
        <v>656</v>
      </c>
    </row>
    <row r="155" spans="1:8" ht="15.6" x14ac:dyDescent="0.3">
      <c r="A155" s="646"/>
      <c r="B155" s="19" t="s">
        <v>53</v>
      </c>
      <c r="C155" s="11" t="s">
        <v>57</v>
      </c>
      <c r="D155" s="26">
        <f>Balaka!J155+Balaka!K155+Balaka!L155</f>
        <v>42</v>
      </c>
      <c r="E155" s="26">
        <f>Liwonde!J155+Liwonde!K155+Liwonde!L155</f>
        <v>47</v>
      </c>
      <c r="F155" s="26">
        <f>Machinga!J155+Machinga!K155+Machinga!L155</f>
        <v>27</v>
      </c>
      <c r="G155" s="26">
        <f>Ntaja!J155+Ntaja!K155+Ntaja!L155</f>
        <v>7</v>
      </c>
      <c r="H155" s="18">
        <f t="shared" si="49"/>
        <v>123</v>
      </c>
    </row>
    <row r="156" spans="1:8" ht="15.6" x14ac:dyDescent="0.3">
      <c r="A156" s="646"/>
      <c r="B156" s="19" t="s">
        <v>71</v>
      </c>
      <c r="C156" s="11" t="s">
        <v>57</v>
      </c>
      <c r="D156" s="26">
        <f>Balaka!J156+Balaka!K156+Balaka!L156</f>
        <v>14</v>
      </c>
      <c r="E156" s="26">
        <f>Liwonde!J156+Liwonde!K156+Liwonde!L156</f>
        <v>7</v>
      </c>
      <c r="F156" s="26">
        <f>Machinga!J156+Machinga!K156+Machinga!L156</f>
        <v>12</v>
      </c>
      <c r="G156" s="26">
        <f>Ntaja!J156+Ntaja!K156+Ntaja!L156</f>
        <v>4</v>
      </c>
      <c r="H156" s="18">
        <f t="shared" si="49"/>
        <v>37</v>
      </c>
    </row>
    <row r="157" spans="1:8" ht="15.6" x14ac:dyDescent="0.3">
      <c r="A157" s="646"/>
      <c r="B157" s="19" t="s">
        <v>52</v>
      </c>
      <c r="C157" s="11" t="s">
        <v>57</v>
      </c>
      <c r="D157" s="26">
        <f>Balaka!J157+Balaka!K157+Balaka!L157</f>
        <v>14</v>
      </c>
      <c r="E157" s="26">
        <f>Liwonde!J157+Liwonde!K157+Liwonde!L157</f>
        <v>24</v>
      </c>
      <c r="F157" s="26">
        <f>Machinga!J157+Machinga!K157+Machinga!L157</f>
        <v>11</v>
      </c>
      <c r="G157" s="26">
        <f>Ntaja!J157+Ntaja!K157+Ntaja!L157</f>
        <v>11</v>
      </c>
      <c r="H157" s="18">
        <f t="shared" si="49"/>
        <v>60</v>
      </c>
    </row>
    <row r="158" spans="1:8" ht="15.6" x14ac:dyDescent="0.3">
      <c r="A158" s="646"/>
      <c r="B158" s="19" t="s">
        <v>51</v>
      </c>
      <c r="C158" s="11" t="s">
        <v>57</v>
      </c>
      <c r="D158" s="26">
        <f>Balaka!J158+Balaka!K158+Balaka!L158</f>
        <v>33</v>
      </c>
      <c r="E158" s="26">
        <f>Liwonde!J158+Liwonde!K158+Liwonde!L158</f>
        <v>21</v>
      </c>
      <c r="F158" s="26">
        <f>Machinga!J158+Machinga!K158+Machinga!L158</f>
        <v>10</v>
      </c>
      <c r="G158" s="26">
        <f>Ntaja!J158+Ntaja!K158+Ntaja!L158</f>
        <v>2</v>
      </c>
      <c r="H158" s="18">
        <f t="shared" si="49"/>
        <v>66</v>
      </c>
    </row>
    <row r="159" spans="1:8" ht="15.6" x14ac:dyDescent="0.3">
      <c r="A159" s="646"/>
      <c r="B159" s="19" t="s">
        <v>62</v>
      </c>
      <c r="C159" s="11" t="s">
        <v>57</v>
      </c>
      <c r="D159" s="26">
        <f>Balaka!J159+Balaka!K159+Balaka!L159</f>
        <v>0</v>
      </c>
      <c r="E159" s="26">
        <f>Liwonde!J159+Liwonde!K159+Liwonde!L159</f>
        <v>0</v>
      </c>
      <c r="F159" s="26">
        <f>Machinga!J159+Machinga!K159+Machinga!L159</f>
        <v>0</v>
      </c>
      <c r="G159" s="26">
        <f>Ntaja!J159+Ntaja!K159+Ntaja!L159</f>
        <v>0</v>
      </c>
      <c r="H159" s="18">
        <f t="shared" si="49"/>
        <v>0</v>
      </c>
    </row>
    <row r="160" spans="1:8" ht="15.6" x14ac:dyDescent="0.3">
      <c r="A160" s="646"/>
      <c r="B160" s="19" t="s">
        <v>50</v>
      </c>
      <c r="C160" s="11" t="s">
        <v>57</v>
      </c>
      <c r="D160" s="26">
        <f>Balaka!J160+Balaka!K160+Balaka!L160</f>
        <v>0</v>
      </c>
      <c r="E160" s="26">
        <f>Liwonde!J160+Liwonde!K160+Liwonde!L160</f>
        <v>5</v>
      </c>
      <c r="F160" s="26">
        <f>Machinga!J160+Machinga!K160+Machinga!L160</f>
        <v>4</v>
      </c>
      <c r="G160" s="26">
        <f>Ntaja!J160+Ntaja!K160+Ntaja!L160</f>
        <v>0</v>
      </c>
      <c r="H160" s="18">
        <f t="shared" si="49"/>
        <v>9</v>
      </c>
    </row>
    <row r="161" spans="1:8" ht="15.6" x14ac:dyDescent="0.3">
      <c r="A161" s="646"/>
      <c r="B161" s="19" t="s">
        <v>49</v>
      </c>
      <c r="C161" s="11" t="s">
        <v>57</v>
      </c>
      <c r="D161" s="26">
        <f>Balaka!J161+Balaka!K161+Balaka!L161</f>
        <v>4</v>
      </c>
      <c r="E161" s="26">
        <f>Liwonde!J161+Liwonde!K161+Liwonde!L161</f>
        <v>12</v>
      </c>
      <c r="F161" s="26">
        <f>Machinga!J161+Machinga!K161+Machinga!L161</f>
        <v>0</v>
      </c>
      <c r="G161" s="26">
        <f>Ntaja!J161+Ntaja!K161+Ntaja!L161</f>
        <v>0</v>
      </c>
      <c r="H161" s="18">
        <f t="shared" si="49"/>
        <v>16</v>
      </c>
    </row>
    <row r="162" spans="1:8" ht="15.6" x14ac:dyDescent="0.3">
      <c r="A162" s="646"/>
      <c r="B162" s="19" t="s">
        <v>77</v>
      </c>
      <c r="C162" s="11" t="s">
        <v>57</v>
      </c>
      <c r="D162" s="26">
        <f>Balaka!J162+Balaka!K162+Balaka!L162</f>
        <v>0</v>
      </c>
      <c r="E162" s="26">
        <f>Liwonde!J162+Liwonde!K162+Liwonde!L162</f>
        <v>3</v>
      </c>
      <c r="F162" s="26">
        <f>Machinga!J162+Machinga!K162+Machinga!L162</f>
        <v>0</v>
      </c>
      <c r="G162" s="26">
        <f>Ntaja!J162+Ntaja!K162+Ntaja!L162</f>
        <v>1</v>
      </c>
      <c r="H162" s="18">
        <f t="shared" si="49"/>
        <v>4</v>
      </c>
    </row>
    <row r="163" spans="1:8" ht="15.6" x14ac:dyDescent="0.3">
      <c r="A163" s="646"/>
      <c r="B163" s="19" t="s">
        <v>69</v>
      </c>
      <c r="C163" s="11" t="s">
        <v>57</v>
      </c>
      <c r="D163" s="26">
        <f>Balaka!J163+Balaka!K163+Balaka!L163</f>
        <v>13</v>
      </c>
      <c r="E163" s="26">
        <f>Liwonde!J163+Liwonde!K163+Liwonde!L163</f>
        <v>1</v>
      </c>
      <c r="F163" s="26">
        <f>Machinga!J163+Machinga!K163+Machinga!L163</f>
        <v>0</v>
      </c>
      <c r="G163" s="26">
        <f>Ntaja!J163+Ntaja!K163+Ntaja!L163</f>
        <v>0</v>
      </c>
      <c r="H163" s="18">
        <f t="shared" si="49"/>
        <v>14</v>
      </c>
    </row>
    <row r="164" spans="1:8" ht="15.6" x14ac:dyDescent="0.3">
      <c r="A164" s="646"/>
      <c r="B164" s="19" t="s">
        <v>68</v>
      </c>
      <c r="C164" s="11" t="s">
        <v>57</v>
      </c>
      <c r="D164" s="26">
        <f>Balaka!J164+Balaka!K164+Balaka!L164</f>
        <v>0</v>
      </c>
      <c r="E164" s="26">
        <f>Liwonde!J164+Liwonde!K164+Liwonde!L164</f>
        <v>0</v>
      </c>
      <c r="F164" s="26">
        <f>Machinga!J164+Machinga!K164+Machinga!L164</f>
        <v>0</v>
      </c>
      <c r="G164" s="26">
        <f>Ntaja!J164+Ntaja!K164+Ntaja!L164</f>
        <v>0</v>
      </c>
      <c r="H164" s="18">
        <f t="shared" si="49"/>
        <v>0</v>
      </c>
    </row>
    <row r="165" spans="1:8" ht="15.6" x14ac:dyDescent="0.3">
      <c r="A165" s="647"/>
      <c r="B165" s="19" t="s">
        <v>76</v>
      </c>
      <c r="C165" s="11" t="s">
        <v>57</v>
      </c>
      <c r="D165" s="26">
        <f>Balaka!J165+Balaka!K165+Balaka!L165</f>
        <v>0</v>
      </c>
      <c r="E165" s="26">
        <f>Liwonde!J165+Liwonde!K165+Liwonde!L165</f>
        <v>0</v>
      </c>
      <c r="F165" s="26">
        <f>Machinga!J165+Machinga!K165+Machinga!L165</f>
        <v>0</v>
      </c>
      <c r="G165" s="26">
        <f>Ntaja!J165+Ntaja!K165+Ntaja!L165</f>
        <v>0</v>
      </c>
      <c r="H165" s="18">
        <f t="shared" si="49"/>
        <v>0</v>
      </c>
    </row>
    <row r="166" spans="1:8" ht="15.6" x14ac:dyDescent="0.3">
      <c r="A166" s="645" t="s">
        <v>75</v>
      </c>
      <c r="B166" s="21" t="s">
        <v>63</v>
      </c>
      <c r="C166" s="11"/>
      <c r="D166" s="4"/>
      <c r="E166" s="4"/>
      <c r="F166" s="4"/>
      <c r="G166" s="4"/>
      <c r="H166" s="18"/>
    </row>
    <row r="167" spans="1:8" ht="15.6" x14ac:dyDescent="0.3">
      <c r="A167" s="646"/>
      <c r="B167" s="19" t="s">
        <v>74</v>
      </c>
      <c r="C167" s="11" t="s">
        <v>57</v>
      </c>
      <c r="D167" s="26">
        <f>Balaka!J167+Balaka!K167+Balaka!L167</f>
        <v>0</v>
      </c>
      <c r="E167" s="26">
        <f>Liwonde!J167+Liwonde!K167+Liwonde!L167</f>
        <v>6</v>
      </c>
      <c r="F167" s="26">
        <f>Machinga!J167+Machinga!K167+Machinga!L167</f>
        <v>2</v>
      </c>
      <c r="G167" s="26">
        <f>Ntaja!J167+Ntaja!K167+Ntaja!L167</f>
        <v>0</v>
      </c>
      <c r="H167" s="18">
        <f t="shared" ref="H167:H175" si="50">SUM(D167:G167)</f>
        <v>8</v>
      </c>
    </row>
    <row r="168" spans="1:8" ht="15.6" x14ac:dyDescent="0.3">
      <c r="A168" s="646"/>
      <c r="B168" s="19" t="s">
        <v>73</v>
      </c>
      <c r="C168" s="11" t="s">
        <v>57</v>
      </c>
      <c r="D168" s="26">
        <f>Balaka!J168+Balaka!K168+Balaka!L168</f>
        <v>0</v>
      </c>
      <c r="E168" s="26">
        <f>Liwonde!J168+Liwonde!K168+Liwonde!L168</f>
        <v>2</v>
      </c>
      <c r="F168" s="26">
        <f>Machinga!J168+Machinga!K168+Machinga!L168</f>
        <v>3</v>
      </c>
      <c r="G168" s="26">
        <f>Ntaja!J168+Ntaja!K168+Ntaja!L168</f>
        <v>0</v>
      </c>
      <c r="H168" s="18">
        <f t="shared" si="50"/>
        <v>5</v>
      </c>
    </row>
    <row r="169" spans="1:8" ht="15.6" x14ac:dyDescent="0.3">
      <c r="A169" s="646"/>
      <c r="B169" s="19" t="s">
        <v>72</v>
      </c>
      <c r="C169" s="11" t="s">
        <v>57</v>
      </c>
      <c r="D169" s="26">
        <f>Balaka!J169+Balaka!K169+Balaka!L169</f>
        <v>0</v>
      </c>
      <c r="E169" s="26">
        <f>Liwonde!J169+Liwonde!K169+Liwonde!L169</f>
        <v>0</v>
      </c>
      <c r="F169" s="26">
        <f>Machinga!J169+Machinga!K169+Machinga!L169</f>
        <v>0</v>
      </c>
      <c r="G169" s="26">
        <f>Ntaja!J169+Ntaja!K169+Ntaja!L169</f>
        <v>0</v>
      </c>
      <c r="H169" s="18">
        <f t="shared" si="50"/>
        <v>0</v>
      </c>
    </row>
    <row r="170" spans="1:8" ht="15.6" x14ac:dyDescent="0.3">
      <c r="A170" s="646"/>
      <c r="B170" s="19" t="s">
        <v>71</v>
      </c>
      <c r="C170" s="11" t="s">
        <v>57</v>
      </c>
      <c r="D170" s="26">
        <f>Balaka!J170+Balaka!K170+Balaka!L170</f>
        <v>0</v>
      </c>
      <c r="E170" s="26">
        <f>Liwonde!J170+Liwonde!K170+Liwonde!L170</f>
        <v>0</v>
      </c>
      <c r="F170" s="26">
        <f>Machinga!J170+Machinga!K170+Machinga!L170</f>
        <v>0</v>
      </c>
      <c r="G170" s="26">
        <f>Ntaja!J170+Ntaja!K170+Ntaja!L170</f>
        <v>0</v>
      </c>
      <c r="H170" s="18">
        <f t="shared" si="50"/>
        <v>0</v>
      </c>
    </row>
    <row r="171" spans="1:8" ht="15.6" x14ac:dyDescent="0.3">
      <c r="A171" s="646"/>
      <c r="B171" s="19" t="s">
        <v>52</v>
      </c>
      <c r="C171" s="11" t="s">
        <v>57</v>
      </c>
      <c r="D171" s="26">
        <f>Balaka!J171+Balaka!K171+Balaka!L171</f>
        <v>0</v>
      </c>
      <c r="E171" s="26">
        <f>Liwonde!J171+Liwonde!K171+Liwonde!L171</f>
        <v>0</v>
      </c>
      <c r="F171" s="26">
        <f>Machinga!J171+Machinga!K171+Machinga!L171</f>
        <v>6</v>
      </c>
      <c r="G171" s="26">
        <f>Ntaja!J171+Ntaja!K171+Ntaja!L171</f>
        <v>0</v>
      </c>
      <c r="H171" s="18">
        <f t="shared" si="50"/>
        <v>6</v>
      </c>
    </row>
    <row r="172" spans="1:8" ht="15.6" x14ac:dyDescent="0.3">
      <c r="A172" s="646"/>
      <c r="B172" s="19" t="s">
        <v>62</v>
      </c>
      <c r="C172" s="11" t="s">
        <v>57</v>
      </c>
      <c r="D172" s="26">
        <f>Balaka!J172+Balaka!K172+Balaka!L172</f>
        <v>0</v>
      </c>
      <c r="E172" s="26">
        <f>Liwonde!J172+Liwonde!K172+Liwonde!L172</f>
        <v>0</v>
      </c>
      <c r="F172" s="26">
        <f>Machinga!J172+Machinga!K172+Machinga!L172</f>
        <v>0</v>
      </c>
      <c r="G172" s="26">
        <f>Ntaja!J172+Ntaja!K172+Ntaja!L172</f>
        <v>0</v>
      </c>
      <c r="H172" s="18">
        <f t="shared" si="50"/>
        <v>0</v>
      </c>
    </row>
    <row r="173" spans="1:8" ht="15.6" x14ac:dyDescent="0.3">
      <c r="A173" s="646"/>
      <c r="B173" s="19" t="s">
        <v>61</v>
      </c>
      <c r="C173" s="11" t="s">
        <v>57</v>
      </c>
      <c r="D173" s="26">
        <f>Balaka!J173+Balaka!K173+Balaka!L173</f>
        <v>0</v>
      </c>
      <c r="E173" s="26">
        <f>Liwonde!J173+Liwonde!K173+Liwonde!L173</f>
        <v>0</v>
      </c>
      <c r="F173" s="26">
        <f>Machinga!J173+Machinga!K173+Machinga!L173</f>
        <v>0</v>
      </c>
      <c r="G173" s="26">
        <f>Ntaja!J173+Ntaja!K173+Ntaja!L173</f>
        <v>0</v>
      </c>
      <c r="H173" s="18">
        <f t="shared" si="50"/>
        <v>0</v>
      </c>
    </row>
    <row r="174" spans="1:8" ht="15.6" x14ac:dyDescent="0.3">
      <c r="A174" s="646"/>
      <c r="B174" s="19" t="s">
        <v>60</v>
      </c>
      <c r="C174" s="11" t="s">
        <v>57</v>
      </c>
      <c r="D174" s="26">
        <f>Balaka!J174+Balaka!K174+Balaka!L174</f>
        <v>0</v>
      </c>
      <c r="E174" s="26">
        <f>Liwonde!J174+Liwonde!K174+Liwonde!L174</f>
        <v>0</v>
      </c>
      <c r="F174" s="26">
        <f>Machinga!J174+Machinga!K174+Machinga!L174</f>
        <v>0</v>
      </c>
      <c r="G174" s="26">
        <f>Ntaja!J174+Ntaja!K174+Ntaja!L174</f>
        <v>0</v>
      </c>
      <c r="H174" s="18">
        <f t="shared" si="50"/>
        <v>0</v>
      </c>
    </row>
    <row r="175" spans="1:8" ht="15.6" x14ac:dyDescent="0.3">
      <c r="A175" s="647"/>
      <c r="B175" s="19" t="s">
        <v>69</v>
      </c>
      <c r="C175" s="11" t="s">
        <v>57</v>
      </c>
      <c r="D175" s="26">
        <f>Balaka!J175+Balaka!K175+Balaka!L175</f>
        <v>0</v>
      </c>
      <c r="E175" s="26">
        <f>Liwonde!J175+Liwonde!K175+Liwonde!L175</f>
        <v>0</v>
      </c>
      <c r="F175" s="26">
        <f>Machinga!J175+Machinga!K175+Machinga!L175</f>
        <v>0</v>
      </c>
      <c r="G175" s="26">
        <f>Ntaja!J175+Ntaja!K175+Ntaja!L175</f>
        <v>0</v>
      </c>
      <c r="H175" s="18">
        <f t="shared" si="50"/>
        <v>0</v>
      </c>
    </row>
    <row r="176" spans="1:8" ht="15.6" x14ac:dyDescent="0.3">
      <c r="A176" s="645" t="s">
        <v>70</v>
      </c>
      <c r="B176" s="21" t="s">
        <v>63</v>
      </c>
      <c r="C176" s="11"/>
      <c r="D176" s="4"/>
      <c r="E176" s="4"/>
      <c r="F176" s="4"/>
      <c r="G176" s="4"/>
      <c r="H176" s="18"/>
    </row>
    <row r="177" spans="1:8" ht="15.6" x14ac:dyDescent="0.3">
      <c r="A177" s="646"/>
      <c r="B177" s="19" t="s">
        <v>60</v>
      </c>
      <c r="C177" s="11" t="s">
        <v>57</v>
      </c>
      <c r="D177" s="26">
        <f>Balaka!J177+Balaka!K177+Balaka!L177</f>
        <v>0</v>
      </c>
      <c r="E177" s="26">
        <f>Liwonde!J177+Liwonde!K177+Liwonde!L177</f>
        <v>0</v>
      </c>
      <c r="F177" s="26">
        <f>Machinga!J177+Machinga!K177+Machinga!L177</f>
        <v>0</v>
      </c>
      <c r="G177" s="26">
        <f>Ntaja!J177+Ntaja!K177+Ntaja!L177</f>
        <v>0</v>
      </c>
      <c r="H177" s="18">
        <f t="shared" ref="H177:H182" si="51">SUM(D177:G177)</f>
        <v>0</v>
      </c>
    </row>
    <row r="178" spans="1:8" ht="15.6" x14ac:dyDescent="0.3">
      <c r="A178" s="646"/>
      <c r="B178" s="19" t="s">
        <v>69</v>
      </c>
      <c r="C178" s="11" t="s">
        <v>57</v>
      </c>
      <c r="D178" s="26">
        <f>Balaka!J178+Balaka!K178+Balaka!L178</f>
        <v>0</v>
      </c>
      <c r="E178" s="26">
        <f>Liwonde!J178+Liwonde!K178+Liwonde!L178</f>
        <v>0</v>
      </c>
      <c r="F178" s="26">
        <f>Machinga!J178+Machinga!K178+Machinga!L178</f>
        <v>0</v>
      </c>
      <c r="G178" s="26">
        <f>Ntaja!J178+Ntaja!K178+Ntaja!L178</f>
        <v>0</v>
      </c>
      <c r="H178" s="18">
        <f t="shared" si="51"/>
        <v>0</v>
      </c>
    </row>
    <row r="179" spans="1:8" ht="15.6" x14ac:dyDescent="0.3">
      <c r="A179" s="646"/>
      <c r="B179" s="19" t="s">
        <v>68</v>
      </c>
      <c r="C179" s="11" t="s">
        <v>57</v>
      </c>
      <c r="D179" s="26">
        <f>Balaka!J179+Balaka!K179+Balaka!L179</f>
        <v>0</v>
      </c>
      <c r="E179" s="26">
        <f>Liwonde!J179+Liwonde!K179+Liwonde!L179</f>
        <v>0</v>
      </c>
      <c r="F179" s="26">
        <f>Machinga!J179+Machinga!K179+Machinga!L179</f>
        <v>0</v>
      </c>
      <c r="G179" s="26">
        <f>Ntaja!J179+Ntaja!K179+Ntaja!L179</f>
        <v>0</v>
      </c>
      <c r="H179" s="18">
        <f t="shared" si="51"/>
        <v>0</v>
      </c>
    </row>
    <row r="180" spans="1:8" ht="15.6" x14ac:dyDescent="0.3">
      <c r="A180" s="646"/>
      <c r="B180" s="19" t="s">
        <v>67</v>
      </c>
      <c r="C180" s="11" t="s">
        <v>57</v>
      </c>
      <c r="D180" s="26">
        <f>Balaka!J180+Balaka!K180+Balaka!L180</f>
        <v>0</v>
      </c>
      <c r="E180" s="26">
        <f>Liwonde!J180+Liwonde!K180+Liwonde!L180</f>
        <v>0</v>
      </c>
      <c r="F180" s="26">
        <f>Machinga!J180+Machinga!K180+Machinga!L180</f>
        <v>0</v>
      </c>
      <c r="G180" s="26">
        <f>Ntaja!J180+Ntaja!K180+Ntaja!L180</f>
        <v>0</v>
      </c>
      <c r="H180" s="18">
        <f t="shared" si="51"/>
        <v>0</v>
      </c>
    </row>
    <row r="181" spans="1:8" ht="15.6" x14ac:dyDescent="0.3">
      <c r="A181" s="646"/>
      <c r="B181" s="19" t="s">
        <v>66</v>
      </c>
      <c r="C181" s="11" t="s">
        <v>57</v>
      </c>
      <c r="D181" s="26">
        <f>Balaka!J181+Balaka!K181+Balaka!L181</f>
        <v>0</v>
      </c>
      <c r="E181" s="26">
        <f>Liwonde!J181+Liwonde!K181+Liwonde!L181</f>
        <v>0</v>
      </c>
      <c r="F181" s="26">
        <f>Machinga!J181+Machinga!K181+Machinga!L181</f>
        <v>0</v>
      </c>
      <c r="G181" s="26">
        <f>Ntaja!J181+Ntaja!K181+Ntaja!L181</f>
        <v>0</v>
      </c>
      <c r="H181" s="18">
        <f t="shared" si="51"/>
        <v>0</v>
      </c>
    </row>
    <row r="182" spans="1:8" ht="15.6" x14ac:dyDescent="0.3">
      <c r="A182" s="647"/>
      <c r="B182" s="19" t="s">
        <v>65</v>
      </c>
      <c r="C182" s="11" t="s">
        <v>57</v>
      </c>
      <c r="D182" s="26">
        <f>Balaka!J182+Balaka!K182+Balaka!L182</f>
        <v>0</v>
      </c>
      <c r="E182" s="26">
        <f>Liwonde!J182+Liwonde!K182+Liwonde!L182</f>
        <v>0</v>
      </c>
      <c r="F182" s="26">
        <f>Machinga!J182+Machinga!K182+Machinga!L182</f>
        <v>0</v>
      </c>
      <c r="G182" s="26">
        <f>Ntaja!J182+Ntaja!K182+Ntaja!L182</f>
        <v>0</v>
      </c>
      <c r="H182" s="18">
        <f t="shared" si="51"/>
        <v>0</v>
      </c>
    </row>
    <row r="183" spans="1:8" ht="15.6" x14ac:dyDescent="0.3">
      <c r="A183" s="645" t="s">
        <v>209</v>
      </c>
      <c r="B183" s="21" t="s">
        <v>63</v>
      </c>
      <c r="C183" s="11"/>
      <c r="D183" s="4"/>
      <c r="E183" s="4"/>
      <c r="F183" s="4"/>
      <c r="G183" s="4"/>
      <c r="H183" s="18"/>
    </row>
    <row r="184" spans="1:8" ht="15.6" x14ac:dyDescent="0.3">
      <c r="A184" s="646"/>
      <c r="B184" s="19" t="s">
        <v>73</v>
      </c>
      <c r="C184" s="11"/>
      <c r="D184" s="26">
        <f>Balaka!J184+Balaka!K184+Balaka!L184</f>
        <v>0</v>
      </c>
      <c r="E184" s="26">
        <f>Liwonde!J184+Liwonde!K184+Liwonde!L184</f>
        <v>0</v>
      </c>
      <c r="F184" s="26">
        <f>Machinga!J184+Machinga!K184+Machinga!L184</f>
        <v>0</v>
      </c>
      <c r="G184" s="26">
        <f>Ntaja!J184+Ntaja!K184+Ntaja!L184</f>
        <v>0</v>
      </c>
      <c r="H184" s="18">
        <f>SUM(D184:G184)</f>
        <v>0</v>
      </c>
    </row>
    <row r="185" spans="1:8" ht="15.6" x14ac:dyDescent="0.3">
      <c r="A185" s="646"/>
      <c r="B185" s="19" t="s">
        <v>72</v>
      </c>
      <c r="C185" s="11"/>
      <c r="D185" s="26">
        <f>Balaka!J185+Balaka!K185+Balaka!L185</f>
        <v>0</v>
      </c>
      <c r="E185" s="26">
        <f>Liwonde!J185+Liwonde!K185+Liwonde!L185</f>
        <v>0</v>
      </c>
      <c r="F185" s="26">
        <f>Machinga!J185+Machinga!K185+Machinga!L185</f>
        <v>0</v>
      </c>
      <c r="G185" s="26">
        <f>Ntaja!J185+Ntaja!K185+Ntaja!L185</f>
        <v>0</v>
      </c>
      <c r="H185" s="18">
        <f>SUM(D185:G185)</f>
        <v>0</v>
      </c>
    </row>
    <row r="186" spans="1:8" ht="15.6" x14ac:dyDescent="0.3">
      <c r="A186" s="646"/>
      <c r="B186" s="19" t="s">
        <v>53</v>
      </c>
      <c r="C186" s="11"/>
      <c r="D186" s="26">
        <f>Balaka!J186+Balaka!K186+Balaka!L186</f>
        <v>0</v>
      </c>
      <c r="E186" s="26">
        <f>Liwonde!J186+Liwonde!K186+Liwonde!L186</f>
        <v>0</v>
      </c>
      <c r="F186" s="26">
        <f>Machinga!J186+Machinga!K186+Machinga!L186</f>
        <v>0</v>
      </c>
      <c r="G186" s="26">
        <f>Ntaja!J186+Ntaja!K186+Ntaja!L186</f>
        <v>0</v>
      </c>
      <c r="H186" s="18">
        <f>SUM(D186:G186)</f>
        <v>0</v>
      </c>
    </row>
    <row r="187" spans="1:8" ht="15.6" x14ac:dyDescent="0.3">
      <c r="A187" s="647"/>
      <c r="B187" s="19" t="s">
        <v>52</v>
      </c>
      <c r="C187" s="11"/>
      <c r="D187" s="26">
        <f>Balaka!J187+Balaka!K187+Balaka!L187</f>
        <v>0</v>
      </c>
      <c r="E187" s="26">
        <f>Liwonde!J187+Liwonde!K187+Liwonde!L187</f>
        <v>0</v>
      </c>
      <c r="F187" s="26">
        <f>Machinga!J187+Machinga!K187+Machinga!L187</f>
        <v>0</v>
      </c>
      <c r="G187" s="26">
        <f>Ntaja!J187+Ntaja!K187+Ntaja!L187</f>
        <v>0</v>
      </c>
      <c r="H187" s="18">
        <f>SUM(D187:G187)</f>
        <v>0</v>
      </c>
    </row>
    <row r="188" spans="1:8" ht="15.6" x14ac:dyDescent="0.3">
      <c r="A188" s="645" t="s">
        <v>64</v>
      </c>
      <c r="B188" s="21" t="s">
        <v>63</v>
      </c>
      <c r="C188" s="11"/>
      <c r="D188" s="4"/>
      <c r="E188" s="4"/>
      <c r="F188" s="4"/>
      <c r="G188" s="4"/>
      <c r="H188" s="18"/>
    </row>
    <row r="189" spans="1:8" ht="15.6" x14ac:dyDescent="0.3">
      <c r="A189" s="646"/>
      <c r="B189" s="20" t="s">
        <v>52</v>
      </c>
      <c r="C189" s="11" t="s">
        <v>57</v>
      </c>
      <c r="D189" s="26">
        <f>Balaka!J189+Balaka!K189+Balaka!L189</f>
        <v>0</v>
      </c>
      <c r="E189" s="26">
        <f>Liwonde!J189+Liwonde!K189+Liwonde!L189</f>
        <v>0</v>
      </c>
      <c r="F189" s="26">
        <f>Machinga!J189+Machinga!K189+Machinga!L189</f>
        <v>0</v>
      </c>
      <c r="G189" s="26">
        <f>Ntaja!J189+Ntaja!K189+Ntaja!L189</f>
        <v>0</v>
      </c>
      <c r="H189" s="18">
        <f>SUM(D189:G189)</f>
        <v>0</v>
      </c>
    </row>
    <row r="190" spans="1:8" ht="15.6" x14ac:dyDescent="0.3">
      <c r="A190" s="646"/>
      <c r="B190" s="19" t="s">
        <v>62</v>
      </c>
      <c r="C190" s="11" t="s">
        <v>57</v>
      </c>
      <c r="D190" s="26">
        <f>Balaka!J190+Balaka!K190+Balaka!L190</f>
        <v>0</v>
      </c>
      <c r="E190" s="26">
        <f>Liwonde!J190+Liwonde!K190+Liwonde!L190</f>
        <v>0</v>
      </c>
      <c r="F190" s="26">
        <f>Machinga!J190+Machinga!K190+Machinga!L190</f>
        <v>0</v>
      </c>
      <c r="G190" s="26">
        <f>Ntaja!J190+Ntaja!K190+Ntaja!L190</f>
        <v>0</v>
      </c>
      <c r="H190" s="18">
        <f>SUM(D190:G190)</f>
        <v>0</v>
      </c>
    </row>
    <row r="191" spans="1:8" ht="15.6" x14ac:dyDescent="0.3">
      <c r="A191" s="646"/>
      <c r="B191" s="19" t="s">
        <v>61</v>
      </c>
      <c r="C191" s="11" t="s">
        <v>57</v>
      </c>
      <c r="D191" s="26">
        <f>Balaka!J191+Balaka!K191+Balaka!L191</f>
        <v>0</v>
      </c>
      <c r="E191" s="26">
        <f>Liwonde!J191+Liwonde!K191+Liwonde!L191</f>
        <v>0</v>
      </c>
      <c r="F191" s="26">
        <f>Machinga!J191+Machinga!K191+Machinga!L191</f>
        <v>0</v>
      </c>
      <c r="G191" s="26">
        <f>Ntaja!J191+Ntaja!K191+Ntaja!L191</f>
        <v>0</v>
      </c>
      <c r="H191" s="18">
        <f>SUM(D191:G191)</f>
        <v>0</v>
      </c>
    </row>
    <row r="192" spans="1:8" ht="15.6" x14ac:dyDescent="0.3">
      <c r="A192" s="647"/>
      <c r="B192" s="19" t="s">
        <v>60</v>
      </c>
      <c r="C192" s="11" t="s">
        <v>57</v>
      </c>
      <c r="D192" s="26">
        <f>Balaka!J192+Balaka!K192+Balaka!L192</f>
        <v>0</v>
      </c>
      <c r="E192" s="26">
        <f>Liwonde!J192+Liwonde!K192+Liwonde!L192</f>
        <v>0</v>
      </c>
      <c r="F192" s="26">
        <f>Machinga!J192+Machinga!K192+Machinga!L192</f>
        <v>0</v>
      </c>
      <c r="G192" s="26">
        <f>Ntaja!J192+Ntaja!K192+Ntaja!L192</f>
        <v>0</v>
      </c>
      <c r="H192" s="18">
        <f>SUM(D192:G192)</f>
        <v>0</v>
      </c>
    </row>
    <row r="193" spans="1:8" ht="15.6" x14ac:dyDescent="0.3">
      <c r="A193" s="674" t="s">
        <v>59</v>
      </c>
      <c r="B193" s="675"/>
      <c r="C193" s="11"/>
      <c r="D193" s="10">
        <f>SUM(D153:D192)</f>
        <v>993</v>
      </c>
      <c r="E193" s="10">
        <f t="shared" ref="E193:H193" si="52">SUM(E153:E192)</f>
        <v>773</v>
      </c>
      <c r="F193" s="10">
        <f t="shared" si="52"/>
        <v>126</v>
      </c>
      <c r="G193" s="10">
        <f t="shared" si="52"/>
        <v>266</v>
      </c>
      <c r="H193" s="103">
        <f t="shared" si="52"/>
        <v>2158</v>
      </c>
    </row>
    <row r="194" spans="1:8" ht="15.6" x14ac:dyDescent="0.3">
      <c r="A194" s="651" t="s">
        <v>58</v>
      </c>
      <c r="B194" s="652"/>
      <c r="C194" s="11" t="s">
        <v>57</v>
      </c>
      <c r="D194" s="26">
        <f>Balaka!J194+Balaka!K194+Balaka!L194</f>
        <v>3</v>
      </c>
      <c r="E194" s="26">
        <f>Liwonde!J194+Liwonde!K194+Liwonde!L194</f>
        <v>0</v>
      </c>
      <c r="F194" s="26">
        <f>Machinga!J194+Machinga!K194+Machinga!L194</f>
        <v>3</v>
      </c>
      <c r="G194" s="26">
        <f>Ntaja!J194+Ntaja!K194+Ntaja!L194</f>
        <v>3</v>
      </c>
      <c r="H194" s="9">
        <f>SUM(D194:G194)</f>
        <v>9</v>
      </c>
    </row>
    <row r="195" spans="1:8" ht="15.6" x14ac:dyDescent="0.3">
      <c r="A195" s="653"/>
      <c r="B195" s="654"/>
      <c r="C195" s="16" t="s">
        <v>55</v>
      </c>
      <c r="D195" s="26">
        <f>Balaka!J195+Balaka!K195+Balaka!L195</f>
        <v>584</v>
      </c>
      <c r="E195" s="26">
        <f>Liwonde!J195+Liwonde!K195+Liwonde!L195</f>
        <v>0</v>
      </c>
      <c r="F195" s="26">
        <f>Machinga!J195+Machinga!K195+Machinga!L195</f>
        <v>0</v>
      </c>
      <c r="G195" s="26">
        <f>Ntaja!J195+Ntaja!K195+Ntaja!L195</f>
        <v>2208</v>
      </c>
      <c r="H195" s="9">
        <f>SUM(D195:G195)</f>
        <v>2792</v>
      </c>
    </row>
    <row r="196" spans="1:8" ht="15.6" x14ac:dyDescent="0.3">
      <c r="A196" s="85" t="s">
        <v>202</v>
      </c>
      <c r="B196" s="86"/>
      <c r="C196" s="16" t="s">
        <v>55</v>
      </c>
      <c r="D196" s="26">
        <f>Balaka!J196+Balaka!K196+Balaka!L196</f>
        <v>1176</v>
      </c>
      <c r="E196" s="26">
        <f>Liwonde!J196+Liwonde!K196+Liwonde!L196</f>
        <v>2208</v>
      </c>
      <c r="F196" s="26">
        <f>Machinga!J196+Machinga!K196+Machinga!L196</f>
        <v>2232</v>
      </c>
      <c r="G196" s="26">
        <f>Ntaja!J196+Ntaja!K196+Ntaja!L196</f>
        <v>2184</v>
      </c>
      <c r="H196" s="9">
        <f>SUM(D196:G196)</f>
        <v>7800</v>
      </c>
    </row>
    <row r="197" spans="1:8" ht="15.6" x14ac:dyDescent="0.3">
      <c r="A197" s="582" t="s">
        <v>56</v>
      </c>
      <c r="B197" s="583"/>
      <c r="C197" s="16" t="s">
        <v>55</v>
      </c>
      <c r="D197" s="26">
        <f>Balaka!J197+Balaka!K197+Balaka!L197</f>
        <v>5</v>
      </c>
      <c r="E197" s="26">
        <f>Liwonde!J197+Liwonde!K197+Liwonde!L197</f>
        <v>154</v>
      </c>
      <c r="F197" s="26">
        <f>Machinga!J197+Machinga!K197+Machinga!L197</f>
        <v>72</v>
      </c>
      <c r="G197" s="26">
        <f>Ntaja!J197+Ntaja!K197+Ntaja!L197</f>
        <v>172</v>
      </c>
      <c r="H197" s="9">
        <f>SUM(D197:G197)</f>
        <v>403</v>
      </c>
    </row>
    <row r="198" spans="1:8" x14ac:dyDescent="0.3">
      <c r="A198" s="586" t="s">
        <v>203</v>
      </c>
      <c r="B198" s="587"/>
      <c r="C198" s="587"/>
      <c r="D198" s="587"/>
      <c r="E198" s="587"/>
      <c r="F198" s="587"/>
      <c r="G198" s="587"/>
      <c r="H198" s="588"/>
    </row>
    <row r="199" spans="1:8" ht="15.6" x14ac:dyDescent="0.3">
      <c r="A199" s="651" t="s">
        <v>54</v>
      </c>
      <c r="B199" s="79" t="s">
        <v>53</v>
      </c>
      <c r="C199" s="11" t="s">
        <v>47</v>
      </c>
      <c r="D199" s="26">
        <f>Balaka!J199+Balaka!K199+Balaka!L199</f>
        <v>0</v>
      </c>
      <c r="E199" s="26">
        <f>Liwonde!J199+Liwonde!K199+Liwonde!L199</f>
        <v>0</v>
      </c>
      <c r="F199" s="26">
        <f>Machinga!J199+Machinga!K199+Machinga!L199</f>
        <v>0</v>
      </c>
      <c r="G199" s="26">
        <f>Ntaja!J199+Ntaja!K199+Ntaja!L199</f>
        <v>0</v>
      </c>
      <c r="H199" s="9">
        <f t="shared" ref="H199:H204" si="53">SUM(D199:G199)</f>
        <v>0</v>
      </c>
    </row>
    <row r="200" spans="1:8" ht="15.6" x14ac:dyDescent="0.3">
      <c r="A200" s="655"/>
      <c r="B200" s="79" t="s">
        <v>52</v>
      </c>
      <c r="C200" s="11" t="s">
        <v>47</v>
      </c>
      <c r="D200" s="26">
        <f>Balaka!J200+Balaka!K200+Balaka!L200</f>
        <v>0</v>
      </c>
      <c r="E200" s="26">
        <f>Liwonde!J200+Liwonde!K200+Liwonde!L200</f>
        <v>510</v>
      </c>
      <c r="F200" s="26">
        <f>Machinga!J200+Machinga!K200+Machinga!L200</f>
        <v>0</v>
      </c>
      <c r="G200" s="26">
        <f>Ntaja!J200+Ntaja!K200+Ntaja!L200</f>
        <v>0</v>
      </c>
      <c r="H200" s="9">
        <f t="shared" si="53"/>
        <v>510</v>
      </c>
    </row>
    <row r="201" spans="1:8" ht="15.6" x14ac:dyDescent="0.3">
      <c r="A201" s="655"/>
      <c r="B201" s="79" t="s">
        <v>51</v>
      </c>
      <c r="C201" s="11" t="s">
        <v>47</v>
      </c>
      <c r="D201" s="26">
        <f>Balaka!J201+Balaka!K201+Balaka!L201</f>
        <v>0</v>
      </c>
      <c r="E201" s="26">
        <f>Liwonde!J201+Liwonde!K201+Liwonde!L201</f>
        <v>900</v>
      </c>
      <c r="F201" s="26">
        <f>Machinga!J201+Machinga!K201+Machinga!L201</f>
        <v>0</v>
      </c>
      <c r="G201" s="26">
        <f>Ntaja!J201+Ntaja!K201+Ntaja!L201</f>
        <v>1590</v>
      </c>
      <c r="H201" s="9">
        <f t="shared" si="53"/>
        <v>2490</v>
      </c>
    </row>
    <row r="202" spans="1:8" ht="15.6" x14ac:dyDescent="0.3">
      <c r="A202" s="655"/>
      <c r="B202" s="79" t="s">
        <v>50</v>
      </c>
      <c r="C202" s="11" t="s">
        <v>47</v>
      </c>
      <c r="D202" s="26">
        <f>Balaka!J202+Balaka!K202+Balaka!L202</f>
        <v>0</v>
      </c>
      <c r="E202" s="26">
        <f>Liwonde!J202+Liwonde!K202+Liwonde!L202</f>
        <v>0</v>
      </c>
      <c r="F202" s="26">
        <f>Machinga!J202+Machinga!K202+Machinga!L202</f>
        <v>0</v>
      </c>
      <c r="G202" s="26">
        <f>Ntaja!J202+Ntaja!K202+Ntaja!L202</f>
        <v>0</v>
      </c>
      <c r="H202" s="9">
        <f t="shared" si="53"/>
        <v>0</v>
      </c>
    </row>
    <row r="203" spans="1:8" ht="15.6" x14ac:dyDescent="0.3">
      <c r="A203" s="653"/>
      <c r="B203" s="79" t="s">
        <v>49</v>
      </c>
      <c r="C203" s="11" t="s">
        <v>47</v>
      </c>
      <c r="D203" s="26">
        <f>Balaka!J203+Balaka!K203+Balaka!L203</f>
        <v>0</v>
      </c>
      <c r="E203" s="26">
        <f>Liwonde!J203+Liwonde!K203+Liwonde!L203</f>
        <v>0</v>
      </c>
      <c r="F203" s="26">
        <f>Machinga!J203+Machinga!K203+Machinga!L203</f>
        <v>0</v>
      </c>
      <c r="G203" s="26">
        <f>Ntaja!J203+Ntaja!K203+Ntaja!L203</f>
        <v>0</v>
      </c>
      <c r="H203" s="9">
        <f t="shared" si="53"/>
        <v>0</v>
      </c>
    </row>
    <row r="204" spans="1:8" ht="15.6" x14ac:dyDescent="0.3">
      <c r="A204" s="83" t="s">
        <v>48</v>
      </c>
      <c r="B204" s="79"/>
      <c r="C204" s="11" t="s">
        <v>47</v>
      </c>
      <c r="D204" s="15">
        <f t="shared" ref="D204:G204" si="54">SUM(D199:D203)</f>
        <v>0</v>
      </c>
      <c r="E204" s="15">
        <f t="shared" si="54"/>
        <v>1410</v>
      </c>
      <c r="F204" s="15">
        <f t="shared" si="54"/>
        <v>0</v>
      </c>
      <c r="G204" s="15">
        <f t="shared" si="54"/>
        <v>1590</v>
      </c>
      <c r="H204" s="111">
        <f t="shared" si="53"/>
        <v>3000</v>
      </c>
    </row>
    <row r="205" spans="1:8" s="2" customFormat="1" x14ac:dyDescent="0.3">
      <c r="A205" s="586" t="s">
        <v>46</v>
      </c>
      <c r="B205" s="587"/>
      <c r="C205" s="587"/>
      <c r="D205" s="587"/>
      <c r="E205" s="587"/>
      <c r="F205" s="587"/>
      <c r="G205" s="587"/>
      <c r="H205" s="588"/>
    </row>
    <row r="206" spans="1:8" ht="15.6" x14ac:dyDescent="0.3">
      <c r="A206" s="582" t="s">
        <v>43</v>
      </c>
      <c r="B206" s="583"/>
      <c r="C206" s="11" t="s">
        <v>31</v>
      </c>
      <c r="D206" s="15">
        <f>Balaka!J206+Balaka!K206+Balaka!L206</f>
        <v>77776215.37999998</v>
      </c>
      <c r="E206" s="15">
        <f>Liwonde!J206+Liwonde!K206+Liwonde!L206</f>
        <v>76217270</v>
      </c>
      <c r="F206" s="15">
        <f>Machinga!J206+Machinga!K206+Machinga!L206</f>
        <v>2502391</v>
      </c>
      <c r="G206" s="15">
        <f>Ntaja!J206+Ntaja!K206+Ntaja!L206</f>
        <v>7500</v>
      </c>
      <c r="H206" s="9">
        <f>SUM(D206:G206)</f>
        <v>156503376.38</v>
      </c>
    </row>
    <row r="207" spans="1:8" ht="15.6" x14ac:dyDescent="0.3">
      <c r="A207" s="582" t="s">
        <v>42</v>
      </c>
      <c r="B207" s="583"/>
      <c r="C207" s="11" t="s">
        <v>31</v>
      </c>
      <c r="D207" s="15">
        <f>Balaka!J207+Balaka!K207+Balaka!L207</f>
        <v>546300</v>
      </c>
      <c r="E207" s="15">
        <f>Liwonde!J207+Liwonde!K207+Liwonde!L207</f>
        <v>292300</v>
      </c>
      <c r="F207" s="15">
        <f>Machinga!J207+Machinga!K207+Machinga!L207</f>
        <v>0</v>
      </c>
      <c r="G207" s="15">
        <f>Ntaja!J207+Ntaja!K207+Ntaja!L207</f>
        <v>0</v>
      </c>
      <c r="H207" s="9">
        <f>SUM(D207:G207)</f>
        <v>838600</v>
      </c>
    </row>
    <row r="208" spans="1:8" ht="15.6" x14ac:dyDescent="0.3">
      <c r="A208" s="589" t="s">
        <v>41</v>
      </c>
      <c r="B208" s="590"/>
      <c r="C208" s="11" t="s">
        <v>31</v>
      </c>
      <c r="D208" s="15">
        <f>Balaka!J208+Balaka!K208+Balaka!L208</f>
        <v>467662.93</v>
      </c>
      <c r="E208" s="15">
        <f>Liwonde!J208+Liwonde!K208+Liwonde!L208</f>
        <v>2197110</v>
      </c>
      <c r="F208" s="15">
        <f>Machinga!J208+Machinga!K208+Machinga!L208</f>
        <v>0</v>
      </c>
      <c r="G208" s="15">
        <f>Ntaja!J208+Ntaja!K208+Ntaja!L208</f>
        <v>0</v>
      </c>
      <c r="H208" s="9">
        <f>SUM(D208:G208)</f>
        <v>2664772.9300000002</v>
      </c>
    </row>
    <row r="209" spans="1:8" ht="15.6" x14ac:dyDescent="0.3">
      <c r="A209" s="582" t="s">
        <v>40</v>
      </c>
      <c r="B209" s="583"/>
      <c r="C209" s="11" t="s">
        <v>31</v>
      </c>
      <c r="D209" s="15">
        <f>Balaka!J209+Balaka!K209+Balaka!L209</f>
        <v>144450</v>
      </c>
      <c r="E209" s="15">
        <f>Liwonde!J209+Liwonde!K209+Liwonde!L209</f>
        <v>713722</v>
      </c>
      <c r="F209" s="15">
        <f>Machinga!J209+Machinga!K209+Machinga!L209</f>
        <v>25200</v>
      </c>
      <c r="G209" s="15">
        <f>Ntaja!J209+Ntaja!K209+Ntaja!L209</f>
        <v>0</v>
      </c>
      <c r="H209" s="9">
        <f>SUM(D209:G209)</f>
        <v>883372</v>
      </c>
    </row>
    <row r="210" spans="1:8" ht="15.6" x14ac:dyDescent="0.3">
      <c r="A210" s="649" t="s">
        <v>45</v>
      </c>
      <c r="B210" s="650"/>
      <c r="C210" s="11" t="s">
        <v>31</v>
      </c>
      <c r="D210" s="10">
        <f t="shared" ref="D210:G210" si="55">SUM(D206:D209)</f>
        <v>78934628.309999987</v>
      </c>
      <c r="E210" s="10">
        <f t="shared" si="55"/>
        <v>79420402</v>
      </c>
      <c r="F210" s="10">
        <f t="shared" si="55"/>
        <v>2527591</v>
      </c>
      <c r="G210" s="10">
        <f t="shared" si="55"/>
        <v>7500</v>
      </c>
      <c r="H210" s="9">
        <f>SUM(D210:G210)</f>
        <v>160890121.31</v>
      </c>
    </row>
    <row r="211" spans="1:8" s="2" customFormat="1" x14ac:dyDescent="0.3">
      <c r="A211" s="586" t="s">
        <v>44</v>
      </c>
      <c r="B211" s="587"/>
      <c r="C211" s="587"/>
      <c r="D211" s="587"/>
      <c r="E211" s="587"/>
      <c r="F211" s="587"/>
      <c r="G211" s="587"/>
      <c r="H211" s="588"/>
    </row>
    <row r="212" spans="1:8" ht="15.6" x14ac:dyDescent="0.3">
      <c r="A212" s="582" t="s">
        <v>43</v>
      </c>
      <c r="B212" s="583"/>
      <c r="C212" s="11" t="s">
        <v>31</v>
      </c>
      <c r="D212" s="15">
        <f>Balaka!J212+Balaka!K212+Balaka!L212</f>
        <v>42783867.839999996</v>
      </c>
      <c r="E212" s="15">
        <f>Liwonde!J212+Liwonde!K212+Liwonde!L212</f>
        <v>52569833.07</v>
      </c>
      <c r="F212" s="15">
        <f>Machinga!J212+Machinga!K212+Machinga!L212</f>
        <v>2520763</v>
      </c>
      <c r="G212" s="15">
        <f>Ntaja!J212+Ntaja!K212+Ntaja!L212</f>
        <v>10871819</v>
      </c>
      <c r="H212" s="9">
        <f>SUM(D212:G212)</f>
        <v>108746282.91</v>
      </c>
    </row>
    <row r="213" spans="1:8" ht="15.6" x14ac:dyDescent="0.3">
      <c r="A213" s="582" t="s">
        <v>42</v>
      </c>
      <c r="B213" s="583"/>
      <c r="C213" s="11" t="s">
        <v>31</v>
      </c>
      <c r="D213" s="15">
        <f>Balaka!J213+Balaka!K213+Balaka!L213</f>
        <v>0</v>
      </c>
      <c r="E213" s="15">
        <f>Liwonde!J213+Liwonde!K213+Liwonde!L213</f>
        <v>0</v>
      </c>
      <c r="F213" s="15">
        <f>Machinga!J213+Machinga!K213+Machinga!L213</f>
        <v>0</v>
      </c>
      <c r="G213" s="15">
        <f>Ntaja!J213+Ntaja!K213+Ntaja!L213</f>
        <v>0</v>
      </c>
      <c r="H213" s="9">
        <f>SUM(D213:G213)</f>
        <v>0</v>
      </c>
    </row>
    <row r="214" spans="1:8" ht="15.6" x14ac:dyDescent="0.3">
      <c r="A214" s="589" t="s">
        <v>41</v>
      </c>
      <c r="B214" s="590"/>
      <c r="C214" s="11" t="s">
        <v>31</v>
      </c>
      <c r="D214" s="15">
        <f>Balaka!J214+Balaka!K214+Balaka!L214</f>
        <v>0</v>
      </c>
      <c r="E214" s="15">
        <f>Liwonde!J214+Liwonde!K214+Liwonde!L214</f>
        <v>0</v>
      </c>
      <c r="F214" s="15">
        <f>Machinga!J214+Machinga!K214+Machinga!L214</f>
        <v>0</v>
      </c>
      <c r="G214" s="15">
        <f>Ntaja!J214+Ntaja!K214+Ntaja!L214</f>
        <v>0</v>
      </c>
      <c r="H214" s="9">
        <f>SUM(D214:G214)</f>
        <v>0</v>
      </c>
    </row>
    <row r="215" spans="1:8" ht="15.6" x14ac:dyDescent="0.3">
      <c r="A215" s="582" t="s">
        <v>40</v>
      </c>
      <c r="B215" s="583"/>
      <c r="C215" s="11" t="s">
        <v>31</v>
      </c>
      <c r="D215" s="15">
        <f>Balaka!J215+Balaka!K215+Balaka!L215</f>
        <v>0</v>
      </c>
      <c r="E215" s="15">
        <f>Liwonde!J215+Liwonde!K215+Liwonde!L215</f>
        <v>0</v>
      </c>
      <c r="F215" s="15">
        <f>Machinga!J215+Machinga!K215+Machinga!L215</f>
        <v>0</v>
      </c>
      <c r="G215" s="15">
        <f>Ntaja!J215+Ntaja!K215+Ntaja!L215</f>
        <v>0</v>
      </c>
      <c r="H215" s="9">
        <f>SUM(D215:G215)</f>
        <v>0</v>
      </c>
    </row>
    <row r="216" spans="1:8" ht="15.6" x14ac:dyDescent="0.3">
      <c r="A216" s="649" t="s">
        <v>39</v>
      </c>
      <c r="B216" s="650"/>
      <c r="C216" s="11" t="s">
        <v>31</v>
      </c>
      <c r="D216" s="10">
        <f t="shared" ref="D216:G216" si="56">SUM(D212:D215)</f>
        <v>42783867.839999996</v>
      </c>
      <c r="E216" s="10">
        <f t="shared" si="56"/>
        <v>52569833.07</v>
      </c>
      <c r="F216" s="10">
        <f t="shared" si="56"/>
        <v>2520763</v>
      </c>
      <c r="G216" s="10">
        <f t="shared" si="56"/>
        <v>10871819</v>
      </c>
      <c r="H216" s="9">
        <f>SUM(D216:G216)</f>
        <v>108746282.91</v>
      </c>
    </row>
    <row r="217" spans="1:8" s="2" customFormat="1" ht="15.6" x14ac:dyDescent="0.3">
      <c r="A217" s="76" t="s">
        <v>38</v>
      </c>
      <c r="B217" s="77"/>
      <c r="C217" s="11" t="s">
        <v>31</v>
      </c>
      <c r="D217" s="10">
        <f>D210+D216</f>
        <v>121718496.14999998</v>
      </c>
      <c r="E217" s="10">
        <f t="shared" ref="E217:H217" si="57">E210+E216</f>
        <v>131990235.06999999</v>
      </c>
      <c r="F217" s="10">
        <f t="shared" si="57"/>
        <v>5048354</v>
      </c>
      <c r="G217" s="10">
        <f t="shared" si="57"/>
        <v>10879319</v>
      </c>
      <c r="H217" s="40">
        <f t="shared" si="57"/>
        <v>269636404.22000003</v>
      </c>
    </row>
    <row r="218" spans="1:8" s="2" customFormat="1" x14ac:dyDescent="0.3">
      <c r="A218" s="586" t="s">
        <v>37</v>
      </c>
      <c r="B218" s="587"/>
      <c r="C218" s="587"/>
      <c r="D218" s="587"/>
      <c r="E218" s="587"/>
      <c r="F218" s="587"/>
      <c r="G218" s="587"/>
      <c r="H218" s="588"/>
    </row>
    <row r="219" spans="1:8" ht="15.6" x14ac:dyDescent="0.3">
      <c r="A219" s="582" t="s">
        <v>35</v>
      </c>
      <c r="B219" s="583"/>
      <c r="C219" s="11" t="s">
        <v>31</v>
      </c>
      <c r="D219" s="15">
        <f>Balaka!J219+Balaka!K219+Balaka!L219</f>
        <v>86133352.449999988</v>
      </c>
      <c r="E219" s="15">
        <f>Liwonde!J219+Liwonde!K219+Liwonde!L219</f>
        <v>75141721</v>
      </c>
      <c r="F219" s="15">
        <f>Machinga!J219+Machinga!K219+Machinga!L219</f>
        <v>2915323</v>
      </c>
      <c r="G219" s="15">
        <f>Ntaja!J219+Ntaja!K219+Ntaja!L219</f>
        <v>159665</v>
      </c>
      <c r="H219" s="9">
        <f>SUM(D219:G219)</f>
        <v>164350061.44999999</v>
      </c>
    </row>
    <row r="220" spans="1:8" ht="15.6" x14ac:dyDescent="0.3">
      <c r="A220" s="582" t="s">
        <v>34</v>
      </c>
      <c r="B220" s="583"/>
      <c r="C220" s="11" t="s">
        <v>31</v>
      </c>
      <c r="D220" s="15">
        <f>Balaka!J220+Balaka!K220+Balaka!L220</f>
        <v>654695.85</v>
      </c>
      <c r="E220" s="15">
        <f>Liwonde!J220+Liwonde!K220+Liwonde!L220</f>
        <v>265704</v>
      </c>
      <c r="F220" s="15">
        <f>Machinga!J220+Machinga!K220+Machinga!L220</f>
        <v>0</v>
      </c>
      <c r="G220" s="15">
        <f>Ntaja!J220+Ntaja!K220+Ntaja!L220</f>
        <v>0</v>
      </c>
      <c r="H220" s="9">
        <f>SUM(D220:G220)</f>
        <v>920399.85</v>
      </c>
    </row>
    <row r="221" spans="1:8" ht="15.6" x14ac:dyDescent="0.3">
      <c r="A221" s="582" t="s">
        <v>33</v>
      </c>
      <c r="B221" s="583"/>
      <c r="C221" s="11" t="s">
        <v>31</v>
      </c>
      <c r="D221" s="15">
        <f>Balaka!J221+Balaka!K221+Balaka!L221</f>
        <v>2426383.85</v>
      </c>
      <c r="E221" s="15">
        <f>Liwonde!J221+Liwonde!K221+Liwonde!L221</f>
        <v>24248221</v>
      </c>
      <c r="F221" s="15">
        <f>Machinga!J221+Machinga!K221+Machinga!L221</f>
        <v>256075</v>
      </c>
      <c r="G221" s="15">
        <f>Ntaja!J221+Ntaja!K221+Ntaja!L221</f>
        <v>32621</v>
      </c>
      <c r="H221" s="9">
        <f>SUM(D221:G221)</f>
        <v>26963300.850000001</v>
      </c>
    </row>
    <row r="222" spans="1:8" ht="15.6" x14ac:dyDescent="0.3">
      <c r="A222" s="582" t="s">
        <v>32</v>
      </c>
      <c r="B222" s="583"/>
      <c r="C222" s="11" t="s">
        <v>31</v>
      </c>
      <c r="D222" s="15">
        <f>Balaka!J222+Balaka!K222+Balaka!L222</f>
        <v>645231.65999999992</v>
      </c>
      <c r="E222" s="15">
        <f>Liwonde!J222+Liwonde!K222+Liwonde!L222</f>
        <v>3235957</v>
      </c>
      <c r="F222" s="15">
        <f>Machinga!J222+Machinga!K222+Machinga!L222</f>
        <v>0</v>
      </c>
      <c r="G222" s="15">
        <f>Ntaja!J222+Ntaja!K222+Ntaja!L222</f>
        <v>0</v>
      </c>
      <c r="H222" s="9">
        <f>SUM(D222:G222)</f>
        <v>3881188.66</v>
      </c>
    </row>
    <row r="223" spans="1:8" ht="15.6" x14ac:dyDescent="0.3">
      <c r="A223" s="649" t="s">
        <v>36</v>
      </c>
      <c r="B223" s="650"/>
      <c r="C223" s="11" t="s">
        <v>31</v>
      </c>
      <c r="D223" s="12">
        <f t="shared" ref="D223:G223" si="58">SUM(D219:D222)</f>
        <v>89859663.809999973</v>
      </c>
      <c r="E223" s="10">
        <f t="shared" si="58"/>
        <v>102891603</v>
      </c>
      <c r="F223" s="10">
        <f t="shared" si="58"/>
        <v>3171398</v>
      </c>
      <c r="G223" s="10">
        <f t="shared" si="58"/>
        <v>192286</v>
      </c>
      <c r="H223" s="9">
        <f>SUM(D223:G223)</f>
        <v>196114950.80999997</v>
      </c>
    </row>
    <row r="224" spans="1:8" x14ac:dyDescent="0.3">
      <c r="A224" s="586" t="s">
        <v>211</v>
      </c>
      <c r="B224" s="587"/>
      <c r="C224" s="587"/>
      <c r="D224" s="587"/>
      <c r="E224" s="587"/>
      <c r="F224" s="587"/>
      <c r="G224" s="587"/>
      <c r="H224" s="588"/>
    </row>
    <row r="225" spans="1:8" ht="15.6" x14ac:dyDescent="0.3">
      <c r="A225" s="582" t="s">
        <v>35</v>
      </c>
      <c r="B225" s="583"/>
      <c r="C225" s="11" t="s">
        <v>31</v>
      </c>
      <c r="D225" s="15">
        <f>Balaka!J225+Balaka!K225+Balaka!L225</f>
        <v>0</v>
      </c>
      <c r="E225" s="15">
        <f>Liwonde!J225+Liwonde!K225+Liwonde!L225</f>
        <v>0</v>
      </c>
      <c r="F225" s="15">
        <f>Machinga!J225+Machinga!K225+Machinga!L225</f>
        <v>0</v>
      </c>
      <c r="G225" s="15">
        <f>Ntaja!J225+Ntaja!K225+Ntaja!L225</f>
        <v>0</v>
      </c>
      <c r="H225" s="9">
        <f t="shared" ref="H225:H230" si="59">SUM(D225:G225)</f>
        <v>0</v>
      </c>
    </row>
    <row r="226" spans="1:8" ht="15.6" x14ac:dyDescent="0.3">
      <c r="A226" s="582" t="s">
        <v>34</v>
      </c>
      <c r="B226" s="583"/>
      <c r="C226" s="11" t="s">
        <v>31</v>
      </c>
      <c r="D226" s="15">
        <f>Balaka!J226+Balaka!K226+Balaka!L226</f>
        <v>0</v>
      </c>
      <c r="E226" s="15">
        <f>Liwonde!J226+Liwonde!K226+Liwonde!L226</f>
        <v>0</v>
      </c>
      <c r="F226" s="15">
        <f>Machinga!J226+Machinga!K226+Machinga!L226</f>
        <v>0</v>
      </c>
      <c r="G226" s="15">
        <f>Ntaja!J226+Ntaja!K226+Ntaja!L226</f>
        <v>0</v>
      </c>
      <c r="H226" s="9">
        <f t="shared" si="59"/>
        <v>0</v>
      </c>
    </row>
    <row r="227" spans="1:8" ht="15.6" x14ac:dyDescent="0.3">
      <c r="A227" s="582" t="s">
        <v>33</v>
      </c>
      <c r="B227" s="583"/>
      <c r="C227" s="11" t="s">
        <v>31</v>
      </c>
      <c r="D227" s="15">
        <f>Balaka!J227+Balaka!K227+Balaka!L227</f>
        <v>0</v>
      </c>
      <c r="E227" s="15">
        <f>Liwonde!J227+Liwonde!K227+Liwonde!L227</f>
        <v>0</v>
      </c>
      <c r="F227" s="15">
        <f>Machinga!J227+Machinga!K227+Machinga!L227</f>
        <v>0</v>
      </c>
      <c r="G227" s="15">
        <f>Ntaja!J227+Ntaja!K227+Ntaja!L227</f>
        <v>0</v>
      </c>
      <c r="H227" s="9">
        <f t="shared" si="59"/>
        <v>0</v>
      </c>
    </row>
    <row r="228" spans="1:8" ht="15.6" x14ac:dyDescent="0.3">
      <c r="A228" s="582" t="s">
        <v>32</v>
      </c>
      <c r="B228" s="583"/>
      <c r="C228" s="11" t="s">
        <v>31</v>
      </c>
      <c r="D228" s="15">
        <f>Balaka!J228+Balaka!K228+Balaka!L228</f>
        <v>0</v>
      </c>
      <c r="E228" s="15">
        <f>Liwonde!J228+Liwonde!K228+Liwonde!L228</f>
        <v>0</v>
      </c>
      <c r="F228" s="15">
        <f>Machinga!J228+Machinga!K228+Machinga!L228</f>
        <v>0</v>
      </c>
      <c r="G228" s="15">
        <f>Ntaja!J228+Ntaja!K228+Ntaja!L228</f>
        <v>0</v>
      </c>
      <c r="H228" s="9">
        <f t="shared" si="59"/>
        <v>0</v>
      </c>
    </row>
    <row r="229" spans="1:8" ht="15.6" x14ac:dyDescent="0.3">
      <c r="A229" s="649" t="s">
        <v>212</v>
      </c>
      <c r="B229" s="650"/>
      <c r="C229" s="11" t="s">
        <v>31</v>
      </c>
      <c r="D229" s="12">
        <f t="shared" ref="D229:G229" si="60">SUM(D225:D228)</f>
        <v>0</v>
      </c>
      <c r="E229" s="10">
        <f t="shared" si="60"/>
        <v>0</v>
      </c>
      <c r="F229" s="10">
        <f t="shared" si="60"/>
        <v>0</v>
      </c>
      <c r="G229" s="10">
        <f t="shared" si="60"/>
        <v>0</v>
      </c>
      <c r="H229" s="9">
        <f t="shared" si="59"/>
        <v>0</v>
      </c>
    </row>
    <row r="230" spans="1:8" ht="15.6" x14ac:dyDescent="0.3">
      <c r="A230" s="76" t="s">
        <v>213</v>
      </c>
      <c r="B230" s="120"/>
      <c r="C230" s="11" t="s">
        <v>31</v>
      </c>
      <c r="D230" s="12">
        <f>D223+D229</f>
        <v>89859663.809999973</v>
      </c>
      <c r="E230" s="12">
        <f t="shared" ref="E230:G230" si="61">E223+E229</f>
        <v>102891603</v>
      </c>
      <c r="F230" s="12">
        <f t="shared" si="61"/>
        <v>3171398</v>
      </c>
      <c r="G230" s="12">
        <f t="shared" si="61"/>
        <v>192286</v>
      </c>
      <c r="H230" s="9">
        <f t="shared" si="59"/>
        <v>196114950.80999997</v>
      </c>
    </row>
    <row r="231" spans="1:8" x14ac:dyDescent="0.3">
      <c r="A231" s="586" t="s">
        <v>30</v>
      </c>
      <c r="B231" s="587"/>
      <c r="C231" s="587"/>
      <c r="D231" s="587"/>
      <c r="E231" s="587"/>
      <c r="F231" s="587"/>
      <c r="G231" s="587"/>
      <c r="H231" s="588"/>
    </row>
    <row r="232" spans="1:8" ht="15.6" x14ac:dyDescent="0.3">
      <c r="A232" s="582" t="s">
        <v>29</v>
      </c>
      <c r="B232" s="583"/>
      <c r="C232" s="11" t="s">
        <v>18</v>
      </c>
      <c r="D232" s="15">
        <f>Balaka!J232+Balaka!K232+Balaka!L232</f>
        <v>5199605.9400000004</v>
      </c>
      <c r="E232" s="15">
        <f>Liwonde!J232+Liwonde!K232+Liwonde!L232</f>
        <v>4180593</v>
      </c>
      <c r="F232" s="15">
        <f>Machinga!J232+Machinga!K232+Machinga!L232</f>
        <v>203429</v>
      </c>
      <c r="G232" s="15">
        <f>Ntaja!J232+Ntaja!K232+Ntaja!L232</f>
        <v>6936</v>
      </c>
      <c r="H232" s="9">
        <f>SUM(D232:G232)</f>
        <v>9590563.9400000013</v>
      </c>
    </row>
    <row r="233" spans="1:8" ht="15.6" x14ac:dyDescent="0.3">
      <c r="A233" s="582" t="s">
        <v>28</v>
      </c>
      <c r="B233" s="583"/>
      <c r="C233" s="11" t="s">
        <v>18</v>
      </c>
      <c r="D233" s="15">
        <f>Balaka!J233+Balaka!K233+Balaka!L233</f>
        <v>6433.93</v>
      </c>
      <c r="E233" s="15">
        <f>Liwonde!J233+Liwonde!K233+Liwonde!L233</f>
        <v>6783</v>
      </c>
      <c r="F233" s="15">
        <f>Machinga!J233+Machinga!K233+Machinga!L233</f>
        <v>0</v>
      </c>
      <c r="G233" s="15">
        <f>Ntaja!J233+Ntaja!K233+Ntaja!L233</f>
        <v>0</v>
      </c>
      <c r="H233" s="9">
        <f>SUM(D233:G233)</f>
        <v>13216.93</v>
      </c>
    </row>
    <row r="234" spans="1:8" ht="15.6" x14ac:dyDescent="0.3">
      <c r="A234" s="582" t="s">
        <v>27</v>
      </c>
      <c r="B234" s="583"/>
      <c r="C234" s="11" t="s">
        <v>18</v>
      </c>
      <c r="D234" s="15">
        <f>Balaka!J234+Balaka!K234+Balaka!L234</f>
        <v>111064.68000000001</v>
      </c>
      <c r="E234" s="15">
        <f>Liwonde!J234+Liwonde!K234+Liwonde!L234</f>
        <v>111065</v>
      </c>
      <c r="F234" s="15">
        <f>Machinga!J234+Machinga!K234+Machinga!L234</f>
        <v>27765</v>
      </c>
      <c r="G234" s="15">
        <f>Ntaja!J234+Ntaja!K234+Ntaja!L234</f>
        <v>9255</v>
      </c>
      <c r="H234" s="9">
        <f>SUM(D234:G234)</f>
        <v>259149.68</v>
      </c>
    </row>
    <row r="235" spans="1:8" ht="15.6" x14ac:dyDescent="0.3">
      <c r="A235" s="582" t="s">
        <v>26</v>
      </c>
      <c r="B235" s="583"/>
      <c r="C235" s="11" t="s">
        <v>18</v>
      </c>
      <c r="D235" s="15">
        <f>Balaka!J235+Balaka!K235+Balaka!L235</f>
        <v>139120.41</v>
      </c>
      <c r="E235" s="15">
        <f>Liwonde!J235+Liwonde!K235+Liwonde!L235</f>
        <v>248730</v>
      </c>
      <c r="F235" s="15">
        <f>Machinga!J235+Machinga!K235+Machinga!L235</f>
        <v>0</v>
      </c>
      <c r="G235" s="15">
        <f>Ntaja!J235+Ntaja!K235+Ntaja!L235</f>
        <v>0</v>
      </c>
      <c r="H235" s="9">
        <f>SUM(D235:G235)</f>
        <v>387850.41000000003</v>
      </c>
    </row>
    <row r="236" spans="1:8" ht="15.6" x14ac:dyDescent="0.3">
      <c r="A236" s="649" t="s">
        <v>25</v>
      </c>
      <c r="B236" s="650"/>
      <c r="C236" s="11" t="s">
        <v>18</v>
      </c>
      <c r="D236" s="12"/>
      <c r="E236" s="12"/>
      <c r="F236" s="12"/>
      <c r="G236" s="12"/>
      <c r="H236" s="40">
        <f t="shared" ref="H236" si="62">SUM(H232:H235)</f>
        <v>10250780.960000001</v>
      </c>
    </row>
    <row r="237" spans="1:8" x14ac:dyDescent="0.3">
      <c r="A237" s="586" t="s">
        <v>24</v>
      </c>
      <c r="B237" s="587"/>
      <c r="C237" s="587"/>
      <c r="D237" s="587"/>
      <c r="E237" s="587"/>
      <c r="F237" s="587"/>
      <c r="G237" s="587"/>
      <c r="H237" s="588"/>
    </row>
    <row r="238" spans="1:8" ht="15.6" x14ac:dyDescent="0.3">
      <c r="A238" s="582" t="s">
        <v>23</v>
      </c>
      <c r="B238" s="583"/>
      <c r="C238" s="11" t="s">
        <v>18</v>
      </c>
      <c r="D238" s="15">
        <f>Balaka!J238+Balaka!K238+Balaka!L238</f>
        <v>9714054</v>
      </c>
      <c r="E238" s="15">
        <f>Liwonde!J238+Liwonde!K238+Liwonde!L238</f>
        <v>7679800</v>
      </c>
      <c r="F238" s="15">
        <f>Machinga!J238+Machinga!K238+Machinga!L238</f>
        <v>404529</v>
      </c>
      <c r="G238" s="15">
        <f>Ntaja!J238+Ntaja!K238+Ntaja!L238</f>
        <v>12502</v>
      </c>
      <c r="H238" s="39">
        <f>SUM(D238:G238)</f>
        <v>17810885</v>
      </c>
    </row>
    <row r="239" spans="1:8" ht="15.6" x14ac:dyDescent="0.3">
      <c r="A239" s="582" t="s">
        <v>22</v>
      </c>
      <c r="B239" s="583"/>
      <c r="C239" s="11" t="s">
        <v>18</v>
      </c>
      <c r="D239" s="15">
        <f>Balaka!J239+Balaka!K239+Balaka!L239</f>
        <v>33041</v>
      </c>
      <c r="E239" s="15">
        <f>Liwonde!J239+Liwonde!K239+Liwonde!L239</f>
        <v>34827</v>
      </c>
      <c r="F239" s="15">
        <f>Machinga!J239+Machinga!K239+Machinga!L239</f>
        <v>0</v>
      </c>
      <c r="G239" s="15">
        <f>Ntaja!J239+Ntaja!K239+Ntaja!L239</f>
        <v>0</v>
      </c>
      <c r="H239" s="39">
        <f>SUM(D239:G239)</f>
        <v>67868</v>
      </c>
    </row>
    <row r="240" spans="1:8" ht="15.6" x14ac:dyDescent="0.3">
      <c r="A240" s="582" t="s">
        <v>21</v>
      </c>
      <c r="B240" s="583"/>
      <c r="C240" s="11" t="s">
        <v>18</v>
      </c>
      <c r="D240" s="15">
        <f>Balaka!J240+Balaka!K240+Balaka!L240</f>
        <v>32148</v>
      </c>
      <c r="E240" s="15">
        <f>Liwonde!J240+Liwonde!K240+Liwonde!L240</f>
        <v>32148</v>
      </c>
      <c r="F240" s="15">
        <f>Machinga!J240+Machinga!K240+Machinga!L240</f>
        <v>8037</v>
      </c>
      <c r="G240" s="15">
        <f>Ntaja!J240+Ntaja!K240+Ntaja!L240</f>
        <v>2679</v>
      </c>
      <c r="H240" s="39">
        <f>SUM(D240:G240)</f>
        <v>75012</v>
      </c>
    </row>
    <row r="241" spans="1:8" ht="15.6" x14ac:dyDescent="0.3">
      <c r="A241" s="582" t="s">
        <v>20</v>
      </c>
      <c r="B241" s="583"/>
      <c r="C241" s="11" t="s">
        <v>18</v>
      </c>
      <c r="D241" s="15">
        <f>Balaka!J241+Balaka!K241+Balaka!L241</f>
        <v>29469</v>
      </c>
      <c r="E241" s="15">
        <f>Liwonde!J241+Liwonde!K241+Liwonde!L241</f>
        <v>52687</v>
      </c>
      <c r="F241" s="15">
        <f>Machinga!J241+Machinga!K241+Machinga!L241</f>
        <v>0</v>
      </c>
      <c r="G241" s="15">
        <f>Ntaja!J241+Ntaja!K241+Ntaja!L241</f>
        <v>0</v>
      </c>
      <c r="H241" s="39">
        <f>SUM(D241:G241)</f>
        <v>82156</v>
      </c>
    </row>
    <row r="242" spans="1:8" ht="15.6" x14ac:dyDescent="0.3">
      <c r="A242" s="649" t="s">
        <v>19</v>
      </c>
      <c r="B242" s="650"/>
      <c r="C242" s="11" t="s">
        <v>18</v>
      </c>
      <c r="D242" s="12">
        <f t="shared" ref="D242:H242" si="63">SUM(D238:D241)</f>
        <v>9808712</v>
      </c>
      <c r="E242" s="12">
        <f t="shared" si="63"/>
        <v>7799462</v>
      </c>
      <c r="F242" s="12">
        <f t="shared" si="63"/>
        <v>412566</v>
      </c>
      <c r="G242" s="12">
        <f t="shared" si="63"/>
        <v>15181</v>
      </c>
      <c r="H242" s="40">
        <f t="shared" si="63"/>
        <v>18035921</v>
      </c>
    </row>
    <row r="243" spans="1:8" ht="15.6" x14ac:dyDescent="0.3">
      <c r="A243" s="649" t="s">
        <v>214</v>
      </c>
      <c r="B243" s="650"/>
      <c r="C243" s="11" t="s">
        <v>18</v>
      </c>
      <c r="D243" s="10">
        <f>D230+D236+D242</f>
        <v>99668375.809999973</v>
      </c>
      <c r="E243" s="10">
        <f t="shared" ref="E243:G243" si="64">E230+E236+E242</f>
        <v>110691065</v>
      </c>
      <c r="F243" s="10">
        <f t="shared" si="64"/>
        <v>3583964</v>
      </c>
      <c r="G243" s="10">
        <f t="shared" si="64"/>
        <v>207467</v>
      </c>
      <c r="H243" s="40">
        <f t="shared" ref="H243" si="65">H216+H223+H236+H242</f>
        <v>333147935.67999995</v>
      </c>
    </row>
    <row r="244" spans="1:8" x14ac:dyDescent="0.3">
      <c r="A244" s="586" t="s">
        <v>204</v>
      </c>
      <c r="B244" s="587"/>
      <c r="C244" s="587"/>
      <c r="D244" s="587"/>
      <c r="E244" s="587"/>
      <c r="F244" s="587"/>
      <c r="G244" s="587"/>
      <c r="H244" s="588"/>
    </row>
    <row r="245" spans="1:8" ht="15.6" x14ac:dyDescent="0.3">
      <c r="A245" s="656" t="s">
        <v>205</v>
      </c>
      <c r="B245" s="657"/>
      <c r="C245" s="11" t="s">
        <v>18</v>
      </c>
      <c r="D245" s="15">
        <f>Balaka!J245+Balaka!K245+Balaka!L245</f>
        <v>944500269.57999945</v>
      </c>
      <c r="E245" s="15">
        <f>Liwonde!J245+Liwonde!K245+Liwonde!L245</f>
        <v>526620978.03999704</v>
      </c>
      <c r="F245" s="15">
        <f>Machinga!J245+Machinga!K245+Machinga!L245</f>
        <v>49940305.180000097</v>
      </c>
      <c r="G245" s="15">
        <f>Ntaja!J245+Ntaja!K245+Ntaja!L245</f>
        <v>12021262.34</v>
      </c>
      <c r="H245" s="40">
        <f t="shared" ref="H245:H246" si="66">SUM(H241:H244)</f>
        <v>351266012.67999995</v>
      </c>
    </row>
    <row r="246" spans="1:8" ht="15.6" x14ac:dyDescent="0.3">
      <c r="A246" s="656" t="s">
        <v>206</v>
      </c>
      <c r="B246" s="657"/>
      <c r="C246" s="11" t="s">
        <v>18</v>
      </c>
      <c r="D246" s="15">
        <f>Balaka!J246+Balaka!K246+Balaka!L246</f>
        <v>23385069.350000001</v>
      </c>
      <c r="E246" s="15">
        <f>Liwonde!J246+Liwonde!K246+Liwonde!L246</f>
        <v>311218418.5</v>
      </c>
      <c r="F246" s="15">
        <f>Machinga!J246+Machinga!K246+Machinga!L246</f>
        <v>402016138</v>
      </c>
      <c r="G246" s="15">
        <f>Ntaja!J246+Ntaja!K246+Ntaja!L246</f>
        <v>0</v>
      </c>
      <c r="H246" s="40">
        <f t="shared" si="66"/>
        <v>702449869.3599999</v>
      </c>
    </row>
    <row r="247" spans="1:8" ht="15.6" x14ac:dyDescent="0.3">
      <c r="A247" s="658" t="s">
        <v>207</v>
      </c>
      <c r="B247" s="659"/>
      <c r="C247" s="11" t="s">
        <v>18</v>
      </c>
      <c r="D247" s="190">
        <f>D245+D246</f>
        <v>967885338.92999947</v>
      </c>
      <c r="E247" s="190">
        <f t="shared" ref="E247:G247" si="67">E245+E246</f>
        <v>837839396.5399971</v>
      </c>
      <c r="F247" s="190">
        <f t="shared" si="67"/>
        <v>451956443.18000007</v>
      </c>
      <c r="G247" s="190">
        <f t="shared" si="67"/>
        <v>12021262.34</v>
      </c>
      <c r="H247" s="163">
        <f t="shared" ref="H247" si="68">SUM(H243:H246)</f>
        <v>1386863817.7199998</v>
      </c>
    </row>
    <row r="248" spans="1:8" x14ac:dyDescent="0.3">
      <c r="A248" s="586" t="s">
        <v>17</v>
      </c>
      <c r="B248" s="587"/>
      <c r="C248" s="587"/>
      <c r="D248" s="587"/>
      <c r="E248" s="587"/>
      <c r="F248" s="587"/>
      <c r="G248" s="587"/>
      <c r="H248" s="588"/>
    </row>
    <row r="249" spans="1:8" ht="15.6" x14ac:dyDescent="0.3">
      <c r="A249" s="613" t="s">
        <v>16</v>
      </c>
      <c r="B249" s="614"/>
      <c r="C249" s="5" t="s">
        <v>6</v>
      </c>
      <c r="D249" s="8">
        <f>D58/D243%</f>
        <v>68.97325395725241</v>
      </c>
      <c r="E249" s="8">
        <f t="shared" ref="E249:G249" si="69">E58/E243%</f>
        <v>85.130573084647807</v>
      </c>
      <c r="F249" s="8">
        <f t="shared" si="69"/>
        <v>217.50222602682393</v>
      </c>
      <c r="G249" s="8">
        <f t="shared" si="69"/>
        <v>4244.3996487152172</v>
      </c>
      <c r="H249" s="8">
        <f t="shared" ref="H249" si="70">H58/H243</f>
        <v>0.53903197593933239</v>
      </c>
    </row>
    <row r="250" spans="1:8" ht="15.6" x14ac:dyDescent="0.3">
      <c r="A250" s="613" t="s">
        <v>208</v>
      </c>
      <c r="B250" s="614"/>
      <c r="C250" s="5" t="s">
        <v>6</v>
      </c>
      <c r="D250" s="29">
        <f>D210/(D223+D245)%</f>
        <v>7.631253470085654</v>
      </c>
      <c r="E250" s="29">
        <f t="shared" ref="E250:G250" si="71">E210/(E223+E245)%</f>
        <v>12.616173908516993</v>
      </c>
      <c r="F250" s="29">
        <f t="shared" si="71"/>
        <v>4.7590095000978945</v>
      </c>
      <c r="G250" s="29">
        <f t="shared" si="71"/>
        <v>6.1407215914781405E-2</v>
      </c>
      <c r="H250" s="29">
        <f>H210/(H223+H245)</f>
        <v>0.29392714040363099</v>
      </c>
    </row>
    <row r="251" spans="1:8" ht="16.2" thickBot="1" x14ac:dyDescent="0.35">
      <c r="A251" s="662" t="s">
        <v>15</v>
      </c>
      <c r="B251" s="663"/>
      <c r="C251" s="5" t="s">
        <v>6</v>
      </c>
      <c r="D251" s="7">
        <f>D210/D223%</f>
        <v>87.842113984423563</v>
      </c>
      <c r="E251" s="7">
        <f t="shared" ref="E251:G251" si="72">E210/E223%</f>
        <v>77.188419350410939</v>
      </c>
      <c r="F251" s="7">
        <f t="shared" si="72"/>
        <v>79.699583590580559</v>
      </c>
      <c r="G251" s="7">
        <f t="shared" si="72"/>
        <v>3.9004399696285743</v>
      </c>
      <c r="H251" s="7">
        <f t="shared" ref="H251" si="73">H210/H223</f>
        <v>0.82038682234825389</v>
      </c>
    </row>
    <row r="252" spans="1:8" x14ac:dyDescent="0.3">
      <c r="A252" s="642" t="s">
        <v>14</v>
      </c>
      <c r="B252" s="643"/>
      <c r="C252" s="643"/>
      <c r="D252" s="643"/>
      <c r="E252" s="643"/>
      <c r="F252" s="643"/>
      <c r="G252" s="643"/>
      <c r="H252" s="644"/>
    </row>
    <row r="253" spans="1:8" s="2" customFormat="1" ht="15" customHeight="1" x14ac:dyDescent="0.3">
      <c r="A253" s="613" t="s">
        <v>13</v>
      </c>
      <c r="B253" s="614"/>
      <c r="C253" s="5" t="s">
        <v>3</v>
      </c>
      <c r="D253" s="26">
        <f>Balaka!J253+Balaka!K253+Balaka!L253</f>
        <v>86</v>
      </c>
      <c r="E253" s="26">
        <f>Liwonde!J253+Liwonde!K253+Liwonde!L253</f>
        <v>113</v>
      </c>
      <c r="F253" s="26">
        <f>Machinga!J253+Machinga!K253+Machinga!L253</f>
        <v>3</v>
      </c>
      <c r="G253" s="26">
        <f>Ntaja!J253+Ntaja!K253+Ntaja!L253</f>
        <v>27</v>
      </c>
      <c r="H253" s="114">
        <f>SUM(D253:G253)</f>
        <v>229</v>
      </c>
    </row>
    <row r="254" spans="1:8" s="2" customFormat="1" ht="15.6" x14ac:dyDescent="0.3">
      <c r="A254" s="613" t="s">
        <v>12</v>
      </c>
      <c r="B254" s="614"/>
      <c r="C254" s="5" t="s">
        <v>3</v>
      </c>
      <c r="D254" s="26">
        <f>Balaka!J254+Balaka!K254+Balaka!L254</f>
        <v>3</v>
      </c>
      <c r="E254" s="26">
        <f>Liwonde!J254+Liwonde!K254+Liwonde!L254</f>
        <v>3</v>
      </c>
      <c r="F254" s="26">
        <f>Machinga!J254+Machinga!K254+Machinga!L254</f>
        <v>3</v>
      </c>
      <c r="G254" s="26">
        <f>Ntaja!J254+Ntaja!K254+Ntaja!L254</f>
        <v>2</v>
      </c>
      <c r="H254" s="114">
        <f>SUM(D254:G254)</f>
        <v>11</v>
      </c>
    </row>
    <row r="255" spans="1:8" ht="15.75" customHeight="1" x14ac:dyDescent="0.3">
      <c r="A255" s="613" t="s">
        <v>11</v>
      </c>
      <c r="B255" s="614"/>
      <c r="C255" s="5" t="s">
        <v>3</v>
      </c>
      <c r="D255" s="26">
        <f>Balaka!J255+Balaka!K255+Balaka!L255</f>
        <v>1245</v>
      </c>
      <c r="E255" s="26">
        <f>Liwonde!J255+Liwonde!K255+Liwonde!L255</f>
        <v>1024</v>
      </c>
      <c r="F255" s="26">
        <f>Machinga!J255+Machinga!K255+Machinga!L255</f>
        <v>33</v>
      </c>
      <c r="G255" s="26">
        <f>Ntaja!J255+Ntaja!K255+Ntaja!L255</f>
        <v>135</v>
      </c>
      <c r="H255" s="114">
        <f>SUM(D255:G255)</f>
        <v>2437</v>
      </c>
    </row>
    <row r="256" spans="1:8" ht="15.6" x14ac:dyDescent="0.3">
      <c r="A256" s="613" t="s">
        <v>10</v>
      </c>
      <c r="B256" s="614"/>
      <c r="C256" s="5" t="s">
        <v>3</v>
      </c>
      <c r="D256" s="26">
        <f>Balaka!J256+Balaka!K256+Balaka!L256</f>
        <v>86</v>
      </c>
      <c r="E256" s="26">
        <f>Liwonde!J256+Liwonde!K256+Liwonde!L256</f>
        <v>100</v>
      </c>
      <c r="F256" s="26">
        <f>Machinga!J256+Machinga!K256+Machinga!L256</f>
        <v>3</v>
      </c>
      <c r="G256" s="26">
        <f>Ntaja!J256+Ntaja!K256+Ntaja!L256</f>
        <v>27</v>
      </c>
      <c r="H256" s="114">
        <f>SUM(D256:G256)</f>
        <v>216</v>
      </c>
    </row>
    <row r="257" spans="1:8" ht="15.6" customHeight="1" x14ac:dyDescent="0.3">
      <c r="A257" s="613" t="s">
        <v>9</v>
      </c>
      <c r="B257" s="614"/>
      <c r="C257" s="5" t="s">
        <v>3</v>
      </c>
      <c r="D257" s="26">
        <f>Balaka!J257+Balaka!K257+Balaka!L257</f>
        <v>60</v>
      </c>
      <c r="E257" s="26">
        <f>Liwonde!J257+Liwonde!K257+Liwonde!L257</f>
        <v>90</v>
      </c>
      <c r="F257" s="26">
        <f>Machinga!J257+Machinga!K257+Machinga!L257</f>
        <v>44</v>
      </c>
      <c r="G257" s="26">
        <f>Ntaja!J257+Ntaja!K257+Ntaja!L257</f>
        <v>30</v>
      </c>
      <c r="H257" s="114">
        <f>SUM(D257:G257)</f>
        <v>224</v>
      </c>
    </row>
    <row r="258" spans="1:8" ht="15.6" x14ac:dyDescent="0.3">
      <c r="A258" s="649" t="s">
        <v>8</v>
      </c>
      <c r="B258" s="650"/>
      <c r="C258" s="5" t="s">
        <v>3</v>
      </c>
      <c r="D258" s="1">
        <f t="shared" ref="D258:H258" si="74">D257/D256</f>
        <v>0.69767441860465118</v>
      </c>
      <c r="E258" s="1">
        <f t="shared" si="74"/>
        <v>0.9</v>
      </c>
      <c r="F258" s="1">
        <f t="shared" si="74"/>
        <v>14.666666666666666</v>
      </c>
      <c r="G258" s="3">
        <f t="shared" si="74"/>
        <v>1.1111111111111112</v>
      </c>
      <c r="H258" s="114">
        <f t="shared" si="74"/>
        <v>1.037037037037037</v>
      </c>
    </row>
    <row r="259" spans="1:8" ht="15.6" x14ac:dyDescent="0.3">
      <c r="A259" s="649" t="s">
        <v>7</v>
      </c>
      <c r="B259" s="650"/>
      <c r="C259" s="5" t="s">
        <v>6</v>
      </c>
      <c r="D259" s="1">
        <f t="shared" ref="D259:H259" si="75">D92/D255*100</f>
        <v>9.6385542168674707</v>
      </c>
      <c r="E259" s="1">
        <f t="shared" si="75"/>
        <v>11.03515625</v>
      </c>
      <c r="F259" s="1">
        <f t="shared" si="75"/>
        <v>12.121212121212121</v>
      </c>
      <c r="G259" s="6">
        <f t="shared" si="75"/>
        <v>0</v>
      </c>
      <c r="H259" s="115">
        <f t="shared" si="75"/>
        <v>9.7250718096019693</v>
      </c>
    </row>
    <row r="260" spans="1:8" x14ac:dyDescent="0.3">
      <c r="A260" s="586" t="s">
        <v>5</v>
      </c>
      <c r="B260" s="587"/>
      <c r="C260" s="587"/>
      <c r="D260" s="587"/>
      <c r="E260" s="587"/>
      <c r="F260" s="587"/>
      <c r="G260" s="587"/>
      <c r="H260" s="588"/>
    </row>
    <row r="261" spans="1:8" s="2" customFormat="1" ht="15" customHeight="1" x14ac:dyDescent="0.3">
      <c r="A261" s="613" t="s">
        <v>4</v>
      </c>
      <c r="B261" s="614"/>
      <c r="C261" s="5" t="s">
        <v>3</v>
      </c>
      <c r="D261" s="26">
        <f>Balaka!J261+Balaka!K261+Balaka!L261</f>
        <v>49</v>
      </c>
      <c r="E261" s="26">
        <f>Liwonde!J261+Liwonde!K261+Liwonde!L261</f>
        <v>169</v>
      </c>
      <c r="F261" s="26">
        <f>Machinga!J261+Machinga!K261+Machinga!L261</f>
        <v>35</v>
      </c>
      <c r="G261" s="26">
        <f>Ntaja!J261+Ntaja!K261+Ntaja!L261</f>
        <v>30</v>
      </c>
      <c r="H261" s="114">
        <f>SUM(D261:G261)</f>
        <v>283</v>
      </c>
    </row>
    <row r="262" spans="1:8" s="2" customFormat="1" ht="15.75" customHeight="1" x14ac:dyDescent="0.3">
      <c r="A262" s="613" t="s">
        <v>2</v>
      </c>
      <c r="B262" s="614"/>
      <c r="C262" s="5" t="s">
        <v>0</v>
      </c>
      <c r="D262" s="26">
        <f>Balaka!J262+Balaka!K262+Balaka!L262</f>
        <v>90</v>
      </c>
      <c r="E262" s="26">
        <f>Liwonde!J262+Liwonde!K262+Liwonde!L262</f>
        <v>42</v>
      </c>
      <c r="F262" s="26">
        <f>Machinga!J262+Machinga!K262+Machinga!L262</f>
        <v>16</v>
      </c>
      <c r="G262" s="26">
        <f>Ntaja!J262+Ntaja!K262+Ntaja!L262</f>
        <v>3</v>
      </c>
      <c r="H262" s="114">
        <f>SUM(D262:G262)</f>
        <v>151</v>
      </c>
    </row>
    <row r="263" spans="1:8" ht="16.2" thickBot="1" x14ac:dyDescent="0.35">
      <c r="A263" s="660" t="s">
        <v>1</v>
      </c>
      <c r="B263" s="661"/>
      <c r="C263" s="116" t="s">
        <v>0</v>
      </c>
      <c r="D263" s="117">
        <f t="shared" ref="D263:H263" si="76">D261/D262</f>
        <v>0.5444444444444444</v>
      </c>
      <c r="E263" s="117">
        <f t="shared" si="76"/>
        <v>4.0238095238095237</v>
      </c>
      <c r="F263" s="117">
        <f t="shared" si="76"/>
        <v>2.1875</v>
      </c>
      <c r="G263" s="117">
        <f t="shared" si="76"/>
        <v>10</v>
      </c>
      <c r="H263" s="117">
        <f t="shared" si="76"/>
        <v>1.8741721854304636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0DFB-B2A7-46DF-877C-6F6A472533AF}">
  <sheetPr codeName="Sheet16"/>
  <dimension ref="A1:H263"/>
  <sheetViews>
    <sheetView workbookViewId="0">
      <selection activeCell="H1" sqref="H1:H104857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12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123"/>
    </row>
    <row r="3" spans="1:8" ht="18" thickBot="1" x14ac:dyDescent="0.35">
      <c r="A3" s="218" t="s">
        <v>217</v>
      </c>
      <c r="B3" s="219"/>
      <c r="C3" s="219"/>
      <c r="D3" s="219"/>
      <c r="E3" s="219"/>
      <c r="F3" s="219"/>
      <c r="G3" s="219"/>
      <c r="H3" s="220"/>
    </row>
    <row r="4" spans="1:8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125"/>
    </row>
    <row r="5" spans="1:8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126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99"/>
    </row>
    <row r="7" spans="1:8" ht="16.2" thickBot="1" x14ac:dyDescent="0.35">
      <c r="A7" s="580" t="s">
        <v>174</v>
      </c>
      <c r="B7" s="58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59" t="s">
        <v>160</v>
      </c>
    </row>
    <row r="8" spans="1:8" ht="15" thickBot="1" x14ac:dyDescent="0.35">
      <c r="A8" s="591" t="s">
        <v>159</v>
      </c>
      <c r="B8" s="592"/>
      <c r="C8" s="592"/>
      <c r="D8" s="592"/>
      <c r="E8" s="592"/>
      <c r="F8" s="592"/>
      <c r="G8" s="592"/>
      <c r="H8" s="593"/>
    </row>
    <row r="9" spans="1:8" ht="15.6" x14ac:dyDescent="0.3">
      <c r="A9" s="594" t="s">
        <v>176</v>
      </c>
      <c r="B9" s="595"/>
      <c r="C9" s="58" t="s">
        <v>152</v>
      </c>
      <c r="D9" s="57">
        <f>Balaka!M9+Balaka!N9+Balaka!O9</f>
        <v>182853</v>
      </c>
      <c r="E9" s="57">
        <f>Liwonde!M9+Liwonde!N9+Liwonde!O9</f>
        <v>192047</v>
      </c>
      <c r="F9" s="57">
        <f>Machinga!M9+Machinga!N9+Machinga!O9</f>
        <v>8815</v>
      </c>
      <c r="G9" s="57">
        <f>Ntaja!M9+Ntaja!N9+Ntaja!O9</f>
        <v>8145</v>
      </c>
      <c r="H9" s="56">
        <f>SUM(D9:G9)</f>
        <v>391860</v>
      </c>
    </row>
    <row r="10" spans="1:8" x14ac:dyDescent="0.3">
      <c r="A10" s="586" t="s">
        <v>177</v>
      </c>
      <c r="B10" s="587"/>
      <c r="C10" s="587"/>
      <c r="D10" s="664"/>
      <c r="E10" s="664"/>
      <c r="F10" s="664"/>
      <c r="G10" s="664"/>
      <c r="H10" s="588"/>
    </row>
    <row r="11" spans="1:8" ht="15.6" x14ac:dyDescent="0.3">
      <c r="A11" s="589" t="s">
        <v>157</v>
      </c>
      <c r="B11" s="590"/>
      <c r="C11" s="11" t="s">
        <v>152</v>
      </c>
      <c r="D11" s="26">
        <f>Balaka!M11+Balaka!N11+Balaka!O11</f>
        <v>95544</v>
      </c>
      <c r="E11" s="26">
        <f>Liwonde!M11+Liwonde!N11+Liwonde!O11</f>
        <v>101631</v>
      </c>
      <c r="F11" s="26">
        <f>Machinga!M11+Machinga!N11+Machinga!O11</f>
        <v>2828</v>
      </c>
      <c r="G11" s="26">
        <f>Ntaja!M11+Ntaja!N11+Ntaja!O11</f>
        <v>215</v>
      </c>
      <c r="H11" s="55">
        <f>SUM(D11:G11)</f>
        <v>200218</v>
      </c>
    </row>
    <row r="12" spans="1:8" ht="15.6" x14ac:dyDescent="0.3">
      <c r="A12" s="589" t="s">
        <v>156</v>
      </c>
      <c r="B12" s="590"/>
      <c r="C12" s="11" t="s">
        <v>152</v>
      </c>
      <c r="D12" s="26">
        <f>Balaka!M12+Balaka!N12+Balaka!O12</f>
        <v>3148</v>
      </c>
      <c r="E12" s="26">
        <f>Liwonde!M12+Liwonde!N12+Liwonde!O12</f>
        <v>1400</v>
      </c>
      <c r="F12" s="26">
        <f>Machinga!M12+Machinga!N12+Machinga!O12</f>
        <v>0</v>
      </c>
      <c r="G12" s="26">
        <f>Ntaja!M12+Ntaja!N12+Ntaja!O12</f>
        <v>0</v>
      </c>
      <c r="H12" s="55">
        <f>SUM(D12:G12)</f>
        <v>4548</v>
      </c>
    </row>
    <row r="13" spans="1:8" ht="15.6" x14ac:dyDescent="0.3">
      <c r="A13" s="589" t="s">
        <v>155</v>
      </c>
      <c r="B13" s="590"/>
      <c r="C13" s="11" t="s">
        <v>152</v>
      </c>
      <c r="D13" s="26">
        <f>Balaka!M13+Balaka!N13+Balaka!O13</f>
        <v>723</v>
      </c>
      <c r="E13" s="26">
        <f>Liwonde!M13+Liwonde!N13+Liwonde!O13</f>
        <v>2722</v>
      </c>
      <c r="F13" s="26">
        <f>Machinga!M13+Machinga!N13+Machinga!O13</f>
        <v>81</v>
      </c>
      <c r="G13" s="26">
        <f>Ntaja!M13+Ntaja!N13+Ntaja!O13</f>
        <v>41</v>
      </c>
      <c r="H13" s="55">
        <f>SUM(D13:G13)</f>
        <v>3567</v>
      </c>
    </row>
    <row r="14" spans="1:8" ht="15.6" x14ac:dyDescent="0.3">
      <c r="A14" s="582" t="s">
        <v>154</v>
      </c>
      <c r="B14" s="583"/>
      <c r="C14" s="11" t="s">
        <v>152</v>
      </c>
      <c r="D14" s="26">
        <f>Balaka!M14+Balaka!N14+Balaka!O14</f>
        <v>208</v>
      </c>
      <c r="E14" s="26">
        <f>Liwonde!M14+Liwonde!N14+Liwonde!O14</f>
        <v>1265</v>
      </c>
      <c r="F14" s="26">
        <f>Machinga!M14+Machinga!N14+Machinga!O14</f>
        <v>0</v>
      </c>
      <c r="G14" s="26">
        <f>Ntaja!M14+Ntaja!N14+Ntaja!O14</f>
        <v>0</v>
      </c>
      <c r="H14" s="55">
        <f>SUM(D14:G14)</f>
        <v>1473</v>
      </c>
    </row>
    <row r="15" spans="1:8" s="63" customFormat="1" ht="15.6" x14ac:dyDescent="0.3">
      <c r="A15" s="584" t="s">
        <v>158</v>
      </c>
      <c r="B15" s="585"/>
      <c r="C15" s="62" t="s">
        <v>152</v>
      </c>
      <c r="D15" s="34">
        <f t="shared" ref="D15:H15" si="0">SUM(D11:D14)</f>
        <v>99623</v>
      </c>
      <c r="E15" s="34">
        <f t="shared" si="0"/>
        <v>107018</v>
      </c>
      <c r="F15" s="34">
        <f t="shared" si="0"/>
        <v>2909</v>
      </c>
      <c r="G15" s="34">
        <f t="shared" si="0"/>
        <v>256</v>
      </c>
      <c r="H15" s="55">
        <f t="shared" si="0"/>
        <v>209806</v>
      </c>
    </row>
    <row r="16" spans="1:8" s="2" customFormat="1" x14ac:dyDescent="0.3">
      <c r="A16" s="586" t="s">
        <v>178</v>
      </c>
      <c r="B16" s="587"/>
      <c r="C16" s="587"/>
      <c r="D16" s="587"/>
      <c r="E16" s="664"/>
      <c r="F16" s="664"/>
      <c r="G16" s="664"/>
      <c r="H16" s="588"/>
    </row>
    <row r="17" spans="1:8" s="2" customFormat="1" ht="15.6" x14ac:dyDescent="0.3">
      <c r="A17" s="589" t="s">
        <v>180</v>
      </c>
      <c r="B17" s="590"/>
      <c r="C17" s="11" t="s">
        <v>152</v>
      </c>
      <c r="D17" s="26">
        <f>Balaka!M17+Balaka!N17+Balaka!O17</f>
        <v>20798</v>
      </c>
      <c r="E17" s="26">
        <f>Liwonde!M17+Liwonde!N17+Liwonde!O17</f>
        <v>31436.3</v>
      </c>
      <c r="F17" s="26">
        <f>Machinga!M17+Machinga!N17+Machinga!O17</f>
        <v>5135.88</v>
      </c>
      <c r="G17" s="26">
        <f>Ntaja!M17+Ntaja!N17+Ntaja!O17</f>
        <v>6264</v>
      </c>
      <c r="H17" s="55">
        <f>SUM(D17:G17)</f>
        <v>63634.18</v>
      </c>
    </row>
    <row r="18" spans="1:8" s="2" customFormat="1" ht="15.6" x14ac:dyDescent="0.3">
      <c r="A18" s="589" t="s">
        <v>181</v>
      </c>
      <c r="B18" s="590"/>
      <c r="C18" s="11" t="s">
        <v>152</v>
      </c>
      <c r="D18" s="26">
        <f>Balaka!M18+Balaka!N18+Balaka!O18</f>
        <v>47</v>
      </c>
      <c r="E18" s="26">
        <f>Liwonde!M18+Liwonde!N18+Liwonde!O18</f>
        <v>0</v>
      </c>
      <c r="F18" s="26">
        <f>Machinga!M18+Machinga!N18+Machinga!O18</f>
        <v>0</v>
      </c>
      <c r="G18" s="26">
        <f>Ntaja!M18+Ntaja!N18+Ntaja!O18</f>
        <v>316</v>
      </c>
      <c r="H18" s="55">
        <f>SUM(D18:G18)</f>
        <v>363</v>
      </c>
    </row>
    <row r="19" spans="1:8" s="2" customFormat="1" ht="15.6" x14ac:dyDescent="0.3">
      <c r="A19" s="589" t="s">
        <v>182</v>
      </c>
      <c r="B19" s="590"/>
      <c r="C19" s="11" t="s">
        <v>152</v>
      </c>
      <c r="D19" s="26">
        <f>Balaka!M19+Balaka!N19+Balaka!O19</f>
        <v>3708</v>
      </c>
      <c r="E19" s="26">
        <f>Liwonde!M19+Liwonde!N19+Liwonde!O19</f>
        <v>0</v>
      </c>
      <c r="F19" s="26">
        <f>Machinga!M19+Machinga!N19+Machinga!O19</f>
        <v>0</v>
      </c>
      <c r="G19" s="26">
        <f>Ntaja!M19+Ntaja!N19+Ntaja!O19</f>
        <v>137</v>
      </c>
      <c r="H19" s="55">
        <f>SUM(D19:G19)</f>
        <v>3845</v>
      </c>
    </row>
    <row r="20" spans="1:8" s="2" customFormat="1" ht="15.6" x14ac:dyDescent="0.3">
      <c r="A20" s="582" t="s">
        <v>183</v>
      </c>
      <c r="B20" s="583"/>
      <c r="C20" s="11" t="s">
        <v>152</v>
      </c>
      <c r="D20" s="26">
        <f>Balaka!M20+Balaka!N20+Balaka!O20</f>
        <v>1683</v>
      </c>
      <c r="E20" s="26">
        <f>Liwonde!M20+Liwonde!N20+Liwonde!O20</f>
        <v>0</v>
      </c>
      <c r="F20" s="26">
        <f>Machinga!M20+Machinga!N20+Machinga!O20</f>
        <v>0</v>
      </c>
      <c r="G20" s="26">
        <f>Ntaja!M20+Ntaja!N20+Ntaja!O20</f>
        <v>310</v>
      </c>
      <c r="H20" s="55">
        <f>SUM(D20:G20)</f>
        <v>1993</v>
      </c>
    </row>
    <row r="21" spans="1:8" s="73" customFormat="1" ht="15.6" x14ac:dyDescent="0.3">
      <c r="A21" s="584" t="s">
        <v>184</v>
      </c>
      <c r="B21" s="585"/>
      <c r="C21" s="62" t="s">
        <v>152</v>
      </c>
      <c r="D21" s="34">
        <f>SUM(D17:D20)</f>
        <v>26236</v>
      </c>
      <c r="E21" s="34">
        <f t="shared" ref="E21:H21" si="1">SUM(E17:E20)</f>
        <v>31436.3</v>
      </c>
      <c r="F21" s="34">
        <f t="shared" si="1"/>
        <v>5135.88</v>
      </c>
      <c r="G21" s="34">
        <f t="shared" si="1"/>
        <v>7027</v>
      </c>
      <c r="H21" s="55">
        <f t="shared" si="1"/>
        <v>69835.179999999993</v>
      </c>
    </row>
    <row r="22" spans="1:8" s="2" customFormat="1" ht="15.6" x14ac:dyDescent="0.3">
      <c r="A22" s="216" t="s">
        <v>185</v>
      </c>
      <c r="B22" s="210"/>
      <c r="C22" s="11" t="s">
        <v>152</v>
      </c>
      <c r="D22" s="34">
        <f>D21+D15</f>
        <v>125859</v>
      </c>
      <c r="E22" s="34">
        <f t="shared" ref="E22:H22" si="2">E21+E15</f>
        <v>138454.29999999999</v>
      </c>
      <c r="F22" s="34">
        <f t="shared" si="2"/>
        <v>8044.88</v>
      </c>
      <c r="G22" s="34">
        <f t="shared" si="2"/>
        <v>7283</v>
      </c>
      <c r="H22" s="55">
        <f t="shared" si="2"/>
        <v>279641.18</v>
      </c>
    </row>
    <row r="23" spans="1:8" x14ac:dyDescent="0.3">
      <c r="A23" s="586" t="s">
        <v>215</v>
      </c>
      <c r="B23" s="587"/>
      <c r="C23" s="587"/>
      <c r="D23" s="587"/>
      <c r="E23" s="587"/>
      <c r="F23" s="587"/>
      <c r="G23" s="587"/>
      <c r="H23" s="588"/>
    </row>
    <row r="24" spans="1:8" ht="15.6" x14ac:dyDescent="0.3">
      <c r="A24" s="603" t="s">
        <v>179</v>
      </c>
      <c r="B24" s="37" t="s">
        <v>153</v>
      </c>
      <c r="C24" s="5" t="s">
        <v>152</v>
      </c>
      <c r="D24" s="54">
        <f>D9-D22</f>
        <v>56994</v>
      </c>
      <c r="E24" s="54">
        <f t="shared" ref="E24:H24" si="3">E9-E22</f>
        <v>53592.700000000012</v>
      </c>
      <c r="F24" s="54">
        <f t="shared" si="3"/>
        <v>770.11999999999989</v>
      </c>
      <c r="G24" s="54">
        <f t="shared" si="3"/>
        <v>862</v>
      </c>
      <c r="H24" s="100">
        <f t="shared" si="3"/>
        <v>112218.82</v>
      </c>
    </row>
    <row r="25" spans="1:8" ht="15.6" x14ac:dyDescent="0.3">
      <c r="A25" s="604"/>
      <c r="B25" s="53" t="s">
        <v>151</v>
      </c>
      <c r="C25" s="52" t="s">
        <v>6</v>
      </c>
      <c r="D25" s="51">
        <f t="shared" ref="D25:H25" si="4">D24/D9</f>
        <v>0.31169299929451527</v>
      </c>
      <c r="E25" s="51">
        <f t="shared" si="4"/>
        <v>0.2790603341890267</v>
      </c>
      <c r="F25" s="51">
        <f t="shared" si="4"/>
        <v>8.7364719228587628E-2</v>
      </c>
      <c r="G25" s="51">
        <f t="shared" si="4"/>
        <v>0.10583179864947821</v>
      </c>
      <c r="H25" s="101">
        <f t="shared" si="4"/>
        <v>0.28637477670596645</v>
      </c>
    </row>
    <row r="26" spans="1:8" x14ac:dyDescent="0.3">
      <c r="A26" s="586" t="s">
        <v>150</v>
      </c>
      <c r="B26" s="587"/>
      <c r="C26" s="587"/>
      <c r="D26" s="587"/>
      <c r="E26" s="587"/>
      <c r="F26" s="587"/>
      <c r="G26" s="587"/>
      <c r="H26" s="588"/>
    </row>
    <row r="27" spans="1:8" x14ac:dyDescent="0.3">
      <c r="A27" s="665" t="s">
        <v>149</v>
      </c>
      <c r="B27" s="666"/>
      <c r="C27" s="666"/>
      <c r="D27" s="666"/>
      <c r="E27" s="666"/>
      <c r="F27" s="666"/>
      <c r="G27" s="666"/>
      <c r="H27" s="667"/>
    </row>
    <row r="28" spans="1:8" ht="15.6" x14ac:dyDescent="0.3">
      <c r="A28" s="102" t="s">
        <v>148</v>
      </c>
      <c r="B28" s="50" t="s">
        <v>147</v>
      </c>
      <c r="C28" s="49"/>
      <c r="D28" s="208"/>
      <c r="E28" s="208"/>
      <c r="F28" s="208"/>
      <c r="G28" s="208"/>
      <c r="H28" s="46"/>
    </row>
    <row r="29" spans="1:8" ht="15.6" x14ac:dyDescent="0.3">
      <c r="A29" s="596" t="s">
        <v>146</v>
      </c>
      <c r="B29" s="579">
        <f>176264.5/50</f>
        <v>3525.29</v>
      </c>
      <c r="C29" s="5" t="s">
        <v>140</v>
      </c>
      <c r="D29" s="26">
        <f>Balaka!M29+Balaka!N29+Balaka!O29</f>
        <v>328</v>
      </c>
      <c r="E29" s="26">
        <f>Liwonde!M29+Liwonde!N29+Liwonde!O29</f>
        <v>1092</v>
      </c>
      <c r="F29" s="26">
        <f>Machinga!M29+Machinga!N29+Machinga!O29</f>
        <v>23</v>
      </c>
      <c r="G29" s="26">
        <f>Ntaja!M29+Ntaja!N29+Ntaja!O29</f>
        <v>31</v>
      </c>
      <c r="H29" s="45">
        <f>SUM(D29:G29)</f>
        <v>1474</v>
      </c>
    </row>
    <row r="30" spans="1:8" ht="15.6" x14ac:dyDescent="0.3">
      <c r="A30" s="597"/>
      <c r="B30" s="579"/>
      <c r="C30" s="42" t="s">
        <v>139</v>
      </c>
      <c r="D30" s="15">
        <f t="shared" ref="D30:H30" si="5">D29/(D9/1000)</f>
        <v>1.7937906405692003</v>
      </c>
      <c r="E30" s="15">
        <f t="shared" si="5"/>
        <v>5.6861080881242616</v>
      </c>
      <c r="F30" s="15">
        <f t="shared" si="5"/>
        <v>2.6091888825865004</v>
      </c>
      <c r="G30" s="15">
        <f t="shared" si="5"/>
        <v>3.8060159607120934</v>
      </c>
      <c r="H30" s="103">
        <f t="shared" si="5"/>
        <v>3.7615474914510285</v>
      </c>
    </row>
    <row r="31" spans="1:8" ht="15.6" x14ac:dyDescent="0.3">
      <c r="A31" s="598" t="s">
        <v>145</v>
      </c>
      <c r="B31" s="579">
        <f>53000.511/50</f>
        <v>1060.0102199999999</v>
      </c>
      <c r="C31" s="5" t="s">
        <v>140</v>
      </c>
      <c r="D31" s="26">
        <f>Balaka!M31+Balaka!N31+Balaka!O31</f>
        <v>0</v>
      </c>
      <c r="E31" s="26">
        <f>Liwonde!M31+Liwonde!N31+Liwonde!O31</f>
        <v>0</v>
      </c>
      <c r="F31" s="26">
        <f>Machinga!M31+Machinga!N31+Machinga!O31</f>
        <v>0</v>
      </c>
      <c r="G31" s="26">
        <f>Ntaja!M31+Ntaja!N31+Ntaja!O31</f>
        <v>0</v>
      </c>
      <c r="H31" s="45">
        <f>SUM(D31:G31)</f>
        <v>0</v>
      </c>
    </row>
    <row r="32" spans="1:8" ht="15.6" x14ac:dyDescent="0.3">
      <c r="A32" s="599"/>
      <c r="B32" s="579"/>
      <c r="C32" s="42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03">
        <f t="shared" si="6"/>
        <v>0</v>
      </c>
    </row>
    <row r="33" spans="1:8" ht="15.6" x14ac:dyDescent="0.3">
      <c r="A33" s="598" t="s">
        <v>144</v>
      </c>
      <c r="B33" s="579">
        <f>61414.43/50</f>
        <v>1228.2886000000001</v>
      </c>
      <c r="C33" s="5" t="s">
        <v>140</v>
      </c>
      <c r="D33" s="26">
        <f>Balaka!M33+Balaka!N33+Balaka!O33</f>
        <v>0</v>
      </c>
      <c r="E33" s="26">
        <f>Liwonde!M33+Liwonde!N33+Liwonde!O33</f>
        <v>0</v>
      </c>
      <c r="F33" s="26">
        <f>Machinga!M33+Machinga!N33+Machinga!O33</f>
        <v>0</v>
      </c>
      <c r="G33" s="26">
        <f>Ntaja!M33+Ntaja!N33+Ntaja!O33</f>
        <v>0</v>
      </c>
      <c r="H33" s="45">
        <f>SUM(D33:G33)</f>
        <v>0</v>
      </c>
    </row>
    <row r="34" spans="1:8" ht="15.6" x14ac:dyDescent="0.3">
      <c r="A34" s="599"/>
      <c r="B34" s="579"/>
      <c r="C34" s="42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03">
        <f t="shared" si="7"/>
        <v>0</v>
      </c>
    </row>
    <row r="35" spans="1:8" ht="15.6" x14ac:dyDescent="0.3">
      <c r="A35" s="598" t="s">
        <v>143</v>
      </c>
      <c r="B35" s="579">
        <f>745345.16/200</f>
        <v>3726.7258000000002</v>
      </c>
      <c r="C35" s="5" t="s">
        <v>126</v>
      </c>
      <c r="D35" s="4">
        <f>Balaka!M35+Balaka!N35+Balaka!O35</f>
        <v>0</v>
      </c>
      <c r="E35" s="4">
        <f>Liwonde!M35+Liwonde!N35+Liwonde!O35</f>
        <v>1493</v>
      </c>
      <c r="F35" s="4">
        <f>Machinga!M35+Machinga!N35+Machinga!O35</f>
        <v>0</v>
      </c>
      <c r="G35" s="4">
        <f>Ntaja!M35+Ntaja!N35+Ntaja!O35</f>
        <v>0</v>
      </c>
      <c r="H35" s="103"/>
    </row>
    <row r="36" spans="1:8" ht="15.6" x14ac:dyDescent="0.3">
      <c r="A36" s="599"/>
      <c r="B36" s="579"/>
      <c r="C36" s="5" t="s">
        <v>142</v>
      </c>
      <c r="D36" s="13"/>
      <c r="E36" s="13"/>
      <c r="F36" s="13"/>
      <c r="G36" s="13"/>
      <c r="H36" s="103"/>
    </row>
    <row r="37" spans="1:8" ht="15.6" x14ac:dyDescent="0.3">
      <c r="A37" s="598" t="s">
        <v>186</v>
      </c>
      <c r="B37" s="579">
        <f>790318.72/200</f>
        <v>3951.5935999999997</v>
      </c>
      <c r="C37" s="5" t="s">
        <v>126</v>
      </c>
      <c r="D37" s="43">
        <v>0</v>
      </c>
      <c r="E37" s="43">
        <v>0</v>
      </c>
      <c r="F37" s="43">
        <v>0</v>
      </c>
      <c r="G37" s="43">
        <v>0</v>
      </c>
      <c r="H37" s="45">
        <f>SUM(D37:G37)</f>
        <v>0</v>
      </c>
    </row>
    <row r="38" spans="1:8" ht="15.6" x14ac:dyDescent="0.3">
      <c r="A38" s="599"/>
      <c r="B38" s="579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103">
        <f t="shared" si="8"/>
        <v>0</v>
      </c>
    </row>
    <row r="39" spans="1:8" ht="15.6" x14ac:dyDescent="0.3">
      <c r="A39" s="598" t="s">
        <v>141</v>
      </c>
      <c r="B39" s="579">
        <v>1950</v>
      </c>
      <c r="C39" s="5" t="s">
        <v>140</v>
      </c>
      <c r="D39" s="43">
        <v>0</v>
      </c>
      <c r="E39" s="43">
        <v>0</v>
      </c>
      <c r="F39" s="43">
        <v>0</v>
      </c>
      <c r="G39" s="43">
        <v>0</v>
      </c>
      <c r="H39" s="45">
        <f>SUM(D39:G39)</f>
        <v>0</v>
      </c>
    </row>
    <row r="40" spans="1:8" ht="15.6" x14ac:dyDescent="0.3">
      <c r="A40" s="599"/>
      <c r="B40" s="579"/>
      <c r="C40" s="42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03">
        <f t="shared" si="9"/>
        <v>0</v>
      </c>
    </row>
    <row r="41" spans="1:8" ht="15.6" x14ac:dyDescent="0.3">
      <c r="A41" s="582" t="s">
        <v>138</v>
      </c>
      <c r="B41" s="583"/>
      <c r="C41" s="11" t="s">
        <v>31</v>
      </c>
      <c r="D41" s="41">
        <f>(D29*$B29)+(D31*$B31)+(D33*$B33)+(D35*$B35)+(D37*$B37)+(D39*$B39)</f>
        <v>1156295.1199999999</v>
      </c>
      <c r="E41" s="41">
        <f t="shared" ref="E41:G41" si="10">(E29*$B29)+(E31*$B31)+(E33*$B33)+(E35*$B35)+(E37*$B37)+(E39*$B39)</f>
        <v>9413618.2993999999</v>
      </c>
      <c r="F41" s="41">
        <f t="shared" si="10"/>
        <v>81081.67</v>
      </c>
      <c r="G41" s="41">
        <f t="shared" si="10"/>
        <v>109283.99</v>
      </c>
      <c r="H41" s="39">
        <f>SUM(D41:G41)</f>
        <v>10760279.079399999</v>
      </c>
    </row>
    <row r="42" spans="1:8" ht="15.6" x14ac:dyDescent="0.3">
      <c r="A42" s="608" t="s">
        <v>137</v>
      </c>
      <c r="B42" s="609"/>
      <c r="C42" s="42" t="s">
        <v>115</v>
      </c>
      <c r="D42" s="15">
        <f t="shared" ref="D42:H42" si="11">D41/D9</f>
        <v>6.3236322072921958</v>
      </c>
      <c r="E42" s="15">
        <f t="shared" si="11"/>
        <v>49.017262958546603</v>
      </c>
      <c r="F42" s="15">
        <f t="shared" si="11"/>
        <v>9.1981474758933626</v>
      </c>
      <c r="G42" s="15">
        <f t="shared" si="11"/>
        <v>13.417310006138736</v>
      </c>
      <c r="H42" s="44">
        <f t="shared" si="11"/>
        <v>27.45949849282907</v>
      </c>
    </row>
    <row r="43" spans="1:8" ht="15" thickBot="1" x14ac:dyDescent="0.35">
      <c r="A43" s="610" t="s">
        <v>136</v>
      </c>
      <c r="B43" s="611"/>
      <c r="C43" s="611"/>
      <c r="D43" s="611"/>
      <c r="E43" s="611"/>
      <c r="F43" s="611"/>
      <c r="G43" s="611"/>
      <c r="H43" s="612"/>
    </row>
    <row r="44" spans="1:8" ht="15.6" x14ac:dyDescent="0.3">
      <c r="A44" s="582" t="s">
        <v>135</v>
      </c>
      <c r="B44" s="583"/>
      <c r="C44" s="11" t="s">
        <v>134</v>
      </c>
      <c r="D44" s="188">
        <f>Balaka!M44+Balaka!N44+Balaka!O44</f>
        <v>35000</v>
      </c>
      <c r="E44" s="188">
        <f>Liwonde!M44+Liwonde!N44+Liwonde!O44</f>
        <v>246869.66999999993</v>
      </c>
      <c r="F44" s="188">
        <f>Machinga!M44+Machinga!N44+Machinga!O44</f>
        <v>1096</v>
      </c>
      <c r="G44" s="188">
        <f>Ntaja!M44+Ntaja!N44+Ntaja!O44</f>
        <v>12988</v>
      </c>
      <c r="H44" s="39">
        <f>SUM(D44:G44)</f>
        <v>295953.66999999993</v>
      </c>
    </row>
    <row r="45" spans="1:8" ht="16.2" thickBot="1" x14ac:dyDescent="0.35">
      <c r="A45" s="608" t="s">
        <v>133</v>
      </c>
      <c r="B45" s="609"/>
      <c r="C45" s="42" t="s">
        <v>132</v>
      </c>
      <c r="D45" s="15">
        <f t="shared" ref="D45:H45" si="12">D44/D9</f>
        <v>0.19141058664610369</v>
      </c>
      <c r="E45" s="15">
        <f t="shared" si="12"/>
        <v>1.2854648601644385</v>
      </c>
      <c r="F45" s="15">
        <f t="shared" si="12"/>
        <v>0.12433352240499149</v>
      </c>
      <c r="G45" s="15">
        <f t="shared" si="12"/>
        <v>1.594597912829957</v>
      </c>
      <c r="H45" s="103">
        <f t="shared" si="12"/>
        <v>0.75525358546419619</v>
      </c>
    </row>
    <row r="46" spans="1:8" ht="15.6" x14ac:dyDescent="0.3">
      <c r="A46" s="613" t="s">
        <v>131</v>
      </c>
      <c r="B46" s="614"/>
      <c r="C46" s="5" t="s">
        <v>31</v>
      </c>
      <c r="D46" s="188">
        <f>Balaka!M46+Balaka!N46+Balaka!O46</f>
        <v>9000000</v>
      </c>
      <c r="E46" s="188">
        <f>Liwonde!M46+Liwonde!N46+Liwonde!O46</f>
        <v>41329071.256424993</v>
      </c>
      <c r="F46" s="188">
        <f>Machinga!M46+Machinga!N46+Machinga!O46</f>
        <v>241243.54</v>
      </c>
      <c r="G46" s="188">
        <f>Ntaja!M46+Ntaja!N46+Ntaja!O46</f>
        <v>1472840.1825000001</v>
      </c>
      <c r="H46" s="39">
        <f>SUM(D46:G46)</f>
        <v>52043154.97892499</v>
      </c>
    </row>
    <row r="47" spans="1:8" s="2" customFormat="1" ht="15.6" x14ac:dyDescent="0.3">
      <c r="A47" s="582" t="s">
        <v>130</v>
      </c>
      <c r="B47" s="583"/>
      <c r="C47" s="11" t="s">
        <v>115</v>
      </c>
      <c r="D47" s="15">
        <f t="shared" ref="D47:H47" si="13">D46/D9</f>
        <v>49.219865137569521</v>
      </c>
      <c r="E47" s="15">
        <f t="shared" si="13"/>
        <v>215.20289958408614</v>
      </c>
      <c r="F47" s="15">
        <f t="shared" si="13"/>
        <v>27.367389676687466</v>
      </c>
      <c r="G47" s="15">
        <f t="shared" si="13"/>
        <v>180.82752394106816</v>
      </c>
      <c r="H47" s="103">
        <f t="shared" si="13"/>
        <v>132.81058280744395</v>
      </c>
    </row>
    <row r="48" spans="1:8" ht="15" thickBot="1" x14ac:dyDescent="0.35">
      <c r="A48" s="610" t="s">
        <v>129</v>
      </c>
      <c r="B48" s="611"/>
      <c r="C48" s="611"/>
      <c r="D48" s="611"/>
      <c r="E48" s="611"/>
      <c r="F48" s="611"/>
      <c r="G48" s="611"/>
      <c r="H48" s="612"/>
    </row>
    <row r="49" spans="1:8" ht="15.6" x14ac:dyDescent="0.3">
      <c r="A49" s="582" t="s">
        <v>128</v>
      </c>
      <c r="B49" s="583"/>
      <c r="C49" s="5" t="s">
        <v>127</v>
      </c>
      <c r="D49" s="191">
        <f>Balaka!M49+Balaka!N49+Balaka!O49</f>
        <v>0</v>
      </c>
      <c r="E49" s="191">
        <f>Liwonde!M49+Liwonde!N49+Liwonde!O49</f>
        <v>5807</v>
      </c>
      <c r="F49" s="191">
        <f>Machinga!M49+Machinga!N49+Machinga!O49</f>
        <v>0</v>
      </c>
      <c r="G49" s="191">
        <f>Ntaja!M49+Ntaja!N49+Ntaja!O49</f>
        <v>0</v>
      </c>
      <c r="H49" s="39">
        <f>SUM(D49:G49)</f>
        <v>5807</v>
      </c>
    </row>
    <row r="50" spans="1:8" ht="15.6" x14ac:dyDescent="0.3">
      <c r="A50" s="582" t="s">
        <v>187</v>
      </c>
      <c r="B50" s="583"/>
      <c r="C50" s="5" t="s">
        <v>126</v>
      </c>
      <c r="D50" s="26">
        <f>Balaka!M50+Balaka!N50+Balaka!O50</f>
        <v>0</v>
      </c>
      <c r="E50" s="26">
        <f>Liwonde!M50+Liwonde!N50+Liwonde!O50</f>
        <v>566.29</v>
      </c>
      <c r="F50" s="26">
        <f>Machinga!M50+Machinga!N50+Machinga!O50</f>
        <v>0</v>
      </c>
      <c r="G50" s="26">
        <f>Ntaja!M50+Ntaja!N50+Ntaja!O50</f>
        <v>20</v>
      </c>
      <c r="H50" s="39">
        <f>SUM(D50:G50)</f>
        <v>586.29</v>
      </c>
    </row>
    <row r="51" spans="1:8" ht="15.6" x14ac:dyDescent="0.3">
      <c r="A51" s="613" t="s">
        <v>125</v>
      </c>
      <c r="B51" s="614"/>
      <c r="C51" s="5" t="s">
        <v>31</v>
      </c>
      <c r="D51" s="4">
        <f>Balaka!M51+Balaka!N51+Balaka!O51</f>
        <v>782660</v>
      </c>
      <c r="E51" s="4">
        <f>Liwonde!M51+Liwonde!N51+Liwonde!O51</f>
        <v>2337380</v>
      </c>
      <c r="F51" s="4">
        <f>Machinga!M51+Machinga!N51+Machinga!O51</f>
        <v>0</v>
      </c>
      <c r="G51" s="4">
        <f>Ntaja!M51+Ntaja!N51+Ntaja!O51</f>
        <v>0</v>
      </c>
      <c r="H51" s="40">
        <f>SUM(D51:G51)</f>
        <v>3120040</v>
      </c>
    </row>
    <row r="52" spans="1:8" ht="15.6" x14ac:dyDescent="0.3">
      <c r="A52" s="582" t="s">
        <v>124</v>
      </c>
      <c r="B52" s="583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40">
        <f>SUM(D52:G52)</f>
        <v>0</v>
      </c>
    </row>
    <row r="53" spans="1:8" x14ac:dyDescent="0.3">
      <c r="A53" s="610" t="s">
        <v>123</v>
      </c>
      <c r="B53" s="611"/>
      <c r="C53" s="611"/>
      <c r="D53" s="611"/>
      <c r="E53" s="611"/>
      <c r="F53" s="611"/>
      <c r="G53" s="611"/>
      <c r="H53" s="612"/>
    </row>
    <row r="54" spans="1:8" ht="15.6" x14ac:dyDescent="0.3">
      <c r="A54" s="582" t="s">
        <v>122</v>
      </c>
      <c r="B54" s="583"/>
      <c r="C54" s="11" t="s">
        <v>18</v>
      </c>
      <c r="D54" s="26">
        <f>Balaka!M54+Balaka!N54+Balaka!O54</f>
        <v>23556776.740000002</v>
      </c>
      <c r="E54" s="26">
        <f>Liwonde!M54+Liwonde!N54+Liwonde!O54</f>
        <v>34706598.920000002</v>
      </c>
      <c r="F54" s="26">
        <f>Machinga!M54+Machinga!N54+Machinga!O54</f>
        <v>2588802.2799999998</v>
      </c>
      <c r="G54" s="26">
        <f>Ntaja!M54+Ntaja!N54+Ntaja!O54</f>
        <v>5610573.4900000002</v>
      </c>
      <c r="H54" s="39">
        <f>SUM(D54:G54)</f>
        <v>66462751.430000007</v>
      </c>
    </row>
    <row r="55" spans="1:8" ht="15.6" x14ac:dyDescent="0.3">
      <c r="A55" s="209" t="s">
        <v>121</v>
      </c>
      <c r="B55" s="210"/>
      <c r="C55" s="11" t="s">
        <v>18</v>
      </c>
      <c r="D55" s="26">
        <f>Balaka!M55+Balaka!N55+Balaka!O55</f>
        <v>6919430.4300000006</v>
      </c>
      <c r="E55" s="26">
        <f>Liwonde!M55+Liwonde!N55+Liwonde!O55</f>
        <v>10967840.199999999</v>
      </c>
      <c r="F55" s="26">
        <f>Machinga!M55+Machinga!N55+Machinga!O55</f>
        <v>798821.33000000007</v>
      </c>
      <c r="G55" s="26">
        <f>Ntaja!M55+Ntaja!N55+Ntaja!O55</f>
        <v>682693.39</v>
      </c>
      <c r="H55" s="39">
        <f>SUM(D55:G55)</f>
        <v>19368785.350000001</v>
      </c>
    </row>
    <row r="56" spans="1:8" ht="15.6" x14ac:dyDescent="0.3">
      <c r="A56" s="582" t="s">
        <v>120</v>
      </c>
      <c r="B56" s="583"/>
      <c r="C56" s="5" t="s">
        <v>18</v>
      </c>
      <c r="D56" s="26">
        <f>Balaka!M56+Balaka!N56+Balaka!O56</f>
        <v>39346838.619999997</v>
      </c>
      <c r="E56" s="26">
        <f>Liwonde!M56+Liwonde!N56+Liwonde!O56</f>
        <v>9249302.4600000009</v>
      </c>
      <c r="F56" s="26">
        <f>Machinga!M56+Machinga!N56+Machinga!O56</f>
        <v>770352.88</v>
      </c>
      <c r="G56" s="26">
        <f>Ntaja!M56+Ntaja!N56+Ntaja!O56</f>
        <v>413000</v>
      </c>
      <c r="H56" s="39">
        <f>SUM(D56:G56)</f>
        <v>49779493.960000001</v>
      </c>
    </row>
    <row r="57" spans="1:8" x14ac:dyDescent="0.3">
      <c r="A57" s="610" t="s">
        <v>119</v>
      </c>
      <c r="B57" s="611"/>
      <c r="C57" s="611"/>
      <c r="D57" s="611"/>
      <c r="E57" s="611"/>
      <c r="F57" s="611"/>
      <c r="G57" s="611"/>
      <c r="H57" s="612"/>
    </row>
    <row r="58" spans="1:8" ht="15.6" x14ac:dyDescent="0.3">
      <c r="A58" s="613" t="s">
        <v>118</v>
      </c>
      <c r="B58" s="614"/>
      <c r="C58" s="5" t="s">
        <v>18</v>
      </c>
      <c r="D58" s="13">
        <f>D41+D46+D51+D52+D54+D55+D56</f>
        <v>80762000.909999996</v>
      </c>
      <c r="E58" s="13">
        <f t="shared" ref="E58:G58" si="14">E41+E46+E51+E52+E54+E55+E56</f>
        <v>108003811.13582501</v>
      </c>
      <c r="F58" s="13">
        <f t="shared" si="14"/>
        <v>4480301.7</v>
      </c>
      <c r="G58" s="13">
        <f t="shared" si="14"/>
        <v>8288391.0525000002</v>
      </c>
      <c r="H58" s="64">
        <f>SUM(D58:G58)</f>
        <v>201534504.798325</v>
      </c>
    </row>
    <row r="59" spans="1:8" ht="15.6" x14ac:dyDescent="0.3">
      <c r="A59" s="613" t="s">
        <v>117</v>
      </c>
      <c r="B59" s="614"/>
      <c r="C59" s="5" t="s">
        <v>115</v>
      </c>
      <c r="D59" s="15">
        <f t="shared" ref="D59:H59" si="15">D58/D9</f>
        <v>441.67719922560741</v>
      </c>
      <c r="E59" s="15">
        <f t="shared" si="15"/>
        <v>562.38218319382759</v>
      </c>
      <c r="F59" s="15">
        <f t="shared" si="15"/>
        <v>508.2588428814521</v>
      </c>
      <c r="G59" s="15">
        <f t="shared" si="15"/>
        <v>1017.6047946593002</v>
      </c>
      <c r="H59" s="103">
        <f t="shared" si="15"/>
        <v>514.30231408749296</v>
      </c>
    </row>
    <row r="60" spans="1:8" ht="15.6" x14ac:dyDescent="0.3">
      <c r="A60" s="613" t="s">
        <v>116</v>
      </c>
      <c r="B60" s="614"/>
      <c r="C60" s="5" t="s">
        <v>115</v>
      </c>
      <c r="D60" s="15">
        <f>D58/D22</f>
        <v>641.68633876004094</v>
      </c>
      <c r="E60" s="15">
        <f t="shared" ref="E60:G60" si="16">E58/E22</f>
        <v>780.06830510735324</v>
      </c>
      <c r="F60" s="15">
        <f t="shared" si="16"/>
        <v>556.91342816797771</v>
      </c>
      <c r="G60" s="15">
        <f t="shared" si="16"/>
        <v>1138.0462793491693</v>
      </c>
      <c r="H60" s="104">
        <f>H58/H22</f>
        <v>720.68965235493931</v>
      </c>
    </row>
    <row r="61" spans="1:8" ht="15.6" x14ac:dyDescent="0.3">
      <c r="A61" s="582" t="s">
        <v>114</v>
      </c>
      <c r="B61" s="583"/>
      <c r="C61" s="5" t="s">
        <v>3</v>
      </c>
      <c r="D61" s="4"/>
      <c r="E61" s="4"/>
      <c r="F61" s="4"/>
      <c r="G61" s="4"/>
      <c r="H61" s="9">
        <f>SUM(D61:G61)</f>
        <v>0</v>
      </c>
    </row>
    <row r="62" spans="1:8" ht="15.6" customHeight="1" x14ac:dyDescent="0.3">
      <c r="A62" s="613" t="s">
        <v>113</v>
      </c>
      <c r="B62" s="614"/>
      <c r="C62" s="5" t="s">
        <v>112</v>
      </c>
      <c r="D62" s="15">
        <f t="shared" ref="D62:H62" si="17">(D61*1000*31)/D9</f>
        <v>0</v>
      </c>
      <c r="E62" s="15">
        <f t="shared" si="17"/>
        <v>0</v>
      </c>
      <c r="F62" s="15">
        <f t="shared" si="17"/>
        <v>0</v>
      </c>
      <c r="G62" s="15">
        <f t="shared" si="17"/>
        <v>0</v>
      </c>
      <c r="H62" s="103">
        <f t="shared" si="17"/>
        <v>0</v>
      </c>
    </row>
    <row r="63" spans="1:8" ht="15.6" x14ac:dyDescent="0.3">
      <c r="A63" s="627" t="s">
        <v>111</v>
      </c>
      <c r="B63" s="628"/>
      <c r="C63" s="38" t="s">
        <v>3</v>
      </c>
      <c r="D63" s="4"/>
      <c r="E63" s="4"/>
      <c r="F63" s="4"/>
      <c r="G63" s="4"/>
      <c r="H63" s="9">
        <f>SUM(D63:G63)</f>
        <v>0</v>
      </c>
    </row>
    <row r="64" spans="1:8" x14ac:dyDescent="0.3">
      <c r="A64" s="668"/>
      <c r="B64" s="669"/>
      <c r="C64" s="669"/>
      <c r="D64" s="669"/>
      <c r="E64" s="669"/>
      <c r="F64" s="669"/>
      <c r="G64" s="669"/>
      <c r="H64" s="670"/>
    </row>
    <row r="65" spans="1:8" ht="14.4" customHeight="1" x14ac:dyDescent="0.3">
      <c r="A65" s="610" t="s">
        <v>110</v>
      </c>
      <c r="B65" s="611"/>
      <c r="C65" s="611"/>
      <c r="D65" s="611"/>
      <c r="E65" s="611"/>
      <c r="F65" s="611"/>
      <c r="G65" s="611"/>
      <c r="H65" s="612"/>
    </row>
    <row r="66" spans="1:8" ht="15.6" x14ac:dyDescent="0.3">
      <c r="A66" s="615" t="s">
        <v>109</v>
      </c>
      <c r="B66" s="37" t="s">
        <v>85</v>
      </c>
      <c r="C66" s="5" t="s">
        <v>3</v>
      </c>
      <c r="D66" s="34">
        <f>Balaka!M66</f>
        <v>408</v>
      </c>
      <c r="E66" s="34">
        <f>Liwonde!M66</f>
        <v>339</v>
      </c>
      <c r="F66" s="34">
        <f>Machinga!M66</f>
        <v>11</v>
      </c>
      <c r="G66" s="34">
        <f>Ntaja!M66</f>
        <v>59</v>
      </c>
      <c r="H66" s="35">
        <f>SUM(D66:G66)</f>
        <v>817</v>
      </c>
    </row>
    <row r="67" spans="1:8" ht="15.6" x14ac:dyDescent="0.3">
      <c r="A67" s="616"/>
      <c r="B67" s="24" t="s">
        <v>104</v>
      </c>
      <c r="C67" s="5" t="s">
        <v>3</v>
      </c>
      <c r="D67" s="26">
        <f>Balaka!M67+Balaka!N67+Balaka!O67</f>
        <v>110</v>
      </c>
      <c r="E67" s="26">
        <f>Liwonde!M67+Liwonde!N67+Liwonde!O67</f>
        <v>84</v>
      </c>
      <c r="F67" s="26">
        <f>Machinga!M67+Machinga!N67+Machinga!O67</f>
        <v>8</v>
      </c>
      <c r="G67" s="26">
        <f>Ntaja!M67+Ntaja!N67+Ntaja!O67</f>
        <v>15</v>
      </c>
      <c r="H67" s="35">
        <f>SUM(D67:G67)</f>
        <v>217</v>
      </c>
    </row>
    <row r="68" spans="1:8" ht="27" x14ac:dyDescent="0.3">
      <c r="A68" s="616"/>
      <c r="B68" s="24" t="s">
        <v>103</v>
      </c>
      <c r="C68" s="5" t="s">
        <v>3</v>
      </c>
      <c r="D68" s="26">
        <f>Balaka!M68+Balaka!N68+Balaka!O68</f>
        <v>77</v>
      </c>
      <c r="E68" s="26">
        <f>Liwonde!M68+Liwonde!N68+Liwonde!O68</f>
        <v>69</v>
      </c>
      <c r="F68" s="26">
        <f>Machinga!M68+Machinga!N68+Machinga!O68</f>
        <v>8</v>
      </c>
      <c r="G68" s="26">
        <f>Ntaja!M68+Ntaja!N68+Ntaja!O68</f>
        <v>4</v>
      </c>
      <c r="H68" s="35">
        <f>SUM(D68:G68)</f>
        <v>158</v>
      </c>
    </row>
    <row r="69" spans="1:8" s="2" customFormat="1" ht="27" x14ac:dyDescent="0.3">
      <c r="A69" s="616"/>
      <c r="B69" s="24" t="s">
        <v>102</v>
      </c>
      <c r="C69" s="11" t="s">
        <v>3</v>
      </c>
      <c r="D69" s="26">
        <f>Balaka!M69+Balaka!N69+Balaka!O69</f>
        <v>0</v>
      </c>
      <c r="E69" s="26">
        <f>Liwonde!M69+Liwonde!N69+Liwonde!O69</f>
        <v>0</v>
      </c>
      <c r="F69" s="26">
        <f>Machinga!M69+Machinga!N69+Machinga!O69</f>
        <v>0</v>
      </c>
      <c r="G69" s="26">
        <f>Ntaja!M69+Ntaja!N69+Ntaja!O69</f>
        <v>3</v>
      </c>
      <c r="H69" s="74">
        <f>SUM(D69:G69)</f>
        <v>3</v>
      </c>
    </row>
    <row r="70" spans="1:8" s="2" customFormat="1" ht="15.6" x14ac:dyDescent="0.3">
      <c r="A70" s="616"/>
      <c r="B70" s="24" t="s">
        <v>188</v>
      </c>
      <c r="C70" s="11" t="s">
        <v>3</v>
      </c>
      <c r="D70" s="4">
        <f>D68+D69</f>
        <v>77</v>
      </c>
      <c r="E70" s="4">
        <f t="shared" ref="E70:H70" si="18">E68+E69</f>
        <v>69</v>
      </c>
      <c r="F70" s="4">
        <f t="shared" si="18"/>
        <v>8</v>
      </c>
      <c r="G70" s="4">
        <f t="shared" si="18"/>
        <v>7</v>
      </c>
      <c r="H70" s="105">
        <f t="shared" si="18"/>
        <v>161</v>
      </c>
    </row>
    <row r="71" spans="1:8" ht="15.6" x14ac:dyDescent="0.3">
      <c r="A71" s="617"/>
      <c r="B71" s="37" t="s">
        <v>81</v>
      </c>
      <c r="C71" s="5" t="s">
        <v>3</v>
      </c>
      <c r="D71" s="34">
        <f>D66+D67-D70</f>
        <v>441</v>
      </c>
      <c r="E71" s="34">
        <f t="shared" ref="E71:G71" si="19">E66+E67-E70</f>
        <v>354</v>
      </c>
      <c r="F71" s="34">
        <f t="shared" si="19"/>
        <v>11</v>
      </c>
      <c r="G71" s="34">
        <f t="shared" si="19"/>
        <v>67</v>
      </c>
      <c r="H71" s="55">
        <f>H66+H67-H70</f>
        <v>873</v>
      </c>
    </row>
    <row r="72" spans="1:8" ht="15.6" x14ac:dyDescent="0.3">
      <c r="A72" s="615" t="s">
        <v>108</v>
      </c>
      <c r="B72" s="37" t="s">
        <v>85</v>
      </c>
      <c r="C72" s="5" t="s">
        <v>3</v>
      </c>
      <c r="D72" s="34">
        <f>Balaka!M72</f>
        <v>0</v>
      </c>
      <c r="E72" s="34">
        <f>Liwonde!M72</f>
        <v>0</v>
      </c>
      <c r="F72" s="34">
        <f>Machinga!M72</f>
        <v>0</v>
      </c>
      <c r="G72" s="34">
        <f>Ntaja!M72</f>
        <v>0</v>
      </c>
      <c r="H72" s="35">
        <f>SUM(D72:G72)</f>
        <v>0</v>
      </c>
    </row>
    <row r="73" spans="1:8" ht="15.6" x14ac:dyDescent="0.3">
      <c r="A73" s="616"/>
      <c r="B73" s="24" t="s">
        <v>104</v>
      </c>
      <c r="C73" s="5" t="s">
        <v>3</v>
      </c>
      <c r="D73" s="26">
        <f>Balaka!M73+Balaka!N73+Balaka!O73</f>
        <v>0</v>
      </c>
      <c r="E73" s="26">
        <f>Liwonde!M73+Liwonde!N73+Liwonde!O73</f>
        <v>0</v>
      </c>
      <c r="F73" s="26">
        <f>Machinga!M73+Machinga!N73+Machinga!O73</f>
        <v>1</v>
      </c>
      <c r="G73" s="26">
        <f>Ntaja!M73+Ntaja!N73+Ntaja!O73</f>
        <v>0</v>
      </c>
      <c r="H73" s="35">
        <f>SUM(D73:G73)</f>
        <v>1</v>
      </c>
    </row>
    <row r="74" spans="1:8" ht="27" x14ac:dyDescent="0.3">
      <c r="A74" s="616"/>
      <c r="B74" s="24" t="s">
        <v>103</v>
      </c>
      <c r="C74" s="5" t="s">
        <v>3</v>
      </c>
      <c r="D74" s="26">
        <f>Balaka!M74+Balaka!N74+Balaka!O74</f>
        <v>0</v>
      </c>
      <c r="E74" s="26">
        <f>Liwonde!M74+Liwonde!N74+Liwonde!O74</f>
        <v>0</v>
      </c>
      <c r="F74" s="26">
        <f>Machinga!M74+Machinga!N74+Machinga!O74</f>
        <v>1</v>
      </c>
      <c r="G74" s="26">
        <f>Ntaja!M74+Ntaja!N74+Ntaja!O74</f>
        <v>0</v>
      </c>
      <c r="H74" s="35">
        <f>SUM(D74:G74)</f>
        <v>1</v>
      </c>
    </row>
    <row r="75" spans="1:8" s="2" customFormat="1" ht="27" x14ac:dyDescent="0.3">
      <c r="A75" s="616"/>
      <c r="B75" s="24" t="s">
        <v>102</v>
      </c>
      <c r="C75" s="11" t="s">
        <v>3</v>
      </c>
      <c r="D75" s="26">
        <f>Balaka!M75+Balaka!N75+Balaka!O75</f>
        <v>0</v>
      </c>
      <c r="E75" s="26">
        <f>Liwonde!M75+Liwonde!N75+Liwonde!O75</f>
        <v>0</v>
      </c>
      <c r="F75" s="26">
        <f>Machinga!M75+Machinga!N75+Machinga!O75</f>
        <v>0</v>
      </c>
      <c r="G75" s="26">
        <f>Ntaja!M75+Ntaja!N75+Ntaja!O75</f>
        <v>0</v>
      </c>
      <c r="H75" s="35">
        <f>SUM(D75:G75)</f>
        <v>0</v>
      </c>
    </row>
    <row r="76" spans="1:8" s="2" customFormat="1" ht="15.6" x14ac:dyDescent="0.3">
      <c r="A76" s="616"/>
      <c r="B76" s="24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1</v>
      </c>
      <c r="G76" s="4">
        <f t="shared" si="20"/>
        <v>0</v>
      </c>
      <c r="H76" s="105">
        <f t="shared" si="20"/>
        <v>1</v>
      </c>
    </row>
    <row r="77" spans="1:8" ht="15.6" x14ac:dyDescent="0.3">
      <c r="A77" s="617"/>
      <c r="B77" s="37" t="s">
        <v>81</v>
      </c>
      <c r="C77" s="5" t="s">
        <v>3</v>
      </c>
      <c r="D77" s="34">
        <f>D72+D73-D76</f>
        <v>0</v>
      </c>
      <c r="E77" s="34">
        <f t="shared" ref="E77:G77" si="21">E72+E73-E76</f>
        <v>0</v>
      </c>
      <c r="F77" s="34">
        <f t="shared" si="21"/>
        <v>0</v>
      </c>
      <c r="G77" s="34">
        <f t="shared" si="21"/>
        <v>0</v>
      </c>
      <c r="H77" s="106">
        <f t="shared" ref="H77" si="22">H73+H74-H76</f>
        <v>1</v>
      </c>
    </row>
    <row r="78" spans="1:8" ht="15.6" customHeight="1" x14ac:dyDescent="0.3">
      <c r="A78" s="615" t="s">
        <v>107</v>
      </c>
      <c r="B78" s="37" t="s">
        <v>85</v>
      </c>
      <c r="C78" s="5" t="s">
        <v>3</v>
      </c>
      <c r="D78" s="34">
        <f>Balaka!M78</f>
        <v>0</v>
      </c>
      <c r="E78" s="34">
        <f>Liwonde!M78</f>
        <v>0</v>
      </c>
      <c r="F78" s="34">
        <f>Machinga!M78</f>
        <v>0</v>
      </c>
      <c r="G78" s="34">
        <f>Ntaja!M78</f>
        <v>0</v>
      </c>
      <c r="H78" s="35">
        <f>SUM(D78:G78)</f>
        <v>0</v>
      </c>
    </row>
    <row r="79" spans="1:8" ht="15.6" x14ac:dyDescent="0.3">
      <c r="A79" s="616"/>
      <c r="B79" s="24" t="s">
        <v>104</v>
      </c>
      <c r="C79" s="5" t="s">
        <v>3</v>
      </c>
      <c r="D79" s="26">
        <f>Balaka!M79+Balaka!N79+Balaka!O79</f>
        <v>0</v>
      </c>
      <c r="E79" s="26">
        <f>Liwonde!M79+Liwonde!N79+Liwonde!O79</f>
        <v>0</v>
      </c>
      <c r="F79" s="26">
        <f>Machinga!M79+Machinga!N79+Machinga!O79</f>
        <v>0</v>
      </c>
      <c r="G79" s="26">
        <f>Ntaja!M79+Ntaja!N79+Ntaja!O79</f>
        <v>0</v>
      </c>
      <c r="H79" s="35">
        <f>SUM(D79:G79)</f>
        <v>0</v>
      </c>
    </row>
    <row r="80" spans="1:8" ht="27" x14ac:dyDescent="0.3">
      <c r="A80" s="616"/>
      <c r="B80" s="24" t="s">
        <v>103</v>
      </c>
      <c r="C80" s="5" t="s">
        <v>3</v>
      </c>
      <c r="D80" s="26">
        <f>Balaka!M80+Balaka!N80+Balaka!O80</f>
        <v>0</v>
      </c>
      <c r="E80" s="26">
        <f>Liwonde!M80+Liwonde!N80+Liwonde!O80</f>
        <v>0</v>
      </c>
      <c r="F80" s="26">
        <f>Machinga!M80+Machinga!N80+Machinga!O80</f>
        <v>0</v>
      </c>
      <c r="G80" s="26">
        <f>Ntaja!M80+Ntaja!N80+Ntaja!O80</f>
        <v>0</v>
      </c>
      <c r="H80" s="35">
        <f>SUM(D80:G80)</f>
        <v>0</v>
      </c>
    </row>
    <row r="81" spans="1:8" s="2" customFormat="1" ht="27" x14ac:dyDescent="0.3">
      <c r="A81" s="616"/>
      <c r="B81" s="24" t="s">
        <v>102</v>
      </c>
      <c r="C81" s="11" t="s">
        <v>3</v>
      </c>
      <c r="D81" s="26">
        <f>Balaka!M81+Balaka!N81+Balaka!O81</f>
        <v>0</v>
      </c>
      <c r="E81" s="26">
        <f>Liwonde!M81+Liwonde!N81+Liwonde!O81</f>
        <v>0</v>
      </c>
      <c r="F81" s="26">
        <f>Machinga!M81+Machinga!N81+Machinga!O81</f>
        <v>0</v>
      </c>
      <c r="G81" s="26">
        <f>Ntaja!M81+Ntaja!N81+Ntaja!O81</f>
        <v>0</v>
      </c>
      <c r="H81" s="74">
        <f>SUM(D81:G81)</f>
        <v>0</v>
      </c>
    </row>
    <row r="82" spans="1:8" s="2" customFormat="1" ht="15.6" x14ac:dyDescent="0.3">
      <c r="A82" s="616"/>
      <c r="B82" s="24" t="s">
        <v>188</v>
      </c>
      <c r="C82" s="11" t="s">
        <v>3</v>
      </c>
      <c r="D82" s="4">
        <f>D80+D81</f>
        <v>0</v>
      </c>
      <c r="E82" s="4">
        <f t="shared" ref="E82:G82" si="23">E80+E81</f>
        <v>0</v>
      </c>
      <c r="F82" s="4">
        <f t="shared" si="23"/>
        <v>0</v>
      </c>
      <c r="G82" s="4">
        <f t="shared" si="23"/>
        <v>0</v>
      </c>
      <c r="H82" s="105">
        <f t="shared" ref="H82" si="24">H81+H80</f>
        <v>0</v>
      </c>
    </row>
    <row r="83" spans="1:8" ht="15.6" x14ac:dyDescent="0.3">
      <c r="A83" s="617"/>
      <c r="B83" s="37" t="s">
        <v>81</v>
      </c>
      <c r="C83" s="5" t="s">
        <v>3</v>
      </c>
      <c r="D83" s="34">
        <f>D78+D79-D82</f>
        <v>0</v>
      </c>
      <c r="E83" s="34">
        <f t="shared" ref="E83:H83" si="25">E78+E79-E82</f>
        <v>0</v>
      </c>
      <c r="F83" s="34">
        <f t="shared" si="25"/>
        <v>0</v>
      </c>
      <c r="G83" s="34">
        <f t="shared" si="25"/>
        <v>0</v>
      </c>
      <c r="H83" s="106">
        <f t="shared" si="25"/>
        <v>0</v>
      </c>
    </row>
    <row r="84" spans="1:8" ht="15.6" x14ac:dyDescent="0.3">
      <c r="A84" s="618" t="s">
        <v>106</v>
      </c>
      <c r="B84" s="37" t="s">
        <v>85</v>
      </c>
      <c r="C84" s="5" t="s">
        <v>3</v>
      </c>
      <c r="D84" s="34">
        <f>Balaka!M84</f>
        <v>0</v>
      </c>
      <c r="E84" s="34">
        <f>Liwonde!M84</f>
        <v>0</v>
      </c>
      <c r="F84" s="34">
        <f>Machinga!M84</f>
        <v>0</v>
      </c>
      <c r="G84" s="34">
        <f>Ntaja!M84</f>
        <v>0</v>
      </c>
      <c r="H84" s="35">
        <f>SUM(D84:G84)</f>
        <v>0</v>
      </c>
    </row>
    <row r="85" spans="1:8" ht="15.6" x14ac:dyDescent="0.3">
      <c r="A85" s="619"/>
      <c r="B85" s="37" t="s">
        <v>104</v>
      </c>
      <c r="C85" s="5" t="s">
        <v>3</v>
      </c>
      <c r="D85" s="26">
        <f>Balaka!M85+Balaka!N85+Balaka!O85</f>
        <v>0</v>
      </c>
      <c r="E85" s="26">
        <f>Liwonde!M85+Liwonde!N85+Liwonde!O85</f>
        <v>0</v>
      </c>
      <c r="F85" s="26">
        <f>Machinga!M85+Machinga!N85+Machinga!O85</f>
        <v>0</v>
      </c>
      <c r="G85" s="26">
        <f>Ntaja!M85+Ntaja!N85+Ntaja!O85</f>
        <v>0</v>
      </c>
      <c r="H85" s="35">
        <f>SUM(D85:G85)</f>
        <v>0</v>
      </c>
    </row>
    <row r="86" spans="1:8" ht="27" x14ac:dyDescent="0.3">
      <c r="A86" s="619"/>
      <c r="B86" s="37" t="s">
        <v>103</v>
      </c>
      <c r="C86" s="5" t="s">
        <v>3</v>
      </c>
      <c r="D86" s="26">
        <f>Balaka!M86+Balaka!N86+Balaka!O86</f>
        <v>0</v>
      </c>
      <c r="E86" s="26">
        <f>Liwonde!M86+Liwonde!N86+Liwonde!O86</f>
        <v>0</v>
      </c>
      <c r="F86" s="26">
        <f>Machinga!M86+Machinga!N86+Machinga!O86</f>
        <v>0</v>
      </c>
      <c r="G86" s="26">
        <f>Ntaja!M86+Ntaja!N86+Ntaja!O86</f>
        <v>0</v>
      </c>
      <c r="H86" s="35">
        <f>SUM(D86:G86)</f>
        <v>0</v>
      </c>
    </row>
    <row r="87" spans="1:8" s="2" customFormat="1" ht="27" x14ac:dyDescent="0.3">
      <c r="A87" s="619"/>
      <c r="B87" s="24" t="s">
        <v>102</v>
      </c>
      <c r="C87" s="11" t="s">
        <v>3</v>
      </c>
      <c r="D87" s="26">
        <f>Balaka!M87+Balaka!N87+Balaka!O87</f>
        <v>0</v>
      </c>
      <c r="E87" s="26">
        <f>Liwonde!M87+Liwonde!N87+Liwonde!O87</f>
        <v>0</v>
      </c>
      <c r="F87" s="26">
        <f>Machinga!M87+Machinga!N87+Machinga!O87</f>
        <v>0</v>
      </c>
      <c r="G87" s="26">
        <f>Ntaja!M87+Ntaja!N87+Ntaja!O87</f>
        <v>0</v>
      </c>
      <c r="H87" s="74">
        <f>SUM(D87:G87)</f>
        <v>0</v>
      </c>
    </row>
    <row r="88" spans="1:8" s="2" customFormat="1" ht="15.6" x14ac:dyDescent="0.3">
      <c r="A88" s="619"/>
      <c r="B88" s="24" t="s">
        <v>188</v>
      </c>
      <c r="C88" s="11" t="s">
        <v>3</v>
      </c>
      <c r="D88" s="4">
        <f>D86+D87</f>
        <v>0</v>
      </c>
      <c r="E88" s="4">
        <f t="shared" ref="E88:G88" si="26">E86+E87</f>
        <v>0</v>
      </c>
      <c r="F88" s="4">
        <f t="shared" si="26"/>
        <v>0</v>
      </c>
      <c r="G88" s="4">
        <f t="shared" si="26"/>
        <v>0</v>
      </c>
      <c r="H88" s="74"/>
    </row>
    <row r="89" spans="1:8" ht="15.6" x14ac:dyDescent="0.3">
      <c r="A89" s="620"/>
      <c r="B89" s="36" t="s">
        <v>81</v>
      </c>
      <c r="C89" s="5" t="s">
        <v>3</v>
      </c>
      <c r="D89" s="34">
        <f>D84+D85-D88</f>
        <v>0</v>
      </c>
      <c r="E89" s="34">
        <f t="shared" ref="E89:G89" si="27">E84+E85-E88</f>
        <v>0</v>
      </c>
      <c r="F89" s="34">
        <f t="shared" si="27"/>
        <v>0</v>
      </c>
      <c r="G89" s="34">
        <f t="shared" si="27"/>
        <v>0</v>
      </c>
      <c r="H89" s="106">
        <f t="shared" ref="H89" si="28">H84+H85-H86-H87</f>
        <v>0</v>
      </c>
    </row>
    <row r="90" spans="1:8" ht="15.6" x14ac:dyDescent="0.3">
      <c r="A90" s="621" t="s">
        <v>105</v>
      </c>
      <c r="B90" s="24" t="s">
        <v>85</v>
      </c>
      <c r="C90" s="11" t="s">
        <v>3</v>
      </c>
      <c r="D90" s="136">
        <f>D66+D72+D78+D84</f>
        <v>408</v>
      </c>
      <c r="E90" s="136">
        <f t="shared" ref="E90:G90" si="29">E66+E72+E78+E84</f>
        <v>339</v>
      </c>
      <c r="F90" s="136">
        <f t="shared" si="29"/>
        <v>11</v>
      </c>
      <c r="G90" s="136">
        <f t="shared" si="29"/>
        <v>59</v>
      </c>
      <c r="H90" s="35">
        <f>SUM(D90:G90)</f>
        <v>817</v>
      </c>
    </row>
    <row r="91" spans="1:8" ht="15.6" x14ac:dyDescent="0.3">
      <c r="A91" s="622"/>
      <c r="B91" s="24" t="s">
        <v>104</v>
      </c>
      <c r="C91" s="11" t="s">
        <v>3</v>
      </c>
      <c r="D91" s="136">
        <f t="shared" ref="D91:G93" si="30">D67+D73+D79+D85</f>
        <v>110</v>
      </c>
      <c r="E91" s="136">
        <f t="shared" si="30"/>
        <v>84</v>
      </c>
      <c r="F91" s="136">
        <f t="shared" si="30"/>
        <v>9</v>
      </c>
      <c r="G91" s="136">
        <f t="shared" si="30"/>
        <v>15</v>
      </c>
      <c r="H91" s="35">
        <f>SUM(D91:G91)</f>
        <v>218</v>
      </c>
    </row>
    <row r="92" spans="1:8" ht="27" x14ac:dyDescent="0.3">
      <c r="A92" s="622"/>
      <c r="B92" s="24" t="s">
        <v>103</v>
      </c>
      <c r="C92" s="11" t="s">
        <v>3</v>
      </c>
      <c r="D92" s="136">
        <f t="shared" si="30"/>
        <v>77</v>
      </c>
      <c r="E92" s="136">
        <f t="shared" si="30"/>
        <v>69</v>
      </c>
      <c r="F92" s="136">
        <f t="shared" si="30"/>
        <v>9</v>
      </c>
      <c r="G92" s="136">
        <f t="shared" si="30"/>
        <v>4</v>
      </c>
      <c r="H92" s="35">
        <f>SUM(D92:G92)</f>
        <v>159</v>
      </c>
    </row>
    <row r="93" spans="1:8" s="2" customFormat="1" ht="27" x14ac:dyDescent="0.3">
      <c r="A93" s="622"/>
      <c r="B93" s="24" t="s">
        <v>102</v>
      </c>
      <c r="C93" s="11"/>
      <c r="D93" s="136">
        <f t="shared" si="30"/>
        <v>0</v>
      </c>
      <c r="E93" s="136">
        <f t="shared" si="30"/>
        <v>0</v>
      </c>
      <c r="F93" s="136">
        <f t="shared" si="30"/>
        <v>0</v>
      </c>
      <c r="G93" s="136">
        <f t="shared" si="30"/>
        <v>3</v>
      </c>
      <c r="H93" s="35">
        <f>SUM(D93:G93)</f>
        <v>3</v>
      </c>
    </row>
    <row r="94" spans="1:8" s="2" customFormat="1" ht="15.6" x14ac:dyDescent="0.3">
      <c r="A94" s="622"/>
      <c r="B94" s="24" t="s">
        <v>188</v>
      </c>
      <c r="C94" s="11" t="s">
        <v>3</v>
      </c>
      <c r="D94" s="137">
        <f>D93+D92</f>
        <v>77</v>
      </c>
      <c r="E94" s="137">
        <f t="shared" ref="E94:H94" si="31">E93+E92</f>
        <v>69</v>
      </c>
      <c r="F94" s="137">
        <f t="shared" si="31"/>
        <v>9</v>
      </c>
      <c r="G94" s="137">
        <f t="shared" si="31"/>
        <v>7</v>
      </c>
      <c r="H94" s="107">
        <f t="shared" si="31"/>
        <v>162</v>
      </c>
    </row>
    <row r="95" spans="1:8" ht="16.2" thickBot="1" x14ac:dyDescent="0.35">
      <c r="A95" s="623"/>
      <c r="B95" s="24" t="s">
        <v>81</v>
      </c>
      <c r="C95" s="11" t="s">
        <v>3</v>
      </c>
      <c r="D95" s="138">
        <f>D90+D91-D94</f>
        <v>441</v>
      </c>
      <c r="E95" s="138">
        <f t="shared" ref="E95:H95" si="32">E90+E91-E94</f>
        <v>354</v>
      </c>
      <c r="F95" s="138">
        <f t="shared" si="32"/>
        <v>11</v>
      </c>
      <c r="G95" s="138">
        <f t="shared" si="32"/>
        <v>67</v>
      </c>
      <c r="H95" s="145">
        <f t="shared" si="32"/>
        <v>873</v>
      </c>
    </row>
    <row r="96" spans="1:8" ht="16.2" customHeight="1" thickBot="1" x14ac:dyDescent="0.35">
      <c r="A96" s="671"/>
      <c r="B96" s="672"/>
      <c r="C96" s="672"/>
      <c r="D96" s="672"/>
      <c r="E96" s="672"/>
      <c r="F96" s="672"/>
      <c r="G96" s="672"/>
      <c r="H96" s="673"/>
    </row>
    <row r="97" spans="1:8" s="2" customFormat="1" ht="15.75" customHeight="1" thickBot="1" x14ac:dyDescent="0.35">
      <c r="A97" s="624" t="s">
        <v>189</v>
      </c>
      <c r="B97" s="625"/>
      <c r="C97" s="625"/>
      <c r="D97" s="625"/>
      <c r="E97" s="625"/>
      <c r="F97" s="625"/>
      <c r="G97" s="625"/>
      <c r="H97" s="626"/>
    </row>
    <row r="98" spans="1:8" ht="15.6" x14ac:dyDescent="0.3">
      <c r="A98" s="88" t="s">
        <v>190</v>
      </c>
      <c r="B98" s="69"/>
      <c r="C98" s="11" t="s">
        <v>3</v>
      </c>
      <c r="D98" s="26">
        <f>Balaka!M98+Balaka!N98+Balaka!O98</f>
        <v>2799</v>
      </c>
      <c r="E98" s="26">
        <f>Liwonde!M98+Liwonde!N98+Liwonde!O98</f>
        <v>2157</v>
      </c>
      <c r="F98" s="26">
        <f>Machinga!M98+Machinga!N98+Machinga!O98</f>
        <v>417</v>
      </c>
      <c r="G98" s="26">
        <f>Ntaja!M98+Ntaja!N98+Ntaja!O98</f>
        <v>54</v>
      </c>
      <c r="H98" s="108">
        <f>SUM(D98:G98)</f>
        <v>5427</v>
      </c>
    </row>
    <row r="99" spans="1:8" ht="15.6" x14ac:dyDescent="0.3">
      <c r="A99" s="88"/>
      <c r="B99" s="24"/>
      <c r="C99" s="11"/>
      <c r="D99" s="65"/>
      <c r="E99" s="65"/>
      <c r="F99" s="65"/>
      <c r="G99" s="65"/>
      <c r="H99" s="107"/>
    </row>
    <row r="100" spans="1:8" s="2" customFormat="1" x14ac:dyDescent="0.3">
      <c r="A100" s="635" t="s">
        <v>101</v>
      </c>
      <c r="B100" s="636"/>
      <c r="C100" s="636"/>
      <c r="D100" s="636"/>
      <c r="E100" s="636"/>
      <c r="F100" s="636"/>
      <c r="G100" s="636"/>
      <c r="H100" s="637"/>
    </row>
    <row r="101" spans="1:8" ht="15.6" x14ac:dyDescent="0.3">
      <c r="A101" s="582" t="s">
        <v>100</v>
      </c>
      <c r="B101" s="583"/>
      <c r="C101" s="11" t="s">
        <v>3</v>
      </c>
      <c r="D101" s="26">
        <f>Balaka!O101</f>
        <v>2275</v>
      </c>
      <c r="E101" s="26">
        <f>Liwonde!O101</f>
        <v>1388</v>
      </c>
      <c r="F101" s="26">
        <f>Machinga!O101</f>
        <v>0</v>
      </c>
      <c r="G101" s="26">
        <f>Ntaja!O101</f>
        <v>12</v>
      </c>
      <c r="H101" s="32">
        <f>SUM(D101:G101)</f>
        <v>3675</v>
      </c>
    </row>
    <row r="102" spans="1:8" ht="15.6" x14ac:dyDescent="0.3">
      <c r="A102" s="582" t="s">
        <v>99</v>
      </c>
      <c r="B102" s="583"/>
      <c r="C102" s="11" t="s">
        <v>3</v>
      </c>
      <c r="D102" s="26">
        <f>Balaka!O102</f>
        <v>43</v>
      </c>
      <c r="E102" s="26">
        <f>Liwonde!O102</f>
        <v>39</v>
      </c>
      <c r="F102" s="26">
        <f>Machinga!O102</f>
        <v>0</v>
      </c>
      <c r="G102" s="26">
        <f>Ntaja!O102</f>
        <v>0</v>
      </c>
      <c r="H102" s="32">
        <f>SUM(D102:G102)</f>
        <v>82</v>
      </c>
    </row>
    <row r="103" spans="1:8" ht="15.6" customHeight="1" x14ac:dyDescent="0.3">
      <c r="A103" s="589" t="s">
        <v>98</v>
      </c>
      <c r="B103" s="590"/>
      <c r="C103" s="11" t="s">
        <v>3</v>
      </c>
      <c r="D103" s="26">
        <f>Balaka!O103</f>
        <v>118</v>
      </c>
      <c r="E103" s="26">
        <f>Liwonde!O103</f>
        <v>66</v>
      </c>
      <c r="F103" s="26">
        <f>Machinga!O103</f>
        <v>0</v>
      </c>
      <c r="G103" s="26">
        <f>Ntaja!O103</f>
        <v>2</v>
      </c>
      <c r="H103" s="32">
        <f>SUM(D103:G103)</f>
        <v>186</v>
      </c>
    </row>
    <row r="104" spans="1:8" ht="15.6" x14ac:dyDescent="0.3">
      <c r="A104" s="589" t="s">
        <v>97</v>
      </c>
      <c r="B104" s="590"/>
      <c r="C104" s="11" t="s">
        <v>3</v>
      </c>
      <c r="D104" s="26">
        <f>Balaka!O104</f>
        <v>17</v>
      </c>
      <c r="E104" s="26">
        <f>Liwonde!O104</f>
        <v>15</v>
      </c>
      <c r="F104" s="26">
        <f>Machinga!O104</f>
        <v>0</v>
      </c>
      <c r="G104" s="26">
        <f>Ntaja!O104</f>
        <v>15</v>
      </c>
      <c r="H104" s="32">
        <f>SUM(D104:G104)</f>
        <v>47</v>
      </c>
    </row>
    <row r="105" spans="1:8" ht="15.6" x14ac:dyDescent="0.3">
      <c r="A105" s="638" t="s">
        <v>96</v>
      </c>
      <c r="B105" s="639"/>
      <c r="C105" s="11" t="s">
        <v>3</v>
      </c>
      <c r="D105" s="33">
        <f>SUM(D101:D104)</f>
        <v>2453</v>
      </c>
      <c r="E105" s="33">
        <f t="shared" ref="E105:G105" si="33">SUM(E101:E104)</f>
        <v>1508</v>
      </c>
      <c r="F105" s="33">
        <f t="shared" si="33"/>
        <v>0</v>
      </c>
      <c r="G105" s="33">
        <f t="shared" si="33"/>
        <v>29</v>
      </c>
      <c r="H105" s="55">
        <f>SUM(D105:G105)</f>
        <v>3990</v>
      </c>
    </row>
    <row r="106" spans="1:8" s="2" customFormat="1" ht="15.6" customHeight="1" x14ac:dyDescent="0.3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ht="15.6" x14ac:dyDescent="0.3">
      <c r="A107" s="582" t="s">
        <v>193</v>
      </c>
      <c r="B107" s="583"/>
      <c r="C107" s="11" t="s">
        <v>3</v>
      </c>
      <c r="D107" s="26">
        <f>Balaka!O107</f>
        <v>3630</v>
      </c>
      <c r="E107" s="26">
        <f>Liwonde!O107</f>
        <v>2912</v>
      </c>
      <c r="F107" s="26">
        <f>Machinga!O107</f>
        <v>150</v>
      </c>
      <c r="G107" s="26">
        <f>Ntaja!O107</f>
        <v>8</v>
      </c>
      <c r="H107" s="32">
        <f>SUM(D107:G107)</f>
        <v>6700</v>
      </c>
    </row>
    <row r="108" spans="1:8" ht="15.6" x14ac:dyDescent="0.3">
      <c r="A108" s="582" t="s">
        <v>194</v>
      </c>
      <c r="B108" s="583"/>
      <c r="C108" s="11" t="s">
        <v>3</v>
      </c>
      <c r="D108" s="26">
        <f>Balaka!O108</f>
        <v>14</v>
      </c>
      <c r="E108" s="26">
        <f>Liwonde!O108</f>
        <v>14</v>
      </c>
      <c r="F108" s="26">
        <f>Machinga!O108</f>
        <v>4</v>
      </c>
      <c r="G108" s="26">
        <f>Ntaja!O108</f>
        <v>2</v>
      </c>
      <c r="H108" s="32">
        <f>SUM(D108:G108)</f>
        <v>34</v>
      </c>
    </row>
    <row r="109" spans="1:8" ht="15.6" x14ac:dyDescent="0.3">
      <c r="A109" s="582" t="s">
        <v>195</v>
      </c>
      <c r="B109" s="583"/>
      <c r="C109" s="11" t="s">
        <v>3</v>
      </c>
      <c r="D109" s="26">
        <f>Balaka!O109</f>
        <v>13</v>
      </c>
      <c r="E109" s="26">
        <f>Liwonde!O109</f>
        <v>21</v>
      </c>
      <c r="F109" s="26">
        <f>Machinga!O109</f>
        <v>0</v>
      </c>
      <c r="G109" s="26">
        <f>Ntaja!O109</f>
        <v>0</v>
      </c>
      <c r="H109" s="32">
        <f>SUM(D109:G109)</f>
        <v>34</v>
      </c>
    </row>
    <row r="110" spans="1:8" ht="15.6" x14ac:dyDescent="0.3">
      <c r="A110" s="582" t="s">
        <v>196</v>
      </c>
      <c r="B110" s="583"/>
      <c r="C110" s="11" t="s">
        <v>3</v>
      </c>
      <c r="D110" s="26">
        <f>Balaka!O110</f>
        <v>13</v>
      </c>
      <c r="E110" s="26">
        <f>Liwonde!O110</f>
        <v>13</v>
      </c>
      <c r="F110" s="26">
        <f>Machinga!O110</f>
        <v>0</v>
      </c>
      <c r="G110" s="26">
        <f>Ntaja!O110</f>
        <v>0</v>
      </c>
      <c r="H110" s="32">
        <f>SUM(D110:G110)</f>
        <v>26</v>
      </c>
    </row>
    <row r="111" spans="1:8" ht="15.6" x14ac:dyDescent="0.3">
      <c r="A111" s="584" t="s">
        <v>95</v>
      </c>
      <c r="B111" s="585"/>
      <c r="C111" s="11" t="s">
        <v>3</v>
      </c>
      <c r="D111" s="33">
        <f>SUM(D107:D110)</f>
        <v>3670</v>
      </c>
      <c r="E111" s="33">
        <f t="shared" ref="E111:G111" si="34">SUM(E107:E110)</f>
        <v>2960</v>
      </c>
      <c r="F111" s="33">
        <f t="shared" si="34"/>
        <v>154</v>
      </c>
      <c r="G111" s="33">
        <f t="shared" si="34"/>
        <v>10</v>
      </c>
      <c r="H111" s="55">
        <f>SUM(D111:G111)</f>
        <v>6794</v>
      </c>
    </row>
    <row r="112" spans="1:8" s="2" customFormat="1" ht="15.6" customHeight="1" x14ac:dyDescent="0.3">
      <c r="A112" s="635" t="s">
        <v>210</v>
      </c>
      <c r="B112" s="636"/>
      <c r="C112" s="636"/>
      <c r="D112" s="636"/>
      <c r="E112" s="636"/>
      <c r="F112" s="636"/>
      <c r="G112" s="636"/>
      <c r="H112" s="637"/>
    </row>
    <row r="113" spans="1:8" ht="15.6" x14ac:dyDescent="0.3">
      <c r="A113" s="582" t="s">
        <v>197</v>
      </c>
      <c r="B113" s="583"/>
      <c r="C113" s="11" t="s">
        <v>3</v>
      </c>
      <c r="D113" s="26">
        <f>Balaka!O113</f>
        <v>933</v>
      </c>
      <c r="E113" s="26">
        <f>Liwonde!O113</f>
        <v>887</v>
      </c>
      <c r="F113" s="26">
        <f>Machinga!O113</f>
        <v>139</v>
      </c>
      <c r="G113" s="26">
        <f>Ntaja!O113</f>
        <v>395</v>
      </c>
      <c r="H113" s="32">
        <f t="shared" ref="H113:H119" si="35">SUM(D113:G113)</f>
        <v>2354</v>
      </c>
    </row>
    <row r="114" spans="1:8" ht="15.6" x14ac:dyDescent="0.3">
      <c r="A114" s="582" t="s">
        <v>198</v>
      </c>
      <c r="B114" s="583"/>
      <c r="C114" s="11" t="s">
        <v>3</v>
      </c>
      <c r="D114" s="26">
        <f>Balaka!O114</f>
        <v>92</v>
      </c>
      <c r="E114" s="26">
        <f>Liwonde!O114</f>
        <v>77</v>
      </c>
      <c r="F114" s="26">
        <f>Machinga!O114</f>
        <v>0</v>
      </c>
      <c r="G114" s="26">
        <f>Ntaja!O114</f>
        <v>14</v>
      </c>
      <c r="H114" s="32">
        <f t="shared" si="35"/>
        <v>183</v>
      </c>
    </row>
    <row r="115" spans="1:8" ht="15.6" x14ac:dyDescent="0.3">
      <c r="A115" s="582" t="s">
        <v>199</v>
      </c>
      <c r="B115" s="583"/>
      <c r="C115" s="11" t="s">
        <v>3</v>
      </c>
      <c r="D115" s="26">
        <f>Balaka!O115</f>
        <v>90</v>
      </c>
      <c r="E115" s="26">
        <f>Liwonde!O115</f>
        <v>186</v>
      </c>
      <c r="F115" s="26">
        <f>Machinga!O115</f>
        <v>0</v>
      </c>
      <c r="G115" s="26">
        <f>Ntaja!O115</f>
        <v>11</v>
      </c>
      <c r="H115" s="32">
        <f t="shared" si="35"/>
        <v>287</v>
      </c>
    </row>
    <row r="116" spans="1:8" ht="15.6" x14ac:dyDescent="0.3">
      <c r="A116" s="582" t="s">
        <v>200</v>
      </c>
      <c r="B116" s="583"/>
      <c r="C116" s="11" t="s">
        <v>3</v>
      </c>
      <c r="D116" s="26">
        <f>Balaka!O116</f>
        <v>1</v>
      </c>
      <c r="E116" s="26">
        <f>Liwonde!O116</f>
        <v>0</v>
      </c>
      <c r="F116" s="26">
        <f>Machinga!O116</f>
        <v>0</v>
      </c>
      <c r="G116" s="26">
        <f>Ntaja!O116</f>
        <v>3</v>
      </c>
      <c r="H116" s="32">
        <f t="shared" si="35"/>
        <v>4</v>
      </c>
    </row>
    <row r="117" spans="1:8" ht="15.6" x14ac:dyDescent="0.3">
      <c r="A117" s="584" t="s">
        <v>94</v>
      </c>
      <c r="B117" s="585"/>
      <c r="C117" s="11" t="s">
        <v>3</v>
      </c>
      <c r="D117" s="33">
        <f>SUM(D113:D116)</f>
        <v>1116</v>
      </c>
      <c r="E117" s="33">
        <f t="shared" ref="E117:G117" si="36">SUM(E113:E116)</f>
        <v>1150</v>
      </c>
      <c r="F117" s="33">
        <f t="shared" si="36"/>
        <v>139</v>
      </c>
      <c r="G117" s="33">
        <f t="shared" si="36"/>
        <v>423</v>
      </c>
      <c r="H117" s="55">
        <f t="shared" si="35"/>
        <v>2828</v>
      </c>
    </row>
    <row r="118" spans="1:8" s="2" customFormat="1" ht="15.6" x14ac:dyDescent="0.3">
      <c r="A118" s="214" t="s">
        <v>191</v>
      </c>
      <c r="B118" s="215"/>
      <c r="C118" s="11" t="s">
        <v>3</v>
      </c>
      <c r="D118" s="33">
        <f>D117+D111</f>
        <v>4786</v>
      </c>
      <c r="E118" s="33">
        <f t="shared" ref="E118:G118" si="37">E117+E111</f>
        <v>4110</v>
      </c>
      <c r="F118" s="33">
        <f t="shared" si="37"/>
        <v>293</v>
      </c>
      <c r="G118" s="33">
        <f t="shared" si="37"/>
        <v>433</v>
      </c>
      <c r="H118" s="55">
        <f t="shared" si="35"/>
        <v>9622</v>
      </c>
    </row>
    <row r="119" spans="1:8" ht="15.6" x14ac:dyDescent="0.3">
      <c r="A119" s="584" t="s">
        <v>192</v>
      </c>
      <c r="B119" s="585"/>
      <c r="C119" s="11" t="s">
        <v>3</v>
      </c>
      <c r="D119" s="33">
        <f>D118+D105</f>
        <v>7239</v>
      </c>
      <c r="E119" s="33">
        <f t="shared" ref="E119:G119" si="38">E118+E105</f>
        <v>5618</v>
      </c>
      <c r="F119" s="33">
        <f t="shared" si="38"/>
        <v>293</v>
      </c>
      <c r="G119" s="33">
        <f t="shared" si="38"/>
        <v>462</v>
      </c>
      <c r="H119" s="55">
        <f t="shared" si="35"/>
        <v>13612</v>
      </c>
    </row>
    <row r="120" spans="1:8" x14ac:dyDescent="0.3">
      <c r="A120" s="586" t="s">
        <v>201</v>
      </c>
      <c r="B120" s="587"/>
      <c r="C120" s="587"/>
      <c r="D120" s="587"/>
      <c r="E120" s="587"/>
      <c r="F120" s="587"/>
      <c r="G120" s="587"/>
      <c r="H120" s="588"/>
    </row>
    <row r="121" spans="1:8" ht="15.6" x14ac:dyDescent="0.3">
      <c r="A121" s="582" t="s">
        <v>93</v>
      </c>
      <c r="B121" s="583"/>
      <c r="C121" s="5" t="s">
        <v>3</v>
      </c>
      <c r="D121" s="26">
        <f>Balaka!O121</f>
        <v>38600</v>
      </c>
      <c r="E121" s="26">
        <f>Liwonde!O121</f>
        <v>33916</v>
      </c>
      <c r="F121" s="26">
        <f>Machinga!O121</f>
        <v>0</v>
      </c>
      <c r="G121" s="26">
        <f>Ntaja!O121</f>
        <v>0</v>
      </c>
      <c r="H121" s="31">
        <f>SUM(D121:G121)</f>
        <v>72516</v>
      </c>
    </row>
    <row r="122" spans="1:8" ht="15.6" x14ac:dyDescent="0.3">
      <c r="A122" s="582" t="s">
        <v>92</v>
      </c>
      <c r="B122" s="583"/>
      <c r="C122" s="5" t="s">
        <v>3</v>
      </c>
      <c r="D122" s="26">
        <f>Balaka!O122</f>
        <v>33425</v>
      </c>
      <c r="E122" s="26">
        <f>Liwonde!O122</f>
        <v>28090</v>
      </c>
      <c r="F122" s="26">
        <f>Machinga!O122</f>
        <v>0</v>
      </c>
      <c r="G122" s="26">
        <f>Ntaja!O122</f>
        <v>0</v>
      </c>
      <c r="H122" s="31">
        <f>SUM(D122:G122)</f>
        <v>61515</v>
      </c>
    </row>
    <row r="123" spans="1:8" ht="15.6" x14ac:dyDescent="0.3">
      <c r="A123" s="640" t="s">
        <v>91</v>
      </c>
      <c r="B123" s="641"/>
      <c r="C123" s="30" t="s">
        <v>6</v>
      </c>
      <c r="D123" s="29">
        <f t="shared" ref="D123:H123" si="39">D122/D121</f>
        <v>0.8659326424870466</v>
      </c>
      <c r="E123" s="29">
        <f t="shared" si="39"/>
        <v>0.82822266776742537</v>
      </c>
      <c r="F123" s="29" t="e">
        <f t="shared" si="39"/>
        <v>#DIV/0!</v>
      </c>
      <c r="G123" s="29" t="e">
        <f t="shared" si="39"/>
        <v>#DIV/0!</v>
      </c>
      <c r="H123" s="109">
        <f t="shared" si="39"/>
        <v>0.8482955485685918</v>
      </c>
    </row>
    <row r="124" spans="1:8" x14ac:dyDescent="0.3">
      <c r="A124" s="642" t="s">
        <v>90</v>
      </c>
      <c r="B124" s="643"/>
      <c r="C124" s="643"/>
      <c r="D124" s="643"/>
      <c r="E124" s="643"/>
      <c r="F124" s="643"/>
      <c r="G124" s="643"/>
      <c r="H124" s="644"/>
    </row>
    <row r="125" spans="1:8" ht="15.6" x14ac:dyDescent="0.3">
      <c r="A125" s="598" t="s">
        <v>235</v>
      </c>
      <c r="B125" s="24" t="s">
        <v>85</v>
      </c>
      <c r="C125" s="11" t="s">
        <v>3</v>
      </c>
      <c r="D125" s="34">
        <f>Balaka!M125</f>
        <v>0</v>
      </c>
      <c r="E125" s="34">
        <f>Liwonde!M125</f>
        <v>0</v>
      </c>
      <c r="F125" s="34">
        <f>Machinga!M125</f>
        <v>0</v>
      </c>
      <c r="G125" s="34">
        <f>Ntaja!M125</f>
        <v>0</v>
      </c>
      <c r="H125" s="74">
        <f>SUM(D125:G125)</f>
        <v>0</v>
      </c>
    </row>
    <row r="126" spans="1:8" ht="15.6" x14ac:dyDescent="0.3">
      <c r="A126" s="648"/>
      <c r="B126" s="24" t="s">
        <v>84</v>
      </c>
      <c r="C126" s="11" t="s">
        <v>3</v>
      </c>
      <c r="D126" s="26">
        <f>Balaka!M126+Balaka!N126+Balaka!O126</f>
        <v>0</v>
      </c>
      <c r="E126" s="26">
        <f>Liwonde!M126+Liwonde!N126+Liwonde!O126</f>
        <v>0</v>
      </c>
      <c r="F126" s="26">
        <f>Machinga!M126+Machinga!N126+Machinga!O126</f>
        <v>0</v>
      </c>
      <c r="G126" s="26">
        <f>Ntaja!M126+Ntaja!N126+Ntaja!O126</f>
        <v>0</v>
      </c>
      <c r="H126" s="74">
        <f>SUM(D126:G126)</f>
        <v>0</v>
      </c>
    </row>
    <row r="127" spans="1:8" ht="15.6" x14ac:dyDescent="0.3">
      <c r="A127" s="648"/>
      <c r="B127" s="82" t="s">
        <v>88</v>
      </c>
      <c r="C127" s="11" t="s">
        <v>3</v>
      </c>
      <c r="D127" s="26">
        <f>Balaka!M127+Balaka!N127+Balaka!O127</f>
        <v>0</v>
      </c>
      <c r="E127" s="26">
        <f>Liwonde!M127+Liwonde!N127+Liwonde!O127</f>
        <v>0</v>
      </c>
      <c r="F127" s="26">
        <f>Machinga!M127+Machinga!N127+Machinga!O127</f>
        <v>0</v>
      </c>
      <c r="G127" s="26">
        <f>Ntaja!M127+Ntaja!N127+Ntaja!O127</f>
        <v>0</v>
      </c>
      <c r="H127" s="74">
        <f>SUM(D127:G127)</f>
        <v>0</v>
      </c>
    </row>
    <row r="128" spans="1:8" ht="15.6" x14ac:dyDescent="0.3">
      <c r="A128" s="648"/>
      <c r="B128" s="24" t="s">
        <v>82</v>
      </c>
      <c r="C128" s="11" t="s">
        <v>3</v>
      </c>
      <c r="D128" s="26">
        <f>Balaka!M128+Balaka!N128+Balaka!O128</f>
        <v>0</v>
      </c>
      <c r="E128" s="26">
        <f>Liwonde!M128+Liwonde!N128+Liwonde!O128</f>
        <v>0</v>
      </c>
      <c r="F128" s="26">
        <f>Machinga!M128+Machinga!N128+Machinga!O128</f>
        <v>0</v>
      </c>
      <c r="G128" s="26">
        <f>Ntaja!M128+Ntaja!N128+Ntaja!O128</f>
        <v>0</v>
      </c>
      <c r="H128" s="74">
        <f>SUM(D128:G128)</f>
        <v>0</v>
      </c>
    </row>
    <row r="129" spans="1:8" ht="15.6" x14ac:dyDescent="0.3">
      <c r="A129" s="599"/>
      <c r="B129" s="24" t="s">
        <v>81</v>
      </c>
      <c r="C129" s="11" t="s">
        <v>3</v>
      </c>
      <c r="D129" s="140">
        <f t="shared" ref="D129:H129" si="40">D125+D126-D127-D128</f>
        <v>0</v>
      </c>
      <c r="E129" s="141">
        <f t="shared" si="40"/>
        <v>0</v>
      </c>
      <c r="F129" s="141">
        <f t="shared" si="40"/>
        <v>0</v>
      </c>
      <c r="G129" s="140">
        <f t="shared" si="40"/>
        <v>0</v>
      </c>
      <c r="H129" s="35">
        <f t="shared" si="40"/>
        <v>0</v>
      </c>
    </row>
    <row r="130" spans="1:8" ht="15.6" x14ac:dyDescent="0.3">
      <c r="A130" s="598" t="s">
        <v>236</v>
      </c>
      <c r="B130" s="28" t="s">
        <v>85</v>
      </c>
      <c r="C130" s="27" t="s">
        <v>3</v>
      </c>
      <c r="D130" s="34">
        <f>Balaka!M130</f>
        <v>0</v>
      </c>
      <c r="E130" s="34">
        <f>Liwonde!M130</f>
        <v>0</v>
      </c>
      <c r="F130" s="34">
        <f>Machinga!M130</f>
        <v>0</v>
      </c>
      <c r="G130" s="34">
        <f>Ntaja!M130</f>
        <v>0</v>
      </c>
      <c r="H130" s="74">
        <f>SUM(D130:G130)</f>
        <v>0</v>
      </c>
    </row>
    <row r="131" spans="1:8" ht="15.6" x14ac:dyDescent="0.3">
      <c r="A131" s="648"/>
      <c r="B131" s="24" t="s">
        <v>84</v>
      </c>
      <c r="C131" s="11" t="s">
        <v>3</v>
      </c>
      <c r="D131" s="26">
        <f>Balaka!M131+Balaka!N131+Balaka!O131</f>
        <v>0</v>
      </c>
      <c r="E131" s="26">
        <f>Liwonde!M131+Liwonde!N131+Liwonde!O131</f>
        <v>0</v>
      </c>
      <c r="F131" s="26">
        <f>Machinga!M131+Machinga!N131+Machinga!O131</f>
        <v>0</v>
      </c>
      <c r="G131" s="26">
        <f>Ntaja!M131+Ntaja!N131+Ntaja!O131</f>
        <v>0</v>
      </c>
      <c r="H131" s="74">
        <f>SUM(D131:G131)</f>
        <v>0</v>
      </c>
    </row>
    <row r="132" spans="1:8" ht="15.6" x14ac:dyDescent="0.3">
      <c r="A132" s="648"/>
      <c r="B132" s="82" t="s">
        <v>88</v>
      </c>
      <c r="C132" s="11" t="s">
        <v>3</v>
      </c>
      <c r="D132" s="26">
        <f>Balaka!M132+Balaka!N132+Balaka!O132</f>
        <v>0</v>
      </c>
      <c r="E132" s="26">
        <f>Liwonde!M132+Liwonde!N132+Liwonde!O132</f>
        <v>0</v>
      </c>
      <c r="F132" s="26">
        <f>Machinga!M132+Machinga!N132+Machinga!O132</f>
        <v>0</v>
      </c>
      <c r="G132" s="26">
        <f>Ntaja!M132+Ntaja!N132+Ntaja!O132</f>
        <v>0</v>
      </c>
      <c r="H132" s="74">
        <f>SUM(D132:G132)</f>
        <v>0</v>
      </c>
    </row>
    <row r="133" spans="1:8" ht="15.6" x14ac:dyDescent="0.3">
      <c r="A133" s="648"/>
      <c r="B133" s="24" t="s">
        <v>82</v>
      </c>
      <c r="C133" s="11" t="s">
        <v>3</v>
      </c>
      <c r="D133" s="26">
        <f>Balaka!M133+Balaka!N133+Balaka!O133</f>
        <v>0</v>
      </c>
      <c r="E133" s="26">
        <f>Liwonde!M133+Liwonde!N133+Liwonde!O133</f>
        <v>0</v>
      </c>
      <c r="F133" s="26">
        <f>Machinga!M133+Machinga!N133+Machinga!O133</f>
        <v>0</v>
      </c>
      <c r="G133" s="26">
        <f>Ntaja!M133+Ntaja!N133+Ntaja!O133</f>
        <v>0</v>
      </c>
      <c r="H133" s="74">
        <f>SUM(D133:G133)</f>
        <v>0</v>
      </c>
    </row>
    <row r="134" spans="1:8" ht="15.6" x14ac:dyDescent="0.3">
      <c r="A134" s="599"/>
      <c r="B134" s="24" t="s">
        <v>81</v>
      </c>
      <c r="C134" s="11" t="s">
        <v>3</v>
      </c>
      <c r="D134" s="140">
        <f t="shared" ref="D134:H134" si="41">D130+D131-D132-D133</f>
        <v>0</v>
      </c>
      <c r="E134" s="141">
        <f t="shared" si="41"/>
        <v>0</v>
      </c>
      <c r="F134" s="141">
        <f t="shared" si="41"/>
        <v>0</v>
      </c>
      <c r="G134" s="140">
        <f t="shared" si="41"/>
        <v>0</v>
      </c>
      <c r="H134" s="35">
        <f t="shared" si="41"/>
        <v>0</v>
      </c>
    </row>
    <row r="135" spans="1:8" ht="15.6" x14ac:dyDescent="0.3">
      <c r="A135" s="598" t="s">
        <v>89</v>
      </c>
      <c r="B135" s="24" t="s">
        <v>85</v>
      </c>
      <c r="C135" s="11" t="s">
        <v>3</v>
      </c>
      <c r="D135" s="34">
        <f>Balaka!M135</f>
        <v>0</v>
      </c>
      <c r="E135" s="34">
        <f>Liwonde!M135</f>
        <v>0</v>
      </c>
      <c r="F135" s="34">
        <f>Machinga!M135</f>
        <v>0</v>
      </c>
      <c r="G135" s="34">
        <f>Ntaja!M135</f>
        <v>0</v>
      </c>
      <c r="H135" s="74">
        <f>SUM(D135:G135)</f>
        <v>0</v>
      </c>
    </row>
    <row r="136" spans="1:8" ht="15.6" x14ac:dyDescent="0.3">
      <c r="A136" s="648"/>
      <c r="B136" s="24" t="s">
        <v>84</v>
      </c>
      <c r="C136" s="11" t="s">
        <v>3</v>
      </c>
      <c r="D136" s="26">
        <f>Balaka!M136+Balaka!N136+Balaka!O136</f>
        <v>0</v>
      </c>
      <c r="E136" s="26">
        <f>Liwonde!M136+Liwonde!N136+Liwonde!O136</f>
        <v>0</v>
      </c>
      <c r="F136" s="26">
        <f>Machinga!M136+Machinga!N136+Machinga!O136</f>
        <v>0</v>
      </c>
      <c r="G136" s="26">
        <f>Ntaja!M136+Ntaja!N136+Ntaja!O136</f>
        <v>0</v>
      </c>
      <c r="H136" s="74">
        <f>SUM(D136:G136)</f>
        <v>0</v>
      </c>
    </row>
    <row r="137" spans="1:8" ht="15.6" x14ac:dyDescent="0.3">
      <c r="A137" s="648"/>
      <c r="B137" s="82" t="s">
        <v>88</v>
      </c>
      <c r="C137" s="11" t="s">
        <v>3</v>
      </c>
      <c r="D137" s="26">
        <f>Balaka!M137+Balaka!N137+Balaka!O137</f>
        <v>0</v>
      </c>
      <c r="E137" s="26">
        <f>Liwonde!M137+Liwonde!N137+Liwonde!O137</f>
        <v>0</v>
      </c>
      <c r="F137" s="26">
        <f>Machinga!M137+Machinga!N137+Machinga!O137</f>
        <v>0</v>
      </c>
      <c r="G137" s="26">
        <f>Ntaja!M137+Ntaja!N137+Ntaja!O137</f>
        <v>0</v>
      </c>
      <c r="H137" s="74">
        <f>SUM(D137:G137)</f>
        <v>0</v>
      </c>
    </row>
    <row r="138" spans="1:8" ht="15.6" x14ac:dyDescent="0.3">
      <c r="A138" s="648"/>
      <c r="B138" s="24" t="s">
        <v>82</v>
      </c>
      <c r="C138" s="11" t="s">
        <v>3</v>
      </c>
      <c r="D138" s="26">
        <f>Balaka!M138+Balaka!N138+Balaka!O138</f>
        <v>0</v>
      </c>
      <c r="E138" s="26">
        <f>Liwonde!M138+Liwonde!N138+Liwonde!O138</f>
        <v>0</v>
      </c>
      <c r="F138" s="26">
        <f>Machinga!M138+Machinga!N138+Machinga!O138</f>
        <v>0</v>
      </c>
      <c r="G138" s="26">
        <f>Ntaja!M138+Ntaja!N138+Ntaja!O138</f>
        <v>0</v>
      </c>
      <c r="H138" s="74">
        <f>SUM(D138:G138)</f>
        <v>0</v>
      </c>
    </row>
    <row r="139" spans="1:8" ht="15.6" x14ac:dyDescent="0.3">
      <c r="A139" s="599"/>
      <c r="B139" s="24" t="s">
        <v>81</v>
      </c>
      <c r="C139" s="11" t="s">
        <v>3</v>
      </c>
      <c r="D139" s="140">
        <f t="shared" ref="D139:H139" si="42">D135+D136-D137-D138</f>
        <v>0</v>
      </c>
      <c r="E139" s="141">
        <f t="shared" si="42"/>
        <v>0</v>
      </c>
      <c r="F139" s="141">
        <f t="shared" si="42"/>
        <v>0</v>
      </c>
      <c r="G139" s="140">
        <f t="shared" si="42"/>
        <v>0</v>
      </c>
      <c r="H139" s="35">
        <f t="shared" si="42"/>
        <v>0</v>
      </c>
    </row>
    <row r="140" spans="1:8" ht="15.6" x14ac:dyDescent="0.3">
      <c r="A140" s="598" t="s">
        <v>87</v>
      </c>
      <c r="B140" s="24" t="s">
        <v>85</v>
      </c>
      <c r="C140" s="11" t="s">
        <v>3</v>
      </c>
      <c r="D140" s="34">
        <f>Balaka!M140</f>
        <v>872</v>
      </c>
      <c r="E140" s="34">
        <f>Liwonde!M140</f>
        <v>656</v>
      </c>
      <c r="F140" s="34">
        <f>Machinga!M140</f>
        <v>3</v>
      </c>
      <c r="G140" s="34">
        <f>Ntaja!M140</f>
        <v>0</v>
      </c>
      <c r="H140" s="74">
        <f>SUM(D140:G140)</f>
        <v>1531</v>
      </c>
    </row>
    <row r="141" spans="1:8" ht="15.6" x14ac:dyDescent="0.3">
      <c r="A141" s="648"/>
      <c r="B141" s="24" t="s">
        <v>84</v>
      </c>
      <c r="C141" s="11" t="s">
        <v>3</v>
      </c>
      <c r="D141" s="26">
        <f>Balaka!M141+Balaka!N141+Balaka!O141</f>
        <v>84</v>
      </c>
      <c r="E141" s="26">
        <f>Liwonde!M141+Liwonde!N141+Liwonde!O141</f>
        <v>268</v>
      </c>
      <c r="F141" s="26">
        <f>Machinga!M141+Machinga!N141+Machinga!O141</f>
        <v>6</v>
      </c>
      <c r="G141" s="26">
        <f>Ntaja!M141+Ntaja!N141+Ntaja!O141</f>
        <v>0</v>
      </c>
      <c r="H141" s="74">
        <f>SUM(D141:G141)</f>
        <v>358</v>
      </c>
    </row>
    <row r="142" spans="1:8" ht="15.6" x14ac:dyDescent="0.3">
      <c r="A142" s="648"/>
      <c r="B142" s="24" t="s">
        <v>83</v>
      </c>
      <c r="C142" s="11" t="s">
        <v>3</v>
      </c>
      <c r="D142" s="26">
        <f>Balaka!M142+Balaka!N142+Balaka!O142</f>
        <v>29</v>
      </c>
      <c r="E142" s="26">
        <f>Liwonde!M142+Liwonde!N142+Liwonde!O142</f>
        <v>126</v>
      </c>
      <c r="F142" s="26">
        <f>Machinga!M142+Machinga!N142+Machinga!O142</f>
        <v>2</v>
      </c>
      <c r="G142" s="26">
        <f>Ntaja!M142+Ntaja!N142+Ntaja!O142</f>
        <v>0</v>
      </c>
      <c r="H142" s="74">
        <f>SUM(D142:G142)</f>
        <v>157</v>
      </c>
    </row>
    <row r="143" spans="1:8" ht="15.6" x14ac:dyDescent="0.3">
      <c r="A143" s="648"/>
      <c r="B143" s="24" t="s">
        <v>82</v>
      </c>
      <c r="C143" s="11" t="s">
        <v>3</v>
      </c>
      <c r="D143" s="26">
        <f>Balaka!M143+Balaka!N143+Balaka!O143</f>
        <v>704</v>
      </c>
      <c r="E143" s="26">
        <f>Liwonde!M143+Liwonde!N143+Liwonde!O143</f>
        <v>650</v>
      </c>
      <c r="F143" s="26">
        <f>Machinga!M143+Machinga!N143+Machinga!O143</f>
        <v>7</v>
      </c>
      <c r="G143" s="26">
        <f>Ntaja!M143+Ntaja!N143+Ntaja!O143</f>
        <v>0</v>
      </c>
      <c r="H143" s="74">
        <f>SUM(D143:G143)</f>
        <v>1361</v>
      </c>
    </row>
    <row r="144" spans="1:8" ht="15.6" x14ac:dyDescent="0.3">
      <c r="A144" s="599"/>
      <c r="B144" s="24" t="s">
        <v>81</v>
      </c>
      <c r="C144" s="11" t="s">
        <v>3</v>
      </c>
      <c r="D144" s="140">
        <f t="shared" ref="D144:H144" si="43">D140+D141-D142-D143</f>
        <v>223</v>
      </c>
      <c r="E144" s="140">
        <f t="shared" si="43"/>
        <v>148</v>
      </c>
      <c r="F144" s="140">
        <f t="shared" si="43"/>
        <v>0</v>
      </c>
      <c r="G144" s="140">
        <f t="shared" si="43"/>
        <v>0</v>
      </c>
      <c r="H144" s="35">
        <f t="shared" si="43"/>
        <v>371</v>
      </c>
    </row>
    <row r="145" spans="1:8" s="2" customFormat="1" ht="15.6" x14ac:dyDescent="0.3">
      <c r="A145" s="598" t="s">
        <v>86</v>
      </c>
      <c r="B145" s="24" t="s">
        <v>85</v>
      </c>
      <c r="C145" s="11" t="s">
        <v>3</v>
      </c>
      <c r="D145" s="139">
        <f t="shared" ref="D145:H149" si="44">D125+D130+D135+D140</f>
        <v>872</v>
      </c>
      <c r="E145" s="139">
        <f t="shared" si="44"/>
        <v>656</v>
      </c>
      <c r="F145" s="139">
        <f t="shared" si="44"/>
        <v>3</v>
      </c>
      <c r="G145" s="139">
        <f t="shared" si="44"/>
        <v>0</v>
      </c>
      <c r="H145" s="110">
        <f t="shared" si="44"/>
        <v>1531</v>
      </c>
    </row>
    <row r="146" spans="1:8" ht="15.6" x14ac:dyDescent="0.3">
      <c r="A146" s="648"/>
      <c r="B146" s="24" t="s">
        <v>84</v>
      </c>
      <c r="C146" s="11" t="s">
        <v>3</v>
      </c>
      <c r="D146" s="139">
        <f t="shared" si="44"/>
        <v>84</v>
      </c>
      <c r="E146" s="139">
        <f t="shared" si="44"/>
        <v>268</v>
      </c>
      <c r="F146" s="139">
        <f t="shared" si="44"/>
        <v>6</v>
      </c>
      <c r="G146" s="139">
        <f t="shared" si="44"/>
        <v>0</v>
      </c>
      <c r="H146" s="110">
        <f t="shared" si="44"/>
        <v>358</v>
      </c>
    </row>
    <row r="147" spans="1:8" ht="15.6" x14ac:dyDescent="0.3">
      <c r="A147" s="648"/>
      <c r="B147" s="24" t="s">
        <v>83</v>
      </c>
      <c r="C147" s="11" t="s">
        <v>3</v>
      </c>
      <c r="D147" s="139">
        <f t="shared" si="44"/>
        <v>29</v>
      </c>
      <c r="E147" s="139">
        <f t="shared" si="44"/>
        <v>126</v>
      </c>
      <c r="F147" s="139">
        <f t="shared" si="44"/>
        <v>2</v>
      </c>
      <c r="G147" s="139">
        <f t="shared" si="44"/>
        <v>0</v>
      </c>
      <c r="H147" s="110">
        <f t="shared" si="44"/>
        <v>157</v>
      </c>
    </row>
    <row r="148" spans="1:8" ht="15.6" x14ac:dyDescent="0.3">
      <c r="A148" s="648"/>
      <c r="B148" s="24" t="s">
        <v>82</v>
      </c>
      <c r="C148" s="11" t="s">
        <v>3</v>
      </c>
      <c r="D148" s="139">
        <f t="shared" si="44"/>
        <v>704</v>
      </c>
      <c r="E148" s="139">
        <f t="shared" si="44"/>
        <v>650</v>
      </c>
      <c r="F148" s="139">
        <f t="shared" si="44"/>
        <v>7</v>
      </c>
      <c r="G148" s="139">
        <f t="shared" si="44"/>
        <v>0</v>
      </c>
      <c r="H148" s="110">
        <f t="shared" si="44"/>
        <v>1361</v>
      </c>
    </row>
    <row r="149" spans="1:8" ht="15.6" x14ac:dyDescent="0.3">
      <c r="A149" s="599"/>
      <c r="B149" s="24" t="s">
        <v>81</v>
      </c>
      <c r="C149" s="11" t="s">
        <v>3</v>
      </c>
      <c r="D149" s="140">
        <f t="shared" ref="D149:G149" si="45">D145+D146-D147-D148</f>
        <v>223</v>
      </c>
      <c r="E149" s="141">
        <f t="shared" si="45"/>
        <v>148</v>
      </c>
      <c r="F149" s="141">
        <f t="shared" si="45"/>
        <v>0</v>
      </c>
      <c r="G149" s="140">
        <f t="shared" si="45"/>
        <v>0</v>
      </c>
      <c r="H149" s="110">
        <f t="shared" si="44"/>
        <v>371</v>
      </c>
    </row>
    <row r="150" spans="1:8" x14ac:dyDescent="0.3">
      <c r="A150" s="586" t="s">
        <v>80</v>
      </c>
      <c r="B150" s="587"/>
      <c r="C150" s="587"/>
      <c r="D150" s="587"/>
      <c r="E150" s="587"/>
      <c r="F150" s="587"/>
      <c r="G150" s="587"/>
      <c r="H150" s="588"/>
    </row>
    <row r="151" spans="1:8" ht="15.6" customHeight="1" x14ac:dyDescent="0.3">
      <c r="A151" s="676" t="s">
        <v>79</v>
      </c>
      <c r="B151" s="677"/>
      <c r="C151" s="677"/>
      <c r="D151" s="677"/>
      <c r="E151" s="677"/>
      <c r="F151" s="677"/>
      <c r="G151" s="677"/>
      <c r="H151" s="678"/>
    </row>
    <row r="152" spans="1:8" ht="15.6" x14ac:dyDescent="0.3">
      <c r="A152" s="645" t="s">
        <v>78</v>
      </c>
      <c r="B152" s="92" t="s">
        <v>63</v>
      </c>
      <c r="C152" s="11"/>
      <c r="D152" s="15"/>
      <c r="E152" s="15"/>
      <c r="F152" s="15"/>
      <c r="G152" s="15"/>
      <c r="H152" s="9"/>
    </row>
    <row r="153" spans="1:8" ht="15.6" x14ac:dyDescent="0.3">
      <c r="A153" s="646"/>
      <c r="B153" s="19" t="s">
        <v>73</v>
      </c>
      <c r="C153" s="11" t="s">
        <v>57</v>
      </c>
      <c r="D153" s="26">
        <f>Balaka!M153+Balaka!N153+Balaka!O153</f>
        <v>460</v>
      </c>
      <c r="E153" s="26">
        <f>Liwonde!M153+Liwonde!N153+Liwonde!O153</f>
        <v>390</v>
      </c>
      <c r="F153" s="26">
        <f>Machinga!M153+Machinga!N153+Machinga!O153</f>
        <v>36</v>
      </c>
      <c r="G153" s="26">
        <f>Ntaja!M153+Ntaja!N153+Ntaja!O153</f>
        <v>163</v>
      </c>
      <c r="H153" s="18">
        <f t="shared" ref="H153:H165" si="46">SUM(D153:G153)</f>
        <v>1049</v>
      </c>
    </row>
    <row r="154" spans="1:8" ht="15.6" x14ac:dyDescent="0.3">
      <c r="A154" s="646"/>
      <c r="B154" s="19" t="s">
        <v>72</v>
      </c>
      <c r="C154" s="11" t="s">
        <v>57</v>
      </c>
      <c r="D154" s="26">
        <f>Balaka!M154+Balaka!N154+Balaka!O154</f>
        <v>302</v>
      </c>
      <c r="E154" s="26">
        <f>Liwonde!M154+Liwonde!N154+Liwonde!O154</f>
        <v>197</v>
      </c>
      <c r="F154" s="26">
        <f>Machinga!M154+Machinga!N154+Machinga!O154</f>
        <v>25</v>
      </c>
      <c r="G154" s="26">
        <f>Ntaja!M154+Ntaja!N154+Ntaja!O154</f>
        <v>22</v>
      </c>
      <c r="H154" s="18">
        <f t="shared" si="46"/>
        <v>546</v>
      </c>
    </row>
    <row r="155" spans="1:8" ht="15.6" x14ac:dyDescent="0.3">
      <c r="A155" s="646"/>
      <c r="B155" s="19" t="s">
        <v>53</v>
      </c>
      <c r="C155" s="11" t="s">
        <v>57</v>
      </c>
      <c r="D155" s="26">
        <f>Balaka!M155+Balaka!N155+Balaka!O155</f>
        <v>35</v>
      </c>
      <c r="E155" s="26">
        <f>Liwonde!M155+Liwonde!N155+Liwonde!O155</f>
        <v>71</v>
      </c>
      <c r="F155" s="26">
        <f>Machinga!M155+Machinga!N155+Machinga!O155</f>
        <v>22</v>
      </c>
      <c r="G155" s="26">
        <f>Ntaja!M155+Ntaja!N155+Ntaja!O155</f>
        <v>7</v>
      </c>
      <c r="H155" s="18">
        <f t="shared" si="46"/>
        <v>135</v>
      </c>
    </row>
    <row r="156" spans="1:8" ht="15.6" x14ac:dyDescent="0.3">
      <c r="A156" s="646"/>
      <c r="B156" s="19" t="s">
        <v>71</v>
      </c>
      <c r="C156" s="11" t="s">
        <v>57</v>
      </c>
      <c r="D156" s="26">
        <f>Balaka!M156+Balaka!N156+Balaka!O156</f>
        <v>4</v>
      </c>
      <c r="E156" s="26">
        <f>Liwonde!M156+Liwonde!N156+Liwonde!O156</f>
        <v>13</v>
      </c>
      <c r="F156" s="26">
        <f>Machinga!M156+Machinga!N156+Machinga!O156</f>
        <v>8</v>
      </c>
      <c r="G156" s="26">
        <f>Ntaja!M156+Ntaja!N156+Ntaja!O156</f>
        <v>1</v>
      </c>
      <c r="H156" s="18">
        <f t="shared" si="46"/>
        <v>26</v>
      </c>
    </row>
    <row r="157" spans="1:8" ht="15.6" x14ac:dyDescent="0.3">
      <c r="A157" s="646"/>
      <c r="B157" s="19" t="s">
        <v>52</v>
      </c>
      <c r="C157" s="11" t="s">
        <v>57</v>
      </c>
      <c r="D157" s="26">
        <f>Balaka!M157+Balaka!N157+Balaka!O157</f>
        <v>17</v>
      </c>
      <c r="E157" s="26">
        <f>Liwonde!M157+Liwonde!N157+Liwonde!O157</f>
        <v>37</v>
      </c>
      <c r="F157" s="26">
        <f>Machinga!M157+Machinga!N157+Machinga!O157</f>
        <v>8</v>
      </c>
      <c r="G157" s="26">
        <f>Ntaja!M157+Ntaja!N157+Ntaja!O157</f>
        <v>8</v>
      </c>
      <c r="H157" s="18">
        <f t="shared" si="46"/>
        <v>70</v>
      </c>
    </row>
    <row r="158" spans="1:8" ht="15.6" x14ac:dyDescent="0.3">
      <c r="A158" s="646"/>
      <c r="B158" s="19" t="s">
        <v>51</v>
      </c>
      <c r="C158" s="11" t="s">
        <v>57</v>
      </c>
      <c r="D158" s="26">
        <f>Balaka!M158+Balaka!N158+Balaka!O158</f>
        <v>29</v>
      </c>
      <c r="E158" s="26">
        <f>Liwonde!M158+Liwonde!N158+Liwonde!O158</f>
        <v>33</v>
      </c>
      <c r="F158" s="26">
        <f>Machinga!M158+Machinga!N158+Machinga!O158</f>
        <v>5</v>
      </c>
      <c r="G158" s="26">
        <f>Ntaja!M158+Ntaja!N158+Ntaja!O158</f>
        <v>2</v>
      </c>
      <c r="H158" s="18">
        <f t="shared" si="46"/>
        <v>69</v>
      </c>
    </row>
    <row r="159" spans="1:8" ht="15.6" x14ac:dyDescent="0.3">
      <c r="A159" s="646"/>
      <c r="B159" s="19" t="s">
        <v>62</v>
      </c>
      <c r="C159" s="11" t="s">
        <v>57</v>
      </c>
      <c r="D159" s="26">
        <f>Balaka!M159+Balaka!N159+Balaka!O159</f>
        <v>0</v>
      </c>
      <c r="E159" s="26">
        <f>Liwonde!M159+Liwonde!N159+Liwonde!O159</f>
        <v>2</v>
      </c>
      <c r="F159" s="26">
        <f>Machinga!M159+Machinga!N159+Machinga!O159</f>
        <v>0</v>
      </c>
      <c r="G159" s="26">
        <f>Ntaja!M159+Ntaja!N159+Ntaja!O159</f>
        <v>0</v>
      </c>
      <c r="H159" s="18">
        <f t="shared" si="46"/>
        <v>2</v>
      </c>
    </row>
    <row r="160" spans="1:8" ht="15.6" x14ac:dyDescent="0.3">
      <c r="A160" s="646"/>
      <c r="B160" s="19" t="s">
        <v>50</v>
      </c>
      <c r="C160" s="11" t="s">
        <v>57</v>
      </c>
      <c r="D160" s="26">
        <f>Balaka!M160+Balaka!N160+Balaka!O160</f>
        <v>0</v>
      </c>
      <c r="E160" s="26">
        <f>Liwonde!M160+Liwonde!N160+Liwonde!O160</f>
        <v>7</v>
      </c>
      <c r="F160" s="26">
        <f>Machinga!M160+Machinga!N160+Machinga!O160</f>
        <v>3</v>
      </c>
      <c r="G160" s="26">
        <f>Ntaja!M160+Ntaja!N160+Ntaja!O160</f>
        <v>0</v>
      </c>
      <c r="H160" s="18">
        <f t="shared" si="46"/>
        <v>10</v>
      </c>
    </row>
    <row r="161" spans="1:8" ht="15.6" x14ac:dyDescent="0.3">
      <c r="A161" s="646"/>
      <c r="B161" s="19" t="s">
        <v>49</v>
      </c>
      <c r="C161" s="11" t="s">
        <v>57</v>
      </c>
      <c r="D161" s="26">
        <f>Balaka!M161+Balaka!N161+Balaka!O161</f>
        <v>10</v>
      </c>
      <c r="E161" s="26">
        <f>Liwonde!M161+Liwonde!N161+Liwonde!O161</f>
        <v>32</v>
      </c>
      <c r="F161" s="26">
        <f>Machinga!M161+Machinga!N161+Machinga!O161</f>
        <v>0</v>
      </c>
      <c r="G161" s="26">
        <f>Ntaja!M161+Ntaja!N161+Ntaja!O161</f>
        <v>0</v>
      </c>
      <c r="H161" s="18">
        <f t="shared" si="46"/>
        <v>42</v>
      </c>
    </row>
    <row r="162" spans="1:8" ht="15.6" x14ac:dyDescent="0.3">
      <c r="A162" s="646"/>
      <c r="B162" s="19" t="s">
        <v>77</v>
      </c>
      <c r="C162" s="11" t="s">
        <v>57</v>
      </c>
      <c r="D162" s="26">
        <f>Balaka!M162+Balaka!N162+Balaka!O162</f>
        <v>3</v>
      </c>
      <c r="E162" s="26">
        <f>Liwonde!M162+Liwonde!N162+Liwonde!O162</f>
        <v>8</v>
      </c>
      <c r="F162" s="26">
        <f>Machinga!M162+Machinga!N162+Machinga!O162</f>
        <v>0</v>
      </c>
      <c r="G162" s="26">
        <f>Ntaja!M162+Ntaja!N162+Ntaja!O162</f>
        <v>0</v>
      </c>
      <c r="H162" s="18">
        <f t="shared" si="46"/>
        <v>11</v>
      </c>
    </row>
    <row r="163" spans="1:8" ht="15.6" x14ac:dyDescent="0.3">
      <c r="A163" s="646"/>
      <c r="B163" s="19" t="s">
        <v>69</v>
      </c>
      <c r="C163" s="11" t="s">
        <v>57</v>
      </c>
      <c r="D163" s="26">
        <f>Balaka!M163+Balaka!N163+Balaka!O163</f>
        <v>3</v>
      </c>
      <c r="E163" s="26">
        <f>Liwonde!M163+Liwonde!N163+Liwonde!O163</f>
        <v>0</v>
      </c>
      <c r="F163" s="26">
        <f>Machinga!M163+Machinga!N163+Machinga!O163</f>
        <v>0</v>
      </c>
      <c r="G163" s="26">
        <f>Ntaja!M163+Ntaja!N163+Ntaja!O163</f>
        <v>0</v>
      </c>
      <c r="H163" s="18">
        <f t="shared" si="46"/>
        <v>3</v>
      </c>
    </row>
    <row r="164" spans="1:8" ht="15.6" x14ac:dyDescent="0.3">
      <c r="A164" s="646"/>
      <c r="B164" s="19" t="s">
        <v>68</v>
      </c>
      <c r="C164" s="11" t="s">
        <v>57</v>
      </c>
      <c r="D164" s="26">
        <f>Balaka!M164+Balaka!N164+Balaka!O164</f>
        <v>0</v>
      </c>
      <c r="E164" s="26">
        <f>Liwonde!M164+Liwonde!N164+Liwonde!O164</f>
        <v>3</v>
      </c>
      <c r="F164" s="26">
        <f>Machinga!M164+Machinga!N164+Machinga!O164</f>
        <v>0</v>
      </c>
      <c r="G164" s="26">
        <f>Ntaja!M164+Ntaja!N164+Ntaja!O164</f>
        <v>0</v>
      </c>
      <c r="H164" s="18">
        <f t="shared" si="46"/>
        <v>3</v>
      </c>
    </row>
    <row r="165" spans="1:8" ht="15.6" x14ac:dyDescent="0.3">
      <c r="A165" s="647"/>
      <c r="B165" s="19" t="s">
        <v>76</v>
      </c>
      <c r="C165" s="11" t="s">
        <v>57</v>
      </c>
      <c r="D165" s="26">
        <f>Balaka!M165+Balaka!N165+Balaka!O165</f>
        <v>0</v>
      </c>
      <c r="E165" s="26">
        <f>Liwonde!M165+Liwonde!N165+Liwonde!O165</f>
        <v>0</v>
      </c>
      <c r="F165" s="26">
        <f>Machinga!M165+Machinga!N165+Machinga!O165</f>
        <v>0</v>
      </c>
      <c r="G165" s="26">
        <f>Ntaja!M165+Ntaja!N165+Ntaja!O165</f>
        <v>0</v>
      </c>
      <c r="H165" s="18">
        <f t="shared" si="46"/>
        <v>0</v>
      </c>
    </row>
    <row r="166" spans="1:8" ht="15.6" x14ac:dyDescent="0.3">
      <c r="A166" s="645" t="s">
        <v>75</v>
      </c>
      <c r="B166" s="21" t="s">
        <v>63</v>
      </c>
      <c r="C166" s="11"/>
      <c r="D166" s="4"/>
      <c r="E166" s="4"/>
      <c r="F166" s="4"/>
      <c r="G166" s="4"/>
      <c r="H166" s="18"/>
    </row>
    <row r="167" spans="1:8" ht="15.6" x14ac:dyDescent="0.3">
      <c r="A167" s="646"/>
      <c r="B167" s="19" t="s">
        <v>74</v>
      </c>
      <c r="C167" s="11" t="s">
        <v>57</v>
      </c>
      <c r="D167" s="26">
        <f>Balaka!M167+Balaka!N167+Balaka!O167</f>
        <v>0</v>
      </c>
      <c r="E167" s="26">
        <f>Liwonde!M167+Liwonde!N167+Liwonde!O167</f>
        <v>12</v>
      </c>
      <c r="F167" s="26">
        <f>Machinga!M167+Machinga!N167+Machinga!O167</f>
        <v>2</v>
      </c>
      <c r="G167" s="26">
        <f>Ntaja!M167+Ntaja!N167+Ntaja!O167</f>
        <v>0</v>
      </c>
      <c r="H167" s="18">
        <f t="shared" ref="H167:H175" si="47">SUM(D167:G167)</f>
        <v>14</v>
      </c>
    </row>
    <row r="168" spans="1:8" ht="15.6" x14ac:dyDescent="0.3">
      <c r="A168" s="646"/>
      <c r="B168" s="19" t="s">
        <v>73</v>
      </c>
      <c r="C168" s="11" t="s">
        <v>57</v>
      </c>
      <c r="D168" s="26">
        <f>Balaka!M168+Balaka!N168+Balaka!O168</f>
        <v>0</v>
      </c>
      <c r="E168" s="26">
        <f>Liwonde!M168+Liwonde!N168+Liwonde!O168</f>
        <v>0</v>
      </c>
      <c r="F168" s="26">
        <f>Machinga!M168+Machinga!N168+Machinga!O168</f>
        <v>6</v>
      </c>
      <c r="G168" s="26">
        <f>Ntaja!M168+Ntaja!N168+Ntaja!O168</f>
        <v>0</v>
      </c>
      <c r="H168" s="18">
        <f t="shared" si="47"/>
        <v>6</v>
      </c>
    </row>
    <row r="169" spans="1:8" ht="15.6" x14ac:dyDescent="0.3">
      <c r="A169" s="646"/>
      <c r="B169" s="19" t="s">
        <v>72</v>
      </c>
      <c r="C169" s="11" t="s">
        <v>57</v>
      </c>
      <c r="D169" s="26">
        <f>Balaka!M169+Balaka!N169+Balaka!O169</f>
        <v>0</v>
      </c>
      <c r="E169" s="26">
        <f>Liwonde!M169+Liwonde!N169+Liwonde!O169</f>
        <v>0</v>
      </c>
      <c r="F169" s="26">
        <f>Machinga!M169+Machinga!N169+Machinga!O169</f>
        <v>0</v>
      </c>
      <c r="G169" s="26">
        <f>Ntaja!M169+Ntaja!N169+Ntaja!O169</f>
        <v>0</v>
      </c>
      <c r="H169" s="18">
        <f t="shared" si="47"/>
        <v>0</v>
      </c>
    </row>
    <row r="170" spans="1:8" ht="15.6" x14ac:dyDescent="0.3">
      <c r="A170" s="646"/>
      <c r="B170" s="19" t="s">
        <v>71</v>
      </c>
      <c r="C170" s="11" t="s">
        <v>57</v>
      </c>
      <c r="D170" s="26">
        <f>Balaka!M170+Balaka!N170+Balaka!O170</f>
        <v>0</v>
      </c>
      <c r="E170" s="26">
        <f>Liwonde!M170+Liwonde!N170+Liwonde!O170</f>
        <v>0</v>
      </c>
      <c r="F170" s="26">
        <f>Machinga!M170+Machinga!N170+Machinga!O170</f>
        <v>0</v>
      </c>
      <c r="G170" s="26">
        <f>Ntaja!M170+Ntaja!N170+Ntaja!O170</f>
        <v>0</v>
      </c>
      <c r="H170" s="18">
        <f t="shared" si="47"/>
        <v>0</v>
      </c>
    </row>
    <row r="171" spans="1:8" ht="15.6" x14ac:dyDescent="0.3">
      <c r="A171" s="646"/>
      <c r="B171" s="19" t="s">
        <v>52</v>
      </c>
      <c r="C171" s="11" t="s">
        <v>57</v>
      </c>
      <c r="D171" s="26">
        <f>Balaka!M171+Balaka!N171+Balaka!O171</f>
        <v>0</v>
      </c>
      <c r="E171" s="26">
        <f>Liwonde!M171+Liwonde!N171+Liwonde!O171</f>
        <v>0</v>
      </c>
      <c r="F171" s="26">
        <f>Machinga!M171+Machinga!N171+Machinga!O171</f>
        <v>4</v>
      </c>
      <c r="G171" s="26">
        <f>Ntaja!M171+Ntaja!N171+Ntaja!O171</f>
        <v>0</v>
      </c>
      <c r="H171" s="18">
        <f t="shared" si="47"/>
        <v>4</v>
      </c>
    </row>
    <row r="172" spans="1:8" ht="15.6" x14ac:dyDescent="0.3">
      <c r="A172" s="646"/>
      <c r="B172" s="19" t="s">
        <v>62</v>
      </c>
      <c r="C172" s="11" t="s">
        <v>57</v>
      </c>
      <c r="D172" s="26">
        <f>Balaka!M172+Balaka!N172+Balaka!O172</f>
        <v>0</v>
      </c>
      <c r="E172" s="26">
        <f>Liwonde!M172+Liwonde!N172+Liwonde!O172</f>
        <v>0</v>
      </c>
      <c r="F172" s="26">
        <f>Machinga!M172+Machinga!N172+Machinga!O172</f>
        <v>0</v>
      </c>
      <c r="G172" s="26">
        <f>Ntaja!M172+Ntaja!N172+Ntaja!O172</f>
        <v>0</v>
      </c>
      <c r="H172" s="18">
        <f t="shared" si="47"/>
        <v>0</v>
      </c>
    </row>
    <row r="173" spans="1:8" ht="15.6" x14ac:dyDescent="0.3">
      <c r="A173" s="646"/>
      <c r="B173" s="19" t="s">
        <v>61</v>
      </c>
      <c r="C173" s="11" t="s">
        <v>57</v>
      </c>
      <c r="D173" s="26">
        <f>Balaka!M173+Balaka!N173+Balaka!O173</f>
        <v>0</v>
      </c>
      <c r="E173" s="26">
        <f>Liwonde!M173+Liwonde!N173+Liwonde!O173</f>
        <v>0</v>
      </c>
      <c r="F173" s="26">
        <f>Machinga!M173+Machinga!N173+Machinga!O173</f>
        <v>0</v>
      </c>
      <c r="G173" s="26">
        <f>Ntaja!M173+Ntaja!N173+Ntaja!O173</f>
        <v>0</v>
      </c>
      <c r="H173" s="18">
        <f t="shared" si="47"/>
        <v>0</v>
      </c>
    </row>
    <row r="174" spans="1:8" ht="15.6" x14ac:dyDescent="0.3">
      <c r="A174" s="646"/>
      <c r="B174" s="19" t="s">
        <v>60</v>
      </c>
      <c r="C174" s="11" t="s">
        <v>57</v>
      </c>
      <c r="D174" s="26">
        <f>Balaka!M174+Balaka!N174+Balaka!O174</f>
        <v>0</v>
      </c>
      <c r="E174" s="26">
        <f>Liwonde!M174+Liwonde!N174+Liwonde!O174</f>
        <v>0</v>
      </c>
      <c r="F174" s="26">
        <f>Machinga!M174+Machinga!N174+Machinga!O174</f>
        <v>0</v>
      </c>
      <c r="G174" s="26">
        <f>Ntaja!M174+Ntaja!N174+Ntaja!O174</f>
        <v>0</v>
      </c>
      <c r="H174" s="18">
        <f t="shared" si="47"/>
        <v>0</v>
      </c>
    </row>
    <row r="175" spans="1:8" ht="15.6" x14ac:dyDescent="0.3">
      <c r="A175" s="647"/>
      <c r="B175" s="19" t="s">
        <v>69</v>
      </c>
      <c r="C175" s="11" t="s">
        <v>57</v>
      </c>
      <c r="D175" s="26">
        <f>Balaka!M175+Balaka!N175+Balaka!O175</f>
        <v>0</v>
      </c>
      <c r="E175" s="26">
        <f>Liwonde!M175+Liwonde!N175+Liwonde!O175</f>
        <v>0</v>
      </c>
      <c r="F175" s="26">
        <f>Machinga!M175+Machinga!N175+Machinga!O175</f>
        <v>0</v>
      </c>
      <c r="G175" s="26">
        <f>Ntaja!M175+Ntaja!N175+Ntaja!O175</f>
        <v>0</v>
      </c>
      <c r="H175" s="18">
        <f t="shared" si="47"/>
        <v>0</v>
      </c>
    </row>
    <row r="176" spans="1:8" ht="15.6" x14ac:dyDescent="0.3">
      <c r="A176" s="645" t="s">
        <v>70</v>
      </c>
      <c r="B176" s="21" t="s">
        <v>63</v>
      </c>
      <c r="C176" s="11"/>
      <c r="D176" s="4"/>
      <c r="E176" s="4"/>
      <c r="F176" s="4"/>
      <c r="G176" s="4"/>
      <c r="H176" s="18"/>
    </row>
    <row r="177" spans="1:8" ht="15.6" x14ac:dyDescent="0.3">
      <c r="A177" s="646"/>
      <c r="B177" s="19" t="s">
        <v>60</v>
      </c>
      <c r="C177" s="11" t="s">
        <v>57</v>
      </c>
      <c r="D177" s="26">
        <f>Balaka!M177+Balaka!N177+Balaka!O177</f>
        <v>0</v>
      </c>
      <c r="E177" s="26">
        <f>Liwonde!M177+Liwonde!N177+Liwonde!O177</f>
        <v>0</v>
      </c>
      <c r="F177" s="26">
        <f>Machinga!M177+Machinga!N177+Machinga!O177</f>
        <v>0</v>
      </c>
      <c r="G177" s="26">
        <f>Ntaja!M177+Ntaja!N177+Ntaja!O177</f>
        <v>0</v>
      </c>
      <c r="H177" s="18">
        <f t="shared" ref="H177:H182" si="48">SUM(D177:G177)</f>
        <v>0</v>
      </c>
    </row>
    <row r="178" spans="1:8" ht="15.6" x14ac:dyDescent="0.3">
      <c r="A178" s="646"/>
      <c r="B178" s="19" t="s">
        <v>69</v>
      </c>
      <c r="C178" s="11" t="s">
        <v>57</v>
      </c>
      <c r="D178" s="26">
        <f>Balaka!M178+Balaka!N178+Balaka!O178</f>
        <v>0</v>
      </c>
      <c r="E178" s="26">
        <f>Liwonde!M178+Liwonde!N178+Liwonde!O178</f>
        <v>0</v>
      </c>
      <c r="F178" s="26">
        <f>Machinga!M178+Machinga!N178+Machinga!O178</f>
        <v>0</v>
      </c>
      <c r="G178" s="26">
        <f>Ntaja!M178+Ntaja!N178+Ntaja!O178</f>
        <v>0</v>
      </c>
      <c r="H178" s="18">
        <f t="shared" si="48"/>
        <v>0</v>
      </c>
    </row>
    <row r="179" spans="1:8" ht="15.6" x14ac:dyDescent="0.3">
      <c r="A179" s="646"/>
      <c r="B179" s="19" t="s">
        <v>68</v>
      </c>
      <c r="C179" s="11" t="s">
        <v>57</v>
      </c>
      <c r="D179" s="26">
        <f>Balaka!M179+Balaka!N179+Balaka!O179</f>
        <v>0</v>
      </c>
      <c r="E179" s="26">
        <f>Liwonde!M179+Liwonde!N179+Liwonde!O179</f>
        <v>0</v>
      </c>
      <c r="F179" s="26">
        <f>Machinga!M179+Machinga!N179+Machinga!O179</f>
        <v>0</v>
      </c>
      <c r="G179" s="26">
        <f>Ntaja!M179+Ntaja!N179+Ntaja!O179</f>
        <v>0</v>
      </c>
      <c r="H179" s="18">
        <f t="shared" si="48"/>
        <v>0</v>
      </c>
    </row>
    <row r="180" spans="1:8" ht="15.6" x14ac:dyDescent="0.3">
      <c r="A180" s="646"/>
      <c r="B180" s="19" t="s">
        <v>67</v>
      </c>
      <c r="C180" s="11" t="s">
        <v>57</v>
      </c>
      <c r="D180" s="26">
        <f>Balaka!M180+Balaka!N180+Balaka!O180</f>
        <v>0</v>
      </c>
      <c r="E180" s="26">
        <f>Liwonde!M180+Liwonde!N180+Liwonde!O180</f>
        <v>0</v>
      </c>
      <c r="F180" s="26">
        <f>Machinga!M180+Machinga!N180+Machinga!O180</f>
        <v>0</v>
      </c>
      <c r="G180" s="26">
        <f>Ntaja!M180+Ntaja!N180+Ntaja!O180</f>
        <v>0</v>
      </c>
      <c r="H180" s="18">
        <f t="shared" si="48"/>
        <v>0</v>
      </c>
    </row>
    <row r="181" spans="1:8" ht="15.6" x14ac:dyDescent="0.3">
      <c r="A181" s="646"/>
      <c r="B181" s="19" t="s">
        <v>66</v>
      </c>
      <c r="C181" s="11" t="s">
        <v>57</v>
      </c>
      <c r="D181" s="26">
        <f>Balaka!M181+Balaka!N181+Balaka!O181</f>
        <v>0</v>
      </c>
      <c r="E181" s="26">
        <f>Liwonde!M181+Liwonde!N181+Liwonde!O181</f>
        <v>0</v>
      </c>
      <c r="F181" s="26">
        <f>Machinga!M181+Machinga!N181+Machinga!O181</f>
        <v>0</v>
      </c>
      <c r="G181" s="26">
        <f>Ntaja!M181+Ntaja!N181+Ntaja!O181</f>
        <v>0</v>
      </c>
      <c r="H181" s="18">
        <f t="shared" si="48"/>
        <v>0</v>
      </c>
    </row>
    <row r="182" spans="1:8" ht="15.6" x14ac:dyDescent="0.3">
      <c r="A182" s="647"/>
      <c r="B182" s="19" t="s">
        <v>65</v>
      </c>
      <c r="C182" s="11" t="s">
        <v>57</v>
      </c>
      <c r="D182" s="26">
        <f>Balaka!M182+Balaka!N182+Balaka!O182</f>
        <v>0</v>
      </c>
      <c r="E182" s="26">
        <f>Liwonde!M182+Liwonde!N182+Liwonde!O182</f>
        <v>0</v>
      </c>
      <c r="F182" s="26">
        <f>Machinga!M182+Machinga!N182+Machinga!O182</f>
        <v>0</v>
      </c>
      <c r="G182" s="26">
        <f>Ntaja!M182+Ntaja!N182+Ntaja!O182</f>
        <v>0</v>
      </c>
      <c r="H182" s="18">
        <f t="shared" si="48"/>
        <v>0</v>
      </c>
    </row>
    <row r="183" spans="1:8" ht="15.6" x14ac:dyDescent="0.3">
      <c r="A183" s="645" t="s">
        <v>209</v>
      </c>
      <c r="B183" s="21" t="s">
        <v>63</v>
      </c>
      <c r="C183" s="11"/>
      <c r="D183" s="4"/>
      <c r="E183" s="4"/>
      <c r="F183" s="4"/>
      <c r="G183" s="4"/>
      <c r="H183" s="18"/>
    </row>
    <row r="184" spans="1:8" ht="15.6" x14ac:dyDescent="0.3">
      <c r="A184" s="646"/>
      <c r="B184" s="19" t="s">
        <v>73</v>
      </c>
      <c r="C184" s="11"/>
      <c r="D184" s="26">
        <f>Balaka!M184+Balaka!N184+Balaka!O184</f>
        <v>0</v>
      </c>
      <c r="E184" s="26">
        <f>Liwonde!M184+Liwonde!N184+Liwonde!O184</f>
        <v>0</v>
      </c>
      <c r="F184" s="26">
        <f>Machinga!M184+Machinga!N184+Machinga!O184</f>
        <v>0</v>
      </c>
      <c r="G184" s="26">
        <f>Ntaja!M184+Ntaja!N184+Ntaja!O184</f>
        <v>0</v>
      </c>
      <c r="H184" s="18">
        <f>SUM(D184:G184)</f>
        <v>0</v>
      </c>
    </row>
    <row r="185" spans="1:8" ht="15.6" x14ac:dyDescent="0.3">
      <c r="A185" s="646"/>
      <c r="B185" s="19" t="s">
        <v>72</v>
      </c>
      <c r="C185" s="11"/>
      <c r="D185" s="26">
        <f>Balaka!M185+Balaka!N185+Balaka!O185</f>
        <v>0</v>
      </c>
      <c r="E185" s="26">
        <f>Liwonde!M185+Liwonde!N185+Liwonde!O185</f>
        <v>0</v>
      </c>
      <c r="F185" s="26">
        <f>Machinga!M185+Machinga!N185+Machinga!O185</f>
        <v>0</v>
      </c>
      <c r="G185" s="26">
        <f>Ntaja!M185+Ntaja!N185+Ntaja!O185</f>
        <v>0</v>
      </c>
      <c r="H185" s="18">
        <f>SUM(D185:G185)</f>
        <v>0</v>
      </c>
    </row>
    <row r="186" spans="1:8" ht="15.6" x14ac:dyDescent="0.3">
      <c r="A186" s="646"/>
      <c r="B186" s="19" t="s">
        <v>53</v>
      </c>
      <c r="C186" s="11"/>
      <c r="D186" s="26">
        <f>Balaka!M186+Balaka!N186+Balaka!O186</f>
        <v>0</v>
      </c>
      <c r="E186" s="26">
        <f>Liwonde!M186+Liwonde!N186+Liwonde!O186</f>
        <v>0</v>
      </c>
      <c r="F186" s="26">
        <f>Machinga!M186+Machinga!N186+Machinga!O186</f>
        <v>0</v>
      </c>
      <c r="G186" s="26">
        <f>Ntaja!M186+Ntaja!N186+Ntaja!O186</f>
        <v>0</v>
      </c>
      <c r="H186" s="18">
        <f>SUM(D186:G186)</f>
        <v>0</v>
      </c>
    </row>
    <row r="187" spans="1:8" ht="15.6" x14ac:dyDescent="0.3">
      <c r="A187" s="647"/>
      <c r="B187" s="19" t="s">
        <v>52</v>
      </c>
      <c r="C187" s="11"/>
      <c r="D187" s="26">
        <f>Balaka!M187+Balaka!N187+Balaka!O187</f>
        <v>0</v>
      </c>
      <c r="E187" s="26">
        <f>Liwonde!M187+Liwonde!N187+Liwonde!O187</f>
        <v>0</v>
      </c>
      <c r="F187" s="26">
        <f>Machinga!M187+Machinga!N187+Machinga!O187</f>
        <v>0</v>
      </c>
      <c r="G187" s="26">
        <f>Ntaja!M187+Ntaja!N187+Ntaja!O187</f>
        <v>0</v>
      </c>
      <c r="H187" s="18">
        <f>SUM(D187:G187)</f>
        <v>0</v>
      </c>
    </row>
    <row r="188" spans="1:8" ht="15.6" x14ac:dyDescent="0.3">
      <c r="A188" s="645" t="s">
        <v>64</v>
      </c>
      <c r="B188" s="21" t="s">
        <v>63</v>
      </c>
      <c r="C188" s="11"/>
      <c r="D188" s="4"/>
      <c r="E188" s="4"/>
      <c r="F188" s="4"/>
      <c r="G188" s="4"/>
      <c r="H188" s="18"/>
    </row>
    <row r="189" spans="1:8" ht="15.6" x14ac:dyDescent="0.3">
      <c r="A189" s="646"/>
      <c r="B189" s="20" t="s">
        <v>52</v>
      </c>
      <c r="C189" s="11" t="s">
        <v>57</v>
      </c>
      <c r="D189" s="4"/>
      <c r="E189" s="4"/>
      <c r="F189" s="4"/>
      <c r="G189" s="4"/>
      <c r="H189" s="18">
        <f>SUM(D189:G189)</f>
        <v>0</v>
      </c>
    </row>
    <row r="190" spans="1:8" ht="15.6" x14ac:dyDescent="0.3">
      <c r="A190" s="646"/>
      <c r="B190" s="19" t="s">
        <v>62</v>
      </c>
      <c r="C190" s="11" t="s">
        <v>57</v>
      </c>
      <c r="D190" s="4"/>
      <c r="E190" s="4"/>
      <c r="F190" s="4"/>
      <c r="G190" s="4"/>
      <c r="H190" s="18">
        <f>SUM(D190:G190)</f>
        <v>0</v>
      </c>
    </row>
    <row r="191" spans="1:8" ht="15.6" x14ac:dyDescent="0.3">
      <c r="A191" s="646"/>
      <c r="B191" s="19" t="s">
        <v>61</v>
      </c>
      <c r="C191" s="11" t="s">
        <v>57</v>
      </c>
      <c r="D191" s="4"/>
      <c r="E191" s="4"/>
      <c r="F191" s="4"/>
      <c r="G191" s="4"/>
      <c r="H191" s="18">
        <f>SUM(D191:G191)</f>
        <v>0</v>
      </c>
    </row>
    <row r="192" spans="1:8" ht="15.6" x14ac:dyDescent="0.3">
      <c r="A192" s="647"/>
      <c r="B192" s="19" t="s">
        <v>60</v>
      </c>
      <c r="C192" s="11" t="s">
        <v>57</v>
      </c>
      <c r="D192" s="4"/>
      <c r="E192" s="4"/>
      <c r="F192" s="4"/>
      <c r="G192" s="4"/>
      <c r="H192" s="18">
        <f>SUM(D192:G192)</f>
        <v>0</v>
      </c>
    </row>
    <row r="193" spans="1:8" ht="15.6" x14ac:dyDescent="0.3">
      <c r="A193" s="674" t="s">
        <v>59</v>
      </c>
      <c r="B193" s="675"/>
      <c r="C193" s="11"/>
      <c r="D193" s="10">
        <f>SUM(D153:D192)</f>
        <v>863</v>
      </c>
      <c r="E193" s="10">
        <f t="shared" ref="E193:H193" si="49">SUM(E153:E192)</f>
        <v>805</v>
      </c>
      <c r="F193" s="10">
        <f t="shared" si="49"/>
        <v>119</v>
      </c>
      <c r="G193" s="10">
        <f t="shared" si="49"/>
        <v>203</v>
      </c>
      <c r="H193" s="103">
        <f t="shared" si="49"/>
        <v>1990</v>
      </c>
    </row>
    <row r="194" spans="1:8" ht="15.6" x14ac:dyDescent="0.3">
      <c r="A194" s="651" t="s">
        <v>58</v>
      </c>
      <c r="B194" s="652"/>
      <c r="C194" s="11" t="s">
        <v>57</v>
      </c>
      <c r="D194" s="26">
        <f>Balaka!M194+Balaka!N194+Balaka!O194</f>
        <v>3</v>
      </c>
      <c r="E194" s="26">
        <f>Liwonde!M194+Liwonde!N194+Liwonde!O194</f>
        <v>0</v>
      </c>
      <c r="F194" s="26">
        <f>Machinga!M194+Machinga!N194+Machinga!O194</f>
        <v>3</v>
      </c>
      <c r="G194" s="26">
        <f>Ntaja!M194+Ntaja!N194+Ntaja!O194</f>
        <v>5</v>
      </c>
      <c r="H194" s="9">
        <f>SUM(D194:G194)</f>
        <v>11</v>
      </c>
    </row>
    <row r="195" spans="1:8" ht="15.6" x14ac:dyDescent="0.3">
      <c r="A195" s="653"/>
      <c r="B195" s="654"/>
      <c r="C195" s="16" t="s">
        <v>55</v>
      </c>
      <c r="D195" s="26">
        <f>Balaka!M195+Balaka!N195+Balaka!O195</f>
        <v>60</v>
      </c>
      <c r="E195" s="26">
        <f>Liwonde!M195+Liwonde!N195+Liwonde!O195</f>
        <v>0</v>
      </c>
      <c r="F195" s="26">
        <f>Machinga!M195+Machinga!N195+Machinga!O195</f>
        <v>0</v>
      </c>
      <c r="G195" s="26">
        <f>Ntaja!M195+Ntaja!N195+Ntaja!O195</f>
        <v>1272</v>
      </c>
      <c r="H195" s="9">
        <f>SUM(D195:G195)</f>
        <v>1332</v>
      </c>
    </row>
    <row r="196" spans="1:8" ht="15.6" x14ac:dyDescent="0.3">
      <c r="A196" s="213" t="s">
        <v>202</v>
      </c>
      <c r="B196" s="217"/>
      <c r="C196" s="16" t="s">
        <v>55</v>
      </c>
      <c r="D196" s="26">
        <f>Balaka!M196+Balaka!N196+Balaka!O196</f>
        <v>1862</v>
      </c>
      <c r="E196" s="26">
        <f>Liwonde!M196+Liwonde!N196+Liwonde!O196</f>
        <v>2184</v>
      </c>
      <c r="F196" s="26">
        <f>Machinga!M196+Machinga!N196+Machinga!O196</f>
        <v>2184</v>
      </c>
      <c r="G196" s="26">
        <f>Ntaja!M196+Ntaja!N196+Ntaja!O196</f>
        <v>2184</v>
      </c>
      <c r="H196" s="9">
        <f>SUM(D196:G196)</f>
        <v>8414</v>
      </c>
    </row>
    <row r="197" spans="1:8" ht="15.6" x14ac:dyDescent="0.3">
      <c r="A197" s="582" t="s">
        <v>56</v>
      </c>
      <c r="B197" s="583"/>
      <c r="C197" s="16" t="s">
        <v>55</v>
      </c>
      <c r="D197" s="26">
        <f>Balaka!M197+Balaka!N197+Balaka!O197</f>
        <v>54</v>
      </c>
      <c r="E197" s="26">
        <f>Liwonde!M197+Liwonde!N197+Liwonde!O197</f>
        <v>301</v>
      </c>
      <c r="F197" s="26">
        <f>Machinga!M197+Machinga!N197+Machinga!O197</f>
        <v>0</v>
      </c>
      <c r="G197" s="26">
        <f>Ntaja!M197+Ntaja!N197+Ntaja!O197</f>
        <v>93</v>
      </c>
      <c r="H197" s="9">
        <f>SUM(D197:G197)</f>
        <v>448</v>
      </c>
    </row>
    <row r="198" spans="1:8" x14ac:dyDescent="0.3">
      <c r="A198" s="586" t="s">
        <v>203</v>
      </c>
      <c r="B198" s="587"/>
      <c r="C198" s="587"/>
      <c r="D198" s="587"/>
      <c r="E198" s="587"/>
      <c r="F198" s="587"/>
      <c r="G198" s="587"/>
      <c r="H198" s="588"/>
    </row>
    <row r="199" spans="1:8" ht="15.6" x14ac:dyDescent="0.3">
      <c r="A199" s="651" t="s">
        <v>54</v>
      </c>
      <c r="B199" s="210" t="s">
        <v>53</v>
      </c>
      <c r="C199" s="11" t="s">
        <v>47</v>
      </c>
      <c r="D199" s="26">
        <f>Balaka!M199+Balaka!N199+Balaka!O199</f>
        <v>0</v>
      </c>
      <c r="E199" s="26">
        <f>Liwonde!M199+Liwonde!N199+Liwonde!O199</f>
        <v>0</v>
      </c>
      <c r="F199" s="26">
        <f>Machinga!M199+Machinga!N199+Machinga!O199</f>
        <v>0</v>
      </c>
      <c r="G199" s="26">
        <f>Ntaja!M199+Ntaja!N199+Ntaja!O199</f>
        <v>36</v>
      </c>
      <c r="H199" s="9">
        <f t="shared" ref="H199:H204" si="50">SUM(D199:G199)</f>
        <v>36</v>
      </c>
    </row>
    <row r="200" spans="1:8" ht="15.6" x14ac:dyDescent="0.3">
      <c r="A200" s="655"/>
      <c r="B200" s="210" t="s">
        <v>52</v>
      </c>
      <c r="C200" s="11" t="s">
        <v>47</v>
      </c>
      <c r="D200" s="26">
        <f>Balaka!M200+Balaka!N200+Balaka!O200</f>
        <v>0</v>
      </c>
      <c r="E200" s="26">
        <f>Liwonde!M200+Liwonde!N200+Liwonde!O200</f>
        <v>0</v>
      </c>
      <c r="F200" s="26">
        <f>Machinga!M200+Machinga!N200+Machinga!O200</f>
        <v>0</v>
      </c>
      <c r="G200" s="26">
        <f>Ntaja!M200+Ntaja!N200+Ntaja!O200</f>
        <v>0</v>
      </c>
      <c r="H200" s="9">
        <f t="shared" si="50"/>
        <v>0</v>
      </c>
    </row>
    <row r="201" spans="1:8" ht="15.6" x14ac:dyDescent="0.3">
      <c r="A201" s="655"/>
      <c r="B201" s="210" t="s">
        <v>51</v>
      </c>
      <c r="C201" s="11" t="s">
        <v>47</v>
      </c>
      <c r="D201" s="26">
        <f>Balaka!M201+Balaka!N201+Balaka!O201</f>
        <v>120</v>
      </c>
      <c r="E201" s="26">
        <f>Liwonde!M201+Liwonde!N201+Liwonde!O201</f>
        <v>0</v>
      </c>
      <c r="F201" s="26">
        <f>Machinga!M201+Machinga!N201+Machinga!O201</f>
        <v>0</v>
      </c>
      <c r="G201" s="26">
        <f>Ntaja!M201+Ntaja!N201+Ntaja!O201</f>
        <v>30</v>
      </c>
      <c r="H201" s="9">
        <f t="shared" si="50"/>
        <v>150</v>
      </c>
    </row>
    <row r="202" spans="1:8" ht="15.6" x14ac:dyDescent="0.3">
      <c r="A202" s="655"/>
      <c r="B202" s="210" t="s">
        <v>50</v>
      </c>
      <c r="C202" s="11" t="s">
        <v>47</v>
      </c>
      <c r="D202" s="26">
        <f>Balaka!M202+Balaka!N202+Balaka!O202</f>
        <v>0</v>
      </c>
      <c r="E202" s="26">
        <f>Liwonde!M202+Liwonde!N202+Liwonde!O202</f>
        <v>0</v>
      </c>
      <c r="F202" s="26">
        <f>Machinga!M202+Machinga!N202+Machinga!O202</f>
        <v>0</v>
      </c>
      <c r="G202" s="26">
        <f>Ntaja!M202+Ntaja!N202+Ntaja!O202</f>
        <v>0</v>
      </c>
      <c r="H202" s="9">
        <f t="shared" si="50"/>
        <v>0</v>
      </c>
    </row>
    <row r="203" spans="1:8" ht="15.6" x14ac:dyDescent="0.3">
      <c r="A203" s="653"/>
      <c r="B203" s="210" t="s">
        <v>49</v>
      </c>
      <c r="C203" s="11" t="s">
        <v>47</v>
      </c>
      <c r="D203" s="26">
        <f>Balaka!M203+Balaka!N203+Balaka!O203</f>
        <v>0</v>
      </c>
      <c r="E203" s="26">
        <f>Liwonde!M203+Liwonde!N203+Liwonde!O203</f>
        <v>0</v>
      </c>
      <c r="F203" s="26">
        <f>Machinga!M203+Machinga!N203+Machinga!O203</f>
        <v>0</v>
      </c>
      <c r="G203" s="26">
        <f>Ntaja!M203+Ntaja!N203+Ntaja!O203</f>
        <v>0</v>
      </c>
      <c r="H203" s="9">
        <f t="shared" si="50"/>
        <v>0</v>
      </c>
    </row>
    <row r="204" spans="1:8" ht="15.6" x14ac:dyDescent="0.3">
      <c r="A204" s="83" t="s">
        <v>48</v>
      </c>
      <c r="B204" s="210"/>
      <c r="C204" s="11" t="s">
        <v>47</v>
      </c>
      <c r="D204" s="15">
        <f t="shared" ref="D204:G204" si="51">SUM(D199:D203)</f>
        <v>120</v>
      </c>
      <c r="E204" s="15">
        <f t="shared" si="51"/>
        <v>0</v>
      </c>
      <c r="F204" s="15">
        <f t="shared" si="51"/>
        <v>0</v>
      </c>
      <c r="G204" s="15">
        <f t="shared" si="51"/>
        <v>66</v>
      </c>
      <c r="H204" s="111">
        <f t="shared" si="50"/>
        <v>186</v>
      </c>
    </row>
    <row r="205" spans="1:8" s="2" customFormat="1" x14ac:dyDescent="0.3">
      <c r="A205" s="586" t="s">
        <v>46</v>
      </c>
      <c r="B205" s="587"/>
      <c r="C205" s="587"/>
      <c r="D205" s="587"/>
      <c r="E205" s="587"/>
      <c r="F205" s="587"/>
      <c r="G205" s="587"/>
      <c r="H205" s="588"/>
    </row>
    <row r="206" spans="1:8" ht="15.6" x14ac:dyDescent="0.3">
      <c r="A206" s="582" t="s">
        <v>43</v>
      </c>
      <c r="B206" s="583"/>
      <c r="C206" s="11" t="s">
        <v>31</v>
      </c>
      <c r="D206" s="15">
        <f>Balaka!M206+Balaka!N206+Balaka!O206</f>
        <v>90266244.50999999</v>
      </c>
      <c r="E206" s="15">
        <f>Liwonde!M206+Liwonde!N206+Liwonde!O206</f>
        <v>88483222</v>
      </c>
      <c r="F206" s="15">
        <f>Machinga!M206+Machinga!N206+Machinga!O206</f>
        <v>3718383</v>
      </c>
      <c r="G206" s="15">
        <f>Ntaja!M206+Ntaja!N206+Ntaja!O206</f>
        <v>133500</v>
      </c>
      <c r="H206" s="9">
        <f>SUM(D206:G206)</f>
        <v>182601349.50999999</v>
      </c>
    </row>
    <row r="207" spans="1:8" ht="15.6" x14ac:dyDescent="0.3">
      <c r="A207" s="582" t="s">
        <v>42</v>
      </c>
      <c r="B207" s="583"/>
      <c r="C207" s="11" t="s">
        <v>31</v>
      </c>
      <c r="D207" s="15">
        <f>Balaka!M207+Balaka!N207+Balaka!O207</f>
        <v>621700</v>
      </c>
      <c r="E207" s="15">
        <f>Liwonde!M207+Liwonde!N207+Liwonde!O207</f>
        <v>283900</v>
      </c>
      <c r="F207" s="15">
        <f>Machinga!M207+Machinga!N207+Machinga!O207</f>
        <v>0</v>
      </c>
      <c r="G207" s="15">
        <f>Ntaja!M207+Ntaja!N207+Ntaja!O207</f>
        <v>0</v>
      </c>
      <c r="H207" s="9">
        <f>SUM(D207:G207)</f>
        <v>905600</v>
      </c>
    </row>
    <row r="208" spans="1:8" ht="15.6" x14ac:dyDescent="0.3">
      <c r="A208" s="589" t="s">
        <v>41</v>
      </c>
      <c r="B208" s="590"/>
      <c r="C208" s="11" t="s">
        <v>31</v>
      </c>
      <c r="D208" s="15">
        <f>Balaka!M208+Balaka!N208+Balaka!O208</f>
        <v>1549619.3199999998</v>
      </c>
      <c r="E208" s="15">
        <f>Liwonde!M208+Liwonde!N208+Liwonde!O208</f>
        <v>3313186</v>
      </c>
      <c r="F208" s="15">
        <f>Machinga!M208+Machinga!N208+Machinga!O208</f>
        <v>0</v>
      </c>
      <c r="G208" s="15">
        <f>Ntaja!M208+Ntaja!N208+Ntaja!O208</f>
        <v>0</v>
      </c>
      <c r="H208" s="9">
        <f>SUM(D208:G208)</f>
        <v>4862805.32</v>
      </c>
    </row>
    <row r="209" spans="1:8" ht="15.6" x14ac:dyDescent="0.3">
      <c r="A209" s="582" t="s">
        <v>40</v>
      </c>
      <c r="B209" s="583"/>
      <c r="C209" s="11" t="s">
        <v>31</v>
      </c>
      <c r="D209" s="15">
        <f>Balaka!M209+Balaka!N209+Balaka!O209</f>
        <v>622766.55000000005</v>
      </c>
      <c r="E209" s="15">
        <f>Liwonde!M209+Liwonde!N209+Liwonde!O209</f>
        <v>2400575</v>
      </c>
      <c r="F209" s="15">
        <f>Machinga!M209+Machinga!N209+Machinga!O209</f>
        <v>66841633</v>
      </c>
      <c r="G209" s="15">
        <f>Ntaja!M209+Ntaja!N209+Ntaja!O209</f>
        <v>242404</v>
      </c>
      <c r="H209" s="9">
        <f>SUM(D209:G209)</f>
        <v>70107378.549999997</v>
      </c>
    </row>
    <row r="210" spans="1:8" ht="15.6" x14ac:dyDescent="0.3">
      <c r="A210" s="649" t="s">
        <v>45</v>
      </c>
      <c r="B210" s="650"/>
      <c r="C210" s="11" t="s">
        <v>31</v>
      </c>
      <c r="D210" s="10">
        <f t="shared" ref="D210:G210" si="52">SUM(D206:D209)</f>
        <v>93060330.37999998</v>
      </c>
      <c r="E210" s="10">
        <f t="shared" si="52"/>
        <v>94480883</v>
      </c>
      <c r="F210" s="10">
        <f t="shared" si="52"/>
        <v>70560016</v>
      </c>
      <c r="G210" s="10">
        <f t="shared" si="52"/>
        <v>375904</v>
      </c>
      <c r="H210" s="9">
        <f>SUM(D210:G210)</f>
        <v>258477133.38</v>
      </c>
    </row>
    <row r="211" spans="1:8" s="2" customFormat="1" x14ac:dyDescent="0.3">
      <c r="A211" s="586" t="s">
        <v>44</v>
      </c>
      <c r="B211" s="587"/>
      <c r="C211" s="587"/>
      <c r="D211" s="587"/>
      <c r="E211" s="587"/>
      <c r="F211" s="587"/>
      <c r="G211" s="587"/>
      <c r="H211" s="588"/>
    </row>
    <row r="212" spans="1:8" ht="15.6" x14ac:dyDescent="0.3">
      <c r="A212" s="582" t="s">
        <v>43</v>
      </c>
      <c r="B212" s="583"/>
      <c r="C212" s="11" t="s">
        <v>31</v>
      </c>
      <c r="D212" s="15">
        <f>Balaka!M212+Balaka!N212+Balaka!O212</f>
        <v>41928271.890000001</v>
      </c>
      <c r="E212" s="15">
        <f>Liwonde!M212+Liwonde!N212+Liwonde!O212</f>
        <v>60947158.210000001</v>
      </c>
      <c r="F212" s="15">
        <f>Machinga!M212+Machinga!N212+Machinga!O212</f>
        <v>13356647</v>
      </c>
      <c r="G212" s="15">
        <f>Ntaja!M212+Ntaja!N212+Ntaja!O212</f>
        <v>8398432.6499999985</v>
      </c>
      <c r="H212" s="9">
        <f>SUM(D212:G212)</f>
        <v>124630509.75</v>
      </c>
    </row>
    <row r="213" spans="1:8" ht="15.6" x14ac:dyDescent="0.3">
      <c r="A213" s="582" t="s">
        <v>42</v>
      </c>
      <c r="B213" s="583"/>
      <c r="C213" s="11" t="s">
        <v>31</v>
      </c>
      <c r="D213" s="15">
        <f>Balaka!M213+Balaka!N213+Balaka!O213</f>
        <v>2500</v>
      </c>
      <c r="E213" s="15">
        <f>Liwonde!M213+Liwonde!N213+Liwonde!O213</f>
        <v>0</v>
      </c>
      <c r="F213" s="15">
        <f>Machinga!M213+Machinga!N213+Machinga!O213</f>
        <v>0</v>
      </c>
      <c r="G213" s="15">
        <f>Ntaja!M213+Ntaja!N213+Ntaja!O213</f>
        <v>0</v>
      </c>
      <c r="H213" s="9">
        <f>SUM(D213:G213)</f>
        <v>2500</v>
      </c>
    </row>
    <row r="214" spans="1:8" ht="15.6" x14ac:dyDescent="0.3">
      <c r="A214" s="589" t="s">
        <v>41</v>
      </c>
      <c r="B214" s="590"/>
      <c r="C214" s="11" t="s">
        <v>31</v>
      </c>
      <c r="D214" s="15">
        <f>Balaka!M214+Balaka!N214+Balaka!O214</f>
        <v>1591500</v>
      </c>
      <c r="E214" s="15">
        <f>Liwonde!M214+Liwonde!N214+Liwonde!O214</f>
        <v>0</v>
      </c>
      <c r="F214" s="15">
        <f>Machinga!M214+Machinga!N214+Machinga!O214</f>
        <v>0</v>
      </c>
      <c r="G214" s="15">
        <f>Ntaja!M214+Ntaja!N214+Ntaja!O214</f>
        <v>0</v>
      </c>
      <c r="H214" s="9">
        <f>SUM(D214:G214)</f>
        <v>1591500</v>
      </c>
    </row>
    <row r="215" spans="1:8" ht="15.6" x14ac:dyDescent="0.3">
      <c r="A215" s="582" t="s">
        <v>40</v>
      </c>
      <c r="B215" s="583"/>
      <c r="C215" s="11" t="s">
        <v>31</v>
      </c>
      <c r="D215" s="15">
        <f>Balaka!M215+Balaka!N215+Balaka!O215</f>
        <v>1083163.0900000001</v>
      </c>
      <c r="E215" s="15">
        <f>Liwonde!M215+Liwonde!N215+Liwonde!O215</f>
        <v>0</v>
      </c>
      <c r="F215" s="15">
        <f>Machinga!M215+Machinga!N215+Machinga!O215</f>
        <v>0</v>
      </c>
      <c r="G215" s="15">
        <f>Ntaja!M215+Ntaja!N215+Ntaja!O215</f>
        <v>0</v>
      </c>
      <c r="H215" s="9">
        <f>SUM(D215:G215)</f>
        <v>1083163.0900000001</v>
      </c>
    </row>
    <row r="216" spans="1:8" ht="15.6" x14ac:dyDescent="0.3">
      <c r="A216" s="649" t="s">
        <v>39</v>
      </c>
      <c r="B216" s="650"/>
      <c r="C216" s="11" t="s">
        <v>31</v>
      </c>
      <c r="D216" s="10">
        <f t="shared" ref="D216:G216" si="53">SUM(D212:D215)</f>
        <v>44605434.980000004</v>
      </c>
      <c r="E216" s="10">
        <f t="shared" si="53"/>
        <v>60947158.210000001</v>
      </c>
      <c r="F216" s="10">
        <f t="shared" si="53"/>
        <v>13356647</v>
      </c>
      <c r="G216" s="10">
        <f t="shared" si="53"/>
        <v>8398432.6499999985</v>
      </c>
      <c r="H216" s="9">
        <f>SUM(D216:G216)</f>
        <v>127307672.84</v>
      </c>
    </row>
    <row r="217" spans="1:8" s="2" customFormat="1" ht="15.6" x14ac:dyDescent="0.3">
      <c r="A217" s="211" t="s">
        <v>38</v>
      </c>
      <c r="B217" s="212"/>
      <c r="C217" s="11" t="s">
        <v>31</v>
      </c>
      <c r="D217" s="10">
        <f>D210+D216</f>
        <v>137665765.35999998</v>
      </c>
      <c r="E217" s="10">
        <f t="shared" ref="E217:H217" si="54">E210+E216</f>
        <v>155428041.21000001</v>
      </c>
      <c r="F217" s="10">
        <f t="shared" si="54"/>
        <v>83916663</v>
      </c>
      <c r="G217" s="10">
        <f t="shared" si="54"/>
        <v>8774336.6499999985</v>
      </c>
      <c r="H217" s="40">
        <f t="shared" si="54"/>
        <v>385784806.22000003</v>
      </c>
    </row>
    <row r="218" spans="1:8" s="2" customFormat="1" x14ac:dyDescent="0.3">
      <c r="A218" s="586" t="s">
        <v>37</v>
      </c>
      <c r="B218" s="587"/>
      <c r="C218" s="587"/>
      <c r="D218" s="587"/>
      <c r="E218" s="587"/>
      <c r="F218" s="587"/>
      <c r="G218" s="587"/>
      <c r="H218" s="588"/>
    </row>
    <row r="219" spans="1:8" ht="15.6" x14ac:dyDescent="0.3">
      <c r="A219" s="582" t="s">
        <v>35</v>
      </c>
      <c r="B219" s="583"/>
      <c r="C219" s="11" t="s">
        <v>31</v>
      </c>
      <c r="D219" s="15">
        <f>Balaka!M219+Balaka!N219+Balaka!O219</f>
        <v>81668968.230000392</v>
      </c>
      <c r="E219" s="15">
        <f>Liwonde!M219+Liwonde!N219+Liwonde!O219</f>
        <v>86306156</v>
      </c>
      <c r="F219" s="15">
        <f>Machinga!M219+Machinga!N219+Machinga!O219</f>
        <v>2462747</v>
      </c>
      <c r="G219" s="15">
        <f>Ntaja!M219+Ntaja!N219+Ntaja!O219</f>
        <v>195552</v>
      </c>
      <c r="H219" s="9">
        <f>SUM(D219:G219)</f>
        <v>170633423.23000038</v>
      </c>
    </row>
    <row r="220" spans="1:8" ht="15.6" x14ac:dyDescent="0.3">
      <c r="A220" s="582" t="s">
        <v>34</v>
      </c>
      <c r="B220" s="583"/>
      <c r="C220" s="11" t="s">
        <v>31</v>
      </c>
      <c r="D220" s="15">
        <f>Balaka!M220+Balaka!N220+Balaka!O220</f>
        <v>547405.72</v>
      </c>
      <c r="E220" s="15">
        <f>Liwonde!M220+Liwonde!N220+Liwonde!O220</f>
        <v>243446</v>
      </c>
      <c r="F220" s="15">
        <f>Machinga!M220+Machinga!N220+Machinga!O220</f>
        <v>0</v>
      </c>
      <c r="G220" s="15">
        <f>Ntaja!M220+Ntaja!N220+Ntaja!O220</f>
        <v>0</v>
      </c>
      <c r="H220" s="9">
        <f>SUM(D220:G220)</f>
        <v>790851.72</v>
      </c>
    </row>
    <row r="221" spans="1:8" ht="15.6" x14ac:dyDescent="0.3">
      <c r="A221" s="582" t="s">
        <v>33</v>
      </c>
      <c r="B221" s="583"/>
      <c r="C221" s="11" t="s">
        <v>31</v>
      </c>
      <c r="D221" s="15">
        <f>Balaka!M221+Balaka!N221+Balaka!O221</f>
        <v>2218127.9000000004</v>
      </c>
      <c r="E221" s="15">
        <f>Liwonde!M221+Liwonde!N221+Liwonde!O221</f>
        <v>8263843</v>
      </c>
      <c r="F221" s="15">
        <f>Machinga!M221+Machinga!N221+Machinga!O221</f>
        <v>208623</v>
      </c>
      <c r="G221" s="15">
        <f>Ntaja!M221+Ntaja!N221+Ntaja!O221</f>
        <v>35052</v>
      </c>
      <c r="H221" s="9">
        <f>SUM(D221:G221)</f>
        <v>10725645.9</v>
      </c>
    </row>
    <row r="222" spans="1:8" ht="15.6" x14ac:dyDescent="0.3">
      <c r="A222" s="582" t="s">
        <v>32</v>
      </c>
      <c r="B222" s="583"/>
      <c r="C222" s="11" t="s">
        <v>31</v>
      </c>
      <c r="D222" s="15">
        <f>Balaka!M222+Balaka!N222+Balaka!O222</f>
        <v>637933.92000000004</v>
      </c>
      <c r="E222" s="15">
        <f>Liwonde!M222+Liwonde!N222+Liwonde!O222</f>
        <v>4887347</v>
      </c>
      <c r="F222" s="15">
        <f>Machinga!M222+Machinga!N222+Machinga!O222</f>
        <v>0</v>
      </c>
      <c r="G222" s="15">
        <f>Ntaja!M222+Ntaja!N222+Ntaja!O222</f>
        <v>0</v>
      </c>
      <c r="H222" s="9">
        <f>SUM(D222:G222)</f>
        <v>5525280.9199999999</v>
      </c>
    </row>
    <row r="223" spans="1:8" ht="15.6" x14ac:dyDescent="0.3">
      <c r="A223" s="649" t="s">
        <v>36</v>
      </c>
      <c r="B223" s="650"/>
      <c r="C223" s="11" t="s">
        <v>31</v>
      </c>
      <c r="D223" s="12">
        <f t="shared" ref="D223:G223" si="55">SUM(D219:D222)</f>
        <v>85072435.770000398</v>
      </c>
      <c r="E223" s="10">
        <f t="shared" si="55"/>
        <v>99700792</v>
      </c>
      <c r="F223" s="10">
        <f t="shared" si="55"/>
        <v>2671370</v>
      </c>
      <c r="G223" s="10">
        <f t="shared" si="55"/>
        <v>230604</v>
      </c>
      <c r="H223" s="9">
        <f>SUM(D223:G223)</f>
        <v>187675201.7700004</v>
      </c>
    </row>
    <row r="224" spans="1:8" x14ac:dyDescent="0.3">
      <c r="A224" s="586" t="s">
        <v>211</v>
      </c>
      <c r="B224" s="587"/>
      <c r="C224" s="587"/>
      <c r="D224" s="587"/>
      <c r="E224" s="587"/>
      <c r="F224" s="587"/>
      <c r="G224" s="587"/>
      <c r="H224" s="588"/>
    </row>
    <row r="225" spans="1:8" ht="15.6" x14ac:dyDescent="0.3">
      <c r="A225" s="582" t="s">
        <v>35</v>
      </c>
      <c r="B225" s="583"/>
      <c r="C225" s="11" t="s">
        <v>31</v>
      </c>
      <c r="D225" s="15">
        <f>Balaka!M225+Balaka!N225+Balaka!O225</f>
        <v>0</v>
      </c>
      <c r="E225" s="15">
        <f>Liwonde!M225+Liwonde!N225+Liwonde!O225</f>
        <v>0</v>
      </c>
      <c r="F225" s="15">
        <f>Machinga!M225+Machinga!N225+Machinga!O225</f>
        <v>0</v>
      </c>
      <c r="G225" s="15">
        <f>Ntaja!M225+Ntaja!N225+Ntaja!O225</f>
        <v>0</v>
      </c>
      <c r="H225" s="9">
        <f t="shared" ref="H225:H230" si="56">SUM(D225:G225)</f>
        <v>0</v>
      </c>
    </row>
    <row r="226" spans="1:8" ht="15.6" x14ac:dyDescent="0.3">
      <c r="A226" s="582" t="s">
        <v>34</v>
      </c>
      <c r="B226" s="583"/>
      <c r="C226" s="11" t="s">
        <v>31</v>
      </c>
      <c r="D226" s="15">
        <f>Balaka!M226+Balaka!N226+Balaka!O226</f>
        <v>0</v>
      </c>
      <c r="E226" s="15">
        <f>Liwonde!M226+Liwonde!N226+Liwonde!O226</f>
        <v>0</v>
      </c>
      <c r="F226" s="15">
        <f>Machinga!M226+Machinga!N226+Machinga!O226</f>
        <v>0</v>
      </c>
      <c r="G226" s="15">
        <f>Ntaja!M226+Ntaja!N226+Ntaja!O226</f>
        <v>0</v>
      </c>
      <c r="H226" s="9">
        <f t="shared" si="56"/>
        <v>0</v>
      </c>
    </row>
    <row r="227" spans="1:8" ht="15.6" x14ac:dyDescent="0.3">
      <c r="A227" s="582" t="s">
        <v>33</v>
      </c>
      <c r="B227" s="583"/>
      <c r="C227" s="11" t="s">
        <v>31</v>
      </c>
      <c r="D227" s="15">
        <f>Balaka!M227+Balaka!N227+Balaka!O227</f>
        <v>0</v>
      </c>
      <c r="E227" s="15">
        <f>Liwonde!M227+Liwonde!N227+Liwonde!O227</f>
        <v>0</v>
      </c>
      <c r="F227" s="15">
        <f>Machinga!M227+Machinga!N227+Machinga!O227</f>
        <v>0</v>
      </c>
      <c r="G227" s="15">
        <f>Ntaja!M227+Ntaja!N227+Ntaja!O227</f>
        <v>0</v>
      </c>
      <c r="H227" s="9">
        <f t="shared" si="56"/>
        <v>0</v>
      </c>
    </row>
    <row r="228" spans="1:8" ht="15.6" x14ac:dyDescent="0.3">
      <c r="A228" s="582" t="s">
        <v>32</v>
      </c>
      <c r="B228" s="583"/>
      <c r="C228" s="11" t="s">
        <v>31</v>
      </c>
      <c r="D228" s="15">
        <f>Balaka!M228+Balaka!N228+Balaka!O228</f>
        <v>0</v>
      </c>
      <c r="E228" s="15">
        <f>Liwonde!M228+Liwonde!N228+Liwonde!O228</f>
        <v>0</v>
      </c>
      <c r="F228" s="15">
        <f>Machinga!M228+Machinga!N228+Machinga!O228</f>
        <v>0</v>
      </c>
      <c r="G228" s="15">
        <f>Ntaja!M228+Ntaja!N228+Ntaja!O228</f>
        <v>0</v>
      </c>
      <c r="H228" s="9">
        <f t="shared" si="56"/>
        <v>0</v>
      </c>
    </row>
    <row r="229" spans="1:8" ht="15.6" x14ac:dyDescent="0.3">
      <c r="A229" s="649" t="s">
        <v>212</v>
      </c>
      <c r="B229" s="650"/>
      <c r="C229" s="11" t="s">
        <v>31</v>
      </c>
      <c r="D229" s="12">
        <f t="shared" ref="D229:G229" si="57">SUM(D225:D228)</f>
        <v>0</v>
      </c>
      <c r="E229" s="10">
        <f t="shared" si="57"/>
        <v>0</v>
      </c>
      <c r="F229" s="10">
        <f t="shared" si="57"/>
        <v>0</v>
      </c>
      <c r="G229" s="10">
        <f t="shared" si="57"/>
        <v>0</v>
      </c>
      <c r="H229" s="9">
        <f t="shared" si="56"/>
        <v>0</v>
      </c>
    </row>
    <row r="230" spans="1:8" ht="15.6" x14ac:dyDescent="0.3">
      <c r="A230" s="211" t="s">
        <v>213</v>
      </c>
      <c r="B230" s="120"/>
      <c r="C230" s="11" t="s">
        <v>31</v>
      </c>
      <c r="D230" s="12">
        <f>D223+D229</f>
        <v>85072435.770000398</v>
      </c>
      <c r="E230" s="12">
        <f t="shared" ref="E230:G230" si="58">E223+E229</f>
        <v>99700792</v>
      </c>
      <c r="F230" s="12">
        <f t="shared" si="58"/>
        <v>2671370</v>
      </c>
      <c r="G230" s="12">
        <f t="shared" si="58"/>
        <v>230604</v>
      </c>
      <c r="H230" s="9">
        <f t="shared" si="56"/>
        <v>187675201.7700004</v>
      </c>
    </row>
    <row r="231" spans="1:8" x14ac:dyDescent="0.3">
      <c r="A231" s="586" t="s">
        <v>30</v>
      </c>
      <c r="B231" s="587"/>
      <c r="C231" s="587"/>
      <c r="D231" s="587"/>
      <c r="E231" s="587"/>
      <c r="F231" s="587"/>
      <c r="G231" s="587"/>
      <c r="H231" s="588"/>
    </row>
    <row r="232" spans="1:8" ht="15.6" x14ac:dyDescent="0.3">
      <c r="A232" s="582" t="s">
        <v>29</v>
      </c>
      <c r="B232" s="583"/>
      <c r="C232" s="11" t="s">
        <v>18</v>
      </c>
      <c r="D232" s="15">
        <f>Balaka!M232+Balaka!N232+Balaka!O232</f>
        <v>5101284.3899999075</v>
      </c>
      <c r="E232" s="15">
        <f>Liwonde!M232+Liwonde!N232+Liwonde!O232</f>
        <v>4199206</v>
      </c>
      <c r="F232" s="15">
        <f>Machinga!M232+Machinga!N232+Machinga!O232</f>
        <v>199129</v>
      </c>
      <c r="G232" s="15">
        <f>Ntaja!M232+Ntaja!N232+Ntaja!O232</f>
        <v>13682</v>
      </c>
      <c r="H232" s="9">
        <f>SUM(D232:G232)</f>
        <v>9513301.3899999075</v>
      </c>
    </row>
    <row r="233" spans="1:8" ht="15.6" x14ac:dyDescent="0.3">
      <c r="A233" s="582" t="s">
        <v>28</v>
      </c>
      <c r="B233" s="583"/>
      <c r="C233" s="11" t="s">
        <v>18</v>
      </c>
      <c r="D233" s="15">
        <f>Balaka!M233+Balaka!N233+Balaka!O233</f>
        <v>6781.7099999999991</v>
      </c>
      <c r="E233" s="15">
        <f>Liwonde!M233+Liwonde!N233+Liwonde!O233</f>
        <v>6783</v>
      </c>
      <c r="F233" s="15">
        <f>Machinga!M233+Machinga!N233+Machinga!O233</f>
        <v>0</v>
      </c>
      <c r="G233" s="15">
        <f>Ntaja!M233+Ntaja!N233+Ntaja!O233</f>
        <v>0</v>
      </c>
      <c r="H233" s="9">
        <f>SUM(D233:G233)</f>
        <v>13564.71</v>
      </c>
    </row>
    <row r="234" spans="1:8" ht="15.6" x14ac:dyDescent="0.3">
      <c r="A234" s="582" t="s">
        <v>27</v>
      </c>
      <c r="B234" s="583"/>
      <c r="C234" s="11" t="s">
        <v>18</v>
      </c>
      <c r="D234" s="15">
        <f>Balaka!M234+Balaka!N234+Balaka!O234</f>
        <v>104894.42000000001</v>
      </c>
      <c r="E234" s="15">
        <f>Liwonde!M234+Liwonde!N234+Liwonde!O234</f>
        <v>129576</v>
      </c>
      <c r="F234" s="15">
        <f>Machinga!M234+Machinga!N234+Machinga!O234</f>
        <v>37023</v>
      </c>
      <c r="G234" s="15">
        <f>Ntaja!M234+Ntaja!N234+Ntaja!O234</f>
        <v>7063</v>
      </c>
      <c r="H234" s="9">
        <f>SUM(D234:G234)</f>
        <v>278556.42000000004</v>
      </c>
    </row>
    <row r="235" spans="1:8" ht="15.6" x14ac:dyDescent="0.3">
      <c r="A235" s="582" t="s">
        <v>26</v>
      </c>
      <c r="B235" s="583"/>
      <c r="C235" s="11" t="s">
        <v>18</v>
      </c>
      <c r="D235" s="15">
        <f>Balaka!M235+Balaka!N235+Balaka!O235</f>
        <v>151767.72000000003</v>
      </c>
      <c r="E235" s="15">
        <f>Liwonde!M235+Liwonde!N235+Liwonde!O235</f>
        <v>223436</v>
      </c>
      <c r="F235" s="15">
        <f>Machinga!M235+Machinga!N235+Machinga!O235</f>
        <v>0</v>
      </c>
      <c r="G235" s="15">
        <f>Ntaja!M235+Ntaja!N235+Ntaja!O235</f>
        <v>0</v>
      </c>
      <c r="H235" s="9">
        <f>SUM(D235:G235)</f>
        <v>375203.72000000003</v>
      </c>
    </row>
    <row r="236" spans="1:8" ht="15.6" x14ac:dyDescent="0.3">
      <c r="A236" s="649" t="s">
        <v>25</v>
      </c>
      <c r="B236" s="650"/>
      <c r="C236" s="11" t="s">
        <v>18</v>
      </c>
      <c r="D236" s="12">
        <f>SUM(D232:D235)</f>
        <v>5364728.2399999071</v>
      </c>
      <c r="E236" s="12">
        <f t="shared" ref="E236:H236" si="59">SUM(E232:E235)</f>
        <v>4559001</v>
      </c>
      <c r="F236" s="12">
        <f t="shared" si="59"/>
        <v>236152</v>
      </c>
      <c r="G236" s="12">
        <f t="shared" si="59"/>
        <v>20745</v>
      </c>
      <c r="H236" s="40">
        <f t="shared" si="59"/>
        <v>10180626.239999909</v>
      </c>
    </row>
    <row r="237" spans="1:8" x14ac:dyDescent="0.3">
      <c r="A237" s="586" t="s">
        <v>24</v>
      </c>
      <c r="B237" s="587"/>
      <c r="C237" s="587"/>
      <c r="D237" s="587"/>
      <c r="E237" s="587"/>
      <c r="F237" s="587"/>
      <c r="G237" s="587"/>
      <c r="H237" s="588"/>
    </row>
    <row r="238" spans="1:8" ht="15.6" x14ac:dyDescent="0.3">
      <c r="A238" s="582" t="s">
        <v>23</v>
      </c>
      <c r="B238" s="583"/>
      <c r="C238" s="11" t="s">
        <v>18</v>
      </c>
      <c r="D238" s="15">
        <f>Balaka!M238+Balaka!N238+Balaka!O238</f>
        <v>9497948</v>
      </c>
      <c r="E238" s="15">
        <f>Liwonde!M238+Liwonde!N238+Liwonde!O238</f>
        <v>7708376</v>
      </c>
      <c r="F238" s="15">
        <f>Machinga!M238+Machinga!N238+Machinga!O238</f>
        <v>392920</v>
      </c>
      <c r="G238" s="15">
        <f>Ntaja!M238+Ntaja!N238+Ntaja!O238</f>
        <v>19646</v>
      </c>
      <c r="H238" s="9">
        <f>SUM(D238:G238)</f>
        <v>17618890</v>
      </c>
    </row>
    <row r="239" spans="1:8" ht="15.6" x14ac:dyDescent="0.3">
      <c r="A239" s="582" t="s">
        <v>22</v>
      </c>
      <c r="B239" s="583"/>
      <c r="C239" s="11" t="s">
        <v>18</v>
      </c>
      <c r="D239" s="15">
        <f>Balaka!M239+Balaka!N239+Balaka!O239</f>
        <v>34827</v>
      </c>
      <c r="E239" s="15">
        <f>Liwonde!M239+Liwonde!N239+Liwonde!O239</f>
        <v>34827</v>
      </c>
      <c r="F239" s="15">
        <f>Machinga!M239+Machinga!N239+Machinga!O239</f>
        <v>0</v>
      </c>
      <c r="G239" s="15">
        <f>Ntaja!M239+Ntaja!N239+Ntaja!O239</f>
        <v>0</v>
      </c>
      <c r="H239" s="9">
        <f>SUM(D239:G239)</f>
        <v>69654</v>
      </c>
    </row>
    <row r="240" spans="1:8" ht="15.6" x14ac:dyDescent="0.3">
      <c r="A240" s="582" t="s">
        <v>21</v>
      </c>
      <c r="B240" s="583"/>
      <c r="C240" s="11" t="s">
        <v>18</v>
      </c>
      <c r="D240" s="15">
        <f>Balaka!M240+Balaka!N240+Balaka!O240</f>
        <v>30362</v>
      </c>
      <c r="E240" s="15">
        <f>Liwonde!M240+Liwonde!N240+Liwonde!O240</f>
        <v>37506</v>
      </c>
      <c r="F240" s="15">
        <f>Machinga!M240+Machinga!N240+Machinga!O240</f>
        <v>10716</v>
      </c>
      <c r="G240" s="15">
        <f>Ntaja!M240+Ntaja!N240+Ntaja!O240</f>
        <v>2679</v>
      </c>
      <c r="H240" s="9">
        <f>SUM(D240:G240)</f>
        <v>81263</v>
      </c>
    </row>
    <row r="241" spans="1:8" ht="15.6" x14ac:dyDescent="0.3">
      <c r="A241" s="582" t="s">
        <v>20</v>
      </c>
      <c r="B241" s="583"/>
      <c r="C241" s="11" t="s">
        <v>18</v>
      </c>
      <c r="D241" s="15">
        <f>Balaka!M241+Balaka!N241+Balaka!O241</f>
        <v>32148</v>
      </c>
      <c r="E241" s="15">
        <f>Liwonde!M241+Liwonde!N241+Liwonde!O241</f>
        <v>47329</v>
      </c>
      <c r="F241" s="15">
        <f>Machinga!M241+Machinga!N241+Machinga!O241</f>
        <v>0</v>
      </c>
      <c r="G241" s="15">
        <f>Ntaja!M241+Ntaja!N241+Ntaja!O241</f>
        <v>0</v>
      </c>
      <c r="H241" s="9">
        <f>SUM(D241:G241)</f>
        <v>79477</v>
      </c>
    </row>
    <row r="242" spans="1:8" ht="15.6" x14ac:dyDescent="0.3">
      <c r="A242" s="649" t="s">
        <v>19</v>
      </c>
      <c r="B242" s="650"/>
      <c r="C242" s="11" t="s">
        <v>18</v>
      </c>
      <c r="D242" s="12">
        <f t="shared" ref="D242:H242" si="60">SUM(D238:D241)</f>
        <v>9595285</v>
      </c>
      <c r="E242" s="12">
        <f t="shared" si="60"/>
        <v>7828038</v>
      </c>
      <c r="F242" s="12">
        <f t="shared" si="60"/>
        <v>403636</v>
      </c>
      <c r="G242" s="12">
        <f t="shared" si="60"/>
        <v>22325</v>
      </c>
      <c r="H242" s="40">
        <f t="shared" si="60"/>
        <v>17849284</v>
      </c>
    </row>
    <row r="243" spans="1:8" ht="15.6" x14ac:dyDescent="0.3">
      <c r="A243" s="649" t="s">
        <v>214</v>
      </c>
      <c r="B243" s="650"/>
      <c r="C243" s="11" t="s">
        <v>18</v>
      </c>
      <c r="D243" s="10">
        <f>D230+D236+D242</f>
        <v>100032449.0100003</v>
      </c>
      <c r="E243" s="10">
        <f t="shared" ref="E243:G243" si="61">E230+E236+E242</f>
        <v>112087831</v>
      </c>
      <c r="F243" s="10">
        <f t="shared" si="61"/>
        <v>3311158</v>
      </c>
      <c r="G243" s="10">
        <f t="shared" si="61"/>
        <v>273674</v>
      </c>
      <c r="H243" s="40">
        <f t="shared" ref="H243" si="62">H216+H223+H236+H242</f>
        <v>343012784.85000026</v>
      </c>
    </row>
    <row r="244" spans="1:8" x14ac:dyDescent="0.3">
      <c r="A244" s="586" t="s">
        <v>204</v>
      </c>
      <c r="B244" s="587"/>
      <c r="C244" s="587"/>
      <c r="D244" s="587"/>
      <c r="E244" s="587"/>
      <c r="F244" s="587"/>
      <c r="G244" s="587"/>
      <c r="H244" s="588"/>
    </row>
    <row r="245" spans="1:8" ht="15.6" x14ac:dyDescent="0.3">
      <c r="A245" s="656" t="s">
        <v>205</v>
      </c>
      <c r="B245" s="657"/>
      <c r="C245" s="11" t="s">
        <v>18</v>
      </c>
      <c r="D245" s="15">
        <f>Balaka!O245</f>
        <v>0</v>
      </c>
      <c r="E245" s="15">
        <f>Liwonde!O245</f>
        <v>0</v>
      </c>
      <c r="F245" s="15">
        <f>Machinga!O245</f>
        <v>0</v>
      </c>
      <c r="G245" s="15">
        <f>Ntaja!O245</f>
        <v>0</v>
      </c>
      <c r="H245" s="40">
        <f t="shared" ref="H245:H246" si="63">SUM(H241:H244)</f>
        <v>360941545.85000026</v>
      </c>
    </row>
    <row r="246" spans="1:8" ht="15.6" x14ac:dyDescent="0.3">
      <c r="A246" s="656" t="s">
        <v>206</v>
      </c>
      <c r="B246" s="657"/>
      <c r="C246" s="11" t="s">
        <v>18</v>
      </c>
      <c r="D246" s="15">
        <f>Balaka!O246</f>
        <v>0</v>
      </c>
      <c r="E246" s="15">
        <f>Liwonde!O246</f>
        <v>0</v>
      </c>
      <c r="F246" s="15">
        <f>Machinga!O246</f>
        <v>0</v>
      </c>
      <c r="G246" s="15">
        <f>Ntaja!O246</f>
        <v>0</v>
      </c>
      <c r="H246" s="40">
        <f t="shared" si="63"/>
        <v>721803614.70000052</v>
      </c>
    </row>
    <row r="247" spans="1:8" ht="15.6" x14ac:dyDescent="0.3">
      <c r="A247" s="658" t="s">
        <v>207</v>
      </c>
      <c r="B247" s="659"/>
      <c r="C247" s="11" t="s">
        <v>18</v>
      </c>
      <c r="D247" s="143">
        <f>D245+D246</f>
        <v>0</v>
      </c>
      <c r="E247" s="143">
        <f t="shared" ref="E247:G247" si="64">E245+E246</f>
        <v>0</v>
      </c>
      <c r="F247" s="143">
        <f t="shared" si="64"/>
        <v>0</v>
      </c>
      <c r="G247" s="143">
        <f t="shared" si="64"/>
        <v>0</v>
      </c>
      <c r="H247" s="163">
        <f t="shared" ref="H247" si="65">SUM(H243:H246)</f>
        <v>1425757945.400001</v>
      </c>
    </row>
    <row r="248" spans="1:8" x14ac:dyDescent="0.3">
      <c r="A248" s="586" t="s">
        <v>17</v>
      </c>
      <c r="B248" s="587"/>
      <c r="C248" s="587"/>
      <c r="D248" s="587"/>
      <c r="E248" s="587"/>
      <c r="F248" s="587"/>
      <c r="G248" s="587"/>
      <c r="H248" s="588"/>
    </row>
    <row r="249" spans="1:8" ht="15.6" x14ac:dyDescent="0.3">
      <c r="A249" s="613" t="s">
        <v>16</v>
      </c>
      <c r="B249" s="614"/>
      <c r="C249" s="5" t="s">
        <v>6</v>
      </c>
      <c r="D249" s="8">
        <f>D58/D243%</f>
        <v>80.735802941229764</v>
      </c>
      <c r="E249" s="8">
        <f t="shared" ref="E249:G249" si="66">E58/E243%</f>
        <v>96.356411014702388</v>
      </c>
      <c r="F249" s="8">
        <f t="shared" si="66"/>
        <v>135.30920904408669</v>
      </c>
      <c r="G249" s="8">
        <f t="shared" si="66"/>
        <v>3028.5635655926399</v>
      </c>
      <c r="H249" s="112">
        <f t="shared" ref="H249" si="67">H58/H243</f>
        <v>0.58754225410710625</v>
      </c>
    </row>
    <row r="250" spans="1:8" ht="15.6" x14ac:dyDescent="0.3">
      <c r="A250" s="613" t="s">
        <v>208</v>
      </c>
      <c r="B250" s="614"/>
      <c r="C250" s="5" t="s">
        <v>6</v>
      </c>
      <c r="D250" s="29">
        <f>D210/(D223+D245)%</f>
        <v>109.38952145627455</v>
      </c>
      <c r="E250" s="29">
        <f t="shared" ref="E250:G250" si="68">E210/(E223+E245)%</f>
        <v>94.764425742977039</v>
      </c>
      <c r="F250" s="29">
        <f t="shared" si="68"/>
        <v>2641.3419331653795</v>
      </c>
      <c r="G250" s="29">
        <f t="shared" si="68"/>
        <v>163.00844738165861</v>
      </c>
      <c r="H250" s="109">
        <f>H210/(H223+H245)</f>
        <v>0.47114335189605655</v>
      </c>
    </row>
    <row r="251" spans="1:8" ht="16.2" thickBot="1" x14ac:dyDescent="0.35">
      <c r="A251" s="662" t="s">
        <v>15</v>
      </c>
      <c r="B251" s="663"/>
      <c r="C251" s="5" t="s">
        <v>6</v>
      </c>
      <c r="D251" s="7">
        <f>D210/D223%</f>
        <v>109.38952145627455</v>
      </c>
      <c r="E251" s="7">
        <f t="shared" ref="E251:G251" si="69">E210/E223%</f>
        <v>94.764425742977039</v>
      </c>
      <c r="F251" s="7">
        <f t="shared" si="69"/>
        <v>2641.3419331653795</v>
      </c>
      <c r="G251" s="7">
        <f t="shared" si="69"/>
        <v>163.00844738165861</v>
      </c>
      <c r="H251" s="113">
        <f t="shared" ref="H251" si="70">H210/H223</f>
        <v>1.3772577886809401</v>
      </c>
    </row>
    <row r="252" spans="1:8" x14ac:dyDescent="0.3">
      <c r="A252" s="642" t="s">
        <v>14</v>
      </c>
      <c r="B252" s="643"/>
      <c r="C252" s="643"/>
      <c r="D252" s="643"/>
      <c r="E252" s="643"/>
      <c r="F252" s="643"/>
      <c r="G252" s="643"/>
      <c r="H252" s="644"/>
    </row>
    <row r="253" spans="1:8" s="2" customFormat="1" ht="15" customHeight="1" x14ac:dyDescent="0.3">
      <c r="A253" s="613" t="s">
        <v>13</v>
      </c>
      <c r="B253" s="614"/>
      <c r="C253" s="5" t="s">
        <v>3</v>
      </c>
      <c r="D253" s="26">
        <f>Balaka!M253+Balaka!N253+Balaka!O253</f>
        <v>110</v>
      </c>
      <c r="E253" s="26">
        <f>Liwonde!M253+Liwonde!N253+Liwonde!O253</f>
        <v>53</v>
      </c>
      <c r="F253" s="26">
        <f>Machinga!M253+Machinga!N253+Machinga!O253</f>
        <v>8</v>
      </c>
      <c r="G253" s="26">
        <f>Ntaja!M253+Ntaja!N253+Ntaja!O253</f>
        <v>7</v>
      </c>
      <c r="H253" s="114">
        <f>SUM(D253:G253)</f>
        <v>178</v>
      </c>
    </row>
    <row r="254" spans="1:8" s="2" customFormat="1" ht="15.6" x14ac:dyDescent="0.3">
      <c r="A254" s="613" t="s">
        <v>12</v>
      </c>
      <c r="B254" s="614"/>
      <c r="C254" s="5" t="s">
        <v>3</v>
      </c>
      <c r="D254" s="26">
        <f>Balaka!M254+Balaka!N254+Balaka!O254</f>
        <v>3</v>
      </c>
      <c r="E254" s="26">
        <f>Liwonde!M254+Liwonde!N254+Liwonde!O254</f>
        <v>2</v>
      </c>
      <c r="F254" s="26">
        <f>Machinga!M254+Machinga!N254+Machinga!O254</f>
        <v>3</v>
      </c>
      <c r="G254" s="26">
        <f>Ntaja!M254+Ntaja!N254+Ntaja!O254</f>
        <v>2</v>
      </c>
      <c r="H254" s="114">
        <f>SUM(D254:G254)</f>
        <v>10</v>
      </c>
    </row>
    <row r="255" spans="1:8" ht="15.75" customHeight="1" x14ac:dyDescent="0.3">
      <c r="A255" s="613" t="s">
        <v>11</v>
      </c>
      <c r="B255" s="614"/>
      <c r="C255" s="5" t="s">
        <v>3</v>
      </c>
      <c r="D255" s="26">
        <f>Balaka!M255+Balaka!N255+Balaka!O255</f>
        <v>1271</v>
      </c>
      <c r="E255" s="26">
        <f>Liwonde!M255+Liwonde!N255+Liwonde!O255</f>
        <v>1045</v>
      </c>
      <c r="F255" s="26">
        <f>Machinga!M255+Machinga!N255+Machinga!O255</f>
        <v>33</v>
      </c>
      <c r="G255" s="26">
        <f>Ntaja!M255+Ntaja!N255+Ntaja!O255</f>
        <v>198</v>
      </c>
      <c r="H255" s="114">
        <f>SUM(D255:G255)</f>
        <v>2547</v>
      </c>
    </row>
    <row r="256" spans="1:8" ht="15.6" x14ac:dyDescent="0.3">
      <c r="A256" s="613" t="s">
        <v>10</v>
      </c>
      <c r="B256" s="614"/>
      <c r="C256" s="5" t="s">
        <v>3</v>
      </c>
      <c r="D256" s="26">
        <f>Balaka!M256+Balaka!N256+Balaka!O256</f>
        <v>110</v>
      </c>
      <c r="E256" s="26">
        <f>Liwonde!M256+Liwonde!N256+Liwonde!O256</f>
        <v>84</v>
      </c>
      <c r="F256" s="26">
        <f>Machinga!M256+Machinga!N256+Machinga!O256</f>
        <v>9</v>
      </c>
      <c r="G256" s="26">
        <f>Ntaja!M256+Ntaja!N256+Ntaja!O256</f>
        <v>15</v>
      </c>
      <c r="H256" s="114">
        <f>SUM(D256:G256)</f>
        <v>218</v>
      </c>
    </row>
    <row r="257" spans="1:8" ht="15.6" customHeight="1" x14ac:dyDescent="0.3">
      <c r="A257" s="613" t="s">
        <v>9</v>
      </c>
      <c r="B257" s="614"/>
      <c r="C257" s="5" t="s">
        <v>3</v>
      </c>
      <c r="D257" s="26">
        <f>Balaka!M257+Balaka!N257+Balaka!O257</f>
        <v>60</v>
      </c>
      <c r="E257" s="26">
        <f>Liwonde!M257+Liwonde!N257+Liwonde!O257</f>
        <v>60</v>
      </c>
      <c r="F257" s="26">
        <f>Machinga!M257+Machinga!N257+Machinga!O257</f>
        <v>42</v>
      </c>
      <c r="G257" s="26">
        <f>Ntaja!M257+Ntaja!N257+Ntaja!O257</f>
        <v>28</v>
      </c>
      <c r="H257" s="114">
        <f>SUM(D257:G257)</f>
        <v>190</v>
      </c>
    </row>
    <row r="258" spans="1:8" ht="15.6" x14ac:dyDescent="0.3">
      <c r="A258" s="649" t="s">
        <v>8</v>
      </c>
      <c r="B258" s="650"/>
      <c r="C258" s="5" t="s">
        <v>3</v>
      </c>
      <c r="D258" s="1">
        <f t="shared" ref="D258:H258" si="71">D257/D256</f>
        <v>0.54545454545454541</v>
      </c>
      <c r="E258" s="1">
        <f t="shared" si="71"/>
        <v>0.7142857142857143</v>
      </c>
      <c r="F258" s="1">
        <f t="shared" si="71"/>
        <v>4.666666666666667</v>
      </c>
      <c r="G258" s="3">
        <f t="shared" si="71"/>
        <v>1.8666666666666667</v>
      </c>
      <c r="H258" s="114">
        <f t="shared" si="71"/>
        <v>0.87155963302752293</v>
      </c>
    </row>
    <row r="259" spans="1:8" ht="15.6" x14ac:dyDescent="0.3">
      <c r="A259" s="649" t="s">
        <v>7</v>
      </c>
      <c r="B259" s="650"/>
      <c r="C259" s="5" t="s">
        <v>6</v>
      </c>
      <c r="D259" s="1">
        <f t="shared" ref="D259:H259" si="72">D92/D255*100</f>
        <v>6.0582218725413064</v>
      </c>
      <c r="E259" s="1">
        <f t="shared" si="72"/>
        <v>6.6028708133971294</v>
      </c>
      <c r="F259" s="1">
        <f t="shared" si="72"/>
        <v>27.27272727272727</v>
      </c>
      <c r="G259" s="6">
        <f t="shared" si="72"/>
        <v>2.0202020202020203</v>
      </c>
      <c r="H259" s="115">
        <f t="shared" si="72"/>
        <v>6.2426383981154299</v>
      </c>
    </row>
    <row r="260" spans="1:8" x14ac:dyDescent="0.3">
      <c r="A260" s="586" t="s">
        <v>5</v>
      </c>
      <c r="B260" s="587"/>
      <c r="C260" s="587"/>
      <c r="D260" s="587"/>
      <c r="E260" s="587"/>
      <c r="F260" s="587"/>
      <c r="G260" s="587"/>
      <c r="H260" s="588"/>
    </row>
    <row r="261" spans="1:8" s="2" customFormat="1" ht="15" customHeight="1" x14ac:dyDescent="0.3">
      <c r="A261" s="613" t="s">
        <v>4</v>
      </c>
      <c r="B261" s="614"/>
      <c r="C261" s="5" t="s">
        <v>3</v>
      </c>
      <c r="D261" s="26">
        <f>Balaka!M261+Balaka!N261+Balaka!O261</f>
        <v>42</v>
      </c>
      <c r="E261" s="26">
        <f>Liwonde!M261+Liwonde!N261+Liwonde!O261</f>
        <v>57</v>
      </c>
      <c r="F261" s="26">
        <f>Machinga!M261+Machinga!N261+Machinga!O261</f>
        <v>36</v>
      </c>
      <c r="G261" s="26">
        <f>Ntaja!M261+Ntaja!N261+Ntaja!O261</f>
        <v>74</v>
      </c>
      <c r="H261" s="114">
        <f>SUM(D261:G261)</f>
        <v>209</v>
      </c>
    </row>
    <row r="262" spans="1:8" s="2" customFormat="1" ht="15.75" customHeight="1" x14ac:dyDescent="0.3">
      <c r="A262" s="613" t="s">
        <v>2</v>
      </c>
      <c r="B262" s="614"/>
      <c r="C262" s="5" t="s">
        <v>0</v>
      </c>
      <c r="D262" s="26">
        <f>Balaka!M262+Balaka!N262+Balaka!O262</f>
        <v>90</v>
      </c>
      <c r="E262" s="26">
        <f>Liwonde!M262+Liwonde!N262+Liwonde!O262</f>
        <v>28</v>
      </c>
      <c r="F262" s="26">
        <f>Machinga!M262+Machinga!N262+Machinga!O262</f>
        <v>11</v>
      </c>
      <c r="G262" s="26">
        <f>Ntaja!M262+Ntaja!N262+Ntaja!O262</f>
        <v>8</v>
      </c>
      <c r="H262" s="114">
        <f>SUM(D262:G262)</f>
        <v>137</v>
      </c>
    </row>
    <row r="263" spans="1:8" ht="16.2" thickBot="1" x14ac:dyDescent="0.35">
      <c r="A263" s="660" t="s">
        <v>1</v>
      </c>
      <c r="B263" s="661"/>
      <c r="C263" s="116" t="s">
        <v>0</v>
      </c>
      <c r="D263" s="117">
        <f t="shared" ref="D263:H263" si="73">D261/D262</f>
        <v>0.46666666666666667</v>
      </c>
      <c r="E263" s="117">
        <f t="shared" si="73"/>
        <v>2.0357142857142856</v>
      </c>
      <c r="F263" s="117">
        <f t="shared" si="73"/>
        <v>3.2727272727272729</v>
      </c>
      <c r="G263" s="117">
        <f t="shared" si="73"/>
        <v>9.25</v>
      </c>
      <c r="H263" s="186">
        <f t="shared" si="73"/>
        <v>1.5255474452554745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DE13-409F-437E-A5E1-6A42334FE730}">
  <sheetPr codeName="Sheet17"/>
  <dimension ref="A1:H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K19" sqref="K19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521" bestFit="1" customWidth="1"/>
  </cols>
  <sheetData>
    <row r="1" spans="1:8" ht="18" thickBot="1" x14ac:dyDescent="0.35">
      <c r="A1" s="118" t="s">
        <v>175</v>
      </c>
      <c r="B1" s="119"/>
      <c r="C1" s="119"/>
      <c r="D1" s="119"/>
      <c r="E1" s="119"/>
      <c r="F1" s="119"/>
      <c r="G1" s="119"/>
      <c r="H1" s="551"/>
    </row>
    <row r="2" spans="1:8" ht="18" thickBot="1" x14ac:dyDescent="0.35">
      <c r="A2" s="93"/>
      <c r="B2" s="122"/>
      <c r="C2" s="122"/>
      <c r="D2" s="122"/>
      <c r="E2" s="122"/>
      <c r="F2" s="122"/>
      <c r="G2" s="122"/>
      <c r="H2" s="552"/>
    </row>
    <row r="3" spans="1:8" ht="18" thickBot="1" x14ac:dyDescent="0.35">
      <c r="A3" s="196" t="s">
        <v>217</v>
      </c>
      <c r="B3" s="197"/>
      <c r="C3" s="197"/>
      <c r="D3" s="197"/>
      <c r="E3" s="197"/>
      <c r="F3" s="197"/>
      <c r="G3" s="197"/>
      <c r="H3" s="563"/>
    </row>
    <row r="4" spans="1:8" ht="18" thickBot="1" x14ac:dyDescent="0.35">
      <c r="A4" s="94" t="s">
        <v>218</v>
      </c>
      <c r="B4" s="124"/>
      <c r="C4" s="124"/>
      <c r="D4" s="124"/>
      <c r="E4" s="124"/>
      <c r="F4" s="124"/>
      <c r="G4" s="124"/>
      <c r="H4" s="553"/>
    </row>
    <row r="5" spans="1:8" ht="14.4" customHeight="1" x14ac:dyDescent="0.3">
      <c r="A5" s="95" t="s">
        <v>218</v>
      </c>
      <c r="B5" s="96"/>
      <c r="C5" s="96"/>
      <c r="D5" s="96"/>
      <c r="E5" s="96"/>
      <c r="F5" s="96"/>
      <c r="G5" s="96"/>
      <c r="H5" s="564"/>
    </row>
    <row r="6" spans="1:8" ht="15" customHeight="1" thickBot="1" x14ac:dyDescent="0.35">
      <c r="A6" s="97"/>
      <c r="B6" s="98"/>
      <c r="C6" s="98"/>
      <c r="D6" s="98"/>
      <c r="E6" s="98"/>
      <c r="F6" s="98"/>
      <c r="G6" s="98"/>
      <c r="H6" s="565"/>
    </row>
    <row r="7" spans="1:8" ht="16.2" thickBot="1" x14ac:dyDescent="0.35">
      <c r="A7" s="580" t="s">
        <v>174</v>
      </c>
      <c r="B7" s="581"/>
      <c r="C7" s="61" t="s">
        <v>173</v>
      </c>
      <c r="D7" s="60" t="s">
        <v>219</v>
      </c>
      <c r="E7" s="60" t="s">
        <v>220</v>
      </c>
      <c r="F7" s="60" t="s">
        <v>221</v>
      </c>
      <c r="G7" s="60" t="s">
        <v>222</v>
      </c>
      <c r="H7" s="59" t="s">
        <v>160</v>
      </c>
    </row>
    <row r="8" spans="1:8" ht="15" thickBot="1" x14ac:dyDescent="0.35">
      <c r="A8" s="591" t="s">
        <v>159</v>
      </c>
      <c r="B8" s="592"/>
      <c r="C8" s="592"/>
      <c r="D8" s="592"/>
      <c r="E8" s="592"/>
      <c r="F8" s="592"/>
      <c r="G8" s="592"/>
      <c r="H8" s="593"/>
    </row>
    <row r="9" spans="1:8" x14ac:dyDescent="0.3">
      <c r="A9" s="594" t="s">
        <v>176</v>
      </c>
      <c r="B9" s="595"/>
      <c r="C9" s="58" t="s">
        <v>152</v>
      </c>
      <c r="D9" s="57">
        <f>Balaka!P9</f>
        <v>755837</v>
      </c>
      <c r="E9" s="57">
        <f>Liwonde!P9</f>
        <v>788862.7</v>
      </c>
      <c r="F9" s="57">
        <f>Machinga!P9</f>
        <v>37291</v>
      </c>
      <c r="G9" s="57">
        <f>Ntaja!P9</f>
        <v>36126.01</v>
      </c>
      <c r="H9" s="153">
        <f>SUM(D9:G9)</f>
        <v>1618116.71</v>
      </c>
    </row>
    <row r="10" spans="1:8" ht="14.4" x14ac:dyDescent="0.3">
      <c r="A10" s="586" t="s">
        <v>177</v>
      </c>
      <c r="B10" s="587"/>
      <c r="C10" s="587"/>
      <c r="D10" s="664"/>
      <c r="E10" s="664"/>
      <c r="F10" s="664"/>
      <c r="G10" s="664"/>
      <c r="H10" s="588"/>
    </row>
    <row r="11" spans="1:8" x14ac:dyDescent="0.3">
      <c r="A11" s="589" t="s">
        <v>157</v>
      </c>
      <c r="B11" s="590"/>
      <c r="C11" s="11" t="s">
        <v>152</v>
      </c>
      <c r="D11" s="26">
        <f>Balaka!P11</f>
        <v>357084</v>
      </c>
      <c r="E11" s="26">
        <f>Liwonde!P11</f>
        <v>339307</v>
      </c>
      <c r="F11" s="26">
        <f>Machinga!P11</f>
        <v>13600</v>
      </c>
      <c r="G11" s="26">
        <f>Ntaja!P11</f>
        <v>1505</v>
      </c>
      <c r="H11" s="55">
        <f>SUM(D11:G11)</f>
        <v>711496</v>
      </c>
    </row>
    <row r="12" spans="1:8" x14ac:dyDescent="0.3">
      <c r="A12" s="589" t="s">
        <v>156</v>
      </c>
      <c r="B12" s="590"/>
      <c r="C12" s="11" t="s">
        <v>152</v>
      </c>
      <c r="D12" s="26">
        <f>Balaka!P12</f>
        <v>12913</v>
      </c>
      <c r="E12" s="26">
        <f>Liwonde!P12</f>
        <v>5535</v>
      </c>
      <c r="F12" s="26">
        <f>Machinga!P12</f>
        <v>0</v>
      </c>
      <c r="G12" s="26">
        <f>Ntaja!P12</f>
        <v>0</v>
      </c>
      <c r="H12" s="55">
        <f>SUM(D12:G12)</f>
        <v>18448</v>
      </c>
    </row>
    <row r="13" spans="1:8" x14ac:dyDescent="0.3">
      <c r="A13" s="589" t="s">
        <v>155</v>
      </c>
      <c r="B13" s="590"/>
      <c r="C13" s="11" t="s">
        <v>152</v>
      </c>
      <c r="D13" s="26">
        <f>Balaka!P13</f>
        <v>5625</v>
      </c>
      <c r="E13" s="26">
        <f>Liwonde!P13</f>
        <v>24156</v>
      </c>
      <c r="F13" s="26">
        <f>Machinga!P13</f>
        <v>2045</v>
      </c>
      <c r="G13" s="26">
        <f>Ntaja!P13</f>
        <v>156</v>
      </c>
      <c r="H13" s="55">
        <f>SUM(D13:G13)</f>
        <v>31982</v>
      </c>
    </row>
    <row r="14" spans="1:8" x14ac:dyDescent="0.3">
      <c r="A14" s="582" t="s">
        <v>154</v>
      </c>
      <c r="B14" s="583"/>
      <c r="C14" s="11" t="s">
        <v>152</v>
      </c>
      <c r="D14" s="26">
        <f>Balaka!P14</f>
        <v>995</v>
      </c>
      <c r="E14" s="26">
        <f>Liwonde!P14</f>
        <v>3150</v>
      </c>
      <c r="F14" s="26">
        <f>Machinga!P14</f>
        <v>0</v>
      </c>
      <c r="G14" s="26">
        <f>Ntaja!P14</f>
        <v>2</v>
      </c>
      <c r="H14" s="55">
        <f>SUM(D14:G14)</f>
        <v>4147</v>
      </c>
    </row>
    <row r="15" spans="1:8" s="63" customFormat="1" x14ac:dyDescent="0.3">
      <c r="A15" s="584" t="s">
        <v>158</v>
      </c>
      <c r="B15" s="585"/>
      <c r="C15" s="62" t="s">
        <v>152</v>
      </c>
      <c r="D15" s="34">
        <f t="shared" ref="D15:H15" si="0">SUM(D11:D14)</f>
        <v>376617</v>
      </c>
      <c r="E15" s="34">
        <f t="shared" si="0"/>
        <v>372148</v>
      </c>
      <c r="F15" s="34">
        <f t="shared" si="0"/>
        <v>15645</v>
      </c>
      <c r="G15" s="34">
        <f t="shared" si="0"/>
        <v>1663</v>
      </c>
      <c r="H15" s="55">
        <f t="shared" si="0"/>
        <v>766073</v>
      </c>
    </row>
    <row r="16" spans="1:8" s="2" customFormat="1" ht="14.4" x14ac:dyDescent="0.3">
      <c r="A16" s="586" t="s">
        <v>178</v>
      </c>
      <c r="B16" s="587"/>
      <c r="C16" s="587"/>
      <c r="D16" s="587"/>
      <c r="E16" s="587"/>
      <c r="F16" s="587"/>
      <c r="G16" s="587"/>
      <c r="H16" s="588"/>
    </row>
    <row r="17" spans="1:8" s="2" customFormat="1" x14ac:dyDescent="0.3">
      <c r="A17" s="589" t="s">
        <v>180</v>
      </c>
      <c r="B17" s="590"/>
      <c r="C17" s="11" t="s">
        <v>152</v>
      </c>
      <c r="D17" s="26">
        <f>Balaka!P17</f>
        <v>83346</v>
      </c>
      <c r="E17" s="26">
        <f>Liwonde!P17</f>
        <v>124373.7</v>
      </c>
      <c r="F17" s="26">
        <f>Machinga!P17</f>
        <v>17112.98</v>
      </c>
      <c r="G17" s="26">
        <f>Ntaja!P17</f>
        <v>23102.9</v>
      </c>
      <c r="H17" s="55">
        <f>SUM(D17:G17)</f>
        <v>247935.58000000002</v>
      </c>
    </row>
    <row r="18" spans="1:8" s="2" customFormat="1" x14ac:dyDescent="0.3">
      <c r="A18" s="589" t="s">
        <v>181</v>
      </c>
      <c r="B18" s="590"/>
      <c r="C18" s="11" t="s">
        <v>152</v>
      </c>
      <c r="D18" s="26">
        <f>Balaka!P18</f>
        <v>47</v>
      </c>
      <c r="E18" s="26">
        <f>Liwonde!P18</f>
        <v>0</v>
      </c>
      <c r="F18" s="26">
        <f>Machinga!P18</f>
        <v>0</v>
      </c>
      <c r="G18" s="26">
        <f>Ntaja!P18</f>
        <v>1037</v>
      </c>
      <c r="H18" s="55">
        <f>SUM(D18:G18)</f>
        <v>1084</v>
      </c>
    </row>
    <row r="19" spans="1:8" s="2" customFormat="1" x14ac:dyDescent="0.3">
      <c r="A19" s="589" t="s">
        <v>182</v>
      </c>
      <c r="B19" s="590"/>
      <c r="C19" s="11" t="s">
        <v>152</v>
      </c>
      <c r="D19" s="26">
        <f>Balaka!P19</f>
        <v>9521</v>
      </c>
      <c r="E19" s="26">
        <f>Liwonde!P19</f>
        <v>0</v>
      </c>
      <c r="F19" s="26">
        <f>Machinga!P19</f>
        <v>0</v>
      </c>
      <c r="G19" s="26">
        <f>Ntaja!P19</f>
        <v>828</v>
      </c>
      <c r="H19" s="55">
        <f>SUM(D19:G19)</f>
        <v>10349</v>
      </c>
    </row>
    <row r="20" spans="1:8" s="2" customFormat="1" x14ac:dyDescent="0.3">
      <c r="A20" s="582" t="s">
        <v>183</v>
      </c>
      <c r="B20" s="583"/>
      <c r="C20" s="11" t="s">
        <v>152</v>
      </c>
      <c r="D20" s="26">
        <f>Balaka!P20</f>
        <v>3954</v>
      </c>
      <c r="E20" s="26">
        <f>Liwonde!P20</f>
        <v>0</v>
      </c>
      <c r="F20" s="26">
        <f>Machinga!P20</f>
        <v>0</v>
      </c>
      <c r="G20" s="26">
        <f>Ntaja!P20</f>
        <v>1127</v>
      </c>
      <c r="H20" s="55">
        <f>SUM(D20:G20)</f>
        <v>5081</v>
      </c>
    </row>
    <row r="21" spans="1:8" s="73" customFormat="1" x14ac:dyDescent="0.3">
      <c r="A21" s="584" t="s">
        <v>184</v>
      </c>
      <c r="B21" s="585"/>
      <c r="C21" s="62" t="s">
        <v>152</v>
      </c>
      <c r="D21" s="34">
        <f>SUM(D17:D20)</f>
        <v>96868</v>
      </c>
      <c r="E21" s="34">
        <f t="shared" ref="E21:H21" si="1">SUM(E17:E20)</f>
        <v>124373.7</v>
      </c>
      <c r="F21" s="34">
        <f t="shared" si="1"/>
        <v>17112.98</v>
      </c>
      <c r="G21" s="34">
        <f t="shared" si="1"/>
        <v>26094.9</v>
      </c>
      <c r="H21" s="55">
        <f t="shared" si="1"/>
        <v>264449.58</v>
      </c>
    </row>
    <row r="22" spans="1:8" s="2" customFormat="1" x14ac:dyDescent="0.3">
      <c r="A22" s="206" t="s">
        <v>185</v>
      </c>
      <c r="B22" s="199"/>
      <c r="C22" s="11" t="s">
        <v>152</v>
      </c>
      <c r="D22" s="34">
        <f>D21+D15</f>
        <v>473485</v>
      </c>
      <c r="E22" s="34">
        <f t="shared" ref="E22:H22" si="2">E21+E15</f>
        <v>496521.7</v>
      </c>
      <c r="F22" s="34">
        <f t="shared" si="2"/>
        <v>32757.98</v>
      </c>
      <c r="G22" s="34">
        <f t="shared" si="2"/>
        <v>27757.9</v>
      </c>
      <c r="H22" s="55">
        <f t="shared" si="2"/>
        <v>1030522.5800000001</v>
      </c>
    </row>
    <row r="23" spans="1:8" ht="14.4" x14ac:dyDescent="0.3">
      <c r="A23" s="586" t="s">
        <v>215</v>
      </c>
      <c r="B23" s="587"/>
      <c r="C23" s="587"/>
      <c r="D23" s="587"/>
      <c r="E23" s="587"/>
      <c r="F23" s="587"/>
      <c r="G23" s="587"/>
      <c r="H23" s="588"/>
    </row>
    <row r="24" spans="1:8" x14ac:dyDescent="0.3">
      <c r="A24" s="603" t="s">
        <v>179</v>
      </c>
      <c r="B24" s="37" t="s">
        <v>153</v>
      </c>
      <c r="C24" s="5" t="s">
        <v>152</v>
      </c>
      <c r="D24" s="54">
        <f>D9-D22</f>
        <v>282352</v>
      </c>
      <c r="E24" s="54">
        <f t="shared" ref="E24:H24" si="3">E9-E22</f>
        <v>292340.99999999994</v>
      </c>
      <c r="F24" s="54">
        <f t="shared" si="3"/>
        <v>4533.0200000000004</v>
      </c>
      <c r="G24" s="54">
        <f t="shared" si="3"/>
        <v>8368.11</v>
      </c>
      <c r="H24" s="162">
        <f t="shared" si="3"/>
        <v>587594.12999999989</v>
      </c>
    </row>
    <row r="25" spans="1:8" x14ac:dyDescent="0.3">
      <c r="A25" s="604"/>
      <c r="B25" s="53" t="s">
        <v>151</v>
      </c>
      <c r="C25" s="52" t="s">
        <v>6</v>
      </c>
      <c r="D25" s="51">
        <f t="shared" ref="D25:H25" si="4">D24/D9</f>
        <v>0.37356202461641863</v>
      </c>
      <c r="E25" s="51">
        <f t="shared" si="4"/>
        <v>0.37058540098295933</v>
      </c>
      <c r="F25" s="51">
        <f t="shared" si="4"/>
        <v>0.1215580166796278</v>
      </c>
      <c r="G25" s="51">
        <f t="shared" si="4"/>
        <v>0.23163670718133555</v>
      </c>
      <c r="H25" s="154">
        <f t="shared" si="4"/>
        <v>0.36313457884011341</v>
      </c>
    </row>
    <row r="26" spans="1:8" ht="14.4" x14ac:dyDescent="0.3">
      <c r="A26" s="586" t="s">
        <v>150</v>
      </c>
      <c r="B26" s="587"/>
      <c r="C26" s="587"/>
      <c r="D26" s="587"/>
      <c r="E26" s="587"/>
      <c r="F26" s="587"/>
      <c r="G26" s="587"/>
      <c r="H26" s="588"/>
    </row>
    <row r="27" spans="1:8" ht="14.4" x14ac:dyDescent="0.3">
      <c r="A27" s="665" t="s">
        <v>149</v>
      </c>
      <c r="B27" s="666"/>
      <c r="C27" s="666"/>
      <c r="D27" s="666"/>
      <c r="E27" s="666"/>
      <c r="F27" s="666"/>
      <c r="G27" s="666"/>
      <c r="H27" s="667"/>
    </row>
    <row r="28" spans="1:8" x14ac:dyDescent="0.3">
      <c r="A28" s="102" t="s">
        <v>148</v>
      </c>
      <c r="B28" s="50" t="s">
        <v>147</v>
      </c>
      <c r="C28" s="49"/>
      <c r="D28" s="47"/>
      <c r="E28" s="47"/>
      <c r="F28" s="47"/>
      <c r="G28" s="47"/>
      <c r="H28" s="46"/>
    </row>
    <row r="29" spans="1:8" x14ac:dyDescent="0.3">
      <c r="A29" s="596" t="s">
        <v>146</v>
      </c>
      <c r="B29" s="579">
        <f>176264.5/50</f>
        <v>3525.29</v>
      </c>
      <c r="C29" s="5" t="s">
        <v>140</v>
      </c>
      <c r="D29" s="26">
        <f>Balaka!P29</f>
        <v>1345</v>
      </c>
      <c r="E29" s="26">
        <f>Liwonde!P29</f>
        <v>4188</v>
      </c>
      <c r="F29" s="26">
        <f>Machinga!P29</f>
        <v>118</v>
      </c>
      <c r="G29" s="26">
        <f>Ntaja!P29</f>
        <v>103</v>
      </c>
      <c r="H29" s="45">
        <f>SUM(D29:G29)</f>
        <v>5754</v>
      </c>
    </row>
    <row r="30" spans="1:8" x14ac:dyDescent="0.3">
      <c r="A30" s="597"/>
      <c r="B30" s="579"/>
      <c r="C30" s="42" t="s">
        <v>139</v>
      </c>
      <c r="D30" s="15">
        <f t="shared" ref="D30:H30" si="5">D29/(D9/1000)</f>
        <v>1.7794842009586724</v>
      </c>
      <c r="E30" s="15">
        <f t="shared" si="5"/>
        <v>5.3089086351782138</v>
      </c>
      <c r="F30" s="15">
        <f t="shared" si="5"/>
        <v>3.1643023785900084</v>
      </c>
      <c r="G30" s="15">
        <f t="shared" si="5"/>
        <v>2.8511313593723746</v>
      </c>
      <c r="H30" s="40">
        <f t="shared" si="5"/>
        <v>3.555985773115216</v>
      </c>
    </row>
    <row r="31" spans="1:8" x14ac:dyDescent="0.3">
      <c r="A31" s="598" t="s">
        <v>145</v>
      </c>
      <c r="B31" s="579">
        <f>53000.511/50</f>
        <v>1060.0102199999999</v>
      </c>
      <c r="C31" s="5" t="s">
        <v>140</v>
      </c>
      <c r="D31" s="26">
        <f>Balaka!P31</f>
        <v>0</v>
      </c>
      <c r="E31" s="26">
        <f>Liwonde!P31</f>
        <v>0</v>
      </c>
      <c r="F31" s="26">
        <f>Machinga!P31</f>
        <v>0</v>
      </c>
      <c r="G31" s="26">
        <f>Ntaja!P31</f>
        <v>0</v>
      </c>
      <c r="H31" s="45">
        <f>SUM(D31:G31)</f>
        <v>0</v>
      </c>
    </row>
    <row r="32" spans="1:8" x14ac:dyDescent="0.3">
      <c r="A32" s="599"/>
      <c r="B32" s="579"/>
      <c r="C32" s="42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40">
        <f t="shared" si="6"/>
        <v>0</v>
      </c>
    </row>
    <row r="33" spans="1:8" x14ac:dyDescent="0.3">
      <c r="A33" s="598" t="s">
        <v>144</v>
      </c>
      <c r="B33" s="579">
        <f>61414.43/50</f>
        <v>1228.2886000000001</v>
      </c>
      <c r="C33" s="5" t="s">
        <v>140</v>
      </c>
      <c r="D33" s="26">
        <f>Balaka!P33</f>
        <v>0</v>
      </c>
      <c r="E33" s="26">
        <f>Liwonde!P33</f>
        <v>0</v>
      </c>
      <c r="F33" s="26">
        <f>Machinga!P33</f>
        <v>0</v>
      </c>
      <c r="G33" s="26">
        <f>Ntaja!P33</f>
        <v>0</v>
      </c>
      <c r="H33" s="45">
        <f>SUM(D33:G33)</f>
        <v>0</v>
      </c>
    </row>
    <row r="34" spans="1:8" x14ac:dyDescent="0.3">
      <c r="A34" s="599"/>
      <c r="B34" s="579"/>
      <c r="C34" s="42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40">
        <f t="shared" si="7"/>
        <v>0</v>
      </c>
    </row>
    <row r="35" spans="1:8" x14ac:dyDescent="0.3">
      <c r="A35" s="598" t="s">
        <v>143</v>
      </c>
      <c r="B35" s="579">
        <f>745345.16/200</f>
        <v>3726.7258000000002</v>
      </c>
      <c r="C35" s="5" t="s">
        <v>126</v>
      </c>
      <c r="D35" s="26">
        <f>Balaka!P35</f>
        <v>0</v>
      </c>
      <c r="E35" s="26">
        <f>Liwonde!P35</f>
        <v>0</v>
      </c>
      <c r="F35" s="26">
        <f>Machinga!P35</f>
        <v>0</v>
      </c>
      <c r="G35" s="26">
        <f>Ntaja!P35</f>
        <v>0</v>
      </c>
      <c r="H35" s="40"/>
    </row>
    <row r="36" spans="1:8" x14ac:dyDescent="0.3">
      <c r="A36" s="599"/>
      <c r="B36" s="579"/>
      <c r="C36" s="5" t="s">
        <v>142</v>
      </c>
      <c r="D36" s="13"/>
      <c r="E36" s="13"/>
      <c r="F36" s="13"/>
      <c r="G36" s="13"/>
      <c r="H36" s="40"/>
    </row>
    <row r="37" spans="1:8" x14ac:dyDescent="0.3">
      <c r="A37" s="598" t="s">
        <v>186</v>
      </c>
      <c r="B37" s="579">
        <f>790318.72/200</f>
        <v>3951.5935999999997</v>
      </c>
      <c r="C37" s="5" t="s">
        <v>126</v>
      </c>
      <c r="D37" s="26">
        <f>Balaka!P37</f>
        <v>0</v>
      </c>
      <c r="E37" s="26">
        <f>Liwonde!P37</f>
        <v>0</v>
      </c>
      <c r="F37" s="26">
        <f>Machinga!P37</f>
        <v>0</v>
      </c>
      <c r="G37" s="26">
        <f>Ntaja!P37</f>
        <v>0</v>
      </c>
      <c r="H37" s="45">
        <f>SUM(D37:G37)</f>
        <v>0</v>
      </c>
    </row>
    <row r="38" spans="1:8" x14ac:dyDescent="0.3">
      <c r="A38" s="599"/>
      <c r="B38" s="579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40">
        <f t="shared" si="8"/>
        <v>0</v>
      </c>
    </row>
    <row r="39" spans="1:8" x14ac:dyDescent="0.3">
      <c r="A39" s="598" t="s">
        <v>141</v>
      </c>
      <c r="B39" s="579">
        <v>1950</v>
      </c>
      <c r="C39" s="5" t="s">
        <v>140</v>
      </c>
      <c r="D39" s="26">
        <f>Balaka!P39</f>
        <v>0</v>
      </c>
      <c r="E39" s="26">
        <f>Liwonde!P39</f>
        <v>0</v>
      </c>
      <c r="F39" s="26">
        <f>Machinga!P39</f>
        <v>0</v>
      </c>
      <c r="G39" s="26">
        <f>Ntaja!P39</f>
        <v>0</v>
      </c>
      <c r="H39" s="45">
        <f>SUM(D39:G39)</f>
        <v>0</v>
      </c>
    </row>
    <row r="40" spans="1:8" x14ac:dyDescent="0.3">
      <c r="A40" s="599"/>
      <c r="B40" s="579"/>
      <c r="C40" s="42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40">
        <f t="shared" si="9"/>
        <v>0</v>
      </c>
    </row>
    <row r="41" spans="1:8" x14ac:dyDescent="0.3">
      <c r="A41" s="582" t="s">
        <v>138</v>
      </c>
      <c r="B41" s="583"/>
      <c r="C41" s="11" t="s">
        <v>31</v>
      </c>
      <c r="D41" s="41">
        <f>(D29*$B29)+(D31*$B31)+(D33*$B33)+(D35*$B35)+(D37*$B37)+(D39*$B39)</f>
        <v>4741515.05</v>
      </c>
      <c r="E41" s="41">
        <f t="shared" ref="E41:G41" si="10">(E29*$B29)+(E31*$B31)+(E33*$B33)+(E35*$B35)+(E37*$B37)+(E39*$B39)</f>
        <v>14763914.52</v>
      </c>
      <c r="F41" s="41">
        <f t="shared" si="10"/>
        <v>415984.22</v>
      </c>
      <c r="G41" s="41">
        <f t="shared" si="10"/>
        <v>363104.87</v>
      </c>
      <c r="H41" s="39">
        <f>SUM(D41:G41)</f>
        <v>20284518.66</v>
      </c>
    </row>
    <row r="42" spans="1:8" x14ac:dyDescent="0.3">
      <c r="A42" s="608" t="s">
        <v>137</v>
      </c>
      <c r="B42" s="609"/>
      <c r="C42" s="42" t="s">
        <v>115</v>
      </c>
      <c r="D42" s="15">
        <f t="shared" ref="D42:H42" si="11">D41/D9</f>
        <v>6.2731978587975981</v>
      </c>
      <c r="E42" s="15">
        <f t="shared" si="11"/>
        <v>18.715442522507402</v>
      </c>
      <c r="F42" s="15">
        <f t="shared" si="11"/>
        <v>11.155083532219569</v>
      </c>
      <c r="G42" s="15">
        <f t="shared" si="11"/>
        <v>10.051064869881838</v>
      </c>
      <c r="H42" s="515">
        <f t="shared" si="11"/>
        <v>12.535881086105341</v>
      </c>
    </row>
    <row r="43" spans="1:8" ht="14.4" x14ac:dyDescent="0.3">
      <c r="A43" s="610" t="s">
        <v>136</v>
      </c>
      <c r="B43" s="611"/>
      <c r="C43" s="611"/>
      <c r="D43" s="611"/>
      <c r="E43" s="611"/>
      <c r="F43" s="611"/>
      <c r="G43" s="611"/>
      <c r="H43" s="612"/>
    </row>
    <row r="44" spans="1:8" x14ac:dyDescent="0.3">
      <c r="A44" s="582" t="s">
        <v>135</v>
      </c>
      <c r="B44" s="583"/>
      <c r="C44" s="11" t="s">
        <v>134</v>
      </c>
      <c r="D44" s="26">
        <f>Balaka!P44</f>
        <v>403424</v>
      </c>
      <c r="E44" s="26">
        <f>Liwonde!P44</f>
        <v>878637.94</v>
      </c>
      <c r="F44" s="26">
        <f>Machinga!P44</f>
        <v>5369</v>
      </c>
      <c r="G44" s="26">
        <f>Ntaja!P44</f>
        <v>45825.130000000005</v>
      </c>
      <c r="H44" s="39">
        <f>SUM(D44:G44)</f>
        <v>1333256.0699999998</v>
      </c>
    </row>
    <row r="45" spans="1:8" x14ac:dyDescent="0.3">
      <c r="A45" s="608" t="s">
        <v>133</v>
      </c>
      <c r="B45" s="609"/>
      <c r="C45" s="42" t="s">
        <v>132</v>
      </c>
      <c r="D45" s="15">
        <f t="shared" ref="D45:H45" si="12">D44/D9</f>
        <v>0.53374470950747321</v>
      </c>
      <c r="E45" s="15">
        <f t="shared" si="12"/>
        <v>1.113803377951575</v>
      </c>
      <c r="F45" s="15">
        <f t="shared" si="12"/>
        <v>0.14397575822584538</v>
      </c>
      <c r="G45" s="15">
        <f t="shared" si="12"/>
        <v>1.2684802445661727</v>
      </c>
      <c r="H45" s="40">
        <f t="shared" si="12"/>
        <v>0.82395544262069942</v>
      </c>
    </row>
    <row r="46" spans="1:8" x14ac:dyDescent="0.3">
      <c r="A46" s="613" t="s">
        <v>131</v>
      </c>
      <c r="B46" s="614"/>
      <c r="C46" s="5" t="s">
        <v>31</v>
      </c>
      <c r="D46" s="26">
        <f>Balaka!P46</f>
        <v>66256019.203999989</v>
      </c>
      <c r="E46" s="26">
        <f>Liwonde!P46</f>
        <v>139133543.09834999</v>
      </c>
      <c r="F46" s="26">
        <f>Machinga!P46</f>
        <v>1075553.9795000001</v>
      </c>
      <c r="G46" s="26">
        <f>Ntaja!P46</f>
        <v>6452656.955275001</v>
      </c>
      <c r="H46" s="39">
        <f>SUM(D46:G46)</f>
        <v>212917773.23712498</v>
      </c>
    </row>
    <row r="47" spans="1:8" s="2" customFormat="1" x14ac:dyDescent="0.3">
      <c r="A47" s="582" t="s">
        <v>130</v>
      </c>
      <c r="B47" s="583"/>
      <c r="C47" s="11" t="s">
        <v>115</v>
      </c>
      <c r="D47" s="15">
        <f t="shared" ref="D47:H47" si="13">D46/D9</f>
        <v>87.659137094373506</v>
      </c>
      <c r="E47" s="15">
        <f t="shared" si="13"/>
        <v>176.37231814655453</v>
      </c>
      <c r="F47" s="15">
        <f t="shared" si="13"/>
        <v>28.84218657316779</v>
      </c>
      <c r="G47" s="15">
        <f t="shared" si="13"/>
        <v>178.61526792676526</v>
      </c>
      <c r="H47" s="40">
        <f t="shared" si="13"/>
        <v>131.58369351313664</v>
      </c>
    </row>
    <row r="48" spans="1:8" ht="14.4" x14ac:dyDescent="0.3">
      <c r="A48" s="610" t="s">
        <v>129</v>
      </c>
      <c r="B48" s="611"/>
      <c r="C48" s="611"/>
      <c r="D48" s="611"/>
      <c r="E48" s="611"/>
      <c r="F48" s="611"/>
      <c r="G48" s="611"/>
      <c r="H48" s="612"/>
    </row>
    <row r="49" spans="1:8" x14ac:dyDescent="0.3">
      <c r="A49" s="582" t="s">
        <v>128</v>
      </c>
      <c r="B49" s="583"/>
      <c r="C49" s="5" t="s">
        <v>127</v>
      </c>
      <c r="D49" s="26">
        <f>Balaka!P49</f>
        <v>19474</v>
      </c>
      <c r="E49" s="26">
        <f>Liwonde!P49</f>
        <v>29557</v>
      </c>
      <c r="F49" s="26">
        <f>Machinga!P49</f>
        <v>0</v>
      </c>
      <c r="G49" s="26">
        <f>Ntaja!P49</f>
        <v>0</v>
      </c>
      <c r="H49" s="39">
        <f>SUM(D49:G49)</f>
        <v>49031</v>
      </c>
    </row>
    <row r="50" spans="1:8" x14ac:dyDescent="0.3">
      <c r="A50" s="582" t="s">
        <v>187</v>
      </c>
      <c r="B50" s="583"/>
      <c r="C50" s="5" t="s">
        <v>126</v>
      </c>
      <c r="D50" s="26">
        <f>Balaka!P50</f>
        <v>2353</v>
      </c>
      <c r="E50" s="26">
        <f>Liwonde!P50</f>
        <v>2615.1800000000003</v>
      </c>
      <c r="F50" s="26">
        <f>Machinga!P50</f>
        <v>0</v>
      </c>
      <c r="G50" s="26">
        <f>Ntaja!P50</f>
        <v>55</v>
      </c>
      <c r="H50" s="39">
        <f>SUM(D50:G50)</f>
        <v>5023.18</v>
      </c>
    </row>
    <row r="51" spans="1:8" x14ac:dyDescent="0.3">
      <c r="A51" s="613" t="s">
        <v>125</v>
      </c>
      <c r="B51" s="614"/>
      <c r="C51" s="5" t="s">
        <v>31</v>
      </c>
      <c r="D51" s="26">
        <f>Balaka!P51</f>
        <v>5887290</v>
      </c>
      <c r="E51" s="26">
        <f>Liwonde!P51</f>
        <v>7219616.8800000008</v>
      </c>
      <c r="F51" s="26">
        <f>Machinga!P51</f>
        <v>0</v>
      </c>
      <c r="G51" s="26">
        <f>Ntaja!P51</f>
        <v>76790</v>
      </c>
      <c r="H51" s="40">
        <f>SUM(D51:G51)</f>
        <v>13183696.880000001</v>
      </c>
    </row>
    <row r="52" spans="1:8" x14ac:dyDescent="0.3">
      <c r="A52" s="582" t="s">
        <v>124</v>
      </c>
      <c r="B52" s="583"/>
      <c r="C52" s="5" t="s">
        <v>31</v>
      </c>
      <c r="D52" s="26">
        <f>Balaka!P52</f>
        <v>0</v>
      </c>
      <c r="E52" s="26">
        <f>Liwonde!P52</f>
        <v>0</v>
      </c>
      <c r="F52" s="26">
        <f>Machinga!P52</f>
        <v>0</v>
      </c>
      <c r="G52" s="26">
        <f>Ntaja!P52</f>
        <v>0</v>
      </c>
      <c r="H52" s="40">
        <f>SUM(D52:G52)</f>
        <v>0</v>
      </c>
    </row>
    <row r="53" spans="1:8" ht="14.4" x14ac:dyDescent="0.3">
      <c r="A53" s="610" t="s">
        <v>123</v>
      </c>
      <c r="B53" s="611"/>
      <c r="C53" s="611"/>
      <c r="D53" s="611"/>
      <c r="E53" s="611"/>
      <c r="F53" s="611"/>
      <c r="G53" s="611"/>
      <c r="H53" s="612"/>
    </row>
    <row r="54" spans="1:8" x14ac:dyDescent="0.3">
      <c r="A54" s="582" t="s">
        <v>122</v>
      </c>
      <c r="B54" s="583"/>
      <c r="C54" s="11" t="s">
        <v>18</v>
      </c>
      <c r="D54" s="26">
        <f>Balaka!P54</f>
        <v>80845777.969999999</v>
      </c>
      <c r="E54" s="26">
        <f>Liwonde!P54</f>
        <v>115934595.83000001</v>
      </c>
      <c r="F54" s="26">
        <f>Machinga!P54</f>
        <v>15081620.02</v>
      </c>
      <c r="G54" s="26">
        <f>Ntaja!P54</f>
        <v>19748371.91</v>
      </c>
      <c r="H54" s="39">
        <f>SUM(D54:G54)</f>
        <v>231610365.73000002</v>
      </c>
    </row>
    <row r="55" spans="1:8" x14ac:dyDescent="0.3">
      <c r="A55" s="198" t="s">
        <v>121</v>
      </c>
      <c r="B55" s="199"/>
      <c r="C55" s="11" t="s">
        <v>18</v>
      </c>
      <c r="D55" s="26">
        <f>Balaka!P55</f>
        <v>23392143.789999999</v>
      </c>
      <c r="E55" s="26">
        <f>Liwonde!P55</f>
        <v>43850387.659999996</v>
      </c>
      <c r="F55" s="26">
        <f>Machinga!P55</f>
        <v>6600722.790000001</v>
      </c>
      <c r="G55" s="26">
        <f>Ntaja!P55</f>
        <v>4277230.7200000007</v>
      </c>
      <c r="H55" s="39">
        <f>SUM(D55:G55)</f>
        <v>78120484.959999993</v>
      </c>
    </row>
    <row r="56" spans="1:8" x14ac:dyDescent="0.3">
      <c r="A56" s="582" t="s">
        <v>120</v>
      </c>
      <c r="B56" s="583"/>
      <c r="C56" s="5" t="s">
        <v>18</v>
      </c>
      <c r="D56" s="26">
        <f>Balaka!P56</f>
        <v>79165358.709999993</v>
      </c>
      <c r="E56" s="26">
        <f>Liwonde!P56</f>
        <v>30705900.990000002</v>
      </c>
      <c r="F56" s="26">
        <f>Machinga!P56</f>
        <v>5809737.6800000006</v>
      </c>
      <c r="G56" s="26">
        <f>Ntaja!P56</f>
        <v>2124686.83</v>
      </c>
      <c r="H56" s="39">
        <f>SUM(D56:G56)</f>
        <v>117805684.20999999</v>
      </c>
    </row>
    <row r="57" spans="1:8" ht="14.4" x14ac:dyDescent="0.3">
      <c r="A57" s="610" t="s">
        <v>119</v>
      </c>
      <c r="B57" s="611"/>
      <c r="C57" s="611"/>
      <c r="D57" s="611"/>
      <c r="E57" s="611"/>
      <c r="F57" s="611"/>
      <c r="G57" s="611"/>
      <c r="H57" s="612"/>
    </row>
    <row r="58" spans="1:8" x14ac:dyDescent="0.3">
      <c r="A58" s="613" t="s">
        <v>118</v>
      </c>
      <c r="B58" s="614"/>
      <c r="C58" s="5" t="s">
        <v>18</v>
      </c>
      <c r="D58" s="13">
        <f>D41+D46+D51+D52+D54+D55+D56</f>
        <v>260288104.72399998</v>
      </c>
      <c r="E58" s="13">
        <f t="shared" ref="E58:G58" si="14">E41+E46+E51+E52+E54+E55+E56</f>
        <v>351607958.97835004</v>
      </c>
      <c r="F58" s="13">
        <f t="shared" si="14"/>
        <v>28983618.6895</v>
      </c>
      <c r="G58" s="13">
        <f t="shared" si="14"/>
        <v>33042841.285274997</v>
      </c>
      <c r="H58" s="39">
        <f>SUM(D58:G58)</f>
        <v>673922523.67712498</v>
      </c>
    </row>
    <row r="59" spans="1:8" x14ac:dyDescent="0.3">
      <c r="A59" s="613" t="s">
        <v>117</v>
      </c>
      <c r="B59" s="614"/>
      <c r="C59" s="5" t="s">
        <v>115</v>
      </c>
      <c r="D59" s="15">
        <f t="shared" ref="D59:H59" si="15">D58/D9</f>
        <v>344.37068405489538</v>
      </c>
      <c r="E59" s="15">
        <f t="shared" si="15"/>
        <v>445.71502617419998</v>
      </c>
      <c r="F59" s="15">
        <f t="shared" si="15"/>
        <v>777.22825050280233</v>
      </c>
      <c r="G59" s="15">
        <f t="shared" si="15"/>
        <v>914.65515525448268</v>
      </c>
      <c r="H59" s="40">
        <f t="shared" si="15"/>
        <v>416.48573277333315</v>
      </c>
    </row>
    <row r="60" spans="1:8" x14ac:dyDescent="0.3">
      <c r="A60" s="613" t="s">
        <v>116</v>
      </c>
      <c r="B60" s="614"/>
      <c r="C60" s="5" t="s">
        <v>115</v>
      </c>
      <c r="D60" s="15">
        <f>D58/D22</f>
        <v>549.72830126403153</v>
      </c>
      <c r="E60" s="15">
        <f t="shared" ref="E60:G60" si="16">E58/E22</f>
        <v>708.14217984500988</v>
      </c>
      <c r="F60" s="15">
        <f t="shared" si="16"/>
        <v>884.78040127932184</v>
      </c>
      <c r="G60" s="15">
        <f t="shared" si="16"/>
        <v>1190.3941323109816</v>
      </c>
      <c r="H60" s="149">
        <f>H58/H22</f>
        <v>653.96191869674988</v>
      </c>
    </row>
    <row r="61" spans="1:8" x14ac:dyDescent="0.3">
      <c r="A61" s="582" t="s">
        <v>114</v>
      </c>
      <c r="B61" s="583"/>
      <c r="C61" s="5" t="s">
        <v>3</v>
      </c>
      <c r="D61" s="26">
        <f>Balaka!P61</f>
        <v>14</v>
      </c>
      <c r="E61" s="26">
        <f>Liwonde!P61</f>
        <v>13</v>
      </c>
      <c r="F61" s="26">
        <f>Machinga!P61</f>
        <v>3</v>
      </c>
      <c r="G61" s="26">
        <f>Ntaja!P61</f>
        <v>9</v>
      </c>
      <c r="H61" s="39">
        <f>SUM(D61:G61)</f>
        <v>39</v>
      </c>
    </row>
    <row r="62" spans="1:8" ht="15.6" customHeight="1" x14ac:dyDescent="0.3">
      <c r="A62" s="613" t="s">
        <v>113</v>
      </c>
      <c r="B62" s="614"/>
      <c r="C62" s="5" t="s">
        <v>112</v>
      </c>
      <c r="D62" s="15">
        <f t="shared" ref="D62:H62" si="17">(D61*1000*31)/D9</f>
        <v>0.57419787599707339</v>
      </c>
      <c r="E62" s="15">
        <f t="shared" si="17"/>
        <v>0.51086202960287008</v>
      </c>
      <c r="F62" s="15">
        <f t="shared" si="17"/>
        <v>2.4938993322785659</v>
      </c>
      <c r="G62" s="15">
        <f t="shared" si="17"/>
        <v>7.7229674685911895</v>
      </c>
      <c r="H62" s="40">
        <f t="shared" si="17"/>
        <v>0.74716489393401053</v>
      </c>
    </row>
    <row r="63" spans="1:8" x14ac:dyDescent="0.3">
      <c r="A63" s="627" t="s">
        <v>111</v>
      </c>
      <c r="B63" s="628"/>
      <c r="C63" s="38" t="s">
        <v>3</v>
      </c>
      <c r="D63" s="26">
        <f>Balaka!P63</f>
        <v>241</v>
      </c>
      <c r="E63" s="26">
        <f>Liwonde!P63</f>
        <v>285</v>
      </c>
      <c r="F63" s="26">
        <f>Machinga!P63</f>
        <v>95</v>
      </c>
      <c r="G63" s="26">
        <f>Ntaja!P63</f>
        <v>85</v>
      </c>
      <c r="H63" s="39">
        <f>SUM(D63:G63)</f>
        <v>706</v>
      </c>
    </row>
    <row r="64" spans="1:8" ht="14.4" x14ac:dyDescent="0.3">
      <c r="A64" s="668"/>
      <c r="B64" s="669"/>
      <c r="C64" s="669"/>
      <c r="D64" s="669"/>
      <c r="E64" s="669"/>
      <c r="F64" s="669"/>
      <c r="G64" s="669"/>
      <c r="H64" s="670"/>
    </row>
    <row r="65" spans="1:8" ht="14.4" customHeight="1" x14ac:dyDescent="0.3">
      <c r="A65" s="610" t="s">
        <v>110</v>
      </c>
      <c r="B65" s="611"/>
      <c r="C65" s="611"/>
      <c r="D65" s="611"/>
      <c r="E65" s="611"/>
      <c r="F65" s="611"/>
      <c r="G65" s="611"/>
      <c r="H65" s="612"/>
    </row>
    <row r="66" spans="1:8" x14ac:dyDescent="0.3">
      <c r="A66" s="615" t="s">
        <v>109</v>
      </c>
      <c r="B66" s="37" t="s">
        <v>85</v>
      </c>
      <c r="C66" s="5" t="s">
        <v>3</v>
      </c>
      <c r="D66" s="26">
        <f>Balaka!D66</f>
        <v>435</v>
      </c>
      <c r="E66" s="26">
        <f>Liwonde!D66</f>
        <v>288</v>
      </c>
      <c r="F66" s="26">
        <f>Machinga!P66</f>
        <v>22</v>
      </c>
      <c r="G66" s="26">
        <f>Ntaja!D66</f>
        <v>2</v>
      </c>
      <c r="H66" s="35">
        <f>SUM(D66:G66)</f>
        <v>747</v>
      </c>
    </row>
    <row r="67" spans="1:8" x14ac:dyDescent="0.3">
      <c r="A67" s="616"/>
      <c r="B67" s="24" t="s">
        <v>104</v>
      </c>
      <c r="C67" s="5" t="s">
        <v>3</v>
      </c>
      <c r="D67" s="26">
        <f>Balaka!P67</f>
        <v>414</v>
      </c>
      <c r="E67" s="26">
        <f>Liwonde!P67</f>
        <v>427</v>
      </c>
      <c r="F67" s="26">
        <f>Machinga!P67</f>
        <v>51</v>
      </c>
      <c r="G67" s="26">
        <f>Ntaja!P67</f>
        <v>164</v>
      </c>
      <c r="H67" s="35">
        <f>SUM(D67:G67)</f>
        <v>1056</v>
      </c>
    </row>
    <row r="68" spans="1:8" ht="27" x14ac:dyDescent="0.3">
      <c r="A68" s="616"/>
      <c r="B68" s="24" t="s">
        <v>103</v>
      </c>
      <c r="C68" s="5" t="s">
        <v>3</v>
      </c>
      <c r="D68" s="26">
        <f>Balaka!P68</f>
        <v>408</v>
      </c>
      <c r="E68" s="26">
        <f>Liwonde!P68</f>
        <v>338</v>
      </c>
      <c r="F68" s="26">
        <f>Machinga!P68</f>
        <v>31</v>
      </c>
      <c r="G68" s="26">
        <f>Ntaja!P68</f>
        <v>4</v>
      </c>
      <c r="H68" s="35">
        <f>SUM(D68:G68)</f>
        <v>781</v>
      </c>
    </row>
    <row r="69" spans="1:8" s="2" customFormat="1" ht="27" x14ac:dyDescent="0.3">
      <c r="A69" s="616"/>
      <c r="B69" s="24" t="s">
        <v>102</v>
      </c>
      <c r="C69" s="11" t="s">
        <v>3</v>
      </c>
      <c r="D69" s="26">
        <f>Balaka!P69</f>
        <v>0</v>
      </c>
      <c r="E69" s="26">
        <f>Liwonde!P69</f>
        <v>23</v>
      </c>
      <c r="F69" s="26">
        <f>Machinga!P69</f>
        <v>31</v>
      </c>
      <c r="G69" s="26">
        <f>Ntaja!P69</f>
        <v>95</v>
      </c>
      <c r="H69" s="74">
        <f>SUM(D69:G69)</f>
        <v>149</v>
      </c>
    </row>
    <row r="70" spans="1:8" s="2" customFormat="1" x14ac:dyDescent="0.3">
      <c r="A70" s="616"/>
      <c r="B70" s="24" t="s">
        <v>188</v>
      </c>
      <c r="C70" s="11" t="s">
        <v>3</v>
      </c>
      <c r="D70" s="4">
        <f>D68+D69</f>
        <v>408</v>
      </c>
      <c r="E70" s="4">
        <f t="shared" ref="E70:H70" si="18">E68+E69</f>
        <v>361</v>
      </c>
      <c r="F70" s="4">
        <f t="shared" si="18"/>
        <v>62</v>
      </c>
      <c r="G70" s="4">
        <f t="shared" si="18"/>
        <v>99</v>
      </c>
      <c r="H70" s="168">
        <f t="shared" si="18"/>
        <v>930</v>
      </c>
    </row>
    <row r="71" spans="1:8" x14ac:dyDescent="0.3">
      <c r="A71" s="617"/>
      <c r="B71" s="37" t="s">
        <v>81</v>
      </c>
      <c r="C71" s="5" t="s">
        <v>3</v>
      </c>
      <c r="D71" s="26">
        <f>D66+D67-D70</f>
        <v>441</v>
      </c>
      <c r="E71" s="26">
        <f t="shared" ref="E71:G71" si="19">E66+E67-E70</f>
        <v>354</v>
      </c>
      <c r="F71" s="26">
        <f t="shared" si="19"/>
        <v>11</v>
      </c>
      <c r="G71" s="26">
        <f t="shared" si="19"/>
        <v>67</v>
      </c>
      <c r="H71" s="55">
        <f>H66+H67-H70</f>
        <v>873</v>
      </c>
    </row>
    <row r="72" spans="1:8" x14ac:dyDescent="0.3">
      <c r="A72" s="615" t="s">
        <v>108</v>
      </c>
      <c r="B72" s="37" t="s">
        <v>85</v>
      </c>
      <c r="C72" s="5" t="s">
        <v>3</v>
      </c>
      <c r="D72" s="26">
        <f>Balaka!D72</f>
        <v>0</v>
      </c>
      <c r="E72" s="26">
        <f>Liwonde!D72</f>
        <v>0</v>
      </c>
      <c r="F72" s="26">
        <f>Machinga!P72</f>
        <v>0</v>
      </c>
      <c r="G72" s="26">
        <f>Ntaja!D72</f>
        <v>0</v>
      </c>
      <c r="H72" s="35">
        <f>SUM(D72:G72)</f>
        <v>0</v>
      </c>
    </row>
    <row r="73" spans="1:8" x14ac:dyDescent="0.3">
      <c r="A73" s="616"/>
      <c r="B73" s="24" t="s">
        <v>104</v>
      </c>
      <c r="C73" s="5" t="s">
        <v>3</v>
      </c>
      <c r="D73" s="26">
        <f>Balaka!P73</f>
        <v>0</v>
      </c>
      <c r="E73" s="26">
        <f>Liwonde!P73</f>
        <v>0</v>
      </c>
      <c r="F73" s="26">
        <f>Machinga!P73</f>
        <v>2</v>
      </c>
      <c r="G73" s="26">
        <f>Ntaja!P73</f>
        <v>1</v>
      </c>
      <c r="H73" s="35">
        <f>SUM(D73:G73)</f>
        <v>3</v>
      </c>
    </row>
    <row r="74" spans="1:8" ht="27" x14ac:dyDescent="0.3">
      <c r="A74" s="616"/>
      <c r="B74" s="24" t="s">
        <v>103</v>
      </c>
      <c r="C74" s="5" t="s">
        <v>3</v>
      </c>
      <c r="D74" s="26">
        <f>Balaka!P74</f>
        <v>0</v>
      </c>
      <c r="E74" s="26">
        <f>Liwonde!P74</f>
        <v>0</v>
      </c>
      <c r="F74" s="26">
        <f>Machinga!P74</f>
        <v>2</v>
      </c>
      <c r="G74" s="26">
        <f>Ntaja!P74</f>
        <v>0</v>
      </c>
      <c r="H74" s="35">
        <f>SUM(D74:G74)</f>
        <v>2</v>
      </c>
    </row>
    <row r="75" spans="1:8" s="2" customFormat="1" ht="27" x14ac:dyDescent="0.3">
      <c r="A75" s="616"/>
      <c r="B75" s="24" t="s">
        <v>102</v>
      </c>
      <c r="C75" s="11" t="s">
        <v>3</v>
      </c>
      <c r="D75" s="26">
        <f>Balaka!P75</f>
        <v>0</v>
      </c>
      <c r="E75" s="26">
        <f>Liwonde!P75</f>
        <v>0</v>
      </c>
      <c r="F75" s="26">
        <f>Machinga!P75</f>
        <v>0</v>
      </c>
      <c r="G75" s="26">
        <f>Ntaja!P75</f>
        <v>1</v>
      </c>
      <c r="H75" s="74">
        <f>SUM(D75:G75)</f>
        <v>1</v>
      </c>
    </row>
    <row r="76" spans="1:8" s="2" customFormat="1" x14ac:dyDescent="0.3">
      <c r="A76" s="616"/>
      <c r="B76" s="24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2</v>
      </c>
      <c r="G76" s="4">
        <f t="shared" si="20"/>
        <v>1</v>
      </c>
      <c r="H76" s="168">
        <f t="shared" si="20"/>
        <v>3</v>
      </c>
    </row>
    <row r="77" spans="1:8" x14ac:dyDescent="0.3">
      <c r="A77" s="617"/>
      <c r="B77" s="37" t="s">
        <v>81</v>
      </c>
      <c r="C77" s="5" t="s">
        <v>3</v>
      </c>
      <c r="D77" s="26">
        <f>D73+D74-D76</f>
        <v>0</v>
      </c>
      <c r="E77" s="26">
        <f t="shared" ref="E77:H77" si="21">E73+E74-E76</f>
        <v>0</v>
      </c>
      <c r="F77" s="26">
        <f t="shared" si="21"/>
        <v>2</v>
      </c>
      <c r="G77" s="26">
        <f t="shared" si="21"/>
        <v>0</v>
      </c>
      <c r="H77" s="55">
        <f t="shared" si="21"/>
        <v>2</v>
      </c>
    </row>
    <row r="78" spans="1:8" ht="15.6" customHeight="1" x14ac:dyDescent="0.3">
      <c r="A78" s="615" t="s">
        <v>107</v>
      </c>
      <c r="B78" s="37" t="s">
        <v>85</v>
      </c>
      <c r="C78" s="5" t="s">
        <v>3</v>
      </c>
      <c r="D78" s="26">
        <f>Balaka!D78</f>
        <v>0</v>
      </c>
      <c r="E78" s="26">
        <f>Liwonde!D78</f>
        <v>0</v>
      </c>
      <c r="F78" s="26">
        <f>Machinga!P78</f>
        <v>0</v>
      </c>
      <c r="G78" s="26">
        <f>Ntaja!D78</f>
        <v>0</v>
      </c>
      <c r="H78" s="35">
        <f>SUM(D78:G78)</f>
        <v>0</v>
      </c>
    </row>
    <row r="79" spans="1:8" x14ac:dyDescent="0.3">
      <c r="A79" s="616"/>
      <c r="B79" s="24" t="s">
        <v>104</v>
      </c>
      <c r="C79" s="5" t="s">
        <v>3</v>
      </c>
      <c r="D79" s="26">
        <f>Balaka!P79</f>
        <v>0</v>
      </c>
      <c r="E79" s="26">
        <f>Liwonde!P79</f>
        <v>0</v>
      </c>
      <c r="F79" s="26">
        <f>Machinga!P79</f>
        <v>0</v>
      </c>
      <c r="G79" s="26">
        <f>Ntaja!P79</f>
        <v>0</v>
      </c>
      <c r="H79" s="35">
        <f>SUM(D79:G79)</f>
        <v>0</v>
      </c>
    </row>
    <row r="80" spans="1:8" ht="27" x14ac:dyDescent="0.3">
      <c r="A80" s="616"/>
      <c r="B80" s="24" t="s">
        <v>103</v>
      </c>
      <c r="C80" s="5" t="s">
        <v>3</v>
      </c>
      <c r="D80" s="26">
        <f>Balaka!P80</f>
        <v>0</v>
      </c>
      <c r="E80" s="26">
        <f>Liwonde!P80</f>
        <v>0</v>
      </c>
      <c r="F80" s="26">
        <f>Machinga!P80</f>
        <v>0</v>
      </c>
      <c r="G80" s="26">
        <f>Ntaja!P80</f>
        <v>0</v>
      </c>
      <c r="H80" s="35">
        <f>SUM(D80:G80)</f>
        <v>0</v>
      </c>
    </row>
    <row r="81" spans="1:8" s="2" customFormat="1" ht="27" x14ac:dyDescent="0.3">
      <c r="A81" s="616"/>
      <c r="B81" s="24" t="s">
        <v>102</v>
      </c>
      <c r="C81" s="11" t="s">
        <v>3</v>
      </c>
      <c r="D81" s="26">
        <f>Balaka!P81</f>
        <v>0</v>
      </c>
      <c r="E81" s="26">
        <f>Liwonde!P81</f>
        <v>0</v>
      </c>
      <c r="F81" s="26">
        <f>Machinga!P81</f>
        <v>0</v>
      </c>
      <c r="G81" s="26">
        <f>Ntaja!P81</f>
        <v>0</v>
      </c>
      <c r="H81" s="74">
        <f>SUM(D81:G81)</f>
        <v>0</v>
      </c>
    </row>
    <row r="82" spans="1:8" s="2" customFormat="1" x14ac:dyDescent="0.3">
      <c r="A82" s="616"/>
      <c r="B82" s="24" t="s">
        <v>188</v>
      </c>
      <c r="C82" s="11" t="s">
        <v>3</v>
      </c>
      <c r="D82" s="4">
        <f>D80+D81</f>
        <v>0</v>
      </c>
      <c r="E82" s="4">
        <f t="shared" ref="E82:G82" si="22">E80+E81</f>
        <v>0</v>
      </c>
      <c r="F82" s="4">
        <f t="shared" si="22"/>
        <v>0</v>
      </c>
      <c r="G82" s="4">
        <f t="shared" si="22"/>
        <v>0</v>
      </c>
      <c r="H82" s="168">
        <f t="shared" ref="H82" si="23">H81+H80</f>
        <v>0</v>
      </c>
    </row>
    <row r="83" spans="1:8" x14ac:dyDescent="0.3">
      <c r="A83" s="617"/>
      <c r="B83" s="37" t="s">
        <v>81</v>
      </c>
      <c r="C83" s="5" t="s">
        <v>3</v>
      </c>
      <c r="D83" s="26">
        <f>D78+D79-D82</f>
        <v>0</v>
      </c>
      <c r="E83" s="26">
        <f t="shared" ref="E83:H83" si="24">E78+E79-E82</f>
        <v>0</v>
      </c>
      <c r="F83" s="26">
        <f t="shared" si="24"/>
        <v>0</v>
      </c>
      <c r="G83" s="26">
        <f t="shared" si="24"/>
        <v>0</v>
      </c>
      <c r="H83" s="55">
        <f t="shared" si="24"/>
        <v>0</v>
      </c>
    </row>
    <row r="84" spans="1:8" x14ac:dyDescent="0.3">
      <c r="A84" s="618" t="s">
        <v>106</v>
      </c>
      <c r="B84" s="37" t="s">
        <v>85</v>
      </c>
      <c r="C84" s="5" t="s">
        <v>3</v>
      </c>
      <c r="D84" s="26">
        <f>Balaka!D84</f>
        <v>0</v>
      </c>
      <c r="E84" s="26">
        <f>Liwonde!D84</f>
        <v>0</v>
      </c>
      <c r="F84" s="26">
        <f>Machinga!P84</f>
        <v>0</v>
      </c>
      <c r="G84" s="26">
        <f>Ntaja!D84</f>
        <v>0</v>
      </c>
      <c r="H84" s="35">
        <f>SUM(D84:G84)</f>
        <v>0</v>
      </c>
    </row>
    <row r="85" spans="1:8" x14ac:dyDescent="0.3">
      <c r="A85" s="619"/>
      <c r="B85" s="37" t="s">
        <v>104</v>
      </c>
      <c r="C85" s="5" t="s">
        <v>3</v>
      </c>
      <c r="D85" s="26">
        <f>Balaka!P85</f>
        <v>0</v>
      </c>
      <c r="E85" s="26">
        <f>Liwonde!P85</f>
        <v>0</v>
      </c>
      <c r="F85" s="26">
        <f>Machinga!P85</f>
        <v>0</v>
      </c>
      <c r="G85" s="26">
        <f>Ntaja!P85</f>
        <v>0</v>
      </c>
      <c r="H85" s="35">
        <f>SUM(D85:G85)</f>
        <v>0</v>
      </c>
    </row>
    <row r="86" spans="1:8" ht="27" x14ac:dyDescent="0.3">
      <c r="A86" s="619"/>
      <c r="B86" s="37" t="s">
        <v>103</v>
      </c>
      <c r="C86" s="5" t="s">
        <v>3</v>
      </c>
      <c r="D86" s="26">
        <f>Balaka!P86</f>
        <v>0</v>
      </c>
      <c r="E86" s="26">
        <f>Liwonde!P86</f>
        <v>0</v>
      </c>
      <c r="F86" s="26">
        <f>Machinga!P86</f>
        <v>0</v>
      </c>
      <c r="G86" s="26">
        <f>Ntaja!P86</f>
        <v>0</v>
      </c>
      <c r="H86" s="35">
        <f>SUM(D86:G86)</f>
        <v>0</v>
      </c>
    </row>
    <row r="87" spans="1:8" s="2" customFormat="1" ht="27" x14ac:dyDescent="0.3">
      <c r="A87" s="619"/>
      <c r="B87" s="24" t="s">
        <v>102</v>
      </c>
      <c r="C87" s="11" t="s">
        <v>3</v>
      </c>
      <c r="D87" s="26">
        <f>Balaka!P87</f>
        <v>0</v>
      </c>
      <c r="E87" s="26">
        <f>Liwonde!P87</f>
        <v>0</v>
      </c>
      <c r="F87" s="26">
        <f>Machinga!P87</f>
        <v>0</v>
      </c>
      <c r="G87" s="26">
        <f>Ntaja!P87</f>
        <v>0</v>
      </c>
      <c r="H87" s="74">
        <f>SUM(D87:G87)</f>
        <v>0</v>
      </c>
    </row>
    <row r="88" spans="1:8" s="2" customFormat="1" x14ac:dyDescent="0.3">
      <c r="A88" s="619"/>
      <c r="B88" s="24" t="s">
        <v>188</v>
      </c>
      <c r="C88" s="11" t="s">
        <v>3</v>
      </c>
      <c r="D88" s="4">
        <f>D86+D87</f>
        <v>0</v>
      </c>
      <c r="E88" s="4">
        <f t="shared" ref="E88:G88" si="25">E86+E87</f>
        <v>0</v>
      </c>
      <c r="F88" s="4">
        <f t="shared" si="25"/>
        <v>0</v>
      </c>
      <c r="G88" s="4">
        <f t="shared" si="25"/>
        <v>0</v>
      </c>
      <c r="H88" s="74"/>
    </row>
    <row r="89" spans="1:8" x14ac:dyDescent="0.3">
      <c r="A89" s="620"/>
      <c r="B89" s="36" t="s">
        <v>81</v>
      </c>
      <c r="C89" s="5" t="s">
        <v>3</v>
      </c>
      <c r="D89" s="26">
        <f>D84+D85-D88</f>
        <v>0</v>
      </c>
      <c r="E89" s="26"/>
      <c r="F89" s="26"/>
      <c r="G89" s="26"/>
      <c r="H89" s="55">
        <f t="shared" ref="H89" si="26">H84+H85-H86-H87</f>
        <v>0</v>
      </c>
    </row>
    <row r="90" spans="1:8" x14ac:dyDescent="0.3">
      <c r="A90" s="621" t="s">
        <v>105</v>
      </c>
      <c r="B90" s="24" t="s">
        <v>85</v>
      </c>
      <c r="C90" s="11" t="s">
        <v>3</v>
      </c>
      <c r="D90" s="136">
        <f>D66+D72+D78+D84</f>
        <v>435</v>
      </c>
      <c r="E90" s="136">
        <f t="shared" ref="E90:G90" si="27">E66+E72+E78+E84</f>
        <v>288</v>
      </c>
      <c r="F90" s="136">
        <f t="shared" si="27"/>
        <v>22</v>
      </c>
      <c r="G90" s="136">
        <f t="shared" si="27"/>
        <v>2</v>
      </c>
      <c r="H90" s="35">
        <f>SUM(D90:G90)</f>
        <v>747</v>
      </c>
    </row>
    <row r="91" spans="1:8" x14ac:dyDescent="0.3">
      <c r="A91" s="622"/>
      <c r="B91" s="24" t="s">
        <v>104</v>
      </c>
      <c r="C91" s="11" t="s">
        <v>3</v>
      </c>
      <c r="D91" s="136">
        <f t="shared" ref="D91:G93" si="28">D67+D73+D79+D85</f>
        <v>414</v>
      </c>
      <c r="E91" s="136">
        <f t="shared" si="28"/>
        <v>427</v>
      </c>
      <c r="F91" s="136">
        <f t="shared" si="28"/>
        <v>53</v>
      </c>
      <c r="G91" s="136">
        <f t="shared" si="28"/>
        <v>165</v>
      </c>
      <c r="H91" s="35">
        <f>SUM(D91:G91)</f>
        <v>1059</v>
      </c>
    </row>
    <row r="92" spans="1:8" ht="27" x14ac:dyDescent="0.3">
      <c r="A92" s="622"/>
      <c r="B92" s="24" t="s">
        <v>103</v>
      </c>
      <c r="C92" s="11" t="s">
        <v>3</v>
      </c>
      <c r="D92" s="136">
        <f t="shared" si="28"/>
        <v>408</v>
      </c>
      <c r="E92" s="136">
        <f t="shared" si="28"/>
        <v>338</v>
      </c>
      <c r="F92" s="136">
        <f t="shared" si="28"/>
        <v>33</v>
      </c>
      <c r="G92" s="136">
        <f t="shared" si="28"/>
        <v>4</v>
      </c>
      <c r="H92" s="35">
        <f>SUM(D92:G92)</f>
        <v>783</v>
      </c>
    </row>
    <row r="93" spans="1:8" s="2" customFormat="1" ht="27" x14ac:dyDescent="0.3">
      <c r="A93" s="622"/>
      <c r="B93" s="24" t="s">
        <v>102</v>
      </c>
      <c r="C93" s="11"/>
      <c r="D93" s="136">
        <f t="shared" si="28"/>
        <v>0</v>
      </c>
      <c r="E93" s="136">
        <f t="shared" si="28"/>
        <v>23</v>
      </c>
      <c r="F93" s="136">
        <f t="shared" si="28"/>
        <v>31</v>
      </c>
      <c r="G93" s="136">
        <f t="shared" si="28"/>
        <v>96</v>
      </c>
      <c r="H93" s="35">
        <f>SUM(D93:G93)</f>
        <v>150</v>
      </c>
    </row>
    <row r="94" spans="1:8" s="2" customFormat="1" x14ac:dyDescent="0.3">
      <c r="A94" s="622"/>
      <c r="B94" s="24" t="s">
        <v>188</v>
      </c>
      <c r="C94" s="11" t="s">
        <v>3</v>
      </c>
      <c r="D94" s="137">
        <f>D93+D92</f>
        <v>408</v>
      </c>
      <c r="E94" s="137">
        <f t="shared" ref="E94:H94" si="29">E93+E92</f>
        <v>361</v>
      </c>
      <c r="F94" s="137">
        <f t="shared" si="29"/>
        <v>64</v>
      </c>
      <c r="G94" s="137">
        <f t="shared" si="29"/>
        <v>100</v>
      </c>
      <c r="H94" s="144">
        <f t="shared" si="29"/>
        <v>933</v>
      </c>
    </row>
    <row r="95" spans="1:8" ht="16.2" thickBot="1" x14ac:dyDescent="0.35">
      <c r="A95" s="623"/>
      <c r="B95" s="24" t="s">
        <v>81</v>
      </c>
      <c r="C95" s="11" t="s">
        <v>3</v>
      </c>
      <c r="D95" s="138">
        <f>D90+D91-D94</f>
        <v>441</v>
      </c>
      <c r="E95" s="138">
        <f t="shared" ref="E95:H95" si="30">E90+E91-E94</f>
        <v>354</v>
      </c>
      <c r="F95" s="138">
        <f t="shared" si="30"/>
        <v>11</v>
      </c>
      <c r="G95" s="138">
        <f t="shared" si="30"/>
        <v>67</v>
      </c>
      <c r="H95" s="145">
        <f t="shared" si="30"/>
        <v>873</v>
      </c>
    </row>
    <row r="96" spans="1:8" ht="16.2" customHeight="1" thickBot="1" x14ac:dyDescent="0.35">
      <c r="A96" s="671"/>
      <c r="B96" s="672"/>
      <c r="C96" s="672"/>
      <c r="D96" s="672"/>
      <c r="E96" s="672"/>
      <c r="F96" s="672"/>
      <c r="G96" s="672"/>
      <c r="H96" s="673"/>
    </row>
    <row r="97" spans="1:8" s="2" customFormat="1" ht="15.75" customHeight="1" thickBot="1" x14ac:dyDescent="0.35">
      <c r="A97" s="624" t="s">
        <v>189</v>
      </c>
      <c r="B97" s="625"/>
      <c r="C97" s="625"/>
      <c r="D97" s="625"/>
      <c r="E97" s="625"/>
      <c r="F97" s="625"/>
      <c r="G97" s="625"/>
      <c r="H97" s="626"/>
    </row>
    <row r="98" spans="1:8" x14ac:dyDescent="0.3">
      <c r="A98" s="88" t="s">
        <v>190</v>
      </c>
      <c r="B98" s="69"/>
      <c r="C98" s="11" t="s">
        <v>3</v>
      </c>
      <c r="D98" s="26">
        <f>Balaka!P98</f>
        <v>11196</v>
      </c>
      <c r="E98" s="26">
        <f>Liwonde!P98</f>
        <v>8605</v>
      </c>
      <c r="F98" s="26">
        <f>Machinga!P98</f>
        <v>1621</v>
      </c>
      <c r="G98" s="26">
        <f>Ntaja!P98</f>
        <v>307</v>
      </c>
      <c r="H98" s="169">
        <f>SUM(D98:G98)</f>
        <v>21729</v>
      </c>
    </row>
    <row r="99" spans="1:8" x14ac:dyDescent="0.3">
      <c r="A99" s="88"/>
      <c r="B99" s="24"/>
      <c r="C99" s="11"/>
      <c r="D99" s="65">
        <f>D94/3269*400</f>
        <v>49.923524013459776</v>
      </c>
      <c r="E99" s="65">
        <f t="shared" ref="E99:G99" si="31">E94/3269*400</f>
        <v>44.172529825634747</v>
      </c>
      <c r="F99" s="65">
        <f t="shared" si="31"/>
        <v>7.8311410217191808</v>
      </c>
      <c r="G99" s="65">
        <f t="shared" si="31"/>
        <v>12.236157846436219</v>
      </c>
      <c r="H99" s="144"/>
    </row>
    <row r="100" spans="1:8" s="2" customFormat="1" ht="14.4" x14ac:dyDescent="0.3">
      <c r="A100" s="635" t="s">
        <v>101</v>
      </c>
      <c r="B100" s="636"/>
      <c r="C100" s="636"/>
      <c r="D100" s="636"/>
      <c r="E100" s="636"/>
      <c r="F100" s="636"/>
      <c r="G100" s="636"/>
      <c r="H100" s="637"/>
    </row>
    <row r="101" spans="1:8" x14ac:dyDescent="0.3">
      <c r="A101" s="582" t="s">
        <v>100</v>
      </c>
      <c r="B101" s="583"/>
      <c r="C101" s="11" t="s">
        <v>3</v>
      </c>
      <c r="D101" s="26">
        <f>Balaka!P101</f>
        <v>2275</v>
      </c>
      <c r="E101" s="26">
        <f>Liwonde!P101</f>
        <v>1388</v>
      </c>
      <c r="F101" s="26">
        <f>Machinga!P101</f>
        <v>0</v>
      </c>
      <c r="G101" s="26">
        <f>Ntaja!P101</f>
        <v>12</v>
      </c>
      <c r="H101" s="169">
        <f>SUM(D101:G101)</f>
        <v>3675</v>
      </c>
    </row>
    <row r="102" spans="1:8" x14ac:dyDescent="0.3">
      <c r="A102" s="582" t="s">
        <v>99</v>
      </c>
      <c r="B102" s="583"/>
      <c r="C102" s="11" t="s">
        <v>3</v>
      </c>
      <c r="D102" s="26">
        <f>Balaka!P102</f>
        <v>43</v>
      </c>
      <c r="E102" s="26">
        <f>Liwonde!P102</f>
        <v>39</v>
      </c>
      <c r="F102" s="26">
        <f>Machinga!P102</f>
        <v>0</v>
      </c>
      <c r="G102" s="26">
        <f>Ntaja!P102</f>
        <v>0</v>
      </c>
      <c r="H102" s="169">
        <f>SUM(D102:G102)</f>
        <v>82</v>
      </c>
    </row>
    <row r="103" spans="1:8" ht="15.6" customHeight="1" x14ac:dyDescent="0.3">
      <c r="A103" s="589" t="s">
        <v>98</v>
      </c>
      <c r="B103" s="590"/>
      <c r="C103" s="11" t="s">
        <v>3</v>
      </c>
      <c r="D103" s="26">
        <f>Balaka!P103</f>
        <v>118</v>
      </c>
      <c r="E103" s="26">
        <f>Liwonde!P103</f>
        <v>66</v>
      </c>
      <c r="F103" s="26">
        <f>Machinga!P103</f>
        <v>0</v>
      </c>
      <c r="G103" s="26">
        <f>Ntaja!P103</f>
        <v>2</v>
      </c>
      <c r="H103" s="169">
        <f>SUM(D103:G103)</f>
        <v>186</v>
      </c>
    </row>
    <row r="104" spans="1:8" x14ac:dyDescent="0.3">
      <c r="A104" s="589" t="s">
        <v>97</v>
      </c>
      <c r="B104" s="590"/>
      <c r="C104" s="11" t="s">
        <v>3</v>
      </c>
      <c r="D104" s="26">
        <f>Balaka!P104</f>
        <v>17</v>
      </c>
      <c r="E104" s="26">
        <f>Liwonde!P104</f>
        <v>15</v>
      </c>
      <c r="F104" s="26">
        <f>Machinga!P104</f>
        <v>0</v>
      </c>
      <c r="G104" s="26">
        <f>Ntaja!P104</f>
        <v>15</v>
      </c>
      <c r="H104" s="169">
        <f>SUM(D104:G104)</f>
        <v>47</v>
      </c>
    </row>
    <row r="105" spans="1:8" x14ac:dyDescent="0.3">
      <c r="A105" s="638" t="s">
        <v>96</v>
      </c>
      <c r="B105" s="639"/>
      <c r="C105" s="11" t="s">
        <v>3</v>
      </c>
      <c r="D105" s="33">
        <f>SUM(D101:D104)</f>
        <v>2453</v>
      </c>
      <c r="E105" s="33">
        <f t="shared" ref="E105:G105" si="32">SUM(E101:E104)</f>
        <v>1508</v>
      </c>
      <c r="F105" s="33">
        <f t="shared" si="32"/>
        <v>0</v>
      </c>
      <c r="G105" s="33">
        <f t="shared" si="32"/>
        <v>29</v>
      </c>
      <c r="H105" s="55">
        <f>SUM(D105:G105)</f>
        <v>3990</v>
      </c>
    </row>
    <row r="106" spans="1:8" s="2" customFormat="1" ht="15.6" customHeight="1" x14ac:dyDescent="0.3">
      <c r="A106" s="632" t="s">
        <v>210</v>
      </c>
      <c r="B106" s="633"/>
      <c r="C106" s="633"/>
      <c r="D106" s="633"/>
      <c r="E106" s="633"/>
      <c r="F106" s="633"/>
      <c r="G106" s="633"/>
      <c r="H106" s="634"/>
    </row>
    <row r="107" spans="1:8" x14ac:dyDescent="0.3">
      <c r="A107" s="582" t="s">
        <v>193</v>
      </c>
      <c r="B107" s="583"/>
      <c r="C107" s="11" t="s">
        <v>3</v>
      </c>
      <c r="D107" s="26">
        <f>Balaka!P107</f>
        <v>3630</v>
      </c>
      <c r="E107" s="26">
        <f>Liwonde!P107</f>
        <v>2912</v>
      </c>
      <c r="F107" s="26">
        <f>Machinga!P107</f>
        <v>150</v>
      </c>
      <c r="G107" s="26">
        <f>Ntaja!P107</f>
        <v>8</v>
      </c>
      <c r="H107" s="169">
        <f>SUM(D107:G107)</f>
        <v>6700</v>
      </c>
    </row>
    <row r="108" spans="1:8" x14ac:dyDescent="0.3">
      <c r="A108" s="582" t="s">
        <v>194</v>
      </c>
      <c r="B108" s="583"/>
      <c r="C108" s="11" t="s">
        <v>3</v>
      </c>
      <c r="D108" s="26">
        <f>Balaka!P108</f>
        <v>14</v>
      </c>
      <c r="E108" s="26">
        <f>Liwonde!P108</f>
        <v>14</v>
      </c>
      <c r="F108" s="26">
        <f>Machinga!P108</f>
        <v>4</v>
      </c>
      <c r="G108" s="26">
        <f>Ntaja!P108</f>
        <v>2</v>
      </c>
      <c r="H108" s="169">
        <f>SUM(D108:G108)</f>
        <v>34</v>
      </c>
    </row>
    <row r="109" spans="1:8" x14ac:dyDescent="0.3">
      <c r="A109" s="582" t="s">
        <v>195</v>
      </c>
      <c r="B109" s="583"/>
      <c r="C109" s="11" t="s">
        <v>3</v>
      </c>
      <c r="D109" s="26">
        <f>Balaka!P109</f>
        <v>13</v>
      </c>
      <c r="E109" s="26">
        <f>Liwonde!P109</f>
        <v>21</v>
      </c>
      <c r="F109" s="26">
        <f>Machinga!P109</f>
        <v>0</v>
      </c>
      <c r="G109" s="26">
        <f>Ntaja!P109</f>
        <v>0</v>
      </c>
      <c r="H109" s="169">
        <f>SUM(D109:G109)</f>
        <v>34</v>
      </c>
    </row>
    <row r="110" spans="1:8" x14ac:dyDescent="0.3">
      <c r="A110" s="582" t="s">
        <v>196</v>
      </c>
      <c r="B110" s="583"/>
      <c r="C110" s="11" t="s">
        <v>3</v>
      </c>
      <c r="D110" s="26">
        <f>Balaka!P110</f>
        <v>13</v>
      </c>
      <c r="E110" s="26">
        <f>Liwonde!P110</f>
        <v>13</v>
      </c>
      <c r="F110" s="26">
        <f>Machinga!P110</f>
        <v>0</v>
      </c>
      <c r="G110" s="26">
        <f>Ntaja!P110</f>
        <v>0</v>
      </c>
      <c r="H110" s="169">
        <f>SUM(D110:G110)</f>
        <v>26</v>
      </c>
    </row>
    <row r="111" spans="1:8" x14ac:dyDescent="0.3">
      <c r="A111" s="584" t="s">
        <v>95</v>
      </c>
      <c r="B111" s="585"/>
      <c r="C111" s="11" t="s">
        <v>3</v>
      </c>
      <c r="D111" s="33">
        <f>SUM(D107:D110)</f>
        <v>3670</v>
      </c>
      <c r="E111" s="33">
        <f t="shared" ref="E111:G111" si="33">SUM(E107:E110)</f>
        <v>2960</v>
      </c>
      <c r="F111" s="33">
        <f t="shared" si="33"/>
        <v>154</v>
      </c>
      <c r="G111" s="33">
        <f t="shared" si="33"/>
        <v>10</v>
      </c>
      <c r="H111" s="55">
        <f>SUM(D111:G111)</f>
        <v>6794</v>
      </c>
    </row>
    <row r="112" spans="1:8" s="2" customFormat="1" ht="15.6" customHeight="1" x14ac:dyDescent="0.3">
      <c r="A112" s="635" t="s">
        <v>210</v>
      </c>
      <c r="B112" s="636"/>
      <c r="C112" s="636"/>
      <c r="D112" s="636"/>
      <c r="E112" s="636"/>
      <c r="F112" s="636"/>
      <c r="G112" s="636"/>
      <c r="H112" s="637"/>
    </row>
    <row r="113" spans="1:8" x14ac:dyDescent="0.3">
      <c r="A113" s="582" t="s">
        <v>197</v>
      </c>
      <c r="B113" s="583"/>
      <c r="C113" s="11" t="s">
        <v>3</v>
      </c>
      <c r="D113" s="26">
        <f>Balaka!P113</f>
        <v>933</v>
      </c>
      <c r="E113" s="26">
        <f>Liwonde!P113</f>
        <v>887</v>
      </c>
      <c r="F113" s="26">
        <f>Machinga!P113</f>
        <v>139</v>
      </c>
      <c r="G113" s="26">
        <f>Ntaja!P113</f>
        <v>395</v>
      </c>
      <c r="H113" s="169">
        <f t="shared" ref="H113:H119" si="34">SUM(D113:G113)</f>
        <v>2354</v>
      </c>
    </row>
    <row r="114" spans="1:8" x14ac:dyDescent="0.3">
      <c r="A114" s="582" t="s">
        <v>198</v>
      </c>
      <c r="B114" s="583"/>
      <c r="C114" s="11" t="s">
        <v>3</v>
      </c>
      <c r="D114" s="26">
        <f>Balaka!P114</f>
        <v>92</v>
      </c>
      <c r="E114" s="26">
        <f>Liwonde!P114</f>
        <v>77</v>
      </c>
      <c r="F114" s="26">
        <f>Machinga!P114</f>
        <v>0</v>
      </c>
      <c r="G114" s="26">
        <f>Ntaja!P114</f>
        <v>14</v>
      </c>
      <c r="H114" s="169">
        <f t="shared" si="34"/>
        <v>183</v>
      </c>
    </row>
    <row r="115" spans="1:8" x14ac:dyDescent="0.3">
      <c r="A115" s="582" t="s">
        <v>199</v>
      </c>
      <c r="B115" s="583"/>
      <c r="C115" s="11" t="s">
        <v>3</v>
      </c>
      <c r="D115" s="26">
        <f>Balaka!P115</f>
        <v>90</v>
      </c>
      <c r="E115" s="26">
        <f>Liwonde!P115</f>
        <v>186</v>
      </c>
      <c r="F115" s="26">
        <f>Machinga!P115</f>
        <v>0</v>
      </c>
      <c r="G115" s="26">
        <f>Ntaja!P115</f>
        <v>11</v>
      </c>
      <c r="H115" s="169">
        <f t="shared" si="34"/>
        <v>287</v>
      </c>
    </row>
    <row r="116" spans="1:8" x14ac:dyDescent="0.3">
      <c r="A116" s="582" t="s">
        <v>200</v>
      </c>
      <c r="B116" s="583"/>
      <c r="C116" s="11" t="s">
        <v>3</v>
      </c>
      <c r="D116" s="26">
        <f>Balaka!P116</f>
        <v>1</v>
      </c>
      <c r="E116" s="26">
        <f>Liwonde!P116</f>
        <v>0</v>
      </c>
      <c r="F116" s="26">
        <f>Machinga!P116</f>
        <v>0</v>
      </c>
      <c r="G116" s="26">
        <f>Ntaja!P116</f>
        <v>3</v>
      </c>
      <c r="H116" s="169">
        <f t="shared" si="34"/>
        <v>4</v>
      </c>
    </row>
    <row r="117" spans="1:8" x14ac:dyDescent="0.3">
      <c r="A117" s="584" t="s">
        <v>94</v>
      </c>
      <c r="B117" s="585"/>
      <c r="C117" s="11" t="s">
        <v>3</v>
      </c>
      <c r="D117" s="33">
        <f>SUM(D113:D116)</f>
        <v>1116</v>
      </c>
      <c r="E117" s="33">
        <f t="shared" ref="E117:G117" si="35">SUM(E113:E116)</f>
        <v>1150</v>
      </c>
      <c r="F117" s="33">
        <f t="shared" si="35"/>
        <v>139</v>
      </c>
      <c r="G117" s="33">
        <f t="shared" si="35"/>
        <v>423</v>
      </c>
      <c r="H117" s="55">
        <f t="shared" si="34"/>
        <v>2828</v>
      </c>
    </row>
    <row r="118" spans="1:8" s="2" customFormat="1" x14ac:dyDescent="0.3">
      <c r="A118" s="200" t="s">
        <v>191</v>
      </c>
      <c r="B118" s="201"/>
      <c r="C118" s="11" t="s">
        <v>3</v>
      </c>
      <c r="D118" s="33">
        <f>D111+D117</f>
        <v>4786</v>
      </c>
      <c r="E118" s="33">
        <f t="shared" ref="E118:G118" si="36">E111+E117</f>
        <v>4110</v>
      </c>
      <c r="F118" s="33">
        <f t="shared" si="36"/>
        <v>293</v>
      </c>
      <c r="G118" s="33">
        <f t="shared" si="36"/>
        <v>433</v>
      </c>
      <c r="H118" s="55">
        <f t="shared" si="34"/>
        <v>9622</v>
      </c>
    </row>
    <row r="119" spans="1:8" x14ac:dyDescent="0.3">
      <c r="A119" s="584" t="s">
        <v>192</v>
      </c>
      <c r="B119" s="585"/>
      <c r="C119" s="11" t="s">
        <v>3</v>
      </c>
      <c r="D119" s="33">
        <f>D118+D105</f>
        <v>7239</v>
      </c>
      <c r="E119" s="33">
        <f t="shared" ref="E119:G119" si="37">E118+E105</f>
        <v>5618</v>
      </c>
      <c r="F119" s="33">
        <f t="shared" si="37"/>
        <v>293</v>
      </c>
      <c r="G119" s="33">
        <f t="shared" si="37"/>
        <v>462</v>
      </c>
      <c r="H119" s="55">
        <f t="shared" si="34"/>
        <v>13612</v>
      </c>
    </row>
    <row r="120" spans="1:8" ht="14.4" x14ac:dyDescent="0.3">
      <c r="A120" s="586" t="s">
        <v>201</v>
      </c>
      <c r="B120" s="587"/>
      <c r="C120" s="587"/>
      <c r="D120" s="587"/>
      <c r="E120" s="587"/>
      <c r="F120" s="587"/>
      <c r="G120" s="587"/>
      <c r="H120" s="588"/>
    </row>
    <row r="121" spans="1:8" x14ac:dyDescent="0.3">
      <c r="A121" s="582" t="s">
        <v>93</v>
      </c>
      <c r="B121" s="583"/>
      <c r="C121" s="5" t="s">
        <v>3</v>
      </c>
      <c r="D121" s="26">
        <f>Balaka!P121</f>
        <v>38600</v>
      </c>
      <c r="E121" s="26">
        <f>Liwonde!P121</f>
        <v>33916</v>
      </c>
      <c r="F121" s="26">
        <f>Machinga!P121</f>
        <v>0</v>
      </c>
      <c r="G121" s="26">
        <f>Ntaja!P121</f>
        <v>0</v>
      </c>
      <c r="H121" s="31">
        <f>SUM(D121:G121)</f>
        <v>72516</v>
      </c>
    </row>
    <row r="122" spans="1:8" x14ac:dyDescent="0.3">
      <c r="A122" s="582" t="s">
        <v>92</v>
      </c>
      <c r="B122" s="583"/>
      <c r="C122" s="5" t="s">
        <v>3</v>
      </c>
      <c r="D122" s="26">
        <f>Balaka!P122</f>
        <v>33425</v>
      </c>
      <c r="E122" s="26">
        <f>Liwonde!P122</f>
        <v>28090</v>
      </c>
      <c r="F122" s="26">
        <f>Machinga!P122</f>
        <v>0</v>
      </c>
      <c r="G122" s="26">
        <f>Ntaja!P122</f>
        <v>0</v>
      </c>
      <c r="H122" s="31">
        <f>SUM(D122:G122)</f>
        <v>61515</v>
      </c>
    </row>
    <row r="123" spans="1:8" x14ac:dyDescent="0.3">
      <c r="A123" s="640" t="s">
        <v>91</v>
      </c>
      <c r="B123" s="641"/>
      <c r="C123" s="30" t="s">
        <v>6</v>
      </c>
      <c r="D123" s="29">
        <f t="shared" ref="D123:H123" si="38">D122/D121</f>
        <v>0.8659326424870466</v>
      </c>
      <c r="E123" s="29">
        <f t="shared" si="38"/>
        <v>0.82822266776742537</v>
      </c>
      <c r="F123" s="29" t="e">
        <f t="shared" si="38"/>
        <v>#DIV/0!</v>
      </c>
      <c r="G123" s="29" t="e">
        <f t="shared" si="38"/>
        <v>#DIV/0!</v>
      </c>
      <c r="H123" s="516">
        <f t="shared" si="38"/>
        <v>0.8482955485685918</v>
      </c>
    </row>
    <row r="124" spans="1:8" ht="14.4" x14ac:dyDescent="0.3">
      <c r="A124" s="642" t="s">
        <v>90</v>
      </c>
      <c r="B124" s="643"/>
      <c r="C124" s="643"/>
      <c r="D124" s="643"/>
      <c r="E124" s="643"/>
      <c r="F124" s="643"/>
      <c r="G124" s="643"/>
      <c r="H124" s="644"/>
    </row>
    <row r="125" spans="1:8" x14ac:dyDescent="0.3">
      <c r="A125" s="598" t="s">
        <v>235</v>
      </c>
      <c r="B125" s="24" t="s">
        <v>85</v>
      </c>
      <c r="C125" s="11" t="s">
        <v>3</v>
      </c>
      <c r="D125" s="26">
        <f>Balaka!P125</f>
        <v>0</v>
      </c>
      <c r="E125" s="26">
        <f>Liwonde!P125</f>
        <v>0</v>
      </c>
      <c r="F125" s="26">
        <f>Machinga!P125</f>
        <v>3</v>
      </c>
      <c r="G125" s="26">
        <f>Ntaja!P125</f>
        <v>0</v>
      </c>
      <c r="H125" s="74">
        <f>SUM(D125:G125)</f>
        <v>3</v>
      </c>
    </row>
    <row r="126" spans="1:8" x14ac:dyDescent="0.3">
      <c r="A126" s="648"/>
      <c r="B126" s="24" t="s">
        <v>84</v>
      </c>
      <c r="C126" s="11" t="s">
        <v>3</v>
      </c>
      <c r="D126" s="26">
        <f>Balaka!P126</f>
        <v>0</v>
      </c>
      <c r="E126" s="26">
        <f>Liwonde!P126</f>
        <v>0</v>
      </c>
      <c r="F126" s="26">
        <f>Machinga!P126</f>
        <v>0</v>
      </c>
      <c r="G126" s="26">
        <f>Ntaja!P126</f>
        <v>1</v>
      </c>
      <c r="H126" s="74">
        <f>SUM(D126:G126)</f>
        <v>1</v>
      </c>
    </row>
    <row r="127" spans="1:8" x14ac:dyDescent="0.3">
      <c r="A127" s="648"/>
      <c r="B127" s="82" t="s">
        <v>88</v>
      </c>
      <c r="C127" s="11" t="s">
        <v>3</v>
      </c>
      <c r="D127" s="26">
        <f>Balaka!P127</f>
        <v>0</v>
      </c>
      <c r="E127" s="26">
        <f>Liwonde!P127</f>
        <v>0</v>
      </c>
      <c r="F127" s="26">
        <f>Machinga!P127</f>
        <v>3</v>
      </c>
      <c r="G127" s="26">
        <f>Ntaja!P127</f>
        <v>1</v>
      </c>
      <c r="H127" s="74">
        <f>SUM(D127:G127)</f>
        <v>4</v>
      </c>
    </row>
    <row r="128" spans="1:8" x14ac:dyDescent="0.3">
      <c r="A128" s="648"/>
      <c r="B128" s="24" t="s">
        <v>82</v>
      </c>
      <c r="C128" s="11" t="s">
        <v>3</v>
      </c>
      <c r="D128" s="26">
        <f>Balaka!P128</f>
        <v>0</v>
      </c>
      <c r="E128" s="26">
        <f>Liwonde!P128</f>
        <v>0</v>
      </c>
      <c r="F128" s="26">
        <f>Machinga!P128</f>
        <v>0</v>
      </c>
      <c r="G128" s="26">
        <f>Ntaja!P128</f>
        <v>0</v>
      </c>
      <c r="H128" s="74">
        <f>SUM(D128:G128)</f>
        <v>0</v>
      </c>
    </row>
    <row r="129" spans="1:8" x14ac:dyDescent="0.3">
      <c r="A129" s="599"/>
      <c r="B129" s="24" t="s">
        <v>81</v>
      </c>
      <c r="C129" s="11" t="s">
        <v>3</v>
      </c>
      <c r="D129" s="140">
        <f t="shared" ref="D129:H129" si="39">D125+D126-D127-D128</f>
        <v>0</v>
      </c>
      <c r="E129" s="140">
        <f t="shared" si="39"/>
        <v>0</v>
      </c>
      <c r="F129" s="140">
        <f t="shared" si="39"/>
        <v>0</v>
      </c>
      <c r="G129" s="140">
        <f t="shared" si="39"/>
        <v>0</v>
      </c>
      <c r="H129" s="35">
        <f t="shared" si="39"/>
        <v>0</v>
      </c>
    </row>
    <row r="130" spans="1:8" x14ac:dyDescent="0.3">
      <c r="A130" s="598" t="s">
        <v>236</v>
      </c>
      <c r="B130" s="28" t="s">
        <v>85</v>
      </c>
      <c r="C130" s="27" t="s">
        <v>3</v>
      </c>
      <c r="D130" s="26">
        <f>Balaka!P130</f>
        <v>0</v>
      </c>
      <c r="E130" s="26">
        <f>Liwonde!P130</f>
        <v>0</v>
      </c>
      <c r="F130" s="26">
        <f>Machinga!P130</f>
        <v>0</v>
      </c>
      <c r="G130" s="26">
        <f>Ntaja!P130</f>
        <v>0</v>
      </c>
      <c r="H130" s="74">
        <f>SUM(D130:G130)</f>
        <v>0</v>
      </c>
    </row>
    <row r="131" spans="1:8" x14ac:dyDescent="0.3">
      <c r="A131" s="648"/>
      <c r="B131" s="24" t="s">
        <v>84</v>
      </c>
      <c r="C131" s="11" t="s">
        <v>3</v>
      </c>
      <c r="D131" s="26">
        <f>Balaka!P131</f>
        <v>0</v>
      </c>
      <c r="E131" s="26">
        <f>Liwonde!P131</f>
        <v>0</v>
      </c>
      <c r="F131" s="26">
        <f>Machinga!P131</f>
        <v>0</v>
      </c>
      <c r="G131" s="26">
        <f>Ntaja!P131</f>
        <v>0</v>
      </c>
      <c r="H131" s="74">
        <f>SUM(D131:G131)</f>
        <v>0</v>
      </c>
    </row>
    <row r="132" spans="1:8" x14ac:dyDescent="0.3">
      <c r="A132" s="648"/>
      <c r="B132" s="82" t="s">
        <v>88</v>
      </c>
      <c r="C132" s="11" t="s">
        <v>3</v>
      </c>
      <c r="D132" s="26">
        <f>Balaka!P132</f>
        <v>0</v>
      </c>
      <c r="E132" s="26">
        <f>Liwonde!P132</f>
        <v>0</v>
      </c>
      <c r="F132" s="26">
        <f>Machinga!P132</f>
        <v>0</v>
      </c>
      <c r="G132" s="26">
        <f>Ntaja!P132</f>
        <v>0</v>
      </c>
      <c r="H132" s="74">
        <f>SUM(D132:G132)</f>
        <v>0</v>
      </c>
    </row>
    <row r="133" spans="1:8" x14ac:dyDescent="0.3">
      <c r="A133" s="648"/>
      <c r="B133" s="24" t="s">
        <v>82</v>
      </c>
      <c r="C133" s="11" t="s">
        <v>3</v>
      </c>
      <c r="D133" s="26">
        <f>Balaka!P133</f>
        <v>0</v>
      </c>
      <c r="E133" s="26">
        <f>Liwonde!P133</f>
        <v>0</v>
      </c>
      <c r="F133" s="26">
        <f>Machinga!P133</f>
        <v>0</v>
      </c>
      <c r="G133" s="26">
        <f>Ntaja!P133</f>
        <v>0</v>
      </c>
      <c r="H133" s="74">
        <f>SUM(D133:G133)</f>
        <v>0</v>
      </c>
    </row>
    <row r="134" spans="1:8" x14ac:dyDescent="0.3">
      <c r="A134" s="599"/>
      <c r="B134" s="24" t="s">
        <v>81</v>
      </c>
      <c r="C134" s="11" t="s">
        <v>3</v>
      </c>
      <c r="D134" s="140">
        <f t="shared" ref="D134:H134" si="40">D130+D131-D132-D133</f>
        <v>0</v>
      </c>
      <c r="E134" s="140">
        <f t="shared" si="40"/>
        <v>0</v>
      </c>
      <c r="F134" s="140">
        <f t="shared" si="40"/>
        <v>0</v>
      </c>
      <c r="G134" s="140">
        <f t="shared" si="40"/>
        <v>0</v>
      </c>
      <c r="H134" s="35">
        <f t="shared" si="40"/>
        <v>0</v>
      </c>
    </row>
    <row r="135" spans="1:8" x14ac:dyDescent="0.3">
      <c r="A135" s="598" t="s">
        <v>89</v>
      </c>
      <c r="B135" s="24" t="s">
        <v>85</v>
      </c>
      <c r="C135" s="11" t="s">
        <v>3</v>
      </c>
      <c r="D135" s="26">
        <f>Balaka!P135</f>
        <v>0</v>
      </c>
      <c r="E135" s="26">
        <f>Liwonde!P135</f>
        <v>0</v>
      </c>
      <c r="F135" s="26">
        <f>Machinga!P135</f>
        <v>0</v>
      </c>
      <c r="G135" s="26">
        <f>Ntaja!P135</f>
        <v>0</v>
      </c>
      <c r="H135" s="74">
        <f>SUM(D135:G135)</f>
        <v>0</v>
      </c>
    </row>
    <row r="136" spans="1:8" x14ac:dyDescent="0.3">
      <c r="A136" s="648"/>
      <c r="B136" s="24" t="s">
        <v>84</v>
      </c>
      <c r="C136" s="11" t="s">
        <v>3</v>
      </c>
      <c r="D136" s="26">
        <f>Balaka!P136</f>
        <v>0</v>
      </c>
      <c r="E136" s="26">
        <f>Liwonde!P136</f>
        <v>0</v>
      </c>
      <c r="F136" s="26">
        <f>Machinga!P136</f>
        <v>0</v>
      </c>
      <c r="G136" s="26">
        <f>Ntaja!P136</f>
        <v>0</v>
      </c>
      <c r="H136" s="74">
        <f>SUM(D136:G136)</f>
        <v>0</v>
      </c>
    </row>
    <row r="137" spans="1:8" x14ac:dyDescent="0.3">
      <c r="A137" s="648"/>
      <c r="B137" s="82" t="s">
        <v>88</v>
      </c>
      <c r="C137" s="11" t="s">
        <v>3</v>
      </c>
      <c r="D137" s="26">
        <f>Balaka!P137</f>
        <v>0</v>
      </c>
      <c r="E137" s="26">
        <f>Liwonde!P137</f>
        <v>0</v>
      </c>
      <c r="F137" s="26">
        <f>Machinga!P137</f>
        <v>0</v>
      </c>
      <c r="G137" s="26">
        <f>Ntaja!P137</f>
        <v>0</v>
      </c>
      <c r="H137" s="74">
        <f>SUM(D137:G137)</f>
        <v>0</v>
      </c>
    </row>
    <row r="138" spans="1:8" x14ac:dyDescent="0.3">
      <c r="A138" s="648"/>
      <c r="B138" s="24" t="s">
        <v>82</v>
      </c>
      <c r="C138" s="11" t="s">
        <v>3</v>
      </c>
      <c r="D138" s="26">
        <f>Balaka!P138</f>
        <v>0</v>
      </c>
      <c r="E138" s="26">
        <f>Liwonde!P138</f>
        <v>0</v>
      </c>
      <c r="F138" s="26">
        <f>Machinga!P138</f>
        <v>0</v>
      </c>
      <c r="G138" s="26">
        <f>Ntaja!P138</f>
        <v>0</v>
      </c>
      <c r="H138" s="74">
        <f>SUM(D138:G138)</f>
        <v>0</v>
      </c>
    </row>
    <row r="139" spans="1:8" x14ac:dyDescent="0.3">
      <c r="A139" s="599"/>
      <c r="B139" s="24" t="s">
        <v>81</v>
      </c>
      <c r="C139" s="11" t="s">
        <v>3</v>
      </c>
      <c r="D139" s="140">
        <f t="shared" ref="D139:H139" si="41">D135+D136-D137-D138</f>
        <v>0</v>
      </c>
      <c r="E139" s="140">
        <f t="shared" si="41"/>
        <v>0</v>
      </c>
      <c r="F139" s="140">
        <f t="shared" si="41"/>
        <v>0</v>
      </c>
      <c r="G139" s="140">
        <f t="shared" si="41"/>
        <v>0</v>
      </c>
      <c r="H139" s="35">
        <f t="shared" si="41"/>
        <v>0</v>
      </c>
    </row>
    <row r="140" spans="1:8" x14ac:dyDescent="0.3">
      <c r="A140" s="598" t="s">
        <v>87</v>
      </c>
      <c r="B140" s="24" t="s">
        <v>85</v>
      </c>
      <c r="C140" s="11" t="s">
        <v>3</v>
      </c>
      <c r="D140" s="26">
        <f>Balaka!P140</f>
        <v>905</v>
      </c>
      <c r="E140" s="26">
        <f>Liwonde!P140</f>
        <v>658</v>
      </c>
      <c r="F140" s="26">
        <f>Machinga!P140</f>
        <v>3</v>
      </c>
      <c r="G140" s="26">
        <f>Ntaja!P140</f>
        <v>41</v>
      </c>
      <c r="H140" s="74">
        <f>SUM(D140:G140)</f>
        <v>1607</v>
      </c>
    </row>
    <row r="141" spans="1:8" x14ac:dyDescent="0.3">
      <c r="A141" s="648"/>
      <c r="B141" s="24" t="s">
        <v>84</v>
      </c>
      <c r="C141" s="11" t="s">
        <v>3</v>
      </c>
      <c r="D141" s="26">
        <f>Balaka!P141</f>
        <v>211</v>
      </c>
      <c r="E141" s="26">
        <f>Liwonde!P141</f>
        <v>868</v>
      </c>
      <c r="F141" s="26">
        <f>Machinga!P141</f>
        <v>32</v>
      </c>
      <c r="G141" s="26">
        <f>Ntaja!P141</f>
        <v>40</v>
      </c>
      <c r="H141" s="74">
        <f>SUM(D141:G141)</f>
        <v>1151</v>
      </c>
    </row>
    <row r="142" spans="1:8" x14ac:dyDescent="0.3">
      <c r="A142" s="648"/>
      <c r="B142" s="24" t="s">
        <v>83</v>
      </c>
      <c r="C142" s="11" t="s">
        <v>3</v>
      </c>
      <c r="D142" s="26">
        <f>Balaka!P142</f>
        <v>54</v>
      </c>
      <c r="E142" s="26">
        <f>Liwonde!P142</f>
        <v>473</v>
      </c>
      <c r="F142" s="26">
        <f>Machinga!P142</f>
        <v>25</v>
      </c>
      <c r="G142" s="26">
        <f>Ntaja!P142</f>
        <v>2</v>
      </c>
      <c r="H142" s="74">
        <f>SUM(D142:G142)</f>
        <v>554</v>
      </c>
    </row>
    <row r="143" spans="1:8" x14ac:dyDescent="0.3">
      <c r="A143" s="648"/>
      <c r="B143" s="24" t="s">
        <v>82</v>
      </c>
      <c r="C143" s="11" t="s">
        <v>3</v>
      </c>
      <c r="D143" s="26">
        <f>Balaka!P143</f>
        <v>839</v>
      </c>
      <c r="E143" s="26">
        <f>Liwonde!P143</f>
        <v>905</v>
      </c>
      <c r="F143" s="26">
        <f>Machinga!P143</f>
        <v>11</v>
      </c>
      <c r="G143" s="26">
        <f>Ntaja!P143</f>
        <v>75</v>
      </c>
      <c r="H143" s="74">
        <f>SUM(D143:G143)</f>
        <v>1830</v>
      </c>
    </row>
    <row r="144" spans="1:8" x14ac:dyDescent="0.3">
      <c r="A144" s="599"/>
      <c r="B144" s="24" t="s">
        <v>81</v>
      </c>
      <c r="C144" s="11" t="s">
        <v>3</v>
      </c>
      <c r="D144" s="140">
        <f t="shared" ref="D144:H144" si="42">D140+D141-D142-D143</f>
        <v>223</v>
      </c>
      <c r="E144" s="140">
        <f t="shared" si="42"/>
        <v>148</v>
      </c>
      <c r="F144" s="140">
        <f t="shared" si="42"/>
        <v>-1</v>
      </c>
      <c r="G144" s="140">
        <f t="shared" si="42"/>
        <v>4</v>
      </c>
      <c r="H144" s="35">
        <f t="shared" si="42"/>
        <v>374</v>
      </c>
    </row>
    <row r="145" spans="1:8" s="2" customFormat="1" x14ac:dyDescent="0.3">
      <c r="A145" s="598" t="s">
        <v>86</v>
      </c>
      <c r="B145" s="24" t="s">
        <v>85</v>
      </c>
      <c r="C145" s="11" t="s">
        <v>3</v>
      </c>
      <c r="D145" s="141">
        <f t="shared" ref="D145:H149" si="43">D125+D130+D135+D140</f>
        <v>905</v>
      </c>
      <c r="E145" s="141">
        <f t="shared" si="43"/>
        <v>658</v>
      </c>
      <c r="F145" s="141">
        <f t="shared" si="43"/>
        <v>6</v>
      </c>
      <c r="G145" s="141">
        <f t="shared" si="43"/>
        <v>41</v>
      </c>
      <c r="H145" s="110">
        <f t="shared" si="43"/>
        <v>1610</v>
      </c>
    </row>
    <row r="146" spans="1:8" x14ac:dyDescent="0.3">
      <c r="A146" s="648"/>
      <c r="B146" s="24" t="s">
        <v>84</v>
      </c>
      <c r="C146" s="11" t="s">
        <v>3</v>
      </c>
      <c r="D146" s="141">
        <f t="shared" ref="D146:G148" si="44">D126+D131+D136+D141</f>
        <v>211</v>
      </c>
      <c r="E146" s="141">
        <f t="shared" si="44"/>
        <v>868</v>
      </c>
      <c r="F146" s="141">
        <f t="shared" si="44"/>
        <v>32</v>
      </c>
      <c r="G146" s="141">
        <f t="shared" si="44"/>
        <v>41</v>
      </c>
      <c r="H146" s="110">
        <f t="shared" si="43"/>
        <v>1152</v>
      </c>
    </row>
    <row r="147" spans="1:8" x14ac:dyDescent="0.3">
      <c r="A147" s="648"/>
      <c r="B147" s="24" t="s">
        <v>83</v>
      </c>
      <c r="C147" s="11" t="s">
        <v>3</v>
      </c>
      <c r="D147" s="141">
        <f t="shared" si="44"/>
        <v>54</v>
      </c>
      <c r="E147" s="141">
        <f t="shared" si="44"/>
        <v>473</v>
      </c>
      <c r="F147" s="141">
        <f t="shared" si="44"/>
        <v>28</v>
      </c>
      <c r="G147" s="141">
        <f t="shared" si="44"/>
        <v>3</v>
      </c>
      <c r="H147" s="110">
        <f t="shared" si="43"/>
        <v>558</v>
      </c>
    </row>
    <row r="148" spans="1:8" x14ac:dyDescent="0.3">
      <c r="A148" s="648"/>
      <c r="B148" s="24" t="s">
        <v>82</v>
      </c>
      <c r="C148" s="11" t="s">
        <v>3</v>
      </c>
      <c r="D148" s="141">
        <f t="shared" si="44"/>
        <v>839</v>
      </c>
      <c r="E148" s="141">
        <f t="shared" si="44"/>
        <v>905</v>
      </c>
      <c r="F148" s="141">
        <f t="shared" si="44"/>
        <v>11</v>
      </c>
      <c r="G148" s="141">
        <f t="shared" si="44"/>
        <v>75</v>
      </c>
      <c r="H148" s="110">
        <f t="shared" si="43"/>
        <v>1830</v>
      </c>
    </row>
    <row r="149" spans="1:8" x14ac:dyDescent="0.3">
      <c r="A149" s="599"/>
      <c r="B149" s="24" t="s">
        <v>81</v>
      </c>
      <c r="C149" s="11" t="s">
        <v>3</v>
      </c>
      <c r="D149" s="140">
        <f t="shared" ref="D149:G149" si="45">D145+D146-D147-D148</f>
        <v>223</v>
      </c>
      <c r="E149" s="140">
        <f t="shared" si="45"/>
        <v>148</v>
      </c>
      <c r="F149" s="140">
        <f t="shared" si="45"/>
        <v>-1</v>
      </c>
      <c r="G149" s="140">
        <f t="shared" si="45"/>
        <v>4</v>
      </c>
      <c r="H149" s="110">
        <f t="shared" si="43"/>
        <v>374</v>
      </c>
    </row>
    <row r="150" spans="1:8" ht="14.4" x14ac:dyDescent="0.3">
      <c r="A150" s="586" t="s">
        <v>80</v>
      </c>
      <c r="B150" s="587"/>
      <c r="C150" s="587"/>
      <c r="D150" s="587"/>
      <c r="E150" s="587"/>
      <c r="F150" s="587"/>
      <c r="G150" s="587"/>
      <c r="H150" s="588"/>
    </row>
    <row r="151" spans="1:8" ht="15.6" customHeight="1" x14ac:dyDescent="0.3">
      <c r="A151" s="676" t="s">
        <v>79</v>
      </c>
      <c r="B151" s="677"/>
      <c r="C151" s="677"/>
      <c r="D151" s="677"/>
      <c r="E151" s="677"/>
      <c r="F151" s="677"/>
      <c r="G151" s="677"/>
      <c r="H151" s="678"/>
    </row>
    <row r="152" spans="1:8" x14ac:dyDescent="0.3">
      <c r="A152" s="645" t="s">
        <v>78</v>
      </c>
      <c r="B152" s="92" t="s">
        <v>63</v>
      </c>
      <c r="C152" s="11"/>
      <c r="D152" s="15"/>
      <c r="E152" s="15"/>
      <c r="F152" s="15"/>
      <c r="G152" s="15"/>
      <c r="H152" s="39"/>
    </row>
    <row r="153" spans="1:8" x14ac:dyDescent="0.3">
      <c r="A153" s="646"/>
      <c r="B153" s="19" t="s">
        <v>73</v>
      </c>
      <c r="C153" s="11" t="s">
        <v>57</v>
      </c>
      <c r="D153" s="26">
        <f>Balaka!P153</f>
        <v>1980</v>
      </c>
      <c r="E153" s="26">
        <f>Liwonde!P153</f>
        <v>1548</v>
      </c>
      <c r="F153" s="26">
        <f>Machinga!P153</f>
        <v>127</v>
      </c>
      <c r="G153" s="26">
        <f>Ntaja!P153</f>
        <v>902</v>
      </c>
      <c r="H153" s="74">
        <f t="shared" ref="H153:H165" si="46">SUM(D153:G153)</f>
        <v>4557</v>
      </c>
    </row>
    <row r="154" spans="1:8" x14ac:dyDescent="0.3">
      <c r="A154" s="646"/>
      <c r="B154" s="19" t="s">
        <v>72</v>
      </c>
      <c r="C154" s="11" t="s">
        <v>57</v>
      </c>
      <c r="D154" s="26">
        <f>Balaka!P154</f>
        <v>1416</v>
      </c>
      <c r="E154" s="26">
        <f>Liwonde!P154</f>
        <v>881</v>
      </c>
      <c r="F154" s="26">
        <f>Machinga!P154</f>
        <v>85</v>
      </c>
      <c r="G154" s="26">
        <f>Ntaja!P154</f>
        <v>158</v>
      </c>
      <c r="H154" s="74">
        <f t="shared" si="46"/>
        <v>2540</v>
      </c>
    </row>
    <row r="155" spans="1:8" x14ac:dyDescent="0.3">
      <c r="A155" s="646"/>
      <c r="B155" s="19" t="s">
        <v>53</v>
      </c>
      <c r="C155" s="11" t="s">
        <v>57</v>
      </c>
      <c r="D155" s="26">
        <f>Balaka!P155</f>
        <v>175</v>
      </c>
      <c r="E155" s="26">
        <f>Liwonde!P155</f>
        <v>260</v>
      </c>
      <c r="F155" s="26">
        <f>Machinga!P155</f>
        <v>82</v>
      </c>
      <c r="G155" s="26">
        <f>Ntaja!P155</f>
        <v>47</v>
      </c>
      <c r="H155" s="74">
        <f t="shared" si="46"/>
        <v>564</v>
      </c>
    </row>
    <row r="156" spans="1:8" x14ac:dyDescent="0.3">
      <c r="A156" s="646"/>
      <c r="B156" s="19" t="s">
        <v>71</v>
      </c>
      <c r="C156" s="11" t="s">
        <v>57</v>
      </c>
      <c r="D156" s="26">
        <f>Balaka!P156</f>
        <v>47</v>
      </c>
      <c r="E156" s="26">
        <f>Liwonde!P156</f>
        <v>50</v>
      </c>
      <c r="F156" s="26">
        <f>Machinga!P156</f>
        <v>39</v>
      </c>
      <c r="G156" s="26">
        <f>Ntaja!P156</f>
        <v>17</v>
      </c>
      <c r="H156" s="74">
        <f t="shared" si="46"/>
        <v>153</v>
      </c>
    </row>
    <row r="157" spans="1:8" x14ac:dyDescent="0.3">
      <c r="A157" s="646"/>
      <c r="B157" s="19" t="s">
        <v>52</v>
      </c>
      <c r="C157" s="11" t="s">
        <v>57</v>
      </c>
      <c r="D157" s="26">
        <f>Balaka!P157</f>
        <v>66</v>
      </c>
      <c r="E157" s="26">
        <f>Liwonde!P157</f>
        <v>100</v>
      </c>
      <c r="F157" s="26">
        <f>Machinga!P157</f>
        <v>28</v>
      </c>
      <c r="G157" s="26">
        <f>Ntaja!P157</f>
        <v>46</v>
      </c>
      <c r="H157" s="74">
        <f t="shared" si="46"/>
        <v>240</v>
      </c>
    </row>
    <row r="158" spans="1:8" x14ac:dyDescent="0.3">
      <c r="A158" s="646"/>
      <c r="B158" s="19" t="s">
        <v>51</v>
      </c>
      <c r="C158" s="11" t="s">
        <v>57</v>
      </c>
      <c r="D158" s="26">
        <f>Balaka!P158</f>
        <v>127</v>
      </c>
      <c r="E158" s="26">
        <f>Liwonde!P158</f>
        <v>127</v>
      </c>
      <c r="F158" s="26">
        <f>Machinga!P158</f>
        <v>28</v>
      </c>
      <c r="G158" s="26">
        <f>Ntaja!P158</f>
        <v>10</v>
      </c>
      <c r="H158" s="74">
        <f t="shared" si="46"/>
        <v>292</v>
      </c>
    </row>
    <row r="159" spans="1:8" x14ac:dyDescent="0.3">
      <c r="A159" s="646"/>
      <c r="B159" s="19" t="s">
        <v>62</v>
      </c>
      <c r="C159" s="11" t="s">
        <v>57</v>
      </c>
      <c r="D159" s="26">
        <f>Balaka!P159</f>
        <v>0</v>
      </c>
      <c r="E159" s="26">
        <f>Liwonde!P159</f>
        <v>5</v>
      </c>
      <c r="F159" s="26">
        <f>Machinga!P159</f>
        <v>0</v>
      </c>
      <c r="G159" s="26">
        <f>Ntaja!P159</f>
        <v>0</v>
      </c>
      <c r="H159" s="74">
        <f t="shared" si="46"/>
        <v>5</v>
      </c>
    </row>
    <row r="160" spans="1:8" x14ac:dyDescent="0.3">
      <c r="A160" s="646"/>
      <c r="B160" s="19" t="s">
        <v>50</v>
      </c>
      <c r="C160" s="11" t="s">
        <v>57</v>
      </c>
      <c r="D160" s="26">
        <f>Balaka!P160</f>
        <v>5</v>
      </c>
      <c r="E160" s="26">
        <f>Liwonde!P160</f>
        <v>41</v>
      </c>
      <c r="F160" s="26">
        <f>Machinga!P160</f>
        <v>12</v>
      </c>
      <c r="G160" s="26">
        <f>Ntaja!P160</f>
        <v>4</v>
      </c>
      <c r="H160" s="74">
        <f t="shared" si="46"/>
        <v>62</v>
      </c>
    </row>
    <row r="161" spans="1:8" x14ac:dyDescent="0.3">
      <c r="A161" s="646"/>
      <c r="B161" s="19" t="s">
        <v>49</v>
      </c>
      <c r="C161" s="11" t="s">
        <v>57</v>
      </c>
      <c r="D161" s="26">
        <f>Balaka!P161</f>
        <v>30</v>
      </c>
      <c r="E161" s="26">
        <f>Liwonde!P161</f>
        <v>68</v>
      </c>
      <c r="F161" s="26">
        <f>Machinga!P161</f>
        <v>2</v>
      </c>
      <c r="G161" s="26">
        <f>Ntaja!P161</f>
        <v>0</v>
      </c>
      <c r="H161" s="74">
        <f t="shared" si="46"/>
        <v>100</v>
      </c>
    </row>
    <row r="162" spans="1:8" x14ac:dyDescent="0.3">
      <c r="A162" s="646"/>
      <c r="B162" s="19" t="s">
        <v>77</v>
      </c>
      <c r="C162" s="11" t="s">
        <v>57</v>
      </c>
      <c r="D162" s="26">
        <f>Balaka!P162</f>
        <v>9</v>
      </c>
      <c r="E162" s="26">
        <f>Liwonde!P162</f>
        <v>25</v>
      </c>
      <c r="F162" s="26">
        <f>Machinga!P162</f>
        <v>0</v>
      </c>
      <c r="G162" s="26">
        <f>Ntaja!P162</f>
        <v>4</v>
      </c>
      <c r="H162" s="74">
        <f t="shared" si="46"/>
        <v>38</v>
      </c>
    </row>
    <row r="163" spans="1:8" x14ac:dyDescent="0.3">
      <c r="A163" s="646"/>
      <c r="B163" s="19" t="s">
        <v>69</v>
      </c>
      <c r="C163" s="11" t="s">
        <v>57</v>
      </c>
      <c r="D163" s="26">
        <f>Balaka!P163</f>
        <v>36</v>
      </c>
      <c r="E163" s="26">
        <f>Liwonde!P163</f>
        <v>8</v>
      </c>
      <c r="F163" s="26">
        <f>Machinga!P163</f>
        <v>0</v>
      </c>
      <c r="G163" s="26">
        <f>Ntaja!P163</f>
        <v>0</v>
      </c>
      <c r="H163" s="74">
        <f t="shared" si="46"/>
        <v>44</v>
      </c>
    </row>
    <row r="164" spans="1:8" x14ac:dyDescent="0.3">
      <c r="A164" s="646"/>
      <c r="B164" s="19" t="s">
        <v>68</v>
      </c>
      <c r="C164" s="11" t="s">
        <v>57</v>
      </c>
      <c r="D164" s="26">
        <f>Balaka!P164</f>
        <v>0</v>
      </c>
      <c r="E164" s="26">
        <f>Liwonde!P164</f>
        <v>6</v>
      </c>
      <c r="F164" s="26">
        <f>Machinga!P164</f>
        <v>0</v>
      </c>
      <c r="G164" s="26">
        <f>Ntaja!P164</f>
        <v>0</v>
      </c>
      <c r="H164" s="74">
        <f t="shared" si="46"/>
        <v>6</v>
      </c>
    </row>
    <row r="165" spans="1:8" x14ac:dyDescent="0.3">
      <c r="A165" s="647"/>
      <c r="B165" s="19" t="s">
        <v>76</v>
      </c>
      <c r="C165" s="11" t="s">
        <v>57</v>
      </c>
      <c r="D165" s="26">
        <f>Balaka!P165</f>
        <v>0</v>
      </c>
      <c r="E165" s="26">
        <f>Liwonde!P165</f>
        <v>0</v>
      </c>
      <c r="F165" s="26">
        <f>Machinga!P165</f>
        <v>0</v>
      </c>
      <c r="G165" s="26">
        <f>Ntaja!P165</f>
        <v>0</v>
      </c>
      <c r="H165" s="74">
        <f t="shared" si="46"/>
        <v>0</v>
      </c>
    </row>
    <row r="166" spans="1:8" x14ac:dyDescent="0.3">
      <c r="A166" s="645" t="s">
        <v>75</v>
      </c>
      <c r="B166" s="21" t="s">
        <v>63</v>
      </c>
      <c r="C166" s="11"/>
      <c r="D166" s="4"/>
      <c r="E166" s="4"/>
      <c r="F166" s="4"/>
      <c r="G166" s="4"/>
      <c r="H166" s="74"/>
    </row>
    <row r="167" spans="1:8" x14ac:dyDescent="0.3">
      <c r="A167" s="646"/>
      <c r="B167" s="19" t="s">
        <v>74</v>
      </c>
      <c r="C167" s="11" t="s">
        <v>57</v>
      </c>
      <c r="D167" s="26">
        <f>Balaka!P167</f>
        <v>0</v>
      </c>
      <c r="E167" s="26">
        <f>Liwonde!P167</f>
        <v>38</v>
      </c>
      <c r="F167" s="26">
        <f>Machinga!P167</f>
        <v>8</v>
      </c>
      <c r="G167" s="26">
        <f>Ntaja!P167</f>
        <v>4</v>
      </c>
      <c r="H167" s="74">
        <f t="shared" ref="H167:H175" si="47">SUM(D167:G167)</f>
        <v>50</v>
      </c>
    </row>
    <row r="168" spans="1:8" x14ac:dyDescent="0.3">
      <c r="A168" s="646"/>
      <c r="B168" s="19" t="s">
        <v>73</v>
      </c>
      <c r="C168" s="11" t="s">
        <v>57</v>
      </c>
      <c r="D168" s="26">
        <f>Balaka!P168</f>
        <v>0</v>
      </c>
      <c r="E168" s="26">
        <f>Liwonde!P168</f>
        <v>7</v>
      </c>
      <c r="F168" s="26">
        <f>Machinga!P168</f>
        <v>9</v>
      </c>
      <c r="G168" s="26">
        <f>Ntaja!P168</f>
        <v>0</v>
      </c>
      <c r="H168" s="74">
        <f t="shared" si="47"/>
        <v>16</v>
      </c>
    </row>
    <row r="169" spans="1:8" x14ac:dyDescent="0.3">
      <c r="A169" s="646"/>
      <c r="B169" s="19" t="s">
        <v>72</v>
      </c>
      <c r="C169" s="11" t="s">
        <v>57</v>
      </c>
      <c r="D169" s="26">
        <f>Balaka!P169</f>
        <v>0</v>
      </c>
      <c r="E169" s="26">
        <f>Liwonde!P169</f>
        <v>2</v>
      </c>
      <c r="F169" s="26">
        <f>Machinga!P169</f>
        <v>0</v>
      </c>
      <c r="G169" s="26">
        <f>Ntaja!P169</f>
        <v>0</v>
      </c>
      <c r="H169" s="74">
        <f t="shared" si="47"/>
        <v>2</v>
      </c>
    </row>
    <row r="170" spans="1:8" x14ac:dyDescent="0.3">
      <c r="A170" s="646"/>
      <c r="B170" s="19" t="s">
        <v>71</v>
      </c>
      <c r="C170" s="11" t="s">
        <v>57</v>
      </c>
      <c r="D170" s="26">
        <f>Balaka!P170</f>
        <v>0</v>
      </c>
      <c r="E170" s="26">
        <f>Liwonde!P170</f>
        <v>1</v>
      </c>
      <c r="F170" s="26">
        <f>Machinga!P170</f>
        <v>0</v>
      </c>
      <c r="G170" s="26">
        <f>Ntaja!P170</f>
        <v>0</v>
      </c>
      <c r="H170" s="74">
        <f t="shared" si="47"/>
        <v>1</v>
      </c>
    </row>
    <row r="171" spans="1:8" x14ac:dyDescent="0.3">
      <c r="A171" s="646"/>
      <c r="B171" s="19" t="s">
        <v>52</v>
      </c>
      <c r="C171" s="11" t="s">
        <v>57</v>
      </c>
      <c r="D171" s="26">
        <f>Balaka!P171</f>
        <v>0</v>
      </c>
      <c r="E171" s="26">
        <f>Liwonde!P171</f>
        <v>0</v>
      </c>
      <c r="F171" s="26">
        <f>Machinga!P171</f>
        <v>14</v>
      </c>
      <c r="G171" s="26">
        <f>Ntaja!P171</f>
        <v>0</v>
      </c>
      <c r="H171" s="74">
        <f t="shared" si="47"/>
        <v>14</v>
      </c>
    </row>
    <row r="172" spans="1:8" x14ac:dyDescent="0.3">
      <c r="A172" s="646"/>
      <c r="B172" s="19" t="s">
        <v>62</v>
      </c>
      <c r="C172" s="11" t="s">
        <v>57</v>
      </c>
      <c r="D172" s="26">
        <f>Balaka!P172</f>
        <v>0</v>
      </c>
      <c r="E172" s="26">
        <f>Liwonde!P172</f>
        <v>0</v>
      </c>
      <c r="F172" s="26">
        <f>Machinga!P172</f>
        <v>0</v>
      </c>
      <c r="G172" s="26">
        <f>Ntaja!P172</f>
        <v>0</v>
      </c>
      <c r="H172" s="74">
        <f t="shared" si="47"/>
        <v>0</v>
      </c>
    </row>
    <row r="173" spans="1:8" x14ac:dyDescent="0.3">
      <c r="A173" s="646"/>
      <c r="B173" s="19" t="s">
        <v>61</v>
      </c>
      <c r="C173" s="11" t="s">
        <v>57</v>
      </c>
      <c r="D173" s="26">
        <f>Balaka!P173</f>
        <v>0</v>
      </c>
      <c r="E173" s="26">
        <f>Liwonde!P173</f>
        <v>0</v>
      </c>
      <c r="F173" s="26">
        <f>Machinga!P173</f>
        <v>0</v>
      </c>
      <c r="G173" s="26">
        <f>Ntaja!P173</f>
        <v>0</v>
      </c>
      <c r="H173" s="74">
        <f t="shared" si="47"/>
        <v>0</v>
      </c>
    </row>
    <row r="174" spans="1:8" x14ac:dyDescent="0.3">
      <c r="A174" s="646"/>
      <c r="B174" s="19" t="s">
        <v>60</v>
      </c>
      <c r="C174" s="11" t="s">
        <v>57</v>
      </c>
      <c r="D174" s="26">
        <f>Balaka!P174</f>
        <v>0</v>
      </c>
      <c r="E174" s="26">
        <f>Liwonde!P174</f>
        <v>0</v>
      </c>
      <c r="F174" s="26">
        <f>Machinga!P174</f>
        <v>0</v>
      </c>
      <c r="G174" s="26">
        <f>Ntaja!P174</f>
        <v>0</v>
      </c>
      <c r="H174" s="74">
        <f t="shared" si="47"/>
        <v>0</v>
      </c>
    </row>
    <row r="175" spans="1:8" x14ac:dyDescent="0.3">
      <c r="A175" s="647"/>
      <c r="B175" s="19" t="s">
        <v>69</v>
      </c>
      <c r="C175" s="11" t="s">
        <v>57</v>
      </c>
      <c r="D175" s="26">
        <f>Balaka!P175</f>
        <v>0</v>
      </c>
      <c r="E175" s="26">
        <f>Liwonde!P175</f>
        <v>0</v>
      </c>
      <c r="F175" s="26">
        <f>Machinga!P175</f>
        <v>0</v>
      </c>
      <c r="G175" s="26">
        <f>Ntaja!P175</f>
        <v>0</v>
      </c>
      <c r="H175" s="74">
        <f t="shared" si="47"/>
        <v>0</v>
      </c>
    </row>
    <row r="176" spans="1:8" x14ac:dyDescent="0.3">
      <c r="A176" s="645" t="s">
        <v>70</v>
      </c>
      <c r="B176" s="21" t="s">
        <v>63</v>
      </c>
      <c r="C176" s="11"/>
      <c r="D176" s="4"/>
      <c r="E176" s="4"/>
      <c r="F176" s="4"/>
      <c r="G176" s="4"/>
      <c r="H176" s="74"/>
    </row>
    <row r="177" spans="1:8" x14ac:dyDescent="0.3">
      <c r="A177" s="646"/>
      <c r="B177" s="19" t="s">
        <v>60</v>
      </c>
      <c r="C177" s="11" t="s">
        <v>57</v>
      </c>
      <c r="D177" s="26">
        <f>Balaka!P177</f>
        <v>0</v>
      </c>
      <c r="E177" s="26">
        <f>Liwonde!P177</f>
        <v>0</v>
      </c>
      <c r="F177" s="26">
        <f>Machinga!P177</f>
        <v>0</v>
      </c>
      <c r="G177" s="26">
        <f>Ntaja!P177</f>
        <v>0</v>
      </c>
      <c r="H177" s="74">
        <f t="shared" ref="H177:H182" si="48">SUM(D177:G177)</f>
        <v>0</v>
      </c>
    </row>
    <row r="178" spans="1:8" x14ac:dyDescent="0.3">
      <c r="A178" s="646"/>
      <c r="B178" s="19" t="s">
        <v>69</v>
      </c>
      <c r="C178" s="11" t="s">
        <v>57</v>
      </c>
      <c r="D178" s="26">
        <f>Balaka!P178</f>
        <v>0</v>
      </c>
      <c r="E178" s="26">
        <f>Liwonde!P178</f>
        <v>0</v>
      </c>
      <c r="F178" s="26">
        <f>Machinga!P178</f>
        <v>0</v>
      </c>
      <c r="G178" s="26">
        <f>Ntaja!P178</f>
        <v>0</v>
      </c>
      <c r="H178" s="74">
        <f t="shared" si="48"/>
        <v>0</v>
      </c>
    </row>
    <row r="179" spans="1:8" x14ac:dyDescent="0.3">
      <c r="A179" s="646"/>
      <c r="B179" s="19" t="s">
        <v>68</v>
      </c>
      <c r="C179" s="11" t="s">
        <v>57</v>
      </c>
      <c r="D179" s="26">
        <f>Balaka!P179</f>
        <v>0</v>
      </c>
      <c r="E179" s="26">
        <f>Liwonde!P179</f>
        <v>0</v>
      </c>
      <c r="F179" s="26">
        <f>Machinga!P179</f>
        <v>0</v>
      </c>
      <c r="G179" s="26">
        <f>Ntaja!P179</f>
        <v>0</v>
      </c>
      <c r="H179" s="74">
        <f t="shared" si="48"/>
        <v>0</v>
      </c>
    </row>
    <row r="180" spans="1:8" x14ac:dyDescent="0.3">
      <c r="A180" s="646"/>
      <c r="B180" s="19" t="s">
        <v>67</v>
      </c>
      <c r="C180" s="11" t="s">
        <v>57</v>
      </c>
      <c r="D180" s="26">
        <f>Balaka!P180</f>
        <v>0</v>
      </c>
      <c r="E180" s="26">
        <f>Liwonde!P180</f>
        <v>0</v>
      </c>
      <c r="F180" s="26">
        <f>Machinga!P180</f>
        <v>0</v>
      </c>
      <c r="G180" s="26">
        <f>Ntaja!P180</f>
        <v>0</v>
      </c>
      <c r="H180" s="74">
        <f t="shared" si="48"/>
        <v>0</v>
      </c>
    </row>
    <row r="181" spans="1:8" x14ac:dyDescent="0.3">
      <c r="A181" s="646"/>
      <c r="B181" s="19" t="s">
        <v>66</v>
      </c>
      <c r="C181" s="11" t="s">
        <v>57</v>
      </c>
      <c r="D181" s="26">
        <f>Balaka!P181</f>
        <v>0</v>
      </c>
      <c r="E181" s="26">
        <f>Liwonde!P181</f>
        <v>0</v>
      </c>
      <c r="F181" s="26">
        <f>Machinga!P181</f>
        <v>0</v>
      </c>
      <c r="G181" s="26">
        <f>Ntaja!P181</f>
        <v>0</v>
      </c>
      <c r="H181" s="74">
        <f t="shared" si="48"/>
        <v>0</v>
      </c>
    </row>
    <row r="182" spans="1:8" x14ac:dyDescent="0.3">
      <c r="A182" s="647"/>
      <c r="B182" s="19" t="s">
        <v>65</v>
      </c>
      <c r="C182" s="11" t="s">
        <v>57</v>
      </c>
      <c r="D182" s="26">
        <f>Balaka!P182</f>
        <v>0</v>
      </c>
      <c r="E182" s="26">
        <f>Liwonde!P182</f>
        <v>0</v>
      </c>
      <c r="F182" s="26">
        <f>Machinga!P182</f>
        <v>0</v>
      </c>
      <c r="G182" s="26">
        <f>Ntaja!P182</f>
        <v>0</v>
      </c>
      <c r="H182" s="74">
        <f t="shared" si="48"/>
        <v>0</v>
      </c>
    </row>
    <row r="183" spans="1:8" x14ac:dyDescent="0.3">
      <c r="A183" s="645" t="s">
        <v>209</v>
      </c>
      <c r="B183" s="21" t="s">
        <v>63</v>
      </c>
      <c r="C183" s="11"/>
      <c r="D183" s="4"/>
      <c r="E183" s="4"/>
      <c r="F183" s="4"/>
      <c r="G183" s="4"/>
      <c r="H183" s="74"/>
    </row>
    <row r="184" spans="1:8" x14ac:dyDescent="0.3">
      <c r="A184" s="646"/>
      <c r="B184" s="19" t="s">
        <v>73</v>
      </c>
      <c r="C184" s="11" t="s">
        <v>57</v>
      </c>
      <c r="D184" s="26">
        <f>Balaka!P184</f>
        <v>0</v>
      </c>
      <c r="E184" s="26">
        <f>Liwonde!P184</f>
        <v>0</v>
      </c>
      <c r="F184" s="26">
        <f>Machinga!P184</f>
        <v>0</v>
      </c>
      <c r="G184" s="26">
        <f>Ntaja!P184</f>
        <v>0</v>
      </c>
      <c r="H184" s="74">
        <f>SUM(D184:G184)</f>
        <v>0</v>
      </c>
    </row>
    <row r="185" spans="1:8" x14ac:dyDescent="0.3">
      <c r="A185" s="646"/>
      <c r="B185" s="19" t="s">
        <v>72</v>
      </c>
      <c r="C185" s="11" t="s">
        <v>57</v>
      </c>
      <c r="D185" s="26">
        <f>Balaka!P185</f>
        <v>0</v>
      </c>
      <c r="E185" s="26">
        <f>Liwonde!P185</f>
        <v>0</v>
      </c>
      <c r="F185" s="26">
        <f>Machinga!P185</f>
        <v>0</v>
      </c>
      <c r="G185" s="26">
        <f>Ntaja!P185</f>
        <v>0</v>
      </c>
      <c r="H185" s="74">
        <f>SUM(D185:G185)</f>
        <v>0</v>
      </c>
    </row>
    <row r="186" spans="1:8" x14ac:dyDescent="0.3">
      <c r="A186" s="646"/>
      <c r="B186" s="19" t="s">
        <v>53</v>
      </c>
      <c r="C186" s="11" t="s">
        <v>57</v>
      </c>
      <c r="D186" s="26">
        <f>Balaka!P186</f>
        <v>0</v>
      </c>
      <c r="E186" s="26">
        <f>Liwonde!P186</f>
        <v>0</v>
      </c>
      <c r="F186" s="26">
        <f>Machinga!P186</f>
        <v>0</v>
      </c>
      <c r="G186" s="26">
        <f>Ntaja!P186</f>
        <v>0</v>
      </c>
      <c r="H186" s="74">
        <f>SUM(D186:G186)</f>
        <v>0</v>
      </c>
    </row>
    <row r="187" spans="1:8" x14ac:dyDescent="0.3">
      <c r="A187" s="647"/>
      <c r="B187" s="19" t="s">
        <v>52</v>
      </c>
      <c r="C187" s="11" t="s">
        <v>57</v>
      </c>
      <c r="D187" s="26">
        <f>Balaka!P187</f>
        <v>0</v>
      </c>
      <c r="E187" s="26">
        <f>Liwonde!P187</f>
        <v>0</v>
      </c>
      <c r="F187" s="26">
        <f>Machinga!P187</f>
        <v>0</v>
      </c>
      <c r="G187" s="26">
        <f>Ntaja!P187</f>
        <v>0</v>
      </c>
      <c r="H187" s="74">
        <f>SUM(D187:G187)</f>
        <v>0</v>
      </c>
    </row>
    <row r="188" spans="1:8" x14ac:dyDescent="0.3">
      <c r="A188" s="645" t="s">
        <v>64</v>
      </c>
      <c r="B188" s="21" t="s">
        <v>63</v>
      </c>
      <c r="C188" s="11"/>
      <c r="D188" s="4"/>
      <c r="E188" s="4"/>
      <c r="F188" s="4"/>
      <c r="G188" s="4"/>
      <c r="H188" s="74"/>
    </row>
    <row r="189" spans="1:8" x14ac:dyDescent="0.3">
      <c r="A189" s="646"/>
      <c r="B189" s="20" t="s">
        <v>52</v>
      </c>
      <c r="C189" s="11" t="s">
        <v>57</v>
      </c>
      <c r="D189" s="26">
        <f>Balaka!P189</f>
        <v>0</v>
      </c>
      <c r="E189" s="26">
        <f>Liwonde!P189</f>
        <v>0</v>
      </c>
      <c r="F189" s="26">
        <f>Machinga!P189</f>
        <v>0</v>
      </c>
      <c r="G189" s="26">
        <f>Ntaja!P189</f>
        <v>0</v>
      </c>
      <c r="H189" s="74">
        <f>SUM(D189:G189)</f>
        <v>0</v>
      </c>
    </row>
    <row r="190" spans="1:8" x14ac:dyDescent="0.3">
      <c r="A190" s="646"/>
      <c r="B190" s="19" t="s">
        <v>62</v>
      </c>
      <c r="C190" s="11" t="s">
        <v>57</v>
      </c>
      <c r="D190" s="26">
        <f>Balaka!P190</f>
        <v>0</v>
      </c>
      <c r="E190" s="26">
        <f>Liwonde!P190</f>
        <v>0</v>
      </c>
      <c r="F190" s="26">
        <f>Machinga!P190</f>
        <v>0</v>
      </c>
      <c r="G190" s="26">
        <f>Ntaja!P190</f>
        <v>0</v>
      </c>
      <c r="H190" s="74">
        <f>SUM(D190:G190)</f>
        <v>0</v>
      </c>
    </row>
    <row r="191" spans="1:8" x14ac:dyDescent="0.3">
      <c r="A191" s="646"/>
      <c r="B191" s="19" t="s">
        <v>61</v>
      </c>
      <c r="C191" s="11" t="s">
        <v>57</v>
      </c>
      <c r="D191" s="26">
        <f>Balaka!P191</f>
        <v>0</v>
      </c>
      <c r="E191" s="26">
        <f>Liwonde!P191</f>
        <v>0</v>
      </c>
      <c r="F191" s="26">
        <f>Machinga!P191</f>
        <v>0</v>
      </c>
      <c r="G191" s="26">
        <f>Ntaja!P191</f>
        <v>0</v>
      </c>
      <c r="H191" s="74">
        <f>SUM(D191:G191)</f>
        <v>0</v>
      </c>
    </row>
    <row r="192" spans="1:8" x14ac:dyDescent="0.3">
      <c r="A192" s="647"/>
      <c r="B192" s="19" t="s">
        <v>60</v>
      </c>
      <c r="C192" s="11" t="s">
        <v>57</v>
      </c>
      <c r="D192" s="26">
        <f>Balaka!P192</f>
        <v>0</v>
      </c>
      <c r="E192" s="26">
        <f>Liwonde!P192</f>
        <v>0</v>
      </c>
      <c r="F192" s="26">
        <f>Machinga!P192</f>
        <v>0</v>
      </c>
      <c r="G192" s="26">
        <f>Ntaja!P192</f>
        <v>0</v>
      </c>
      <c r="H192" s="74">
        <f>SUM(D192:G192)</f>
        <v>0</v>
      </c>
    </row>
    <row r="193" spans="1:8" x14ac:dyDescent="0.3">
      <c r="A193" s="674" t="s">
        <v>59</v>
      </c>
      <c r="B193" s="675"/>
      <c r="C193" s="11"/>
      <c r="D193" s="10">
        <f>SUM(D153:D192)</f>
        <v>3891</v>
      </c>
      <c r="E193" s="10">
        <f t="shared" ref="E193:G193" si="49">SUM(E153:E192)</f>
        <v>3167</v>
      </c>
      <c r="F193" s="10">
        <f t="shared" si="49"/>
        <v>434</v>
      </c>
      <c r="G193" s="10">
        <f t="shared" si="49"/>
        <v>1192</v>
      </c>
      <c r="H193" s="40">
        <f t="shared" ref="H193" si="50">SUM(H153:H192)</f>
        <v>8684</v>
      </c>
    </row>
    <row r="194" spans="1:8" x14ac:dyDescent="0.3">
      <c r="A194" s="651" t="s">
        <v>58</v>
      </c>
      <c r="B194" s="652"/>
      <c r="C194" s="11" t="s">
        <v>57</v>
      </c>
      <c r="D194" s="26">
        <f>Balaka!P194</f>
        <v>12</v>
      </c>
      <c r="E194" s="26">
        <f>Liwonde!P194</f>
        <v>2</v>
      </c>
      <c r="F194" s="26">
        <f>Machinga!P194</f>
        <v>12</v>
      </c>
      <c r="G194" s="26">
        <f>Ntaja!P194</f>
        <v>16</v>
      </c>
      <c r="H194" s="39">
        <f>SUM(D194:G194)</f>
        <v>42</v>
      </c>
    </row>
    <row r="195" spans="1:8" x14ac:dyDescent="0.3">
      <c r="A195" s="653"/>
      <c r="B195" s="654"/>
      <c r="C195" s="16" t="s">
        <v>55</v>
      </c>
      <c r="D195" s="26">
        <f>Balaka!P195</f>
        <v>3164</v>
      </c>
      <c r="E195" s="26">
        <f>Liwonde!P195</f>
        <v>888</v>
      </c>
      <c r="F195" s="26">
        <f>Machinga!P195</f>
        <v>0</v>
      </c>
      <c r="G195" s="26">
        <f>Ntaja!P195</f>
        <v>6864</v>
      </c>
      <c r="H195" s="39">
        <f>SUM(D195:G195)</f>
        <v>10916</v>
      </c>
    </row>
    <row r="196" spans="1:8" x14ac:dyDescent="0.3">
      <c r="A196" s="202" t="s">
        <v>202</v>
      </c>
      <c r="B196" s="203"/>
      <c r="C196" s="16" t="s">
        <v>55</v>
      </c>
      <c r="D196" s="26">
        <f>Balaka!P196</f>
        <v>803.16666666666663</v>
      </c>
      <c r="E196" s="26">
        <f>Liwonde!P196</f>
        <v>701.5</v>
      </c>
      <c r="F196" s="26">
        <f>Machinga!P196</f>
        <v>734</v>
      </c>
      <c r="G196" s="26">
        <f>Ntaja!P196</f>
        <v>731.33333333333337</v>
      </c>
      <c r="H196" s="39">
        <f>SUM(D196:G196)</f>
        <v>2970</v>
      </c>
    </row>
    <row r="197" spans="1:8" x14ac:dyDescent="0.3">
      <c r="A197" s="582" t="s">
        <v>56</v>
      </c>
      <c r="B197" s="583"/>
      <c r="C197" s="16" t="s">
        <v>55</v>
      </c>
      <c r="D197" s="26">
        <f>Balaka!P197</f>
        <v>95</v>
      </c>
      <c r="E197" s="26">
        <f>Liwonde!P197</f>
        <v>887</v>
      </c>
      <c r="F197" s="26">
        <f>Machinga!P197</f>
        <v>72</v>
      </c>
      <c r="G197" s="26">
        <f>Ntaja!P197</f>
        <v>519</v>
      </c>
      <c r="H197" s="39">
        <f>SUM(D197:G197)</f>
        <v>1573</v>
      </c>
    </row>
    <row r="198" spans="1:8" ht="14.4" x14ac:dyDescent="0.3">
      <c r="A198" s="586" t="s">
        <v>203</v>
      </c>
      <c r="B198" s="587"/>
      <c r="C198" s="587"/>
      <c r="D198" s="587"/>
      <c r="E198" s="587"/>
      <c r="F198" s="587"/>
      <c r="G198" s="587"/>
      <c r="H198" s="588"/>
    </row>
    <row r="199" spans="1:8" x14ac:dyDescent="0.3">
      <c r="A199" s="651" t="s">
        <v>54</v>
      </c>
      <c r="B199" s="199" t="s">
        <v>53</v>
      </c>
      <c r="C199" s="11" t="s">
        <v>47</v>
      </c>
      <c r="D199" s="26">
        <f>Balaka!P199</f>
        <v>0</v>
      </c>
      <c r="E199" s="26">
        <f>Liwonde!P199</f>
        <v>0</v>
      </c>
      <c r="F199" s="26">
        <f>Machinga!P199</f>
        <v>0</v>
      </c>
      <c r="G199" s="26">
        <f>Ntaja!P199</f>
        <v>1786</v>
      </c>
      <c r="H199" s="39">
        <f t="shared" ref="H199:H204" si="51">SUM(D199:G199)</f>
        <v>1786</v>
      </c>
    </row>
    <row r="200" spans="1:8" x14ac:dyDescent="0.3">
      <c r="A200" s="655"/>
      <c r="B200" s="199" t="s">
        <v>52</v>
      </c>
      <c r="C200" s="11" t="s">
        <v>47</v>
      </c>
      <c r="D200" s="26">
        <f>Balaka!P200</f>
        <v>0</v>
      </c>
      <c r="E200" s="26">
        <f>Liwonde!P200</f>
        <v>510</v>
      </c>
      <c r="F200" s="26">
        <f>Machinga!P200</f>
        <v>0</v>
      </c>
      <c r="G200" s="26">
        <f>Ntaja!P200</f>
        <v>0</v>
      </c>
      <c r="H200" s="39">
        <f t="shared" si="51"/>
        <v>510</v>
      </c>
    </row>
    <row r="201" spans="1:8" x14ac:dyDescent="0.3">
      <c r="A201" s="655"/>
      <c r="B201" s="199" t="s">
        <v>51</v>
      </c>
      <c r="C201" s="11" t="s">
        <v>47</v>
      </c>
      <c r="D201" s="26">
        <f>Balaka!P201</f>
        <v>240</v>
      </c>
      <c r="E201" s="26">
        <f>Liwonde!P201</f>
        <v>1350</v>
      </c>
      <c r="F201" s="26">
        <f>Machinga!P201</f>
        <v>0</v>
      </c>
      <c r="G201" s="26">
        <f>Ntaja!P201</f>
        <v>1620</v>
      </c>
      <c r="H201" s="39">
        <f t="shared" si="51"/>
        <v>3210</v>
      </c>
    </row>
    <row r="202" spans="1:8" x14ac:dyDescent="0.3">
      <c r="A202" s="655"/>
      <c r="B202" s="199" t="s">
        <v>50</v>
      </c>
      <c r="C202" s="11" t="s">
        <v>47</v>
      </c>
      <c r="D202" s="26">
        <f>Balaka!P202</f>
        <v>0</v>
      </c>
      <c r="E202" s="26">
        <f>Liwonde!P202</f>
        <v>0</v>
      </c>
      <c r="F202" s="26">
        <f>Machinga!P202</f>
        <v>0</v>
      </c>
      <c r="G202" s="26">
        <f>Ntaja!P202</f>
        <v>0</v>
      </c>
      <c r="H202" s="39">
        <f t="shared" si="51"/>
        <v>0</v>
      </c>
    </row>
    <row r="203" spans="1:8" x14ac:dyDescent="0.3">
      <c r="A203" s="653"/>
      <c r="B203" s="199" t="s">
        <v>49</v>
      </c>
      <c r="C203" s="11" t="s">
        <v>47</v>
      </c>
      <c r="D203" s="26">
        <f>Balaka!P203</f>
        <v>0</v>
      </c>
      <c r="E203" s="26">
        <f>Liwonde!P203</f>
        <v>120</v>
      </c>
      <c r="F203" s="26">
        <f>Machinga!P203</f>
        <v>0</v>
      </c>
      <c r="G203" s="26">
        <f>Ntaja!P203</f>
        <v>0</v>
      </c>
      <c r="H203" s="39">
        <f t="shared" si="51"/>
        <v>120</v>
      </c>
    </row>
    <row r="204" spans="1:8" x14ac:dyDescent="0.3">
      <c r="A204" s="83" t="s">
        <v>48</v>
      </c>
      <c r="B204" s="199"/>
      <c r="C204" s="11" t="s">
        <v>47</v>
      </c>
      <c r="D204" s="15">
        <f t="shared" ref="D204:G204" si="52">SUM(D199:D203)</f>
        <v>240</v>
      </c>
      <c r="E204" s="15">
        <f t="shared" si="52"/>
        <v>1980</v>
      </c>
      <c r="F204" s="15">
        <f t="shared" si="52"/>
        <v>0</v>
      </c>
      <c r="G204" s="15">
        <f t="shared" si="52"/>
        <v>3406</v>
      </c>
      <c r="H204" s="111">
        <f t="shared" si="51"/>
        <v>5626</v>
      </c>
    </row>
    <row r="205" spans="1:8" s="2" customFormat="1" ht="14.4" x14ac:dyDescent="0.3">
      <c r="A205" s="586" t="s">
        <v>46</v>
      </c>
      <c r="B205" s="587"/>
      <c r="C205" s="587"/>
      <c r="D205" s="587"/>
      <c r="E205" s="587"/>
      <c r="F205" s="587"/>
      <c r="G205" s="587"/>
      <c r="H205" s="588"/>
    </row>
    <row r="206" spans="1:8" x14ac:dyDescent="0.3">
      <c r="A206" s="582" t="s">
        <v>43</v>
      </c>
      <c r="B206" s="583"/>
      <c r="C206" s="11" t="s">
        <v>31</v>
      </c>
      <c r="D206" s="15">
        <f>Balaka!P206</f>
        <v>319148985.67999995</v>
      </c>
      <c r="E206" s="15">
        <f>Liwonde!P206</f>
        <v>308122327</v>
      </c>
      <c r="F206" s="15">
        <f>Machinga!P206</f>
        <v>11582595</v>
      </c>
      <c r="G206" s="15">
        <f>Ntaja!P206</f>
        <v>507631</v>
      </c>
      <c r="H206" s="39">
        <f>SUM(D206:G206)</f>
        <v>639361538.67999995</v>
      </c>
    </row>
    <row r="207" spans="1:8" x14ac:dyDescent="0.3">
      <c r="A207" s="582" t="s">
        <v>42</v>
      </c>
      <c r="B207" s="583"/>
      <c r="C207" s="11" t="s">
        <v>31</v>
      </c>
      <c r="D207" s="15">
        <f>Balaka!P207</f>
        <v>3084485.86</v>
      </c>
      <c r="E207" s="15">
        <f>Liwonde!P207</f>
        <v>1195800</v>
      </c>
      <c r="F207" s="15">
        <f>Machinga!P207</f>
        <v>0</v>
      </c>
      <c r="G207" s="15">
        <f>Ntaja!P207</f>
        <v>0</v>
      </c>
      <c r="H207" s="39">
        <f>SUM(D207:G207)</f>
        <v>4280285.8599999994</v>
      </c>
    </row>
    <row r="208" spans="1:8" x14ac:dyDescent="0.3">
      <c r="A208" s="589" t="s">
        <v>41</v>
      </c>
      <c r="B208" s="590"/>
      <c r="C208" s="11" t="s">
        <v>31</v>
      </c>
      <c r="D208" s="15">
        <f>Balaka!P208</f>
        <v>2689599.05</v>
      </c>
      <c r="E208" s="15">
        <f>Liwonde!P208</f>
        <v>7721244</v>
      </c>
      <c r="F208" s="15">
        <f>Machinga!P208</f>
        <v>0</v>
      </c>
      <c r="G208" s="15">
        <f>Ntaja!P208</f>
        <v>8800</v>
      </c>
      <c r="H208" s="39">
        <f>SUM(D208:G208)</f>
        <v>10419643.050000001</v>
      </c>
    </row>
    <row r="209" spans="1:8" x14ac:dyDescent="0.3">
      <c r="A209" s="582" t="s">
        <v>40</v>
      </c>
      <c r="B209" s="583"/>
      <c r="C209" s="11" t="s">
        <v>31</v>
      </c>
      <c r="D209" s="15">
        <f>Balaka!P209</f>
        <v>1099345.17</v>
      </c>
      <c r="E209" s="15">
        <f>Liwonde!P209</f>
        <v>9743274</v>
      </c>
      <c r="F209" s="15">
        <f>Machinga!P209</f>
        <v>66902233</v>
      </c>
      <c r="G209" s="15">
        <f>Ntaja!P209</f>
        <v>408924</v>
      </c>
      <c r="H209" s="39">
        <f>SUM(D209:G209)</f>
        <v>78153776.170000002</v>
      </c>
    </row>
    <row r="210" spans="1:8" x14ac:dyDescent="0.3">
      <c r="A210" s="649" t="s">
        <v>45</v>
      </c>
      <c r="B210" s="650"/>
      <c r="C210" s="11" t="s">
        <v>31</v>
      </c>
      <c r="D210" s="10">
        <f t="shared" ref="D210:G210" si="53">SUM(D206:D209)</f>
        <v>326022415.75999999</v>
      </c>
      <c r="E210" s="10">
        <f t="shared" si="53"/>
        <v>326782645</v>
      </c>
      <c r="F210" s="10">
        <f t="shared" si="53"/>
        <v>78484828</v>
      </c>
      <c r="G210" s="10">
        <f t="shared" si="53"/>
        <v>925355</v>
      </c>
      <c r="H210" s="39">
        <f>SUM(D210:G210)</f>
        <v>732215243.75999999</v>
      </c>
    </row>
    <row r="211" spans="1:8" s="2" customFormat="1" ht="14.4" x14ac:dyDescent="0.3">
      <c r="A211" s="586" t="s">
        <v>44</v>
      </c>
      <c r="B211" s="587"/>
      <c r="C211" s="587"/>
      <c r="D211" s="587"/>
      <c r="E211" s="587"/>
      <c r="F211" s="587"/>
      <c r="G211" s="587"/>
      <c r="H211" s="588"/>
    </row>
    <row r="212" spans="1:8" x14ac:dyDescent="0.3">
      <c r="A212" s="582" t="s">
        <v>43</v>
      </c>
      <c r="B212" s="583"/>
      <c r="C212" s="11" t="s">
        <v>31</v>
      </c>
      <c r="D212" s="15">
        <f>Balaka!P212</f>
        <v>148071010.30000001</v>
      </c>
      <c r="E212" s="15">
        <f>Liwonde!P212</f>
        <v>207675869.13000003</v>
      </c>
      <c r="F212" s="15">
        <f>Machinga!P212</f>
        <v>40175713.590000004</v>
      </c>
      <c r="G212" s="15">
        <f>Ntaja!P212</f>
        <v>33908485.210000001</v>
      </c>
      <c r="H212" s="39">
        <f>SUM(D212:G212)</f>
        <v>429831078.23000008</v>
      </c>
    </row>
    <row r="213" spans="1:8" x14ac:dyDescent="0.3">
      <c r="A213" s="582" t="s">
        <v>42</v>
      </c>
      <c r="B213" s="583"/>
      <c r="C213" s="11" t="s">
        <v>31</v>
      </c>
      <c r="D213" s="15">
        <f>Balaka!P213</f>
        <v>2500</v>
      </c>
      <c r="E213" s="15">
        <f>Liwonde!P213</f>
        <v>0</v>
      </c>
      <c r="F213" s="15">
        <f>Machinga!P213</f>
        <v>0</v>
      </c>
      <c r="G213" s="15">
        <f>Ntaja!P213</f>
        <v>0</v>
      </c>
      <c r="H213" s="39">
        <f>SUM(D213:G213)</f>
        <v>2500</v>
      </c>
    </row>
    <row r="214" spans="1:8" x14ac:dyDescent="0.3">
      <c r="A214" s="589" t="s">
        <v>41</v>
      </c>
      <c r="B214" s="590"/>
      <c r="C214" s="11" t="s">
        <v>31</v>
      </c>
      <c r="D214" s="15">
        <f>Balaka!P214</f>
        <v>1591500</v>
      </c>
      <c r="E214" s="15">
        <f>Liwonde!P214</f>
        <v>0</v>
      </c>
      <c r="F214" s="15">
        <f>Machinga!P214</f>
        <v>0</v>
      </c>
      <c r="G214" s="15">
        <f>Ntaja!P214</f>
        <v>0</v>
      </c>
      <c r="H214" s="39">
        <f>SUM(D214:G214)</f>
        <v>1591500</v>
      </c>
    </row>
    <row r="215" spans="1:8" x14ac:dyDescent="0.3">
      <c r="A215" s="582" t="s">
        <v>40</v>
      </c>
      <c r="B215" s="583"/>
      <c r="C215" s="11" t="s">
        <v>31</v>
      </c>
      <c r="D215" s="15">
        <f>Balaka!P215</f>
        <v>1083163.0900000001</v>
      </c>
      <c r="E215" s="15">
        <f>Liwonde!P215</f>
        <v>0</v>
      </c>
      <c r="F215" s="15">
        <f>Machinga!P215</f>
        <v>0</v>
      </c>
      <c r="G215" s="15">
        <f>Ntaja!P215</f>
        <v>0</v>
      </c>
      <c r="H215" s="39">
        <f>SUM(D215:G215)</f>
        <v>1083163.0900000001</v>
      </c>
    </row>
    <row r="216" spans="1:8" x14ac:dyDescent="0.3">
      <c r="A216" s="649" t="s">
        <v>39</v>
      </c>
      <c r="B216" s="650"/>
      <c r="C216" s="11" t="s">
        <v>31</v>
      </c>
      <c r="D216" s="10">
        <f t="shared" ref="D216:G216" si="54">SUM(D212:D215)</f>
        <v>150748173.39000002</v>
      </c>
      <c r="E216" s="10">
        <f t="shared" si="54"/>
        <v>207675869.13000003</v>
      </c>
      <c r="F216" s="10">
        <f t="shared" si="54"/>
        <v>40175713.590000004</v>
      </c>
      <c r="G216" s="10">
        <f t="shared" si="54"/>
        <v>33908485.210000001</v>
      </c>
      <c r="H216" s="39">
        <f>SUM(D216:G216)</f>
        <v>432508241.31999999</v>
      </c>
    </row>
    <row r="217" spans="1:8" s="2" customFormat="1" x14ac:dyDescent="0.3">
      <c r="A217" s="204" t="s">
        <v>38</v>
      </c>
      <c r="B217" s="205"/>
      <c r="C217" s="11" t="s">
        <v>31</v>
      </c>
      <c r="D217" s="10">
        <f>D210+D216</f>
        <v>476770589.14999998</v>
      </c>
      <c r="E217" s="10">
        <f t="shared" ref="E217:H217" si="55">E210+E216</f>
        <v>534458514.13</v>
      </c>
      <c r="F217" s="10">
        <f t="shared" si="55"/>
        <v>118660541.59</v>
      </c>
      <c r="G217" s="10">
        <f t="shared" si="55"/>
        <v>34833840.210000001</v>
      </c>
      <c r="H217" s="40">
        <f t="shared" si="55"/>
        <v>1164723485.0799999</v>
      </c>
    </row>
    <row r="218" spans="1:8" s="2" customFormat="1" ht="14.4" x14ac:dyDescent="0.3">
      <c r="A218" s="586" t="s">
        <v>37</v>
      </c>
      <c r="B218" s="587"/>
      <c r="C218" s="587"/>
      <c r="D218" s="587"/>
      <c r="E218" s="587"/>
      <c r="F218" s="587"/>
      <c r="G218" s="587"/>
      <c r="H218" s="588"/>
    </row>
    <row r="219" spans="1:8" x14ac:dyDescent="0.3">
      <c r="A219" s="582" t="s">
        <v>35</v>
      </c>
      <c r="B219" s="583"/>
      <c r="C219" s="11" t="s">
        <v>31</v>
      </c>
      <c r="D219" s="15">
        <f>Balaka!P219</f>
        <v>304144328.35000038</v>
      </c>
      <c r="E219" s="15">
        <f>Liwonde!P219</f>
        <v>284220403</v>
      </c>
      <c r="F219" s="15">
        <f>Machinga!P219</f>
        <v>10251845</v>
      </c>
      <c r="G219" s="15">
        <f>Ntaja!P219</f>
        <v>807176</v>
      </c>
      <c r="H219" s="39">
        <f>SUM(D219:G219)</f>
        <v>599423752.35000038</v>
      </c>
    </row>
    <row r="220" spans="1:8" x14ac:dyDescent="0.3">
      <c r="A220" s="582" t="s">
        <v>34</v>
      </c>
      <c r="B220" s="583"/>
      <c r="C220" s="11" t="s">
        <v>31</v>
      </c>
      <c r="D220" s="15">
        <f>Balaka!P220</f>
        <v>2375337.77</v>
      </c>
      <c r="E220" s="15">
        <f>Liwonde!P220</f>
        <v>962481</v>
      </c>
      <c r="F220" s="15">
        <f>Machinga!P220</f>
        <v>0</v>
      </c>
      <c r="G220" s="15">
        <f>Ntaja!P220</f>
        <v>0</v>
      </c>
      <c r="H220" s="39">
        <f>SUM(D220:G220)</f>
        <v>3337818.77</v>
      </c>
    </row>
    <row r="221" spans="1:8" x14ac:dyDescent="0.3">
      <c r="A221" s="582" t="s">
        <v>33</v>
      </c>
      <c r="B221" s="583"/>
      <c r="C221" s="11" t="s">
        <v>31</v>
      </c>
      <c r="D221" s="15">
        <f>Balaka!P221</f>
        <v>9440192.6400000006</v>
      </c>
      <c r="E221" s="15">
        <f>Liwonde!P221</f>
        <v>73138460</v>
      </c>
      <c r="F221" s="15">
        <f>Machinga!P221</f>
        <v>10639306</v>
      </c>
      <c r="G221" s="15">
        <f>Ntaja!P221</f>
        <v>207518</v>
      </c>
      <c r="H221" s="39">
        <f>SUM(D221:G221)</f>
        <v>93425476.640000001</v>
      </c>
    </row>
    <row r="222" spans="1:8" x14ac:dyDescent="0.3">
      <c r="A222" s="582" t="s">
        <v>32</v>
      </c>
      <c r="B222" s="583"/>
      <c r="C222" s="11" t="s">
        <v>31</v>
      </c>
      <c r="D222" s="15">
        <f>Balaka!P222</f>
        <v>2930128.4699999997</v>
      </c>
      <c r="E222" s="15">
        <f>Liwonde!P222</f>
        <v>11598126</v>
      </c>
      <c r="F222" s="15">
        <f>Machinga!P222</f>
        <v>0</v>
      </c>
      <c r="G222" s="15">
        <f>Ntaja!P222</f>
        <v>7646</v>
      </c>
      <c r="H222" s="39">
        <f>SUM(D222:G222)</f>
        <v>14535900.469999999</v>
      </c>
    </row>
    <row r="223" spans="1:8" x14ac:dyDescent="0.3">
      <c r="A223" s="649" t="s">
        <v>36</v>
      </c>
      <c r="B223" s="650"/>
      <c r="C223" s="11" t="s">
        <v>31</v>
      </c>
      <c r="D223" s="10">
        <f t="shared" ref="D223:G223" si="56">SUM(D219:D222)</f>
        <v>318889987.23000038</v>
      </c>
      <c r="E223" s="10">
        <f t="shared" si="56"/>
        <v>369919470</v>
      </c>
      <c r="F223" s="10">
        <f t="shared" si="56"/>
        <v>20891151</v>
      </c>
      <c r="G223" s="10">
        <f t="shared" si="56"/>
        <v>1022340</v>
      </c>
      <c r="H223" s="39">
        <f>SUM(D223:G223)</f>
        <v>710722948.23000038</v>
      </c>
    </row>
    <row r="224" spans="1:8" ht="14.4" x14ac:dyDescent="0.3">
      <c r="A224" s="586" t="s">
        <v>211</v>
      </c>
      <c r="B224" s="587"/>
      <c r="C224" s="587"/>
      <c r="D224" s="587"/>
      <c r="E224" s="587"/>
      <c r="F224" s="587"/>
      <c r="G224" s="587"/>
      <c r="H224" s="588"/>
    </row>
    <row r="225" spans="1:8" x14ac:dyDescent="0.3">
      <c r="A225" s="582" t="s">
        <v>35</v>
      </c>
      <c r="B225" s="583"/>
      <c r="C225" s="11" t="s">
        <v>31</v>
      </c>
      <c r="D225" s="15">
        <f>Balaka!P225</f>
        <v>0</v>
      </c>
      <c r="E225" s="15">
        <f>Liwonde!P225</f>
        <v>0</v>
      </c>
      <c r="F225" s="15">
        <f>Machinga!P225</f>
        <v>0</v>
      </c>
      <c r="G225" s="15">
        <f>Ntaja!P225</f>
        <v>0</v>
      </c>
      <c r="H225" s="39">
        <f t="shared" ref="H225:H230" si="57">SUM(D225:G225)</f>
        <v>0</v>
      </c>
    </row>
    <row r="226" spans="1:8" x14ac:dyDescent="0.3">
      <c r="A226" s="582" t="s">
        <v>34</v>
      </c>
      <c r="B226" s="583"/>
      <c r="C226" s="11" t="s">
        <v>31</v>
      </c>
      <c r="D226" s="15">
        <f>Balaka!P226</f>
        <v>0</v>
      </c>
      <c r="E226" s="15">
        <f>Liwonde!P226</f>
        <v>0</v>
      </c>
      <c r="F226" s="15">
        <f>Machinga!P226</f>
        <v>0</v>
      </c>
      <c r="G226" s="15">
        <f>Ntaja!P226</f>
        <v>0</v>
      </c>
      <c r="H226" s="39">
        <f t="shared" si="57"/>
        <v>0</v>
      </c>
    </row>
    <row r="227" spans="1:8" x14ac:dyDescent="0.3">
      <c r="A227" s="582" t="s">
        <v>33</v>
      </c>
      <c r="B227" s="583"/>
      <c r="C227" s="11" t="s">
        <v>31</v>
      </c>
      <c r="D227" s="15">
        <f>Balaka!P227</f>
        <v>0</v>
      </c>
      <c r="E227" s="15">
        <f>Liwonde!P227</f>
        <v>0</v>
      </c>
      <c r="F227" s="15">
        <f>Machinga!P227</f>
        <v>0</v>
      </c>
      <c r="G227" s="15">
        <f>Ntaja!P227</f>
        <v>0</v>
      </c>
      <c r="H227" s="39">
        <f t="shared" si="57"/>
        <v>0</v>
      </c>
    </row>
    <row r="228" spans="1:8" x14ac:dyDescent="0.3">
      <c r="A228" s="582" t="s">
        <v>32</v>
      </c>
      <c r="B228" s="583"/>
      <c r="C228" s="11" t="s">
        <v>31</v>
      </c>
      <c r="D228" s="15">
        <f>Balaka!P228</f>
        <v>0</v>
      </c>
      <c r="E228" s="15">
        <f>Liwonde!P228</f>
        <v>0</v>
      </c>
      <c r="F228" s="15">
        <f>Machinga!P228</f>
        <v>0</v>
      </c>
      <c r="G228" s="15">
        <f>Ntaja!P228</f>
        <v>0</v>
      </c>
      <c r="H228" s="39">
        <f t="shared" si="57"/>
        <v>0</v>
      </c>
    </row>
    <row r="229" spans="1:8" x14ac:dyDescent="0.3">
      <c r="A229" s="649" t="s">
        <v>212</v>
      </c>
      <c r="B229" s="650"/>
      <c r="C229" s="11" t="s">
        <v>31</v>
      </c>
      <c r="D229" s="10">
        <f t="shared" ref="D229:G229" si="58">SUM(D225:D228)</f>
        <v>0</v>
      </c>
      <c r="E229" s="10">
        <f t="shared" si="58"/>
        <v>0</v>
      </c>
      <c r="F229" s="10">
        <f t="shared" si="58"/>
        <v>0</v>
      </c>
      <c r="G229" s="10">
        <f t="shared" si="58"/>
        <v>0</v>
      </c>
      <c r="H229" s="39">
        <f t="shared" si="57"/>
        <v>0</v>
      </c>
    </row>
    <row r="230" spans="1:8" x14ac:dyDescent="0.3">
      <c r="A230" s="204" t="s">
        <v>213</v>
      </c>
      <c r="B230" s="120"/>
      <c r="C230" s="11" t="s">
        <v>31</v>
      </c>
      <c r="D230" s="12">
        <f>D223+D229</f>
        <v>318889987.23000038</v>
      </c>
      <c r="E230" s="12">
        <f t="shared" ref="E230:G230" si="59">E223+E229</f>
        <v>369919470</v>
      </c>
      <c r="F230" s="12">
        <f t="shared" si="59"/>
        <v>20891151</v>
      </c>
      <c r="G230" s="12">
        <f t="shared" si="59"/>
        <v>1022340</v>
      </c>
      <c r="H230" s="39">
        <f t="shared" si="57"/>
        <v>710722948.23000038</v>
      </c>
    </row>
    <row r="231" spans="1:8" ht="14.4" x14ac:dyDescent="0.3">
      <c r="A231" s="586" t="s">
        <v>30</v>
      </c>
      <c r="B231" s="587"/>
      <c r="C231" s="587"/>
      <c r="D231" s="587"/>
      <c r="E231" s="587"/>
      <c r="F231" s="587"/>
      <c r="G231" s="587"/>
      <c r="H231" s="588"/>
    </row>
    <row r="232" spans="1:8" x14ac:dyDescent="0.3">
      <c r="A232" s="582" t="s">
        <v>29</v>
      </c>
      <c r="B232" s="583"/>
      <c r="C232" s="11" t="s">
        <v>18</v>
      </c>
      <c r="D232" s="15">
        <f>Balaka!P232</f>
        <v>20221124.809999906</v>
      </c>
      <c r="E232" s="15">
        <f>Liwonde!P232</f>
        <v>16155896</v>
      </c>
      <c r="F232" s="15">
        <f>Machinga!P232</f>
        <v>785749</v>
      </c>
      <c r="G232" s="15">
        <f>Ntaja!P232</f>
        <v>71988</v>
      </c>
      <c r="H232" s="39">
        <f>SUM(D232:G232)</f>
        <v>37234757.809999906</v>
      </c>
    </row>
    <row r="233" spans="1:8" x14ac:dyDescent="0.3">
      <c r="A233" s="582" t="s">
        <v>28</v>
      </c>
      <c r="B233" s="583"/>
      <c r="C233" s="11" t="s">
        <v>18</v>
      </c>
      <c r="D233" s="15">
        <f>Balaka!P233</f>
        <v>27822.399999999998</v>
      </c>
      <c r="E233" s="15">
        <f>Liwonde!P233</f>
        <v>27132</v>
      </c>
      <c r="F233" s="15">
        <f>Machinga!P233</f>
        <v>0</v>
      </c>
      <c r="G233" s="15">
        <f>Ntaja!P233</f>
        <v>0</v>
      </c>
      <c r="H233" s="39">
        <f>SUM(D233:G233)</f>
        <v>54954.399999999994</v>
      </c>
    </row>
    <row r="234" spans="1:8" x14ac:dyDescent="0.3">
      <c r="A234" s="582" t="s">
        <v>27</v>
      </c>
      <c r="B234" s="583"/>
      <c r="C234" s="11" t="s">
        <v>18</v>
      </c>
      <c r="D234" s="15">
        <f>Balaka!P234</f>
        <v>466882.95999999996</v>
      </c>
      <c r="E234" s="15">
        <f>Liwonde!P234</f>
        <v>445288</v>
      </c>
      <c r="F234" s="15">
        <f>Machinga!P234</f>
        <v>114148</v>
      </c>
      <c r="G234" s="15">
        <f>Ntaja!P234</f>
        <v>37913</v>
      </c>
      <c r="H234" s="39">
        <f>SUM(D234:G234)</f>
        <v>1064231.96</v>
      </c>
    </row>
    <row r="235" spans="1:8" x14ac:dyDescent="0.3">
      <c r="A235" s="582" t="s">
        <v>26</v>
      </c>
      <c r="B235" s="583"/>
      <c r="C235" s="11" t="s">
        <v>18</v>
      </c>
      <c r="D235" s="15">
        <f>Balaka!P235</f>
        <v>583181.47999999986</v>
      </c>
      <c r="E235" s="15">
        <f>Liwonde!P235</f>
        <v>1041296</v>
      </c>
      <c r="F235" s="15">
        <f>Machinga!P235</f>
        <v>0</v>
      </c>
      <c r="G235" s="15">
        <f>Ntaja!P235</f>
        <v>8291.91</v>
      </c>
      <c r="H235" s="39">
        <f>SUM(D235:G235)</f>
        <v>1632769.39</v>
      </c>
    </row>
    <row r="236" spans="1:8" x14ac:dyDescent="0.3">
      <c r="A236" s="649" t="s">
        <v>25</v>
      </c>
      <c r="B236" s="650"/>
      <c r="C236" s="11" t="s">
        <v>18</v>
      </c>
      <c r="D236" s="10">
        <f t="shared" ref="D236:G236" si="60">SUM(D232:D235)</f>
        <v>21299011.649999905</v>
      </c>
      <c r="E236" s="10">
        <f t="shared" si="60"/>
        <v>17669612</v>
      </c>
      <c r="F236" s="10">
        <f t="shared" si="60"/>
        <v>899897</v>
      </c>
      <c r="G236" s="10">
        <f t="shared" si="60"/>
        <v>118192.91</v>
      </c>
      <c r="H236" s="40">
        <f t="shared" ref="H236" si="61">SUM(H232:H235)</f>
        <v>39986713.559999906</v>
      </c>
    </row>
    <row r="237" spans="1:8" ht="14.4" x14ac:dyDescent="0.3">
      <c r="A237" s="586" t="s">
        <v>24</v>
      </c>
      <c r="B237" s="587"/>
      <c r="C237" s="587"/>
      <c r="D237" s="587"/>
      <c r="E237" s="587"/>
      <c r="F237" s="587"/>
      <c r="G237" s="587"/>
      <c r="H237" s="588"/>
    </row>
    <row r="238" spans="1:8" x14ac:dyDescent="0.3">
      <c r="A238" s="582" t="s">
        <v>23</v>
      </c>
      <c r="B238" s="583"/>
      <c r="C238" s="11" t="s">
        <v>18</v>
      </c>
      <c r="D238" s="15">
        <f>Balaka!P238</f>
        <v>38971413</v>
      </c>
      <c r="E238" s="15">
        <f>Liwonde!P238</f>
        <v>30523633</v>
      </c>
      <c r="F238" s="15">
        <f>Machinga!P238</f>
        <v>1611865</v>
      </c>
      <c r="G238" s="15">
        <f>Ntaja!P238</f>
        <v>125020</v>
      </c>
      <c r="H238" s="39">
        <f>SUM(D238:G238)</f>
        <v>71231931</v>
      </c>
    </row>
    <row r="239" spans="1:8" x14ac:dyDescent="0.3">
      <c r="A239" s="582" t="s">
        <v>22</v>
      </c>
      <c r="B239" s="583"/>
      <c r="C239" s="11" t="s">
        <v>18</v>
      </c>
      <c r="D239" s="15">
        <f>Balaka!P239</f>
        <v>142880</v>
      </c>
      <c r="E239" s="15">
        <f>Liwonde!P239</f>
        <v>139308</v>
      </c>
      <c r="F239" s="15">
        <f>Machinga!P239</f>
        <v>0</v>
      </c>
      <c r="G239" s="15">
        <f>Ntaja!P239</f>
        <v>0</v>
      </c>
      <c r="H239" s="39">
        <f>SUM(D239:G239)</f>
        <v>282188</v>
      </c>
    </row>
    <row r="240" spans="1:8" x14ac:dyDescent="0.3">
      <c r="A240" s="582" t="s">
        <v>21</v>
      </c>
      <c r="B240" s="583"/>
      <c r="C240" s="11" t="s">
        <v>18</v>
      </c>
      <c r="D240" s="15">
        <f>Balaka!P240</f>
        <v>139308</v>
      </c>
      <c r="E240" s="15">
        <f>Liwonde!P240</f>
        <v>132164</v>
      </c>
      <c r="F240" s="15">
        <f>Machinga!P240</f>
        <v>33934</v>
      </c>
      <c r="G240" s="15">
        <f>Ntaja!P240</f>
        <v>11609</v>
      </c>
      <c r="H240" s="39">
        <f>SUM(D240:G240)</f>
        <v>317015</v>
      </c>
    </row>
    <row r="241" spans="1:8" x14ac:dyDescent="0.3">
      <c r="A241" s="582" t="s">
        <v>20</v>
      </c>
      <c r="B241" s="583"/>
      <c r="C241" s="11" t="s">
        <v>18</v>
      </c>
      <c r="D241" s="15">
        <f>Balaka!P241</f>
        <v>126806</v>
      </c>
      <c r="E241" s="15">
        <f>Liwonde!P241</f>
        <v>226822</v>
      </c>
      <c r="F241" s="15">
        <f>Machinga!P241</f>
        <v>0</v>
      </c>
      <c r="G241" s="15">
        <f>Ntaja!P241</f>
        <v>893</v>
      </c>
      <c r="H241" s="39">
        <f>SUM(D241:G241)</f>
        <v>354521</v>
      </c>
    </row>
    <row r="242" spans="1:8" x14ac:dyDescent="0.3">
      <c r="A242" s="649" t="s">
        <v>19</v>
      </c>
      <c r="B242" s="650"/>
      <c r="C242" s="11" t="s">
        <v>18</v>
      </c>
      <c r="D242" s="10">
        <f t="shared" ref="D242:G242" si="62">SUM(D238:D241)</f>
        <v>39380407</v>
      </c>
      <c r="E242" s="10">
        <f t="shared" si="62"/>
        <v>31021927</v>
      </c>
      <c r="F242" s="10">
        <f t="shared" si="62"/>
        <v>1645799</v>
      </c>
      <c r="G242" s="10">
        <f t="shared" si="62"/>
        <v>137522</v>
      </c>
      <c r="H242" s="40">
        <f t="shared" ref="H242" si="63">SUM(H238:H241)</f>
        <v>72185655</v>
      </c>
    </row>
    <row r="243" spans="1:8" x14ac:dyDescent="0.3">
      <c r="A243" s="649" t="s">
        <v>214</v>
      </c>
      <c r="B243" s="650"/>
      <c r="C243" s="11" t="s">
        <v>18</v>
      </c>
      <c r="D243" s="10">
        <f>D230+D236+D242</f>
        <v>379569405.88000029</v>
      </c>
      <c r="E243" s="10">
        <f t="shared" ref="E243:G243" si="64">E230+E236+E242</f>
        <v>418611009</v>
      </c>
      <c r="F243" s="10">
        <f t="shared" si="64"/>
        <v>23436847</v>
      </c>
      <c r="G243" s="10">
        <f t="shared" si="64"/>
        <v>1278054.9099999999</v>
      </c>
      <c r="H243" s="40">
        <f t="shared" ref="H243" si="65">H216+H223+H236+H242</f>
        <v>1255403558.1100004</v>
      </c>
    </row>
    <row r="244" spans="1:8" ht="14.4" x14ac:dyDescent="0.3">
      <c r="A244" s="586" t="s">
        <v>204</v>
      </c>
      <c r="B244" s="587"/>
      <c r="C244" s="587"/>
      <c r="D244" s="587"/>
      <c r="E244" s="587"/>
      <c r="F244" s="587"/>
      <c r="G244" s="587"/>
      <c r="H244" s="588"/>
    </row>
    <row r="245" spans="1:8" x14ac:dyDescent="0.3">
      <c r="A245" s="656" t="s">
        <v>205</v>
      </c>
      <c r="B245" s="657"/>
      <c r="C245" s="11" t="s">
        <v>18</v>
      </c>
      <c r="D245" s="15">
        <f>Balaka!P245</f>
        <v>0</v>
      </c>
      <c r="E245" s="15">
        <f>Liwonde!P245</f>
        <v>0</v>
      </c>
      <c r="F245" s="15">
        <f>Machinga!P245</f>
        <v>0</v>
      </c>
      <c r="G245" s="15">
        <f>Ntaja!P245</f>
        <v>0</v>
      </c>
      <c r="H245" s="40">
        <f t="shared" ref="H245:H246" si="66">SUM(H241:H244)</f>
        <v>1327943734.1100004</v>
      </c>
    </row>
    <row r="246" spans="1:8" x14ac:dyDescent="0.3">
      <c r="A246" s="656" t="s">
        <v>206</v>
      </c>
      <c r="B246" s="657"/>
      <c r="C246" s="11" t="s">
        <v>18</v>
      </c>
      <c r="D246" s="15">
        <f>Balaka!P246</f>
        <v>0</v>
      </c>
      <c r="E246" s="15">
        <f>Liwonde!P246</f>
        <v>0</v>
      </c>
      <c r="F246" s="15">
        <f>Machinga!P246</f>
        <v>0</v>
      </c>
      <c r="G246" s="15">
        <f>Ntaja!P246</f>
        <v>0</v>
      </c>
      <c r="H246" s="40">
        <f t="shared" si="66"/>
        <v>2655532947.2200007</v>
      </c>
    </row>
    <row r="247" spans="1:8" x14ac:dyDescent="0.3">
      <c r="A247" s="658" t="s">
        <v>207</v>
      </c>
      <c r="B247" s="659"/>
      <c r="C247" s="11" t="s">
        <v>18</v>
      </c>
      <c r="D247" s="143">
        <f>D245+D246</f>
        <v>0</v>
      </c>
      <c r="E247" s="143">
        <f t="shared" ref="E247:G247" si="67">E245+E246</f>
        <v>0</v>
      </c>
      <c r="F247" s="143">
        <f t="shared" si="67"/>
        <v>0</v>
      </c>
      <c r="G247" s="143">
        <f t="shared" si="67"/>
        <v>0</v>
      </c>
      <c r="H247" s="163">
        <f t="shared" ref="H247" si="68">SUM(H243:H246)</f>
        <v>5238880239.4400015</v>
      </c>
    </row>
    <row r="248" spans="1:8" ht="14.4" x14ac:dyDescent="0.3">
      <c r="A248" s="586" t="s">
        <v>17</v>
      </c>
      <c r="B248" s="587"/>
      <c r="C248" s="587"/>
      <c r="D248" s="587"/>
      <c r="E248" s="587"/>
      <c r="F248" s="587"/>
      <c r="G248" s="587"/>
      <c r="H248" s="588"/>
    </row>
    <row r="249" spans="1:8" x14ac:dyDescent="0.3">
      <c r="A249" s="613" t="s">
        <v>16</v>
      </c>
      <c r="B249" s="614"/>
      <c r="C249" s="5" t="s">
        <v>6</v>
      </c>
      <c r="D249" s="8">
        <f>D58/D243%</f>
        <v>68.574574423495363</v>
      </c>
      <c r="E249" s="8">
        <f t="shared" ref="E249:G249" si="69">E58/E243%</f>
        <v>83.993958930580831</v>
      </c>
      <c r="F249" s="8">
        <f t="shared" si="69"/>
        <v>123.66688526617936</v>
      </c>
      <c r="G249" s="8">
        <f t="shared" si="69"/>
        <v>2585.4007544382425</v>
      </c>
      <c r="H249" s="517">
        <f t="shared" ref="H249" si="70">H58/H243</f>
        <v>0.53681743955840766</v>
      </c>
    </row>
    <row r="250" spans="1:8" x14ac:dyDescent="0.3">
      <c r="A250" s="613" t="s">
        <v>208</v>
      </c>
      <c r="B250" s="614"/>
      <c r="C250" s="5" t="s">
        <v>6</v>
      </c>
      <c r="D250" s="29">
        <f>D210/(D223+D245)%</f>
        <v>102.23664235806041</v>
      </c>
      <c r="E250" s="29">
        <f t="shared" ref="E250:G250" si="71">E210/(E223+E245)%</f>
        <v>88.338860617420323</v>
      </c>
      <c r="F250" s="29">
        <f t="shared" si="71"/>
        <v>375.68455658570463</v>
      </c>
      <c r="G250" s="29">
        <f t="shared" si="71"/>
        <v>90.513429974372528</v>
      </c>
      <c r="H250" s="516">
        <f>H210/(H223+H245)</f>
        <v>0.35916378587183095</v>
      </c>
    </row>
    <row r="251" spans="1:8" ht="16.2" thickBot="1" x14ac:dyDescent="0.35">
      <c r="A251" s="662" t="s">
        <v>15</v>
      </c>
      <c r="B251" s="663"/>
      <c r="C251" s="5" t="s">
        <v>6</v>
      </c>
      <c r="D251" s="7">
        <f>D210/D223%</f>
        <v>102.23664235806041</v>
      </c>
      <c r="E251" s="7">
        <f t="shared" ref="E251:G251" si="72">E210/E223%</f>
        <v>88.338860617420323</v>
      </c>
      <c r="F251" s="7">
        <f t="shared" si="72"/>
        <v>375.68455658570463</v>
      </c>
      <c r="G251" s="7">
        <f t="shared" si="72"/>
        <v>90.513429974372528</v>
      </c>
      <c r="H251" s="518">
        <f t="shared" ref="H251" si="73">H210/H223</f>
        <v>1.030240047241368</v>
      </c>
    </row>
    <row r="252" spans="1:8" ht="14.4" x14ac:dyDescent="0.3">
      <c r="A252" s="642" t="s">
        <v>14</v>
      </c>
      <c r="B252" s="643"/>
      <c r="C252" s="643"/>
      <c r="D252" s="643"/>
      <c r="E252" s="643"/>
      <c r="F252" s="643"/>
      <c r="G252" s="643"/>
      <c r="H252" s="644"/>
    </row>
    <row r="253" spans="1:8" s="2" customFormat="1" ht="15" customHeight="1" x14ac:dyDescent="0.3">
      <c r="A253" s="613" t="s">
        <v>13</v>
      </c>
      <c r="B253" s="614"/>
      <c r="C253" s="5" t="s">
        <v>3</v>
      </c>
      <c r="D253" s="26">
        <f>Balaka!P253</f>
        <v>409</v>
      </c>
      <c r="E253" s="26">
        <f>Liwonde!P253</f>
        <v>435</v>
      </c>
      <c r="F253" s="26">
        <f>Machinga!P253</f>
        <v>30</v>
      </c>
      <c r="G253" s="26">
        <f>Ntaja!P253</f>
        <v>139</v>
      </c>
      <c r="H253" s="519">
        <f>SUM(D253:G253)</f>
        <v>1013</v>
      </c>
    </row>
    <row r="254" spans="1:8" s="2" customFormat="1" x14ac:dyDescent="0.3">
      <c r="A254" s="613" t="s">
        <v>12</v>
      </c>
      <c r="B254" s="614"/>
      <c r="C254" s="5" t="s">
        <v>3</v>
      </c>
      <c r="D254" s="26">
        <f>Balaka!P254</f>
        <v>12</v>
      </c>
      <c r="E254" s="26">
        <f>Liwonde!P254</f>
        <v>11</v>
      </c>
      <c r="F254" s="26">
        <f>Machinga!P254</f>
        <v>11</v>
      </c>
      <c r="G254" s="26">
        <f>Ntaja!P254</f>
        <v>8</v>
      </c>
      <c r="H254" s="519">
        <f>SUM(D254:G254)</f>
        <v>42</v>
      </c>
    </row>
    <row r="255" spans="1:8" ht="15.75" customHeight="1" x14ac:dyDescent="0.3">
      <c r="A255" s="613" t="s">
        <v>11</v>
      </c>
      <c r="B255" s="614"/>
      <c r="C255" s="5" t="s">
        <v>3</v>
      </c>
      <c r="D255" s="4">
        <f>D95</f>
        <v>441</v>
      </c>
      <c r="E255" s="4">
        <f t="shared" ref="E255:G255" si="74">E95</f>
        <v>354</v>
      </c>
      <c r="F255" s="4">
        <f t="shared" si="74"/>
        <v>11</v>
      </c>
      <c r="G255" s="4">
        <f t="shared" si="74"/>
        <v>67</v>
      </c>
      <c r="H255" s="519">
        <f>SUM(D255:G255)</f>
        <v>873</v>
      </c>
    </row>
    <row r="256" spans="1:8" x14ac:dyDescent="0.3">
      <c r="A256" s="613" t="s">
        <v>10</v>
      </c>
      <c r="B256" s="614"/>
      <c r="C256" s="5" t="s">
        <v>3</v>
      </c>
      <c r="D256" s="4">
        <f>D91</f>
        <v>414</v>
      </c>
      <c r="E256" s="4">
        <f t="shared" ref="E256:G256" si="75">E91</f>
        <v>427</v>
      </c>
      <c r="F256" s="4">
        <f t="shared" si="75"/>
        <v>53</v>
      </c>
      <c r="G256" s="4">
        <f t="shared" si="75"/>
        <v>165</v>
      </c>
      <c r="H256" s="519">
        <f>SUM(D256:G256)</f>
        <v>1059</v>
      </c>
    </row>
    <row r="257" spans="1:8" ht="15.6" customHeight="1" x14ac:dyDescent="0.3">
      <c r="A257" s="613" t="s">
        <v>9</v>
      </c>
      <c r="B257" s="614"/>
      <c r="C257" s="5" t="s">
        <v>3</v>
      </c>
      <c r="D257" s="26">
        <f>Balaka!P257</f>
        <v>275</v>
      </c>
      <c r="E257" s="26">
        <f>Liwonde!P257</f>
        <v>465</v>
      </c>
      <c r="F257" s="26">
        <f>Machinga!P257</f>
        <v>191</v>
      </c>
      <c r="G257" s="26">
        <f>Ntaja!P257</f>
        <v>141</v>
      </c>
      <c r="H257" s="519">
        <f>SUM(D257:G257)</f>
        <v>1072</v>
      </c>
    </row>
    <row r="258" spans="1:8" x14ac:dyDescent="0.3">
      <c r="A258" s="649" t="s">
        <v>8</v>
      </c>
      <c r="B258" s="650"/>
      <c r="C258" s="5" t="s">
        <v>3</v>
      </c>
      <c r="D258" s="1">
        <f t="shared" ref="D258:H258" si="76">D257/D256</f>
        <v>0.66425120772946855</v>
      </c>
      <c r="E258" s="1">
        <f t="shared" si="76"/>
        <v>1.088992974238876</v>
      </c>
      <c r="F258" s="1">
        <f t="shared" si="76"/>
        <v>3.6037735849056602</v>
      </c>
      <c r="G258" s="3">
        <f t="shared" si="76"/>
        <v>0.8545454545454545</v>
      </c>
      <c r="H258" s="519">
        <f t="shared" si="76"/>
        <v>1.012275731822474</v>
      </c>
    </row>
    <row r="259" spans="1:8" x14ac:dyDescent="0.3">
      <c r="A259" s="649" t="s">
        <v>7</v>
      </c>
      <c r="B259" s="650"/>
      <c r="C259" s="5" t="s">
        <v>6</v>
      </c>
      <c r="D259" s="1">
        <f t="shared" ref="D259:H259" si="77">D92/D255*100</f>
        <v>92.517006802721085</v>
      </c>
      <c r="E259" s="1">
        <f t="shared" si="77"/>
        <v>95.480225988700568</v>
      </c>
      <c r="F259" s="1">
        <f t="shared" si="77"/>
        <v>300</v>
      </c>
      <c r="G259" s="6">
        <f t="shared" si="77"/>
        <v>5.9701492537313428</v>
      </c>
      <c r="H259" s="568">
        <f t="shared" si="77"/>
        <v>89.690721649484544</v>
      </c>
    </row>
    <row r="260" spans="1:8" ht="14.4" x14ac:dyDescent="0.3">
      <c r="A260" s="586" t="s">
        <v>5</v>
      </c>
      <c r="B260" s="587"/>
      <c r="C260" s="587"/>
      <c r="D260" s="587"/>
      <c r="E260" s="587"/>
      <c r="F260" s="587"/>
      <c r="G260" s="587"/>
      <c r="H260" s="588"/>
    </row>
    <row r="261" spans="1:8" s="2" customFormat="1" ht="15" customHeight="1" x14ac:dyDescent="0.3">
      <c r="A261" s="613" t="s">
        <v>4</v>
      </c>
      <c r="B261" s="614"/>
      <c r="C261" s="5" t="s">
        <v>3</v>
      </c>
      <c r="D261" s="26">
        <f>Balaka!P261</f>
        <v>205</v>
      </c>
      <c r="E261" s="26">
        <f>Liwonde!P261</f>
        <v>405</v>
      </c>
      <c r="F261" s="26">
        <f>Machinga!P261</f>
        <v>119</v>
      </c>
      <c r="G261" s="26">
        <f>Ntaja!P261</f>
        <v>127</v>
      </c>
      <c r="H261" s="40">
        <f>SUM(D261:G261)</f>
        <v>856</v>
      </c>
    </row>
    <row r="262" spans="1:8" s="2" customFormat="1" ht="15.75" customHeight="1" x14ac:dyDescent="0.3">
      <c r="A262" s="613" t="s">
        <v>2</v>
      </c>
      <c r="B262" s="614"/>
      <c r="C262" s="5" t="s">
        <v>0</v>
      </c>
      <c r="D262" s="26">
        <f>Balaka!P262</f>
        <v>339</v>
      </c>
      <c r="E262" s="26">
        <f>Liwonde!P262</f>
        <v>160</v>
      </c>
      <c r="F262" s="26">
        <f>Machinga!P262</f>
        <v>45</v>
      </c>
      <c r="G262" s="26">
        <f>Ntaja!P262</f>
        <v>19</v>
      </c>
      <c r="H262" s="40">
        <f>SUM(D262:G262)</f>
        <v>563</v>
      </c>
    </row>
    <row r="263" spans="1:8" ht="16.2" thickBot="1" x14ac:dyDescent="0.35">
      <c r="A263" s="660" t="s">
        <v>1</v>
      </c>
      <c r="B263" s="661"/>
      <c r="C263" s="116" t="s">
        <v>0</v>
      </c>
      <c r="D263" s="117">
        <f>D261/D262</f>
        <v>0.60471976401179939</v>
      </c>
      <c r="E263" s="117">
        <f t="shared" ref="E263:H263" si="78">E261/E262</f>
        <v>2.53125</v>
      </c>
      <c r="F263" s="117">
        <f t="shared" si="78"/>
        <v>2.6444444444444444</v>
      </c>
      <c r="G263" s="117">
        <f t="shared" si="78"/>
        <v>6.6842105263157894</v>
      </c>
      <c r="H263" s="514">
        <f t="shared" si="78"/>
        <v>1.5204262877442274</v>
      </c>
    </row>
    <row r="265" spans="1:8" x14ac:dyDescent="0.3">
      <c r="D265" s="194"/>
      <c r="E265" s="194"/>
      <c r="F265" s="194"/>
      <c r="G265" s="194"/>
      <c r="H265" s="573"/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Balaka</vt:lpstr>
      <vt:lpstr>Liwonde</vt:lpstr>
      <vt:lpstr>Machinga</vt:lpstr>
      <vt:lpstr>Ntaja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2026-06-12T10:12:11Z</dcterms:modified>
</cp:coreProperties>
</file>